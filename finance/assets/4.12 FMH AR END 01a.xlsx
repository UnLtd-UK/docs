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5841CEEA-B85E-457C-9B45-9AA5599FC1D9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K_TOL">InpC!$F$48</definedName>
    <definedName name="InputRowTemplate">InpC!$E$62:$S$62</definedName>
    <definedName name="InputStored">InpC!$J$3:$S$3</definedName>
    <definedName name="SMU">InpC!$F$51</definedName>
    <definedName name="TrackActive">Output!$H$5</definedName>
    <definedName name="TrackLiveResults">Output!$H$6:$H$73</definedName>
    <definedName name="TrackStoredResults">Output!$M$5:$S$5</definedName>
    <definedName name="TRK_TOL">InpC!$F$47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280" l="1"/>
  <c r="I30" i="280"/>
  <c r="G30" i="280"/>
  <c r="F30" i="280"/>
  <c r="E30" i="280"/>
  <c r="G53" i="281"/>
  <c r="G30" i="265" s="1"/>
  <c r="E80" i="281"/>
  <c r="G57" i="281"/>
  <c r="E57" i="281"/>
  <c r="G41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J52" i="281" s="1"/>
  <c r="G60" i="281"/>
  <c r="G52" i="281" s="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G84" i="281" s="1"/>
  <c r="E5" i="281"/>
  <c r="F4" i="281"/>
  <c r="E4" i="281"/>
  <c r="E3" i="281"/>
  <c r="E2" i="281"/>
  <c r="G62" i="281" l="1"/>
  <c r="G71" i="281"/>
  <c r="G9" i="265"/>
  <c r="G62" i="269" s="1"/>
  <c r="G61" i="281"/>
  <c r="G50" i="281"/>
  <c r="G45" i="281"/>
  <c r="E21" i="280"/>
  <c r="G40" i="48"/>
  <c r="G21" i="280" s="1"/>
  <c r="E10" i="280"/>
  <c r="G39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G63" i="277" s="1"/>
  <c r="J24" i="280"/>
  <c r="G24" i="280"/>
  <c r="G16" i="280"/>
  <c r="G74" i="265" s="1"/>
  <c r="G74" i="277" s="1"/>
  <c r="J13" i="280"/>
  <c r="G13" i="280"/>
  <c r="I11" i="280"/>
  <c r="G11" i="280"/>
  <c r="F11" i="280"/>
  <c r="E11" i="280"/>
  <c r="E5" i="280"/>
  <c r="F4" i="280"/>
  <c r="E4" i="280"/>
  <c r="E3" i="280"/>
  <c r="E2" i="280"/>
  <c r="F4" i="264"/>
  <c r="F4" i="273"/>
  <c r="F4" i="275"/>
  <c r="F4" i="265"/>
  <c r="I4" i="48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0" i="269"/>
  <c r="H23" i="269"/>
  <c r="H26" i="269"/>
  <c r="H27" i="269"/>
  <c r="H28" i="269"/>
  <c r="H31" i="269"/>
  <c r="H34" i="269"/>
  <c r="H4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 s="1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25" i="280" s="1"/>
  <c r="G47" i="265"/>
  <c r="G42" i="265"/>
  <c r="G37" i="265"/>
  <c r="G33" i="265"/>
  <c r="G25" i="265"/>
  <c r="G22" i="265"/>
  <c r="G14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2" i="48" s="1"/>
  <c r="K7" i="48"/>
  <c r="L7" i="48"/>
  <c r="H3" i="269"/>
  <c r="F15" i="48"/>
  <c r="I15" i="48" s="1" a="1"/>
  <c r="I15" i="48" s="1"/>
  <c r="A1" i="275"/>
  <c r="A1" i="277"/>
  <c r="A1" i="273"/>
  <c r="A1" i="264"/>
  <c r="M7" i="48"/>
  <c r="F4" i="277"/>
  <c r="J13" i="273"/>
  <c r="J14" i="273" s="1"/>
  <c r="J37" i="273" s="1"/>
  <c r="K10" i="273"/>
  <c r="K5" i="281" s="1"/>
  <c r="I20" i="48" a="1"/>
  <c r="I20" i="48" s="1"/>
  <c r="K5" i="275"/>
  <c r="F18" i="48" l="1"/>
  <c r="F94" i="273" s="1"/>
  <c r="F41" i="48"/>
  <c r="F36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2" i="48" a="1"/>
  <c r="I62" i="48" s="1"/>
  <c r="I53" i="48" a="1"/>
  <c r="I53" i="48" s="1"/>
  <c r="F33" i="48"/>
  <c r="F30" i="48"/>
  <c r="F26" i="48"/>
  <c r="F24" i="48"/>
  <c r="F29" i="48"/>
  <c r="F31" i="48"/>
  <c r="F25" i="48"/>
  <c r="F27" i="48"/>
  <c r="F35" i="273"/>
  <c r="F45" i="273"/>
  <c r="I21" i="48" a="1"/>
  <c r="I21" i="48" s="1"/>
  <c r="I18" i="48" a="1"/>
  <c r="I18" i="48" s="1"/>
  <c r="F13" i="48"/>
  <c r="F39" i="48"/>
  <c r="F40" i="48"/>
  <c r="F21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41" i="269"/>
  <c r="K34" i="269"/>
  <c r="K28" i="269"/>
  <c r="J28" i="269" s="1"/>
  <c r="K20" i="269"/>
  <c r="L20" i="269" s="1"/>
  <c r="K13" i="269"/>
  <c r="K11" i="269"/>
  <c r="J11" i="269" s="1"/>
  <c r="J10" i="269"/>
  <c r="L10" i="269"/>
  <c r="L54" i="269"/>
  <c r="L51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J62" i="269"/>
  <c r="F17" i="273"/>
  <c r="I13" i="48" a="1"/>
  <c r="I13" i="48" s="1"/>
  <c r="J39" i="273"/>
  <c r="J41" i="273" s="1"/>
  <c r="J52" i="273" s="1"/>
  <c r="F83" i="273"/>
  <c r="F28" i="273"/>
  <c r="F29" i="273" s="1"/>
  <c r="F31" i="273" s="1"/>
  <c r="F16" i="48"/>
  <c r="K13" i="273"/>
  <c r="K14" i="273" s="1"/>
  <c r="K5" i="277"/>
  <c r="K5" i="265"/>
  <c r="L10" i="273"/>
  <c r="K5" i="273"/>
  <c r="J56" i="273"/>
  <c r="J19" i="273"/>
  <c r="J47" i="273"/>
  <c r="F87" i="273"/>
  <c r="J45" i="269" l="1"/>
  <c r="I41" i="48" a="1"/>
  <c r="I41" i="48" s="1"/>
  <c r="F57" i="281"/>
  <c r="F80" i="281"/>
  <c r="I36" i="48" a="1"/>
  <c r="I36" i="48" s="1"/>
  <c r="F7" i="48" s="1"/>
  <c r="F70" i="281"/>
  <c r="F44" i="281"/>
  <c r="J48" i="273"/>
  <c r="J51" i="273" s="1"/>
  <c r="L5" i="281"/>
  <c r="L5" i="280"/>
  <c r="J20" i="273"/>
  <c r="J31" i="269"/>
  <c r="L28" i="269"/>
  <c r="I40" i="48" a="1"/>
  <c r="I40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J20" i="269"/>
  <c r="J4" i="273"/>
  <c r="J4" i="280"/>
  <c r="I39" i="48" a="1"/>
  <c r="I39" i="48" s="1"/>
  <c r="F10" i="280"/>
  <c r="J4" i="265"/>
  <c r="J46" i="269"/>
  <c r="L49" i="269"/>
  <c r="J41" i="269"/>
  <c r="L41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J4" i="275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J2" i="277" l="1"/>
  <c r="J4" i="277" s="1"/>
  <c r="K48" i="273"/>
  <c r="K51" i="273" s="1"/>
  <c r="M5" i="281"/>
  <c r="M5" i="280"/>
  <c r="J24" i="273"/>
  <c r="J25" i="273" s="1"/>
  <c r="J2" i="281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90" i="273" l="1"/>
  <c r="J91" i="273" s="1"/>
  <c r="J100" i="273" s="1"/>
  <c r="K101" i="273" s="1"/>
  <c r="K59" i="273" s="1"/>
  <c r="L20" i="273"/>
  <c r="L24" i="273" s="1"/>
  <c r="L25" i="273" s="1"/>
  <c r="J75" i="273"/>
  <c r="J76" i="273" s="1"/>
  <c r="J11" i="280" s="1"/>
  <c r="J96" i="273"/>
  <c r="J97" i="273" s="1"/>
  <c r="J108" i="273" s="1"/>
  <c r="J109" i="273" s="1"/>
  <c r="L124" i="273"/>
  <c r="N5" i="281"/>
  <c r="N5" i="280"/>
  <c r="L48" i="273"/>
  <c r="L51" i="273" s="1"/>
  <c r="K2" i="277"/>
  <c r="K4" i="277" s="1"/>
  <c r="K24" i="273"/>
  <c r="K25" i="273" s="1"/>
  <c r="K124" i="273"/>
  <c r="J125" i="273"/>
  <c r="J126" i="273" s="1"/>
  <c r="J2" i="273"/>
  <c r="J2" i="265"/>
  <c r="J32" i="273"/>
  <c r="J33" i="273" s="1"/>
  <c r="J119" i="273"/>
  <c r="J120" i="273" s="1"/>
  <c r="J12" i="281" s="1"/>
  <c r="J22" i="281"/>
  <c r="J23" i="281" s="1"/>
  <c r="J113" i="273"/>
  <c r="J114" i="273" s="1"/>
  <c r="J21" i="281" s="1"/>
  <c r="K90" i="273"/>
  <c r="K91" i="273" s="1"/>
  <c r="K100" i="273" s="1"/>
  <c r="L101" i="273" s="1"/>
  <c r="L59" i="273" s="1"/>
  <c r="K2" i="280"/>
  <c r="K75" i="273"/>
  <c r="K2" i="265"/>
  <c r="K76" i="273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J112" i="273"/>
  <c r="J57" i="273" l="1"/>
  <c r="J60" i="273" s="1"/>
  <c r="J66" i="273" s="1"/>
  <c r="J67" i="273" s="1"/>
  <c r="J3" i="273" s="1"/>
  <c r="J22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22" i="281" s="1"/>
  <c r="L23" i="281" s="1"/>
  <c r="L29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124" i="273"/>
  <c r="L75" i="273"/>
  <c r="L2" i="275"/>
  <c r="L2" i="273"/>
  <c r="K2" i="281"/>
  <c r="K125" i="273"/>
  <c r="K126" i="273" s="1"/>
  <c r="K2" i="273"/>
  <c r="K96" i="273"/>
  <c r="K97" i="273" s="1"/>
  <c r="K32" i="273"/>
  <c r="K33" i="273" s="1"/>
  <c r="K2" i="275"/>
  <c r="J38" i="273"/>
  <c r="K39" i="273" s="1"/>
  <c r="K41" i="273" s="1"/>
  <c r="J118" i="273"/>
  <c r="L125" i="273"/>
  <c r="L126" i="273" s="1"/>
  <c r="L2" i="265"/>
  <c r="M32" i="273"/>
  <c r="M33" i="273" s="1"/>
  <c r="M38" i="273" s="1"/>
  <c r="L37" i="281"/>
  <c r="L13" i="281"/>
  <c r="L14" i="281" s="1"/>
  <c r="L28" i="281" s="1"/>
  <c r="J29" i="281"/>
  <c r="J30" i="281" s="1"/>
  <c r="M2" i="277"/>
  <c r="M4" i="277" s="1"/>
  <c r="M75" i="273"/>
  <c r="M76" i="273" s="1"/>
  <c r="M2" i="280"/>
  <c r="K22" i="280"/>
  <c r="K11" i="280"/>
  <c r="L76" i="273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M118" i="273"/>
  <c r="J3" i="280" l="1"/>
  <c r="J3" i="275"/>
  <c r="K60" i="273"/>
  <c r="K66" i="273" s="1"/>
  <c r="K67" i="273" s="1"/>
  <c r="J3" i="281"/>
  <c r="J50" i="273"/>
  <c r="J53" i="273" s="1"/>
  <c r="J3" i="277" s="1"/>
  <c r="J3" i="265"/>
  <c r="L58" i="281"/>
  <c r="L63" i="281" s="1"/>
  <c r="M60" i="281" s="1"/>
  <c r="M52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L64" i="265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2" i="265"/>
  <c r="N24" i="273"/>
  <c r="N25" i="273" s="1"/>
  <c r="N2" i="280" s="1"/>
  <c r="N124" i="273"/>
  <c r="P5" i="281"/>
  <c r="P5" i="280"/>
  <c r="K52" i="273"/>
  <c r="K42" i="273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K3" i="280"/>
  <c r="K3" i="281"/>
  <c r="M11" i="280"/>
  <c r="M22" i="280"/>
  <c r="L22" i="280"/>
  <c r="L27" i="280" s="1"/>
  <c r="L11" i="280"/>
  <c r="L16" i="280" s="1"/>
  <c r="L79" i="273"/>
  <c r="M80" i="273" s="1"/>
  <c r="M58" i="273" s="1"/>
  <c r="L57" i="273"/>
  <c r="L60" i="273" s="1"/>
  <c r="L66" i="273" s="1"/>
  <c r="L67" i="273" s="1"/>
  <c r="L3" i="273" s="1"/>
  <c r="L15" i="275"/>
  <c r="L20" i="275" s="1"/>
  <c r="M17" i="275" s="1"/>
  <c r="K3" i="273"/>
  <c r="K3" i="265"/>
  <c r="N32" i="273"/>
  <c r="N33" i="273" s="1"/>
  <c r="N118" i="273" s="1"/>
  <c r="N96" i="273"/>
  <c r="N97" i="273" s="1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N38" i="273"/>
  <c r="M57" i="273"/>
  <c r="M79" i="273"/>
  <c r="N80" i="273" s="1"/>
  <c r="M15" i="275"/>
  <c r="M20" i="275" s="1"/>
  <c r="N17" i="275" s="1"/>
  <c r="O2" i="277"/>
  <c r="L3" i="265" l="1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K50" i="281" s="1"/>
  <c r="Q5" i="281"/>
  <c r="Q5" i="280"/>
  <c r="J9" i="265"/>
  <c r="J11" i="265" s="1"/>
  <c r="J14" i="265" s="1"/>
  <c r="J61" i="281"/>
  <c r="J50" i="281"/>
  <c r="J45" i="281"/>
  <c r="J47" i="281" s="1"/>
  <c r="J51" i="281" s="1"/>
  <c r="K4" i="273"/>
  <c r="K4" i="265"/>
  <c r="K4" i="275"/>
  <c r="K4" i="280"/>
  <c r="K4" i="281"/>
  <c r="N2" i="281"/>
  <c r="N125" i="273"/>
  <c r="N126" i="273" s="1"/>
  <c r="N75" i="273"/>
  <c r="N76" i="273" s="1"/>
  <c r="N11" i="280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2" i="280" s="1"/>
  <c r="O124" i="273"/>
  <c r="L9" i="265"/>
  <c r="L11" i="265" s="1"/>
  <c r="L14" i="265" s="1"/>
  <c r="L19" i="265" s="1"/>
  <c r="L22" i="265" s="1"/>
  <c r="L14" i="280" s="1"/>
  <c r="L61" i="281"/>
  <c r="L50" i="281"/>
  <c r="L45" i="281"/>
  <c r="L47" i="281" s="1"/>
  <c r="L51" i="281" s="1"/>
  <c r="L41" i="273"/>
  <c r="M39" i="273"/>
  <c r="L109" i="273"/>
  <c r="K112" i="273"/>
  <c r="K9" i="265"/>
  <c r="K11" i="265" s="1"/>
  <c r="K14" i="265" s="1"/>
  <c r="K19" i="265" s="1"/>
  <c r="K22" i="265" s="1"/>
  <c r="N108" i="273"/>
  <c r="N37" i="281"/>
  <c r="N22" i="281"/>
  <c r="N13" i="281"/>
  <c r="L3" i="280"/>
  <c r="L3" i="281"/>
  <c r="O75" i="273"/>
  <c r="O76" i="273" s="1"/>
  <c r="M13" i="280"/>
  <c r="L74" i="265"/>
  <c r="L75" i="265" s="1"/>
  <c r="L81" i="265" s="1"/>
  <c r="M60" i="273"/>
  <c r="L50" i="273"/>
  <c r="L3" i="275"/>
  <c r="N119" i="273"/>
  <c r="N22" i="280"/>
  <c r="M24" i="280"/>
  <c r="L63" i="265"/>
  <c r="L65" i="265" s="1"/>
  <c r="L67" i="265" s="1"/>
  <c r="L80" i="265" s="1"/>
  <c r="L83" i="265" s="1"/>
  <c r="O96" i="273"/>
  <c r="O97" i="273" s="1"/>
  <c r="N113" i="273"/>
  <c r="O2" i="265"/>
  <c r="Q13" i="273"/>
  <c r="Q14" i="273" s="1"/>
  <c r="R10" i="273"/>
  <c r="Q5" i="273"/>
  <c r="Q5" i="277"/>
  <c r="Q5" i="275"/>
  <c r="Q5" i="265"/>
  <c r="O2" i="275"/>
  <c r="O32" i="273"/>
  <c r="O33" i="273" s="1"/>
  <c r="O118" i="273" s="1"/>
  <c r="P37" i="273"/>
  <c r="P47" i="273"/>
  <c r="P48" i="273" s="1"/>
  <c r="P51" i="273" s="1"/>
  <c r="P56" i="273"/>
  <c r="P19" i="273"/>
  <c r="P20" i="273" s="1"/>
  <c r="O79" i="273"/>
  <c r="P80" i="273" s="1"/>
  <c r="P58" i="273" s="1"/>
  <c r="N58" i="273"/>
  <c r="O4" i="277"/>
  <c r="M66" i="273"/>
  <c r="M67" i="273" s="1"/>
  <c r="N57" i="273"/>
  <c r="N79" i="273"/>
  <c r="O80" i="273" s="1"/>
  <c r="O58" i="273" s="1"/>
  <c r="N15" i="275"/>
  <c r="N20" i="275" s="1"/>
  <c r="O17" i="275" s="1"/>
  <c r="O58" i="281" l="1"/>
  <c r="O81" i="281"/>
  <c r="N60" i="273"/>
  <c r="O15" i="275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L25" i="265"/>
  <c r="K45" i="281"/>
  <c r="K47" i="281" s="1"/>
  <c r="K51" i="281" s="1"/>
  <c r="K61" i="281"/>
  <c r="J53" i="281"/>
  <c r="L52" i="273"/>
  <c r="L42" i="273"/>
  <c r="O2" i="281"/>
  <c r="O125" i="273"/>
  <c r="O126" i="273" s="1"/>
  <c r="M114" i="273"/>
  <c r="M21" i="281" s="1"/>
  <c r="M23" i="281" s="1"/>
  <c r="M29" i="281" s="1"/>
  <c r="R5" i="281"/>
  <c r="R5" i="280"/>
  <c r="K14" i="280"/>
  <c r="K25" i="265"/>
  <c r="M109" i="273"/>
  <c r="L112" i="273"/>
  <c r="P24" i="273"/>
  <c r="P25" i="273" s="1"/>
  <c r="P2" i="280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P79" i="273" s="1"/>
  <c r="Q80" i="273" s="1"/>
  <c r="Q58" i="273" s="1"/>
  <c r="L82" i="265"/>
  <c r="O38" i="273"/>
  <c r="O108" i="273"/>
  <c r="O22" i="280"/>
  <c r="O11" i="280"/>
  <c r="P2" i="277"/>
  <c r="P4" i="277" s="1"/>
  <c r="P2" i="275"/>
  <c r="P32" i="273"/>
  <c r="P33" i="273" s="1"/>
  <c r="P118" i="273" s="1"/>
  <c r="P2" i="265"/>
  <c r="P96" i="273"/>
  <c r="P97" i="273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N66" i="273"/>
  <c r="N67" i="273" s="1"/>
  <c r="P57" i="273"/>
  <c r="P15" i="275"/>
  <c r="M50" i="273"/>
  <c r="M3" i="273"/>
  <c r="M3" i="265"/>
  <c r="M3" i="275"/>
  <c r="P38" i="273"/>
  <c r="O20" i="275"/>
  <c r="P17" i="275" s="1"/>
  <c r="M30" i="281" l="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124" i="273"/>
  <c r="M42" i="273"/>
  <c r="M52" i="273"/>
  <c r="N41" i="273"/>
  <c r="O39" i="273"/>
  <c r="P2" i="281"/>
  <c r="P125" i="273"/>
  <c r="P126" i="273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22" i="280"/>
  <c r="P11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Q118" i="273"/>
  <c r="Q4" i="277"/>
  <c r="P20" i="275"/>
  <c r="Q17" i="275" s="1"/>
  <c r="N3" i="265"/>
  <c r="N3" i="273"/>
  <c r="N3" i="275"/>
  <c r="N50" i="273"/>
  <c r="P46" i="281" l="1"/>
  <c r="P72" i="281"/>
  <c r="O120" i="273"/>
  <c r="O12" i="281" s="1"/>
  <c r="O14" i="281" s="1"/>
  <c r="O28" i="281" s="1"/>
  <c r="O30" i="281" s="1"/>
  <c r="O36" i="281" s="1"/>
  <c r="O38" i="281" s="1"/>
  <c r="O84" i="281" s="1"/>
  <c r="O114" i="273"/>
  <c r="O21" i="281" s="1"/>
  <c r="O23" i="281" s="1"/>
  <c r="O29" i="281" s="1"/>
  <c r="P23" i="281"/>
  <c r="P29" i="281" s="1"/>
  <c r="P114" i="273"/>
  <c r="P21" i="281" s="1"/>
  <c r="J37" i="265"/>
  <c r="K60" i="281"/>
  <c r="K52" i="281" s="1"/>
  <c r="K53" i="281" s="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O61" i="281"/>
  <c r="O45" i="281"/>
  <c r="O47" i="281" s="1"/>
  <c r="O51" i="281" s="1"/>
  <c r="N112" i="273"/>
  <c r="O109" i="273"/>
  <c r="N52" i="273"/>
  <c r="N42" i="273"/>
  <c r="M4" i="280"/>
  <c r="M4" i="281"/>
  <c r="M4" i="275"/>
  <c r="M4" i="265"/>
  <c r="M4" i="273"/>
  <c r="Q2" i="281"/>
  <c r="Q125" i="273"/>
  <c r="Q126" i="273" s="1"/>
  <c r="Q90" i="273"/>
  <c r="Q91" i="273" s="1"/>
  <c r="Q100" i="273" s="1"/>
  <c r="R101" i="273" s="1"/>
  <c r="R59" i="273" s="1"/>
  <c r="R24" i="273"/>
  <c r="R25" i="273" s="1"/>
  <c r="R124" i="273"/>
  <c r="Q96" i="273"/>
  <c r="Q97" i="273" s="1"/>
  <c r="Q119" i="273" s="1"/>
  <c r="Q75" i="273"/>
  <c r="Q76" i="273" s="1"/>
  <c r="Q57" i="273" s="1"/>
  <c r="Q60" i="273" s="1"/>
  <c r="Q2" i="280"/>
  <c r="N9" i="265"/>
  <c r="N11" i="265" s="1"/>
  <c r="N14" i="265" s="1"/>
  <c r="N19" i="265" s="1"/>
  <c r="N22" i="265" s="1"/>
  <c r="N14" i="280" s="1"/>
  <c r="N61" i="281"/>
  <c r="N50" i="281"/>
  <c r="N45" i="281"/>
  <c r="N47" i="281" s="1"/>
  <c r="N51" i="281" s="1"/>
  <c r="M9" i="265"/>
  <c r="M11" i="265" s="1"/>
  <c r="M14" i="265" s="1"/>
  <c r="M61" i="281"/>
  <c r="M50" i="281"/>
  <c r="M45" i="281"/>
  <c r="M47" i="281" s="1"/>
  <c r="M51" i="281" s="1"/>
  <c r="O41" i="273"/>
  <c r="P39" i="273"/>
  <c r="J25" i="265"/>
  <c r="J14" i="280"/>
  <c r="J16" i="280" s="1"/>
  <c r="O3" i="280"/>
  <c r="O3" i="281"/>
  <c r="Q113" i="273"/>
  <c r="Q114" i="273" s="1"/>
  <c r="Q21" i="281" s="1"/>
  <c r="Q22" i="281"/>
  <c r="Q11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Q15" i="275"/>
  <c r="Q20" i="275" s="1"/>
  <c r="R17" i="275" s="1"/>
  <c r="O3" i="275"/>
  <c r="O50" i="273"/>
  <c r="O3" i="265"/>
  <c r="O3" i="273"/>
  <c r="R76" i="273" l="1"/>
  <c r="R79" i="273" s="1"/>
  <c r="S80" i="273" s="1"/>
  <c r="S58" i="273" s="1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P30" i="281" s="1"/>
  <c r="P36" i="281" s="1"/>
  <c r="P38" i="281" s="1"/>
  <c r="P84" i="281" s="1"/>
  <c r="Q46" i="281"/>
  <c r="Q72" i="281"/>
  <c r="O50" i="281"/>
  <c r="O9" i="265"/>
  <c r="O11" i="265" s="1"/>
  <c r="O14" i="265" s="1"/>
  <c r="O19" i="265" s="1"/>
  <c r="O22" i="265" s="1"/>
  <c r="Q23" i="281"/>
  <c r="Q29" i="281" s="1"/>
  <c r="N25" i="265"/>
  <c r="K62" i="281"/>
  <c r="K63" i="281" s="1"/>
  <c r="K30" i="265"/>
  <c r="K33" i="265" s="1"/>
  <c r="J42" i="265"/>
  <c r="M53" i="281"/>
  <c r="P71" i="281"/>
  <c r="P73" i="281" s="1"/>
  <c r="P77" i="281" s="1"/>
  <c r="M86" i="281"/>
  <c r="N83" i="281" s="1"/>
  <c r="P9" i="265"/>
  <c r="P11" i="265" s="1"/>
  <c r="P14" i="265" s="1"/>
  <c r="P19" i="265" s="1"/>
  <c r="P22" i="265" s="1"/>
  <c r="P14" i="280" s="1"/>
  <c r="P50" i="281"/>
  <c r="U5" i="281"/>
  <c r="U5" i="280"/>
  <c r="S24" i="273"/>
  <c r="S25" i="273" s="1"/>
  <c r="S90" i="273" s="1"/>
  <c r="S91" i="273" s="1"/>
  <c r="S100" i="273" s="1"/>
  <c r="T101" i="273" s="1"/>
  <c r="T59" i="273" s="1"/>
  <c r="S124" i="273"/>
  <c r="O42" i="273"/>
  <c r="O52" i="273"/>
  <c r="R2" i="281"/>
  <c r="R125" i="273"/>
  <c r="R126" i="273" s="1"/>
  <c r="R32" i="273"/>
  <c r="R33" i="273" s="1"/>
  <c r="Q79" i="273"/>
  <c r="R80" i="273" s="1"/>
  <c r="R15" i="275"/>
  <c r="R57" i="273"/>
  <c r="R96" i="273"/>
  <c r="R97" i="273" s="1"/>
  <c r="R37" i="281" s="1"/>
  <c r="R2" i="265"/>
  <c r="R2" i="280"/>
  <c r="Q22" i="280"/>
  <c r="P41" i="273"/>
  <c r="Q39" i="273"/>
  <c r="Q120" i="273"/>
  <c r="Q12" i="281" s="1"/>
  <c r="Q14" i="281" s="1"/>
  <c r="Q28" i="281" s="1"/>
  <c r="Q30" i="281" s="1"/>
  <c r="Q36" i="281" s="1"/>
  <c r="Q38" i="281" s="1"/>
  <c r="N4" i="280"/>
  <c r="N4" i="275"/>
  <c r="N4" i="281"/>
  <c r="N4" i="273"/>
  <c r="N4" i="265"/>
  <c r="O112" i="273"/>
  <c r="P109" i="273"/>
  <c r="P112" i="273" s="1"/>
  <c r="P25" i="265"/>
  <c r="J74" i="265"/>
  <c r="J75" i="265" s="1"/>
  <c r="J81" i="265" s="1"/>
  <c r="K13" i="280"/>
  <c r="K16" i="280" s="1"/>
  <c r="M19" i="265"/>
  <c r="P3" i="280"/>
  <c r="P3" i="281"/>
  <c r="R119" i="273"/>
  <c r="R120" i="273" s="1"/>
  <c r="R12" i="281" s="1"/>
  <c r="R22" i="281"/>
  <c r="R108" i="273"/>
  <c r="S2" i="280"/>
  <c r="R22" i="280"/>
  <c r="R11" i="280"/>
  <c r="S32" i="273"/>
  <c r="S33" i="273" s="1"/>
  <c r="S38" i="273" s="1"/>
  <c r="S75" i="273"/>
  <c r="S76" i="273" s="1"/>
  <c r="T19" i="273"/>
  <c r="T20" i="273" s="1"/>
  <c r="T56" i="273"/>
  <c r="T37" i="273"/>
  <c r="T47" i="273"/>
  <c r="T48" i="273" s="1"/>
  <c r="T51" i="273" s="1"/>
  <c r="S2" i="265"/>
  <c r="S96" i="273"/>
  <c r="S97" i="273" s="1"/>
  <c r="U13" i="273"/>
  <c r="U14" i="273" s="1"/>
  <c r="U5" i="275"/>
  <c r="V10" i="273"/>
  <c r="U5" i="273"/>
  <c r="U5" i="265"/>
  <c r="U5" i="277"/>
  <c r="Q66" i="273"/>
  <c r="Q67" i="273" s="1"/>
  <c r="R58" i="273"/>
  <c r="R60" i="273" s="1"/>
  <c r="S4" i="277"/>
  <c r="S113" i="273"/>
  <c r="R20" i="275"/>
  <c r="S17" i="275" s="1"/>
  <c r="P3" i="265"/>
  <c r="P50" i="273"/>
  <c r="P3" i="273"/>
  <c r="P3" i="275"/>
  <c r="S118" i="273"/>
  <c r="R81" i="281" l="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51" i="281" s="1"/>
  <c r="P61" i="281"/>
  <c r="O14" i="280"/>
  <c r="O25" i="265"/>
  <c r="J47" i="265"/>
  <c r="L60" i="281"/>
  <c r="L52" i="281" s="1"/>
  <c r="L53" i="281" s="1"/>
  <c r="K64" i="265"/>
  <c r="M62" i="281"/>
  <c r="M63" i="281" s="1"/>
  <c r="M30" i="265"/>
  <c r="M33" i="265" s="1"/>
  <c r="M37" i="265" s="1"/>
  <c r="M42" i="265" s="1"/>
  <c r="M47" i="265" s="1"/>
  <c r="M50" i="265" s="1"/>
  <c r="M30" i="280" s="1"/>
  <c r="K37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11" i="265" s="1"/>
  <c r="Q14" i="265" s="1"/>
  <c r="Q19" i="265" s="1"/>
  <c r="Q22" i="265" s="1"/>
  <c r="Q14" i="280" s="1"/>
  <c r="Q61" i="281"/>
  <c r="Q50" i="281"/>
  <c r="Q45" i="281"/>
  <c r="Q47" i="281" s="1"/>
  <c r="Q51" i="281" s="1"/>
  <c r="Q41" i="273"/>
  <c r="R39" i="273"/>
  <c r="R41" i="273" s="1"/>
  <c r="O4" i="281"/>
  <c r="O4" i="280"/>
  <c r="O4" i="265"/>
  <c r="O4" i="275"/>
  <c r="O4" i="273"/>
  <c r="T2" i="277"/>
  <c r="T24" i="273"/>
  <c r="T25" i="273" s="1"/>
  <c r="T96" i="273" s="1"/>
  <c r="T97" i="273" s="1"/>
  <c r="T108" i="273" s="1"/>
  <c r="T124" i="273"/>
  <c r="P42" i="273"/>
  <c r="P52" i="273"/>
  <c r="Q109" i="273"/>
  <c r="R38" i="273"/>
  <c r="S39" i="273" s="1"/>
  <c r="S41" i="273" s="1"/>
  <c r="R118" i="273"/>
  <c r="S2" i="281"/>
  <c r="S125" i="273"/>
  <c r="S126" i="273" s="1"/>
  <c r="M22" i="265"/>
  <c r="L13" i="280"/>
  <c r="K74" i="265"/>
  <c r="K75" i="265" s="1"/>
  <c r="K81" i="265" s="1"/>
  <c r="Q3" i="280"/>
  <c r="Q3" i="281"/>
  <c r="R14" i="281"/>
  <c r="R28" i="281" s="1"/>
  <c r="S119" i="273"/>
  <c r="S37" i="281"/>
  <c r="S22" i="281"/>
  <c r="S13" i="281"/>
  <c r="R23" i="281"/>
  <c r="S57" i="273"/>
  <c r="S22" i="280"/>
  <c r="S11" i="280"/>
  <c r="S79" i="273"/>
  <c r="T80" i="273" s="1"/>
  <c r="T58" i="273" s="1"/>
  <c r="T75" i="273"/>
  <c r="T76" i="273" s="1"/>
  <c r="T81" i="281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S60" i="273"/>
  <c r="R66" i="273"/>
  <c r="R67" i="273" s="1"/>
  <c r="T4" i="277"/>
  <c r="U51" i="273"/>
  <c r="Q50" i="273"/>
  <c r="Q3" i="265"/>
  <c r="Q3" i="275"/>
  <c r="Q3" i="273"/>
  <c r="T42" i="273" l="1"/>
  <c r="S114" i="273"/>
  <c r="S21" i="281" s="1"/>
  <c r="S23" i="281"/>
  <c r="S29" i="281" s="1"/>
  <c r="S46" i="281"/>
  <c r="S72" i="281"/>
  <c r="M53" i="265"/>
  <c r="M25" i="280"/>
  <c r="M27" i="280" s="1"/>
  <c r="K42" i="265"/>
  <c r="N60" i="281"/>
  <c r="M64" i="265"/>
  <c r="L62" i="281"/>
  <c r="L30" i="265"/>
  <c r="L33" i="265" s="1"/>
  <c r="J50" i="265"/>
  <c r="J30" i="280" s="1"/>
  <c r="O76" i="281"/>
  <c r="O78" i="281" s="1"/>
  <c r="O85" i="281" s="1"/>
  <c r="O86" i="281" s="1"/>
  <c r="P83" i="281" s="1"/>
  <c r="Q25" i="265"/>
  <c r="U24" i="273"/>
  <c r="U25" i="273" s="1"/>
  <c r="U2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2" i="273"/>
  <c r="T32" i="273"/>
  <c r="T33" i="273" s="1"/>
  <c r="Q42" i="273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30" i="281" s="1"/>
  <c r="S36" i="281" s="1"/>
  <c r="S38" i="281" s="1"/>
  <c r="S52" i="273"/>
  <c r="S42" i="273"/>
  <c r="R42" i="273"/>
  <c r="R52" i="273"/>
  <c r="M14" i="280"/>
  <c r="M16" i="280" s="1"/>
  <c r="M25" i="265"/>
  <c r="T4" i="280"/>
  <c r="T4" i="281"/>
  <c r="U75" i="273"/>
  <c r="U76" i="273" s="1"/>
  <c r="T113" i="273"/>
  <c r="T114" i="273" s="1"/>
  <c r="T21" i="281" s="1"/>
  <c r="T37" i="281"/>
  <c r="T22" i="281"/>
  <c r="T23" i="281" s="1"/>
  <c r="T29" i="281" s="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22" i="280"/>
  <c r="T11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U4" i="277"/>
  <c r="R3" i="273"/>
  <c r="R3" i="265"/>
  <c r="R3" i="275"/>
  <c r="R50" i="273"/>
  <c r="U58" i="281" l="1"/>
  <c r="U81" i="281"/>
  <c r="V51" i="273"/>
  <c r="T46" i="281"/>
  <c r="T72" i="281"/>
  <c r="U96" i="273"/>
  <c r="U97" i="273" s="1"/>
  <c r="U119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L37" i="265"/>
  <c r="N24" i="280"/>
  <c r="M63" i="265"/>
  <c r="M65" i="265" s="1"/>
  <c r="M67" i="265" s="1"/>
  <c r="M80" i="265" s="1"/>
  <c r="J53" i="265"/>
  <c r="J25" i="280"/>
  <c r="J27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25" i="265" s="1"/>
  <c r="S61" i="281"/>
  <c r="S50" i="281"/>
  <c r="S45" i="281"/>
  <c r="S47" i="281" s="1"/>
  <c r="S51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124" i="273"/>
  <c r="R9" i="265"/>
  <c r="R11" i="265" s="1"/>
  <c r="R14" i="265" s="1"/>
  <c r="R61" i="281"/>
  <c r="R50" i="281"/>
  <c r="R45" i="281"/>
  <c r="R47" i="281" s="1"/>
  <c r="R51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M74" i="265"/>
  <c r="M75" i="265" s="1"/>
  <c r="M81" i="265" s="1"/>
  <c r="N13" i="280"/>
  <c r="N16" i="280" s="1"/>
  <c r="V96" i="273"/>
  <c r="V97" i="273" s="1"/>
  <c r="V113" i="273" s="1"/>
  <c r="S3" i="280"/>
  <c r="S3" i="281"/>
  <c r="U113" i="273"/>
  <c r="U114" i="273" s="1"/>
  <c r="U21" i="281" s="1"/>
  <c r="U37" i="281"/>
  <c r="U22" i="281"/>
  <c r="U23" i="281" s="1"/>
  <c r="U29" i="281" s="1"/>
  <c r="U13" i="281"/>
  <c r="V75" i="273"/>
  <c r="V76" i="273" s="1"/>
  <c r="V2" i="265"/>
  <c r="U11" i="280"/>
  <c r="U22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V15" i="275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V58" i="281" l="1"/>
  <c r="V81" i="281"/>
  <c r="V114" i="273"/>
  <c r="V21" i="281" s="1"/>
  <c r="V108" i="273"/>
  <c r="V57" i="273"/>
  <c r="U46" i="281"/>
  <c r="U72" i="281"/>
  <c r="U120" i="273"/>
  <c r="U12" i="281" s="1"/>
  <c r="U118" i="273"/>
  <c r="U38" i="273"/>
  <c r="V39" i="273" s="1"/>
  <c r="V41" i="273" s="1"/>
  <c r="V42" i="273" s="1"/>
  <c r="K50" i="265"/>
  <c r="K30" i="280" s="1"/>
  <c r="K24" i="280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14" i="280"/>
  <c r="W24" i="273"/>
  <c r="W25" i="273" s="1"/>
  <c r="W96" i="273" s="1"/>
  <c r="W97" i="273" s="1"/>
  <c r="W124" i="273"/>
  <c r="Y5" i="281"/>
  <c r="Y5" i="280"/>
  <c r="V2" i="281"/>
  <c r="V125" i="273"/>
  <c r="V126" i="273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U14" i="281"/>
  <c r="U28" i="281" s="1"/>
  <c r="U30" i="281" s="1"/>
  <c r="U36" i="281" s="1"/>
  <c r="U38" i="281" s="1"/>
  <c r="T9" i="265"/>
  <c r="T11" i="265" s="1"/>
  <c r="T14" i="265" s="1"/>
  <c r="T19" i="265" s="1"/>
  <c r="T22" i="265" s="1"/>
  <c r="T25" i="265" s="1"/>
  <c r="T61" i="281"/>
  <c r="T50" i="281"/>
  <c r="T45" i="281"/>
  <c r="T47" i="281" s="1"/>
  <c r="T51" i="281" s="1"/>
  <c r="U52" i="273"/>
  <c r="U42" i="273"/>
  <c r="M83" i="265"/>
  <c r="M82" i="265"/>
  <c r="R19" i="265"/>
  <c r="O13" i="280"/>
  <c r="O16" i="280" s="1"/>
  <c r="N74" i="265"/>
  <c r="N75" i="265" s="1"/>
  <c r="N81" i="265" s="1"/>
  <c r="T3" i="280"/>
  <c r="T3" i="281"/>
  <c r="W2" i="275"/>
  <c r="V4" i="280"/>
  <c r="V4" i="281"/>
  <c r="V37" i="281"/>
  <c r="V22" i="281"/>
  <c r="V23" i="281" s="1"/>
  <c r="V29" i="281" s="1"/>
  <c r="V13" i="281"/>
  <c r="W2" i="277"/>
  <c r="W4" i="277" s="1"/>
  <c r="V22" i="280"/>
  <c r="V11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T3" i="275"/>
  <c r="T3" i="265"/>
  <c r="T3" i="273"/>
  <c r="T50" i="273"/>
  <c r="V4" i="275"/>
  <c r="V4" i="265"/>
  <c r="V4" i="273"/>
  <c r="X51" i="273"/>
  <c r="X2" i="277"/>
  <c r="V20" i="275"/>
  <c r="W17" i="275" s="1"/>
  <c r="W2" i="273" l="1"/>
  <c r="W2" i="280"/>
  <c r="W113" i="273"/>
  <c r="W114" i="273" s="1"/>
  <c r="W21" i="281" s="1"/>
  <c r="W119" i="273"/>
  <c r="W108" i="273"/>
  <c r="W32" i="273"/>
  <c r="W33" i="273" s="1"/>
  <c r="W75" i="273"/>
  <c r="W76" i="273" s="1"/>
  <c r="V120" i="273"/>
  <c r="V12" i="281" s="1"/>
  <c r="V46" i="281"/>
  <c r="V72" i="281"/>
  <c r="N37" i="265"/>
  <c r="J83" i="265"/>
  <c r="J82" i="265"/>
  <c r="L47" i="265"/>
  <c r="O60" i="281"/>
  <c r="O52" i="281" s="1"/>
  <c r="O53" i="281" s="1"/>
  <c r="N64" i="265"/>
  <c r="K53" i="265"/>
  <c r="K25" i="280"/>
  <c r="K27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14" i="280"/>
  <c r="X24" i="273"/>
  <c r="X25" i="273" s="1"/>
  <c r="X124" i="273"/>
  <c r="Z5" i="281"/>
  <c r="Z5" i="280"/>
  <c r="U9" i="265"/>
  <c r="U11" i="265" s="1"/>
  <c r="U14" i="265" s="1"/>
  <c r="U19" i="265" s="1"/>
  <c r="U22" i="265" s="1"/>
  <c r="U14" i="280" s="1"/>
  <c r="U61" i="281"/>
  <c r="U50" i="281"/>
  <c r="U45" i="281"/>
  <c r="U47" i="281" s="1"/>
  <c r="U51" i="281" s="1"/>
  <c r="U4" i="280"/>
  <c r="U4" i="265"/>
  <c r="U4" i="273"/>
  <c r="U4" i="281"/>
  <c r="U4" i="275"/>
  <c r="V38" i="273"/>
  <c r="W39" i="273" s="1"/>
  <c r="W41" i="273" s="1"/>
  <c r="W42" i="273" s="1"/>
  <c r="W4" i="280" s="1"/>
  <c r="V118" i="273"/>
  <c r="W120" i="273" s="1"/>
  <c r="W12" i="281" s="1"/>
  <c r="U109" i="273"/>
  <c r="W2" i="281"/>
  <c r="W125" i="273"/>
  <c r="W126" i="273" s="1"/>
  <c r="W2" i="265"/>
  <c r="W90" i="273"/>
  <c r="W91" i="273" s="1"/>
  <c r="W100" i="273" s="1"/>
  <c r="X101" i="273" s="1"/>
  <c r="X59" i="273" s="1"/>
  <c r="U25" i="265"/>
  <c r="P13" i="280"/>
  <c r="P16" i="280" s="1"/>
  <c r="O74" i="265"/>
  <c r="O75" i="265" s="1"/>
  <c r="O81" i="265" s="1"/>
  <c r="R22" i="265"/>
  <c r="V30" i="281"/>
  <c r="V36" i="281" s="1"/>
  <c r="V38" i="281" s="1"/>
  <c r="W37" i="281"/>
  <c r="W22" i="281"/>
  <c r="W23" i="281" s="1"/>
  <c r="W29" i="281" s="1"/>
  <c r="W13" i="281"/>
  <c r="U3" i="280"/>
  <c r="U3" i="281"/>
  <c r="W22" i="280"/>
  <c r="W11" i="280"/>
  <c r="X32" i="273"/>
  <c r="X33" i="273" s="1"/>
  <c r="X2" i="280"/>
  <c r="X75" i="273"/>
  <c r="W52" i="273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X2" i="273"/>
  <c r="X96" i="273"/>
  <c r="X97" i="273" s="1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U50" i="273"/>
  <c r="U3" i="275"/>
  <c r="U3" i="265"/>
  <c r="U3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W4" i="281" l="1"/>
  <c r="W38" i="273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24" i="280"/>
  <c r="O62" i="281"/>
  <c r="O63" i="281" s="1"/>
  <c r="O30" i="265"/>
  <c r="O33" i="265" s="1"/>
  <c r="L50" i="265"/>
  <c r="L30" i="280" s="1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V51" i="281" s="1"/>
  <c r="U112" i="273"/>
  <c r="V109" i="273"/>
  <c r="X39" i="273"/>
  <c r="X41" i="273" s="1"/>
  <c r="X2" i="281"/>
  <c r="X125" i="273"/>
  <c r="X126" i="273" s="1"/>
  <c r="R14" i="280"/>
  <c r="R25" i="265"/>
  <c r="P74" i="265"/>
  <c r="P75" i="265" s="1"/>
  <c r="P81" i="265" s="1"/>
  <c r="Q13" i="280"/>
  <c r="Q16" i="280" s="1"/>
  <c r="V3" i="280"/>
  <c r="V3" i="281"/>
  <c r="X113" i="273"/>
  <c r="X114" i="273" s="1"/>
  <c r="X21" i="281" s="1"/>
  <c r="X37" i="281"/>
  <c r="X22" i="281"/>
  <c r="X13" i="281"/>
  <c r="X22" i="280"/>
  <c r="X11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X57" i="273"/>
  <c r="X60" i="273" s="1"/>
  <c r="X79" i="273"/>
  <c r="Y80" i="273" s="1"/>
  <c r="Y58" i="273" s="1"/>
  <c r="X15" i="275"/>
  <c r="X20" i="275" s="1"/>
  <c r="Y17" i="275" s="1"/>
  <c r="Y4" i="277"/>
  <c r="X23" i="281" l="1"/>
  <c r="X29" i="281" s="1"/>
  <c r="Y39" i="273"/>
  <c r="Y41" i="273" s="1"/>
  <c r="X46" i="281"/>
  <c r="X72" i="281"/>
  <c r="N47" i="265"/>
  <c r="L53" i="265"/>
  <c r="L25" i="280"/>
  <c r="P60" i="281"/>
  <c r="P52" i="281" s="1"/>
  <c r="P53" i="281" s="1"/>
  <c r="O64" i="265"/>
  <c r="O37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14" i="280" s="1"/>
  <c r="W61" i="281"/>
  <c r="W50" i="281"/>
  <c r="W45" i="281"/>
  <c r="W47" i="281" s="1"/>
  <c r="W51" i="281" s="1"/>
  <c r="Z24" i="273"/>
  <c r="Z25" i="273" s="1"/>
  <c r="Z75" i="273" s="1"/>
  <c r="Z124" i="273"/>
  <c r="V112" i="273"/>
  <c r="W109" i="273"/>
  <c r="Y2" i="281"/>
  <c r="Y125" i="273"/>
  <c r="Y126" i="273" s="1"/>
  <c r="Y96" i="273"/>
  <c r="Y97" i="273" s="1"/>
  <c r="Y75" i="273"/>
  <c r="Y76" i="273" s="1"/>
  <c r="Y81" i="281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52" i="273"/>
  <c r="R13" i="280"/>
  <c r="R16" i="280" s="1"/>
  <c r="Q74" i="265"/>
  <c r="Q75" i="265" s="1"/>
  <c r="Q81" i="265" s="1"/>
  <c r="V22" i="265"/>
  <c r="W3" i="280"/>
  <c r="W3" i="281"/>
  <c r="X14" i="281"/>
  <c r="X28" i="281" s="1"/>
  <c r="X30" i="281" s="1"/>
  <c r="X36" i="281" s="1"/>
  <c r="X38" i="281" s="1"/>
  <c r="Z2" i="280"/>
  <c r="Z2" i="265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AA51" i="273"/>
  <c r="Z96" i="273" l="1"/>
  <c r="Z97" i="273" s="1"/>
  <c r="Z108" i="273" s="1"/>
  <c r="Y52" i="273"/>
  <c r="Y42" i="273"/>
  <c r="Y46" i="281"/>
  <c r="Y72" i="281"/>
  <c r="W25" i="265"/>
  <c r="O42" i="265"/>
  <c r="P62" i="281"/>
  <c r="P63" i="281" s="1"/>
  <c r="P30" i="265"/>
  <c r="P33" i="265" s="1"/>
  <c r="P37" i="265" s="1"/>
  <c r="P42" i="265" s="1"/>
  <c r="P47" i="265" s="1"/>
  <c r="P50" i="265" s="1"/>
  <c r="P30" i="280" s="1"/>
  <c r="N50" i="265"/>
  <c r="N30" i="280" s="1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11" i="280"/>
  <c r="Y57" i="273"/>
  <c r="Y60" i="273" s="1"/>
  <c r="Y66" i="273" s="1"/>
  <c r="Y67" i="273" s="1"/>
  <c r="Y15" i="275"/>
  <c r="Y20" i="275" s="1"/>
  <c r="Z17" i="275" s="1"/>
  <c r="Y22" i="280"/>
  <c r="Y79" i="273"/>
  <c r="Z80" i="273" s="1"/>
  <c r="Z58" i="273" s="1"/>
  <c r="X109" i="273"/>
  <c r="W112" i="273"/>
  <c r="AA24" i="273"/>
  <c r="AA25" i="273" s="1"/>
  <c r="AA90" i="273" s="1"/>
  <c r="AA91" i="273" s="1"/>
  <c r="AA100" i="273" s="1"/>
  <c r="AB101" i="273" s="1"/>
  <c r="AB59" i="273" s="1"/>
  <c r="AA124" i="273"/>
  <c r="AC5" i="281"/>
  <c r="AC5" i="280"/>
  <c r="Z76" i="273"/>
  <c r="Z81" i="281" s="1"/>
  <c r="X9" i="265"/>
  <c r="X11" i="265" s="1"/>
  <c r="X14" i="265" s="1"/>
  <c r="X19" i="265" s="1"/>
  <c r="X22" i="265" s="1"/>
  <c r="X14" i="280" s="1"/>
  <c r="X61" i="281"/>
  <c r="X50" i="281"/>
  <c r="X45" i="281"/>
  <c r="X47" i="281" s="1"/>
  <c r="X51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2" i="273"/>
  <c r="Z32" i="273"/>
  <c r="Z33" i="273" s="1"/>
  <c r="X25" i="265"/>
  <c r="V25" i="265"/>
  <c r="V14" i="280"/>
  <c r="S13" i="280"/>
  <c r="S16" i="280" s="1"/>
  <c r="R74" i="265"/>
  <c r="R75" i="265" s="1"/>
  <c r="R81" i="265" s="1"/>
  <c r="AA96" i="273"/>
  <c r="AA97" i="273" s="1"/>
  <c r="AA108" i="273" s="1"/>
  <c r="X3" i="280"/>
  <c r="X3" i="281"/>
  <c r="Z119" i="273"/>
  <c r="Z37" i="281"/>
  <c r="Z22" i="281"/>
  <c r="Z13" i="281"/>
  <c r="AA75" i="273"/>
  <c r="AA76" i="273" s="1"/>
  <c r="Z22" i="280"/>
  <c r="AA2" i="275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119" i="273"/>
  <c r="AA4" i="277"/>
  <c r="X50" i="273"/>
  <c r="X3" i="273"/>
  <c r="X3" i="275"/>
  <c r="X3" i="265"/>
  <c r="Z113" i="273" l="1"/>
  <c r="AA58" i="281"/>
  <c r="AA81" i="281"/>
  <c r="AA113" i="273"/>
  <c r="AA2" i="273"/>
  <c r="Z11" i="280"/>
  <c r="AA2" i="280"/>
  <c r="Z46" i="281"/>
  <c r="Z72" i="281"/>
  <c r="Y4" i="281"/>
  <c r="Y4" i="275"/>
  <c r="Y4" i="280"/>
  <c r="Y4" i="273"/>
  <c r="Y4" i="265"/>
  <c r="N53" i="265"/>
  <c r="N25" i="280"/>
  <c r="N27" i="280" s="1"/>
  <c r="P53" i="265"/>
  <c r="P25" i="280"/>
  <c r="Y14" i="281"/>
  <c r="Y28" i="281" s="1"/>
  <c r="Y23" i="281"/>
  <c r="Y29" i="281" s="1"/>
  <c r="Q60" i="281"/>
  <c r="Q52" i="281" s="1"/>
  <c r="Q53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AB2" i="277"/>
  <c r="AB24" i="273"/>
  <c r="AB25" i="273" s="1"/>
  <c r="AB75" i="273" s="1"/>
  <c r="AB76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15" i="275"/>
  <c r="Z20" i="275" s="1"/>
  <c r="AA17" i="275" s="1"/>
  <c r="Z79" i="273"/>
  <c r="AA80" i="273" s="1"/>
  <c r="AA58" i="273" s="1"/>
  <c r="AA2" i="281"/>
  <c r="AA125" i="273"/>
  <c r="AA126" i="273" s="1"/>
  <c r="AA2" i="265"/>
  <c r="X112" i="273"/>
  <c r="Y109" i="273"/>
  <c r="Z114" i="273"/>
  <c r="Z21" i="281" s="1"/>
  <c r="Z23" i="281" s="1"/>
  <c r="Z29" i="281" s="1"/>
  <c r="T13" i="280"/>
  <c r="T16" i="280" s="1"/>
  <c r="S74" i="265"/>
  <c r="S75" i="265" s="1"/>
  <c r="S81" i="265" s="1"/>
  <c r="Y3" i="280"/>
  <c r="Y3" i="281"/>
  <c r="AA37" i="281"/>
  <c r="AA22" i="281"/>
  <c r="AA13" i="281"/>
  <c r="AA22" i="280"/>
  <c r="AA11" i="280"/>
  <c r="AA118" i="273"/>
  <c r="AB32" i="273"/>
  <c r="AB33" i="273" s="1"/>
  <c r="AB38" i="273" s="1"/>
  <c r="AB96" i="273"/>
  <c r="AB97" i="273" s="1"/>
  <c r="AB108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57" i="273"/>
  <c r="AA60" i="273" s="1"/>
  <c r="AA79" i="273"/>
  <c r="AB80" i="273" s="1"/>
  <c r="AB58" i="273" s="1"/>
  <c r="AA15" i="275"/>
  <c r="AB4" i="277"/>
  <c r="AB113" i="273" l="1"/>
  <c r="AB58" i="281"/>
  <c r="AB81" i="281"/>
  <c r="AB118" i="273"/>
  <c r="AB39" i="273"/>
  <c r="AB41" i="273" s="1"/>
  <c r="AB42" i="273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O30" i="280" s="1"/>
  <c r="Q62" i="281"/>
  <c r="Q63" i="281" s="1"/>
  <c r="Q30" i="265"/>
  <c r="Q33" i="265" s="1"/>
  <c r="Q37" i="265" s="1"/>
  <c r="Q42" i="265" s="1"/>
  <c r="Q47" i="265" s="1"/>
  <c r="Q50" i="265" s="1"/>
  <c r="Q30" i="280" s="1"/>
  <c r="Y30" i="281"/>
  <c r="Y36" i="281" s="1"/>
  <c r="Y38" i="281" s="1"/>
  <c r="O24" i="280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124" i="273"/>
  <c r="AA42" i="273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Z4" i="281"/>
  <c r="Z4" i="265"/>
  <c r="Z4" i="280"/>
  <c r="Z4" i="275"/>
  <c r="Z4" i="273"/>
  <c r="AA114" i="273"/>
  <c r="AA21" i="281" s="1"/>
  <c r="AA23" i="281" s="1"/>
  <c r="AA29" i="281" s="1"/>
  <c r="U13" i="280"/>
  <c r="U16" i="280" s="1"/>
  <c r="T74" i="265"/>
  <c r="T75" i="265" s="1"/>
  <c r="T81" i="265" s="1"/>
  <c r="Z3" i="280"/>
  <c r="Z3" i="281"/>
  <c r="AC2" i="265"/>
  <c r="AB4" i="280"/>
  <c r="AB4" i="281"/>
  <c r="AB119" i="273"/>
  <c r="AB37" i="281"/>
  <c r="AB22" i="281"/>
  <c r="AB13" i="281"/>
  <c r="AB22" i="280"/>
  <c r="AB11" i="280"/>
  <c r="AC2" i="280"/>
  <c r="AC75" i="273"/>
  <c r="AC76" i="273" s="1"/>
  <c r="AC81" i="281" s="1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D19" i="273"/>
  <c r="AD20" i="273" s="1"/>
  <c r="AD56" i="273"/>
  <c r="AD47" i="273"/>
  <c r="AD48" i="273" s="1"/>
  <c r="AD51" i="273" s="1"/>
  <c r="AD37" i="273"/>
  <c r="AC57" i="273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Z3" i="265"/>
  <c r="Z3" i="275"/>
  <c r="Z50" i="273"/>
  <c r="Z3" i="273"/>
  <c r="AB46" i="281" l="1"/>
  <c r="AB72" i="281"/>
  <c r="Q53" i="265"/>
  <c r="Q25" i="280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Y51" i="281" s="1"/>
  <c r="R60" i="281"/>
  <c r="R52" i="281" s="1"/>
  <c r="R53" i="281" s="1"/>
  <c r="Q64" i="265"/>
  <c r="O53" i="265"/>
  <c r="O25" i="280"/>
  <c r="O27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124" i="273"/>
  <c r="AC15" i="275"/>
  <c r="AC58" i="281"/>
  <c r="AC2" i="281"/>
  <c r="AC125" i="273"/>
  <c r="AC126" i="273" s="1"/>
  <c r="AC90" i="273"/>
  <c r="AC91" i="273" s="1"/>
  <c r="AC100" i="273" s="1"/>
  <c r="AD101" i="273" s="1"/>
  <c r="AD59" i="273" s="1"/>
  <c r="AA109" i="273"/>
  <c r="Z112" i="273"/>
  <c r="AB20" i="275"/>
  <c r="AC17" i="275" s="1"/>
  <c r="AC2" i="275"/>
  <c r="AF5" i="281"/>
  <c r="AF5" i="280"/>
  <c r="AC96" i="273"/>
  <c r="AC97" i="273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Z51" i="281" s="1"/>
  <c r="AA4" i="281"/>
  <c r="AA4" i="273"/>
  <c r="AA4" i="280"/>
  <c r="AA4" i="265"/>
  <c r="AA4" i="275"/>
  <c r="AB114" i="273"/>
  <c r="AB21" i="281" s="1"/>
  <c r="AB23" i="281" s="1"/>
  <c r="AB29" i="281" s="1"/>
  <c r="V13" i="280"/>
  <c r="V16" i="280" s="1"/>
  <c r="U74" i="265"/>
  <c r="U75" i="265" s="1"/>
  <c r="U81" i="265" s="1"/>
  <c r="AA3" i="280"/>
  <c r="AA3" i="281"/>
  <c r="AC4" i="280"/>
  <c r="AC4" i="281"/>
  <c r="AC22" i="281"/>
  <c r="AD32" i="273"/>
  <c r="AD33" i="273" s="1"/>
  <c r="AD38" i="273" s="1"/>
  <c r="AC11" i="280"/>
  <c r="AC22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C60" i="273"/>
  <c r="AB66" i="273"/>
  <c r="AB67" i="273" s="1"/>
  <c r="AD119" i="273"/>
  <c r="AC20" i="275"/>
  <c r="AD17" i="275" s="1"/>
  <c r="AD118" i="273"/>
  <c r="AA3" i="273"/>
  <c r="AA50" i="273"/>
  <c r="AA3" i="265"/>
  <c r="AA3" i="275"/>
  <c r="AC4" i="275"/>
  <c r="AC4" i="265"/>
  <c r="AC4" i="273"/>
  <c r="AC46" i="281" l="1"/>
  <c r="AC72" i="281"/>
  <c r="P24" i="280"/>
  <c r="P27" i="280" s="1"/>
  <c r="O63" i="265"/>
  <c r="O65" i="265" s="1"/>
  <c r="O67" i="265" s="1"/>
  <c r="O80" i="265" s="1"/>
  <c r="R62" i="281"/>
  <c r="R63" i="281" s="1"/>
  <c r="R30" i="265"/>
  <c r="R33" i="265" s="1"/>
  <c r="R37" i="265" s="1"/>
  <c r="R42" i="265" s="1"/>
  <c r="R47" i="265" s="1"/>
  <c r="R50" i="265" s="1"/>
  <c r="R30" i="280" s="1"/>
  <c r="Y14" i="280"/>
  <c r="Y25" i="265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14" i="280"/>
  <c r="Z25" i="265"/>
  <c r="AC113" i="273"/>
  <c r="AC114" i="273" s="1"/>
  <c r="AC21" i="281" s="1"/>
  <c r="AC23" i="281" s="1"/>
  <c r="AC29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E2" i="277"/>
  <c r="AD2" i="265"/>
  <c r="AD2" i="273"/>
  <c r="AE24" i="273"/>
  <c r="AE25" i="273" s="1"/>
  <c r="AE75" i="273" s="1"/>
  <c r="AE76" i="273" s="1"/>
  <c r="AE57" i="273" s="1"/>
  <c r="AE124" i="273"/>
  <c r="AD90" i="273"/>
  <c r="AD91" i="273" s="1"/>
  <c r="AD100" i="273" s="1"/>
  <c r="AE101" i="273" s="1"/>
  <c r="AE59" i="273" s="1"/>
  <c r="AD75" i="273"/>
  <c r="AD76" i="273" s="1"/>
  <c r="AD81" i="281" s="1"/>
  <c r="AD2" i="280"/>
  <c r="AC13" i="281"/>
  <c r="AC37" i="281"/>
  <c r="AC118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61" i="281"/>
  <c r="AA50" i="281"/>
  <c r="AA45" i="281"/>
  <c r="AA47" i="281" s="1"/>
  <c r="AA51" i="281" s="1"/>
  <c r="V74" i="265"/>
  <c r="V75" i="265" s="1"/>
  <c r="V81" i="265" s="1"/>
  <c r="W13" i="280"/>
  <c r="W16" i="280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22" i="280"/>
  <c r="AD11" i="280"/>
  <c r="AE90" i="273"/>
  <c r="AE91" i="273" s="1"/>
  <c r="AE100" i="273" s="1"/>
  <c r="AF101" i="273" s="1"/>
  <c r="AF59" i="273" s="1"/>
  <c r="AD15" i="275"/>
  <c r="AD20" i="275" s="1"/>
  <c r="AE17" i="275" s="1"/>
  <c r="AD57" i="273"/>
  <c r="AD60" i="273" s="1"/>
  <c r="AD108" i="273"/>
  <c r="AD52" i="273"/>
  <c r="AF19" i="273"/>
  <c r="AF20" i="273" s="1"/>
  <c r="AF56" i="273"/>
  <c r="AF47" i="273"/>
  <c r="AF48" i="273" s="1"/>
  <c r="AF2" i="277" s="1"/>
  <c r="AF37" i="273"/>
  <c r="AE2" i="265"/>
  <c r="AE32" i="273"/>
  <c r="AE33" i="273" s="1"/>
  <c r="AE118" i="273" s="1"/>
  <c r="AG5" i="275"/>
  <c r="AG5" i="265"/>
  <c r="AH10" i="273"/>
  <c r="AG5" i="273"/>
  <c r="AG13" i="273"/>
  <c r="AG14" i="273" s="1"/>
  <c r="AG5" i="277"/>
  <c r="AD4" i="275"/>
  <c r="AD4" i="273"/>
  <c r="AE4" i="277"/>
  <c r="AB3" i="265"/>
  <c r="AB3" i="275"/>
  <c r="AB3" i="273"/>
  <c r="AB50" i="273"/>
  <c r="AC66" i="273"/>
  <c r="AC67" i="273" s="1"/>
  <c r="AE58" i="281" l="1"/>
  <c r="AE81" i="281"/>
  <c r="AE15" i="275"/>
  <c r="AD4" i="281"/>
  <c r="AD46" i="281"/>
  <c r="AD72" i="281"/>
  <c r="R53" i="265"/>
  <c r="R25" i="280"/>
  <c r="O83" i="265"/>
  <c r="O82" i="265"/>
  <c r="S60" i="281"/>
  <c r="S52" i="281" s="1"/>
  <c r="S53" i="281" s="1"/>
  <c r="R64" i="265"/>
  <c r="P63" i="265"/>
  <c r="P65" i="265" s="1"/>
  <c r="P67" i="265" s="1"/>
  <c r="P80" i="265" s="1"/>
  <c r="Q24" i="280"/>
  <c r="Q27" i="280" s="1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124" i="273"/>
  <c r="AA25" i="265"/>
  <c r="AA14" i="280"/>
  <c r="AE2" i="281"/>
  <c r="AE125" i="273"/>
  <c r="AE126" i="273" s="1"/>
  <c r="AB9" i="265"/>
  <c r="AB11" i="265" s="1"/>
  <c r="AB14" i="265" s="1"/>
  <c r="AB19" i="265" s="1"/>
  <c r="AB22" i="265" s="1"/>
  <c r="AB61" i="281"/>
  <c r="AB50" i="281"/>
  <c r="AB45" i="281"/>
  <c r="AB47" i="281" s="1"/>
  <c r="AB51" i="281" s="1"/>
  <c r="AD4" i="265"/>
  <c r="AE79" i="273"/>
  <c r="AF80" i="273" s="1"/>
  <c r="AF58" i="273" s="1"/>
  <c r="AE39" i="273"/>
  <c r="AE41" i="273" s="1"/>
  <c r="AE52" i="273" s="1"/>
  <c r="AE96" i="273"/>
  <c r="AE97" i="273" s="1"/>
  <c r="AE119" i="273" s="1"/>
  <c r="AE2" i="273"/>
  <c r="AE2" i="280"/>
  <c r="AE2" i="275"/>
  <c r="AC14" i="281"/>
  <c r="AC28" i="281" s="1"/>
  <c r="AC30" i="281" s="1"/>
  <c r="AC36" i="281" s="1"/>
  <c r="AC38" i="281" s="1"/>
  <c r="AD79" i="273"/>
  <c r="AE80" i="273" s="1"/>
  <c r="AE58" i="273" s="1"/>
  <c r="AE60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X13" i="280"/>
  <c r="X16" i="280" s="1"/>
  <c r="W74" i="265"/>
  <c r="W75" i="265" s="1"/>
  <c r="W81" i="265" s="1"/>
  <c r="AE113" i="273"/>
  <c r="AE114" i="273" s="1"/>
  <c r="AE21" i="281" s="1"/>
  <c r="AE37" i="281"/>
  <c r="AE22" i="281"/>
  <c r="AE13" i="281"/>
  <c r="AC3" i="280"/>
  <c r="AC3" i="281"/>
  <c r="AE42" i="273"/>
  <c r="AE4" i="273" s="1"/>
  <c r="AE108" i="273"/>
  <c r="AF32" i="273"/>
  <c r="AF33" i="273" s="1"/>
  <c r="AF118" i="273" s="1"/>
  <c r="AF2" i="280"/>
  <c r="AE22" i="280"/>
  <c r="AE11" i="280"/>
  <c r="AF75" i="273"/>
  <c r="AF76" i="273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2" i="265"/>
  <c r="AD66" i="273"/>
  <c r="AD67" i="273" s="1"/>
  <c r="AC50" i="273"/>
  <c r="AC3" i="265"/>
  <c r="AC3" i="275"/>
  <c r="AC3" i="273"/>
  <c r="AF4" i="277"/>
  <c r="AE4" i="275"/>
  <c r="AE20" i="275"/>
  <c r="AF17" i="275" s="1"/>
  <c r="AG51" i="273" l="1"/>
  <c r="AF58" i="281"/>
  <c r="AF81" i="281"/>
  <c r="AE46" i="281"/>
  <c r="AE72" i="281"/>
  <c r="Q63" i="265"/>
  <c r="Q65" i="265" s="1"/>
  <c r="Q67" i="265" s="1"/>
  <c r="Q80" i="265" s="1"/>
  <c r="R24" i="280"/>
  <c r="R27" i="280" s="1"/>
  <c r="P83" i="265"/>
  <c r="P82" i="265"/>
  <c r="S62" i="281"/>
  <c r="S63" i="281" s="1"/>
  <c r="S30" i="265"/>
  <c r="S33" i="265" s="1"/>
  <c r="S37" i="265" s="1"/>
  <c r="S42" i="265" s="1"/>
  <c r="S47" i="265" s="1"/>
  <c r="S50" i="265" s="1"/>
  <c r="S30" i="280" s="1"/>
  <c r="AA76" i="281"/>
  <c r="AA78" i="281" s="1"/>
  <c r="AA85" i="281" s="1"/>
  <c r="AA86" i="281" s="1"/>
  <c r="AB83" i="281" s="1"/>
  <c r="AD84" i="281"/>
  <c r="AD71" i="281"/>
  <c r="AD73" i="281" s="1"/>
  <c r="AD77" i="281" s="1"/>
  <c r="AC84" i="281"/>
  <c r="AC71" i="281"/>
  <c r="AC73" i="281" s="1"/>
  <c r="AC77" i="281" s="1"/>
  <c r="AD9" i="265"/>
  <c r="AD11" i="265" s="1"/>
  <c r="AD14" i="265" s="1"/>
  <c r="AD19" i="265" s="1"/>
  <c r="AD22" i="265" s="1"/>
  <c r="AD25" i="265" s="1"/>
  <c r="AD61" i="281"/>
  <c r="AD50" i="281"/>
  <c r="AD45" i="281"/>
  <c r="AD47" i="281" s="1"/>
  <c r="AD51" i="281" s="1"/>
  <c r="AI5" i="281"/>
  <c r="AI5" i="280"/>
  <c r="AB25" i="265"/>
  <c r="AB14" i="280"/>
  <c r="AG24" i="273"/>
  <c r="AG25" i="273" s="1"/>
  <c r="AG124" i="273"/>
  <c r="AC9" i="265"/>
  <c r="AC11" i="265" s="1"/>
  <c r="AC14" i="265" s="1"/>
  <c r="AC19" i="265" s="1"/>
  <c r="AC22" i="265" s="1"/>
  <c r="AC61" i="281"/>
  <c r="AC50" i="281"/>
  <c r="AC45" i="281"/>
  <c r="AC47" i="281" s="1"/>
  <c r="AC51" i="281" s="1"/>
  <c r="AD109" i="273"/>
  <c r="AE120" i="273"/>
  <c r="AE12" i="281" s="1"/>
  <c r="AE14" i="281" s="1"/>
  <c r="AE28" i="281" s="1"/>
  <c r="AF2" i="281"/>
  <c r="AF125" i="273"/>
  <c r="AF126" i="273" s="1"/>
  <c r="AF2" i="273"/>
  <c r="X74" i="265"/>
  <c r="X75" i="265" s="1"/>
  <c r="X81" i="265" s="1"/>
  <c r="Y13" i="280"/>
  <c r="Y16" i="280" s="1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22" i="280"/>
  <c r="AF11" i="280"/>
  <c r="AG2" i="280"/>
  <c r="AF42" i="273"/>
  <c r="AF52" i="273"/>
  <c r="AG75" i="273"/>
  <c r="AG76" i="273" s="1"/>
  <c r="AF119" i="273"/>
  <c r="AF120" i="273" s="1"/>
  <c r="AF12" i="281" s="1"/>
  <c r="AG96" i="273"/>
  <c r="AG97" i="273" s="1"/>
  <c r="AG119" i="273" s="1"/>
  <c r="AG120" i="273" s="1"/>
  <c r="AG12" i="281" s="1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G2" i="265"/>
  <c r="AI5" i="275"/>
  <c r="AI5" i="265"/>
  <c r="AI13" i="273"/>
  <c r="AI14" i="273" s="1"/>
  <c r="AI5" i="277"/>
  <c r="AJ10" i="273"/>
  <c r="AI5" i="273"/>
  <c r="AF4" i="265"/>
  <c r="AF4" i="275"/>
  <c r="AG4" i="277"/>
  <c r="AD3" i="275"/>
  <c r="AD3" i="273"/>
  <c r="AD3" i="265"/>
  <c r="AD50" i="273"/>
  <c r="AF57" i="273"/>
  <c r="AF60" i="273" s="1"/>
  <c r="AF79" i="273"/>
  <c r="AG80" i="273" s="1"/>
  <c r="AG58" i="273" s="1"/>
  <c r="AF15" i="275"/>
  <c r="AF20" i="275" s="1"/>
  <c r="AG17" i="275" s="1"/>
  <c r="AE66" i="273"/>
  <c r="AE67" i="273" s="1"/>
  <c r="AG58" i="281" l="1"/>
  <c r="AG81" i="281"/>
  <c r="AF46" i="281"/>
  <c r="AF72" i="281"/>
  <c r="S53" i="265"/>
  <c r="S25" i="280"/>
  <c r="S24" i="280"/>
  <c r="R63" i="265"/>
  <c r="R65" i="265" s="1"/>
  <c r="R67" i="265" s="1"/>
  <c r="R80" i="265" s="1"/>
  <c r="T60" i="281"/>
  <c r="S64" i="265"/>
  <c r="Q82" i="265"/>
  <c r="Q83" i="265"/>
  <c r="AB76" i="281"/>
  <c r="AB78" i="281" s="1"/>
  <c r="AB85" i="281" s="1"/>
  <c r="AB86" i="281" s="1"/>
  <c r="AC83" i="281" s="1"/>
  <c r="AE30" i="281"/>
  <c r="AE36" i="281" s="1"/>
  <c r="AE38" i="281" s="1"/>
  <c r="AE61" i="281" s="1"/>
  <c r="AG42" i="273"/>
  <c r="AG52" i="273"/>
  <c r="AE109" i="273"/>
  <c r="AD112" i="273"/>
  <c r="AC14" i="280"/>
  <c r="AC25" i="265"/>
  <c r="AG2" i="281"/>
  <c r="AG125" i="273"/>
  <c r="AG126" i="273" s="1"/>
  <c r="AG2" i="273"/>
  <c r="AJ5" i="281"/>
  <c r="AJ5" i="280"/>
  <c r="AG2" i="275"/>
  <c r="AH24" i="273"/>
  <c r="AH25" i="273" s="1"/>
  <c r="AH124" i="273"/>
  <c r="AG90" i="273"/>
  <c r="AG91" i="273" s="1"/>
  <c r="AG100" i="273" s="1"/>
  <c r="AH101" i="273" s="1"/>
  <c r="AH59" i="273" s="1"/>
  <c r="AG32" i="273"/>
  <c r="AG33" i="273" s="1"/>
  <c r="AD14" i="280"/>
  <c r="Z13" i="280"/>
  <c r="Z16" i="280" s="1"/>
  <c r="Y74" i="265"/>
  <c r="Y75" i="265" s="1"/>
  <c r="Y81" i="265" s="1"/>
  <c r="AG4" i="280"/>
  <c r="AG4" i="281"/>
  <c r="AF4" i="280"/>
  <c r="AF4" i="281"/>
  <c r="AE3" i="280"/>
  <c r="AE3" i="281"/>
  <c r="AF4" i="273"/>
  <c r="AH2" i="273"/>
  <c r="AG113" i="273"/>
  <c r="AG37" i="281"/>
  <c r="AG22" i="281"/>
  <c r="AG13" i="281"/>
  <c r="AG14" i="281" s="1"/>
  <c r="AG28" i="281" s="1"/>
  <c r="AF23" i="281"/>
  <c r="AF29" i="281" s="1"/>
  <c r="AF14" i="281"/>
  <c r="AF28" i="281" s="1"/>
  <c r="AG57" i="273"/>
  <c r="AG11" i="280"/>
  <c r="AG22" i="280"/>
  <c r="AH2" i="277"/>
  <c r="AH4" i="277" s="1"/>
  <c r="AG108" i="273"/>
  <c r="AG79" i="273"/>
  <c r="AH80" i="273" s="1"/>
  <c r="AH58" i="273" s="1"/>
  <c r="AH2" i="280"/>
  <c r="AG114" i="273"/>
  <c r="AG21" i="281" s="1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AF66" i="273"/>
  <c r="AF67" i="273" s="1"/>
  <c r="AG46" i="281" l="1"/>
  <c r="AG72" i="281"/>
  <c r="AE45" i="281"/>
  <c r="AE47" i="281" s="1"/>
  <c r="AE51" i="281" s="1"/>
  <c r="S27" i="280"/>
  <c r="S63" i="265" s="1"/>
  <c r="S65" i="265" s="1"/>
  <c r="S67" i="265" s="1"/>
  <c r="S80" i="265" s="1"/>
  <c r="R82" i="265"/>
  <c r="R83" i="265"/>
  <c r="T52" i="281"/>
  <c r="T53" i="281" s="1"/>
  <c r="T24" i="280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F109" i="273"/>
  <c r="AE112" i="273"/>
  <c r="AI24" i="273"/>
  <c r="AI25" i="273" s="1"/>
  <c r="AI124" i="273"/>
  <c r="AH96" i="273"/>
  <c r="AH97" i="273" s="1"/>
  <c r="AH108" i="273" s="1"/>
  <c r="AH32" i="273"/>
  <c r="AH33" i="273" s="1"/>
  <c r="AH2" i="265"/>
  <c r="AH75" i="273"/>
  <c r="AH76" i="273" s="1"/>
  <c r="AH15" i="275" s="1"/>
  <c r="AH20" i="275" s="1"/>
  <c r="AI17" i="275" s="1"/>
  <c r="AG118" i="273"/>
  <c r="AG38" i="273"/>
  <c r="AH39" i="273" s="1"/>
  <c r="AH41" i="273" s="1"/>
  <c r="Z74" i="265"/>
  <c r="Z75" i="265" s="1"/>
  <c r="Z81" i="265" s="1"/>
  <c r="AA13" i="280"/>
  <c r="AA16" i="280" s="1"/>
  <c r="AF3" i="280"/>
  <c r="AF3" i="281"/>
  <c r="AH119" i="273"/>
  <c r="AH120" i="273" s="1"/>
  <c r="AH12" i="281" s="1"/>
  <c r="AH37" i="281"/>
  <c r="AH22" i="281"/>
  <c r="AH1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H11" i="280"/>
  <c r="AI2" i="265"/>
  <c r="AI75" i="273"/>
  <c r="AI2" i="277"/>
  <c r="AI4" i="277" s="1"/>
  <c r="AH113" i="273"/>
  <c r="AH114" i="273" s="1"/>
  <c r="AH21" i="281" s="1"/>
  <c r="AJ19" i="273"/>
  <c r="AJ20" i="273" s="1"/>
  <c r="AJ56" i="273"/>
  <c r="AJ47" i="273"/>
  <c r="AJ48" i="273" s="1"/>
  <c r="AJ37" i="273"/>
  <c r="AI2" i="275"/>
  <c r="AI96" i="273"/>
  <c r="AI97" i="273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J51" i="273"/>
  <c r="AH58" i="281" l="1"/>
  <c r="AH81" i="281"/>
  <c r="AH46" i="281"/>
  <c r="AH72" i="281"/>
  <c r="S83" i="265"/>
  <c r="S82" i="265"/>
  <c r="T62" i="281"/>
  <c r="T63" i="281" s="1"/>
  <c r="T30" i="265"/>
  <c r="T33" i="265" s="1"/>
  <c r="T37" i="265" s="1"/>
  <c r="T42" i="265" s="1"/>
  <c r="T47" i="265" s="1"/>
  <c r="T50" i="265" s="1"/>
  <c r="T30" i="280" s="1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5" i="265"/>
  <c r="AE14" i="280"/>
  <c r="AL5" i="281"/>
  <c r="AL5" i="280"/>
  <c r="AG9" i="265"/>
  <c r="AG11" i="265" s="1"/>
  <c r="AG14" i="265" s="1"/>
  <c r="AG19" i="265" s="1"/>
  <c r="AG22" i="265" s="1"/>
  <c r="AG14" i="280" s="1"/>
  <c r="AG61" i="281"/>
  <c r="AG50" i="281"/>
  <c r="AG45" i="281"/>
  <c r="AG47" i="281" s="1"/>
  <c r="AG51" i="281" s="1"/>
  <c r="AH52" i="273"/>
  <c r="AH42" i="273"/>
  <c r="AH38" i="273"/>
  <c r="AI39" i="273" s="1"/>
  <c r="AI41" i="273" s="1"/>
  <c r="AH118" i="273"/>
  <c r="AJ24" i="273"/>
  <c r="AJ25" i="273" s="1"/>
  <c r="AJ124" i="273"/>
  <c r="AI76" i="273"/>
  <c r="AI81" i="281" s="1"/>
  <c r="AH79" i="273"/>
  <c r="AI80" i="273" s="1"/>
  <c r="AI58" i="273" s="1"/>
  <c r="AH22" i="280"/>
  <c r="AF9" i="265"/>
  <c r="AF11" i="265" s="1"/>
  <c r="AF14" i="265" s="1"/>
  <c r="AF19" i="265" s="1"/>
  <c r="AF22" i="265" s="1"/>
  <c r="AF14" i="280" s="1"/>
  <c r="AF61" i="281"/>
  <c r="AF50" i="281"/>
  <c r="AF45" i="281"/>
  <c r="AF47" i="281" s="1"/>
  <c r="AF51" i="281" s="1"/>
  <c r="AH57" i="273"/>
  <c r="AH60" i="273" s="1"/>
  <c r="AI2" i="281"/>
  <c r="AI125" i="273"/>
  <c r="AI126" i="273" s="1"/>
  <c r="AI32" i="273"/>
  <c r="AI33" i="273" s="1"/>
  <c r="AG109" i="273"/>
  <c r="AF112" i="273"/>
  <c r="AA74" i="265"/>
  <c r="AA75" i="265" s="1"/>
  <c r="AA81" i="265" s="1"/>
  <c r="AB13" i="280"/>
  <c r="AB16" i="280" s="1"/>
  <c r="AG3" i="280"/>
  <c r="AG3" i="281"/>
  <c r="AH14" i="281"/>
  <c r="AH28" i="281" s="1"/>
  <c r="AI119" i="273"/>
  <c r="AI37" i="281"/>
  <c r="AI22" i="281"/>
  <c r="AI13" i="281"/>
  <c r="AH23" i="281"/>
  <c r="AH29" i="281" s="1"/>
  <c r="AI113" i="273"/>
  <c r="AI114" i="273" s="1"/>
  <c r="AI21" i="281" s="1"/>
  <c r="AJ75" i="273"/>
  <c r="AJ76" i="273" s="1"/>
  <c r="AI22" i="280"/>
  <c r="AI108" i="273"/>
  <c r="AJ2" i="275"/>
  <c r="AJ2" i="277"/>
  <c r="AJ4" i="277" s="1"/>
  <c r="AK37" i="273"/>
  <c r="AK47" i="273"/>
  <c r="AK48" i="273" s="1"/>
  <c r="AK51" i="273" s="1"/>
  <c r="AK56" i="273"/>
  <c r="AK19" i="273"/>
  <c r="AK20" i="273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K2" i="277"/>
  <c r="AH66" i="273"/>
  <c r="AH67" i="273" s="1"/>
  <c r="AG50" i="273"/>
  <c r="AG3" i="273"/>
  <c r="AG3" i="265"/>
  <c r="AG3" i="275"/>
  <c r="AJ58" i="281" l="1"/>
  <c r="AJ81" i="281"/>
  <c r="AI120" i="273"/>
  <c r="AI12" i="281" s="1"/>
  <c r="AI46" i="281"/>
  <c r="AI72" i="281"/>
  <c r="AG25" i="265"/>
  <c r="AF25" i="265"/>
  <c r="T53" i="265"/>
  <c r="T25" i="280"/>
  <c r="T27" i="280" s="1"/>
  <c r="U60" i="281"/>
  <c r="U52" i="281" s="1"/>
  <c r="U53" i="281" s="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2" i="265"/>
  <c r="AJ2" i="273"/>
  <c r="AI52" i="273"/>
  <c r="AI42" i="273"/>
  <c r="AH4" i="280"/>
  <c r="AH4" i="275"/>
  <c r="AH4" i="281"/>
  <c r="AH4" i="265"/>
  <c r="AH4" i="273"/>
  <c r="AJ79" i="273"/>
  <c r="AK80" i="273" s="1"/>
  <c r="AK58" i="273" s="1"/>
  <c r="AJ96" i="273"/>
  <c r="AJ97" i="273" s="1"/>
  <c r="AJ119" i="273" s="1"/>
  <c r="AJ120" i="273" s="1"/>
  <c r="AJ12" i="281" s="1"/>
  <c r="AJ32" i="273"/>
  <c r="AJ33" i="273" s="1"/>
  <c r="AI11" i="280"/>
  <c r="AJ2" i="280"/>
  <c r="AI14" i="281"/>
  <c r="AI28" i="281" s="1"/>
  <c r="AH109" i="273"/>
  <c r="AG112" i="273"/>
  <c r="AC13" i="280"/>
  <c r="AC16" i="280" s="1"/>
  <c r="AB74" i="265"/>
  <c r="AB75" i="265" s="1"/>
  <c r="AB81" i="265" s="1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22" i="280"/>
  <c r="AJ11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96" i="273"/>
  <c r="AK97" i="273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H3" i="273"/>
  <c r="AH50" i="273"/>
  <c r="AH3" i="275"/>
  <c r="AH3" i="265"/>
  <c r="AK4" i="277"/>
  <c r="AL51" i="273" l="1"/>
  <c r="AJ46" i="281"/>
  <c r="AJ72" i="281"/>
  <c r="AK58" i="281"/>
  <c r="AK81" i="281"/>
  <c r="AJ60" i="273"/>
  <c r="AJ14" i="281"/>
  <c r="AJ28" i="281" s="1"/>
  <c r="AI30" i="281"/>
  <c r="AI36" i="281" s="1"/>
  <c r="AI38" i="281" s="1"/>
  <c r="AI84" i="281" s="1"/>
  <c r="U62" i="281"/>
  <c r="U63" i="281" s="1"/>
  <c r="U30" i="265"/>
  <c r="U33" i="265" s="1"/>
  <c r="U37" i="265" s="1"/>
  <c r="U42" i="265" s="1"/>
  <c r="U47" i="265" s="1"/>
  <c r="U50" i="265" s="1"/>
  <c r="U30" i="280" s="1"/>
  <c r="T63" i="265"/>
  <c r="T65" i="265" s="1"/>
  <c r="T67" i="265" s="1"/>
  <c r="T80" i="265" s="1"/>
  <c r="U24" i="280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124" i="273"/>
  <c r="AH9" i="265"/>
  <c r="AH11" i="265" s="1"/>
  <c r="AH14" i="265" s="1"/>
  <c r="AH19" i="265" s="1"/>
  <c r="AH22" i="265" s="1"/>
  <c r="AH25" i="265" s="1"/>
  <c r="AH61" i="281"/>
  <c r="AH50" i="281"/>
  <c r="AH45" i="281"/>
  <c r="AH47" i="281" s="1"/>
  <c r="AH51" i="281" s="1"/>
  <c r="AI109" i="273"/>
  <c r="AH112" i="273"/>
  <c r="AK79" i="273"/>
  <c r="AL80" i="273" s="1"/>
  <c r="AL58" i="273" s="1"/>
  <c r="AN5" i="281"/>
  <c r="AN5" i="280"/>
  <c r="AI61" i="281"/>
  <c r="AI45" i="281"/>
  <c r="AI47" i="281" s="1"/>
  <c r="AI51" i="281" s="1"/>
  <c r="AJ22" i="281"/>
  <c r="AJ108" i="273"/>
  <c r="AJ38" i="273"/>
  <c r="AK39" i="273" s="1"/>
  <c r="AK41" i="273" s="1"/>
  <c r="AK42" i="273" s="1"/>
  <c r="AK4" i="280" s="1"/>
  <c r="AJ118" i="273"/>
  <c r="AI4" i="281"/>
  <c r="AI4" i="275"/>
  <c r="AI4" i="280"/>
  <c r="AI4" i="273"/>
  <c r="AI4" i="265"/>
  <c r="AJ52" i="273"/>
  <c r="AJ42" i="273"/>
  <c r="AK2" i="281"/>
  <c r="AK125" i="273"/>
  <c r="AK126" i="273" s="1"/>
  <c r="AK2" i="275"/>
  <c r="AJ23" i="281"/>
  <c r="AJ29" i="281" s="1"/>
  <c r="AJ30" i="281" s="1"/>
  <c r="AJ36" i="281" s="1"/>
  <c r="AJ38" i="281" s="1"/>
  <c r="AC74" i="265"/>
  <c r="AC75" i="265" s="1"/>
  <c r="AC81" i="265" s="1"/>
  <c r="AD13" i="280"/>
  <c r="AD16" i="280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79" i="273" s="1"/>
  <c r="AM80" i="273" s="1"/>
  <c r="AM58" i="273" s="1"/>
  <c r="AL2" i="280"/>
  <c r="AK11" i="280"/>
  <c r="AK22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I71" i="281" l="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U53" i="265"/>
  <c r="U25" i="280"/>
  <c r="U27" i="280" s="1"/>
  <c r="T83" i="265"/>
  <c r="T82" i="265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14" i="280"/>
  <c r="AO5" i="281"/>
  <c r="AO5" i="280"/>
  <c r="AM24" i="273"/>
  <c r="AM25" i="273" s="1"/>
  <c r="AM124" i="273"/>
  <c r="AJ9" i="265"/>
  <c r="AJ11" i="265" s="1"/>
  <c r="AJ14" i="265" s="1"/>
  <c r="AJ19" i="265" s="1"/>
  <c r="AJ22" i="265" s="1"/>
  <c r="AJ61" i="281"/>
  <c r="AJ50" i="281"/>
  <c r="AJ45" i="281"/>
  <c r="AJ47" i="281" s="1"/>
  <c r="AJ51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2" i="265"/>
  <c r="AL2" i="273"/>
  <c r="AL32" i="273"/>
  <c r="AL33" i="273" s="1"/>
  <c r="AL96" i="273"/>
  <c r="AL97" i="273" s="1"/>
  <c r="AK23" i="281"/>
  <c r="AK29" i="281" s="1"/>
  <c r="AJ25" i="265"/>
  <c r="AJ14" i="280"/>
  <c r="AD74" i="265"/>
  <c r="AD75" i="265" s="1"/>
  <c r="AD81" i="265" s="1"/>
  <c r="AE13" i="280"/>
  <c r="AE16" i="280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L22" i="280"/>
  <c r="AL11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M113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L60" i="273"/>
  <c r="AK66" i="273"/>
  <c r="AK67" i="273" s="1"/>
  <c r="AK112" i="273"/>
  <c r="AL4" i="265"/>
  <c r="AL4" i="275"/>
  <c r="AL4" i="273"/>
  <c r="AN2" i="277"/>
  <c r="AL46" i="281" l="1"/>
  <c r="AL72" i="281"/>
  <c r="AI25" i="265"/>
  <c r="AI14" i="280"/>
  <c r="U63" i="265"/>
  <c r="U65" i="265" s="1"/>
  <c r="U67" i="265" s="1"/>
  <c r="U80" i="265" s="1"/>
  <c r="V24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2" i="265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2" i="275"/>
  <c r="AM75" i="273"/>
  <c r="AM76" i="273" s="1"/>
  <c r="AK30" i="281"/>
  <c r="AK36" i="281" s="1"/>
  <c r="AK38" i="281" s="1"/>
  <c r="AE74" i="265"/>
  <c r="AE75" i="265" s="1"/>
  <c r="AE81" i="265" s="1"/>
  <c r="AF13" i="280"/>
  <c r="AF16" i="280" s="1"/>
  <c r="AK3" i="280"/>
  <c r="AK3" i="281"/>
  <c r="AM108" i="273"/>
  <c r="AM37" i="281"/>
  <c r="AM22" i="281"/>
  <c r="AM13" i="281"/>
  <c r="AM119" i="273"/>
  <c r="AM22" i="280"/>
  <c r="AM11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2" i="273" l="1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V30" i="280" s="1"/>
  <c r="U82" i="265"/>
  <c r="U83" i="265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2" i="280" s="1"/>
  <c r="AO124" i="273"/>
  <c r="AK9" i="265"/>
  <c r="AK11" i="265" s="1"/>
  <c r="AK14" i="265" s="1"/>
  <c r="AK19" i="265" s="1"/>
  <c r="AK22" i="265" s="1"/>
  <c r="AK25" i="265" s="1"/>
  <c r="AK61" i="281"/>
  <c r="AK50" i="281"/>
  <c r="AK45" i="281"/>
  <c r="AK47" i="281" s="1"/>
  <c r="AK51" i="281" s="1"/>
  <c r="AL23" i="281"/>
  <c r="AL29" i="281" s="1"/>
  <c r="AN2" i="281"/>
  <c r="AN125" i="273"/>
  <c r="AN126" i="273" s="1"/>
  <c r="AN32" i="273"/>
  <c r="AN33" i="273" s="1"/>
  <c r="AN90" i="273"/>
  <c r="AN91" i="273" s="1"/>
  <c r="AN100" i="273" s="1"/>
  <c r="AO101" i="273" s="1"/>
  <c r="AO59" i="273" s="1"/>
  <c r="AN96" i="273"/>
  <c r="AN97" i="273" s="1"/>
  <c r="AN2" i="275"/>
  <c r="AN75" i="273"/>
  <c r="AN76" i="273" s="1"/>
  <c r="AL14" i="281"/>
  <c r="AL28" i="281" s="1"/>
  <c r="AM52" i="273"/>
  <c r="AM42" i="273"/>
  <c r="AM114" i="273"/>
  <c r="AM21" i="281" s="1"/>
  <c r="AM23" i="281" s="1"/>
  <c r="AM29" i="281" s="1"/>
  <c r="AG13" i="280"/>
  <c r="AG16" i="280" s="1"/>
  <c r="AF74" i="265"/>
  <c r="AF75" i="265" s="1"/>
  <c r="AF81" i="265" s="1"/>
  <c r="AL3" i="280"/>
  <c r="AL3" i="281"/>
  <c r="AM14" i="281"/>
  <c r="AM28" i="281" s="1"/>
  <c r="AN37" i="281"/>
  <c r="AN13" i="281"/>
  <c r="AN11" i="280"/>
  <c r="AO32" i="273"/>
  <c r="AO33" i="273" s="1"/>
  <c r="AO118" i="273" s="1"/>
  <c r="AO2" i="265"/>
  <c r="AN42" i="273"/>
  <c r="AN4" i="281" s="1"/>
  <c r="AO96" i="273"/>
  <c r="AO97" i="273" s="1"/>
  <c r="AQ5" i="275"/>
  <c r="AQ5" i="265"/>
  <c r="AQ13" i="273"/>
  <c r="AQ14" i="273" s="1"/>
  <c r="AQ5" i="273"/>
  <c r="AR10" i="273"/>
  <c r="AO2" i="273"/>
  <c r="AP37" i="273"/>
  <c r="AP47" i="273"/>
  <c r="AP48" i="273" s="1"/>
  <c r="AP51" i="273" s="1"/>
  <c r="AP19" i="273"/>
  <c r="AP20" i="273" s="1"/>
  <c r="AP56" i="273"/>
  <c r="AM66" i="273"/>
  <c r="AM67" i="273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AN46" i="281" l="1"/>
  <c r="AN72" i="281"/>
  <c r="AO2" i="275"/>
  <c r="AO90" i="273"/>
  <c r="AO91" i="273" s="1"/>
  <c r="AO100" i="273" s="1"/>
  <c r="AP101" i="273" s="1"/>
  <c r="AP59" i="273" s="1"/>
  <c r="AN58" i="281"/>
  <c r="AN81" i="281"/>
  <c r="V25" i="280"/>
  <c r="V27" i="280" s="1"/>
  <c r="V53" i="265"/>
  <c r="W60" i="281"/>
  <c r="W52" i="281" s="1"/>
  <c r="W53" i="281" s="1"/>
  <c r="V64" i="265"/>
  <c r="AJ76" i="281"/>
  <c r="AJ78" i="281" s="1"/>
  <c r="AJ85" i="281" s="1"/>
  <c r="AJ86" i="281" s="1"/>
  <c r="AK83" i="281" s="1"/>
  <c r="AK14" i="280"/>
  <c r="AL30" i="281"/>
  <c r="AL36" i="281" s="1"/>
  <c r="AL38" i="281" s="1"/>
  <c r="AL9" i="265" s="1"/>
  <c r="AL11" i="265" s="1"/>
  <c r="AL14" i="265" s="1"/>
  <c r="AL19" i="265" s="1"/>
  <c r="AL22" i="265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124" i="273"/>
  <c r="AN22" i="280"/>
  <c r="AN22" i="281"/>
  <c r="AN113" i="273"/>
  <c r="AN114" i="273" s="1"/>
  <c r="AN21" i="281" s="1"/>
  <c r="AM4" i="280"/>
  <c r="AM4" i="273"/>
  <c r="AM4" i="281"/>
  <c r="AM4" i="265"/>
  <c r="AM4" i="275"/>
  <c r="AL45" i="281"/>
  <c r="AL47" i="281" s="1"/>
  <c r="AL51" i="281" s="1"/>
  <c r="AO2" i="281"/>
  <c r="AO125" i="273"/>
  <c r="AO126" i="273" s="1"/>
  <c r="AO75" i="273"/>
  <c r="AO76" i="273" s="1"/>
  <c r="AO81" i="281" s="1"/>
  <c r="AH13" i="280"/>
  <c r="AH16" i="280" s="1"/>
  <c r="AG74" i="265"/>
  <c r="AG75" i="265" s="1"/>
  <c r="AG81" i="265" s="1"/>
  <c r="AM3" i="280"/>
  <c r="AM3" i="281"/>
  <c r="AO119" i="273"/>
  <c r="AO120" i="273" s="1"/>
  <c r="AO12" i="281" s="1"/>
  <c r="AO37" i="281"/>
  <c r="AO22" i="281"/>
  <c r="AO13" i="281"/>
  <c r="AN4" i="265"/>
  <c r="AN4" i="280"/>
  <c r="AN4" i="275"/>
  <c r="AO113" i="273"/>
  <c r="AP32" i="273"/>
  <c r="AP33" i="273" s="1"/>
  <c r="AP118" i="273" s="1"/>
  <c r="AP2" i="273"/>
  <c r="AP39" i="273"/>
  <c r="AP41" i="273" s="1"/>
  <c r="AP52" i="273" s="1"/>
  <c r="AN4" i="273"/>
  <c r="AO108" i="273"/>
  <c r="AP96" i="273"/>
  <c r="AP97" i="273" s="1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O109" i="273"/>
  <c r="AN112" i="273"/>
  <c r="AP38" i="273"/>
  <c r="AM3" i="265"/>
  <c r="AM3" i="275"/>
  <c r="AM3" i="273"/>
  <c r="AM50" i="273"/>
  <c r="AP42" i="273"/>
  <c r="AP119" i="273"/>
  <c r="AP120" i="273" s="1"/>
  <c r="AP12" i="281" s="1"/>
  <c r="AL61" i="281" l="1"/>
  <c r="AO46" i="281"/>
  <c r="AO72" i="281"/>
  <c r="AL50" i="281"/>
  <c r="W62" i="281"/>
  <c r="W63" i="281" s="1"/>
  <c r="W30" i="265"/>
  <c r="W33" i="265" s="1"/>
  <c r="W37" i="265" s="1"/>
  <c r="W42" i="265" s="1"/>
  <c r="W47" i="265" s="1"/>
  <c r="W50" i="265" s="1"/>
  <c r="W30" i="280" s="1"/>
  <c r="W24" i="280"/>
  <c r="V63" i="265"/>
  <c r="V65" i="265" s="1"/>
  <c r="V67" i="265" s="1"/>
  <c r="V80" i="265" s="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22" i="280"/>
  <c r="AO79" i="273"/>
  <c r="AP80" i="273" s="1"/>
  <c r="AP58" i="273" s="1"/>
  <c r="AO11" i="280"/>
  <c r="AO57" i="273"/>
  <c r="AO60" i="273" s="1"/>
  <c r="AO66" i="273" s="1"/>
  <c r="AO67" i="273" s="1"/>
  <c r="AO15" i="275"/>
  <c r="AO20" i="275" s="1"/>
  <c r="AP17" i="275" s="1"/>
  <c r="AQ24" i="273"/>
  <c r="AQ25" i="273" s="1"/>
  <c r="AQ2" i="273" s="1"/>
  <c r="AQ124" i="273"/>
  <c r="AL14" i="280"/>
  <c r="AL25" i="265"/>
  <c r="AP2" i="281"/>
  <c r="AP125" i="273"/>
  <c r="AP126" i="273" s="1"/>
  <c r="AP75" i="273"/>
  <c r="AP76" i="273" s="1"/>
  <c r="AP81" i="281" s="1"/>
  <c r="AM9" i="265"/>
  <c r="AM11" i="265" s="1"/>
  <c r="AM14" i="265" s="1"/>
  <c r="AM19" i="265" s="1"/>
  <c r="AM22" i="265" s="1"/>
  <c r="AM61" i="281"/>
  <c r="AM50" i="281"/>
  <c r="AM45" i="281"/>
  <c r="AM47" i="281" s="1"/>
  <c r="AM51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I13" i="280"/>
  <c r="AI16" i="280" s="1"/>
  <c r="AH74" i="265"/>
  <c r="AH75" i="265" s="1"/>
  <c r="AH81" i="265" s="1"/>
  <c r="AN3" i="280"/>
  <c r="AN3" i="281"/>
  <c r="AO14" i="281"/>
  <c r="AO28" i="281" s="1"/>
  <c r="AP4" i="280"/>
  <c r="AP4" i="281"/>
  <c r="AP113" i="273"/>
  <c r="AP37" i="281"/>
  <c r="AP22" i="281"/>
  <c r="AP13" i="281"/>
  <c r="AP14" i="281" s="1"/>
  <c r="AP28" i="281" s="1"/>
  <c r="AQ2" i="280"/>
  <c r="AP108" i="273"/>
  <c r="AP109" i="273" s="1"/>
  <c r="AQ96" i="273"/>
  <c r="AQ97" i="273" s="1"/>
  <c r="AR37" i="273"/>
  <c r="AR47" i="273"/>
  <c r="AR48" i="273" s="1"/>
  <c r="AR56" i="273"/>
  <c r="AR19" i="273"/>
  <c r="AR20" i="273" s="1"/>
  <c r="AQ39" i="273"/>
  <c r="AQ41" i="273" s="1"/>
  <c r="AQ42" i="273" s="1"/>
  <c r="AS5" i="265"/>
  <c r="AS5" i="275"/>
  <c r="AT10" i="273"/>
  <c r="AS13" i="273"/>
  <c r="AS14" i="273" s="1"/>
  <c r="AS5" i="273"/>
  <c r="AQ108" i="273"/>
  <c r="AP4" i="275"/>
  <c r="AP4" i="273"/>
  <c r="AP4" i="265"/>
  <c r="AO112" i="273"/>
  <c r="AN50" i="273"/>
  <c r="AN3" i="275"/>
  <c r="AN3" i="265"/>
  <c r="AN3" i="273"/>
  <c r="AP46" i="281" l="1"/>
  <c r="AP72" i="281"/>
  <c r="X60" i="281"/>
  <c r="W64" i="265"/>
  <c r="V83" i="265"/>
  <c r="V82" i="265"/>
  <c r="W53" i="265"/>
  <c r="W25" i="280"/>
  <c r="W27" i="280" s="1"/>
  <c r="AL76" i="281"/>
  <c r="AL78" i="281" s="1"/>
  <c r="AL85" i="281" s="1"/>
  <c r="AL86" i="281" s="1"/>
  <c r="AM83" i="281" s="1"/>
  <c r="AO30" i="281"/>
  <c r="AO36" i="281" s="1"/>
  <c r="AO38" i="281" s="1"/>
  <c r="AO61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N51" i="281" s="1"/>
  <c r="AR24" i="273"/>
  <c r="AR25" i="273" s="1"/>
  <c r="AR124" i="273"/>
  <c r="AP58" i="281"/>
  <c r="AP11" i="280"/>
  <c r="AP57" i="273"/>
  <c r="AP60" i="273" s="1"/>
  <c r="AP15" i="275"/>
  <c r="AP20" i="275" s="1"/>
  <c r="AQ17" i="275" s="1"/>
  <c r="AP22" i="280"/>
  <c r="AP79" i="273"/>
  <c r="AQ80" i="273" s="1"/>
  <c r="AQ58" i="273" s="1"/>
  <c r="AQ2" i="281"/>
  <c r="AQ125" i="273"/>
  <c r="AQ126" i="273" s="1"/>
  <c r="AT5" i="281"/>
  <c r="AT5" i="280"/>
  <c r="AQ32" i="273"/>
  <c r="AQ33" i="273" s="1"/>
  <c r="AQ2" i="275"/>
  <c r="AQ2" i="265"/>
  <c r="AP114" i="273"/>
  <c r="AP21" i="281" s="1"/>
  <c r="AQ75" i="273"/>
  <c r="AQ76" i="273" s="1"/>
  <c r="AQ81" i="281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14" i="280"/>
  <c r="AM25" i="265"/>
  <c r="AI74" i="265"/>
  <c r="AI75" i="265" s="1"/>
  <c r="AI81" i="265" s="1"/>
  <c r="AJ13" i="280"/>
  <c r="AJ16" i="280" s="1"/>
  <c r="AQ4" i="280"/>
  <c r="AQ4" i="281"/>
  <c r="AQ113" i="273"/>
  <c r="AQ114" i="273" s="1"/>
  <c r="AQ21" i="281" s="1"/>
  <c r="AQ37" i="281"/>
  <c r="AQ22" i="281"/>
  <c r="AQ23" i="281" s="1"/>
  <c r="AQ29" i="281" s="1"/>
  <c r="AQ13" i="281"/>
  <c r="AO3" i="280"/>
  <c r="AO3" i="281"/>
  <c r="AP23" i="281"/>
  <c r="AP29" i="281" s="1"/>
  <c r="AP30" i="281" s="1"/>
  <c r="AP36" i="281" s="1"/>
  <c r="AP38" i="281" s="1"/>
  <c r="AR32" i="273"/>
  <c r="AR33" i="273" s="1"/>
  <c r="AR38" i="273" s="1"/>
  <c r="AR2" i="280"/>
  <c r="AQ22" i="280"/>
  <c r="AR90" i="273"/>
  <c r="AR91" i="273" s="1"/>
  <c r="AR100" i="273" s="1"/>
  <c r="AS101" i="273" s="1"/>
  <c r="AS59" i="273" s="1"/>
  <c r="AR2" i="275"/>
  <c r="AR75" i="273"/>
  <c r="AQ52" i="273"/>
  <c r="AQ119" i="273"/>
  <c r="AQ120" i="273" s="1"/>
  <c r="AQ12" i="281" s="1"/>
  <c r="AR96" i="273"/>
  <c r="AR97" i="273" s="1"/>
  <c r="AR2" i="273"/>
  <c r="AR2" i="265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66" i="273"/>
  <c r="AP67" i="273" s="1"/>
  <c r="AR108" i="273"/>
  <c r="AR118" i="273"/>
  <c r="AQ109" i="273"/>
  <c r="AP112" i="273"/>
  <c r="AO50" i="273"/>
  <c r="AO3" i="273"/>
  <c r="AO3" i="265"/>
  <c r="AO3" i="275"/>
  <c r="AQ46" i="281" l="1"/>
  <c r="AQ72" i="281"/>
  <c r="AO45" i="281"/>
  <c r="AO47" i="281" s="1"/>
  <c r="AO51" i="281" s="1"/>
  <c r="X24" i="280"/>
  <c r="W63" i="265"/>
  <c r="W65" i="265" s="1"/>
  <c r="W67" i="265" s="1"/>
  <c r="W80" i="265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U5" i="281"/>
  <c r="AU5" i="280"/>
  <c r="AS24" i="273"/>
  <c r="AS25" i="273" s="1"/>
  <c r="AS2" i="280" s="1"/>
  <c r="AS124" i="273"/>
  <c r="AQ11" i="280"/>
  <c r="AP9" i="265"/>
  <c r="AP11" i="265" s="1"/>
  <c r="AP14" i="265" s="1"/>
  <c r="AP19" i="265" s="1"/>
  <c r="AP22" i="265" s="1"/>
  <c r="AP14" i="280" s="1"/>
  <c r="AP61" i="281"/>
  <c r="AP50" i="281"/>
  <c r="AP45" i="281"/>
  <c r="AP47" i="281" s="1"/>
  <c r="AP51" i="281" s="1"/>
  <c r="AR2" i="281"/>
  <c r="AR125" i="273"/>
  <c r="AR126" i="273" s="1"/>
  <c r="AN25" i="265"/>
  <c r="AN14" i="280"/>
  <c r="AP25" i="265"/>
  <c r="AK13" i="280"/>
  <c r="AK16" i="280" s="1"/>
  <c r="AJ74" i="265"/>
  <c r="AJ75" i="265" s="1"/>
  <c r="AJ81" i="265" s="1"/>
  <c r="AP3" i="280"/>
  <c r="AP3" i="281"/>
  <c r="AQ14" i="281"/>
  <c r="AQ28" i="281" s="1"/>
  <c r="AQ30" i="281" s="1"/>
  <c r="AQ36" i="281" s="1"/>
  <c r="AQ38" i="281" s="1"/>
  <c r="AR113" i="273"/>
  <c r="AR114" i="273" s="1"/>
  <c r="AR21" i="281" s="1"/>
  <c r="AR37" i="281"/>
  <c r="AR22" i="281"/>
  <c r="AR23" i="281" s="1"/>
  <c r="AR29" i="281" s="1"/>
  <c r="AR13" i="281"/>
  <c r="AR22" i="280"/>
  <c r="AR11" i="280"/>
  <c r="AR119" i="273"/>
  <c r="AR120" i="273" s="1"/>
  <c r="AR12" i="281" s="1"/>
  <c r="AT19" i="273"/>
  <c r="AT20" i="273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R60" i="273"/>
  <c r="AS2" i="273" l="1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X30" i="280" s="1"/>
  <c r="W82" i="265"/>
  <c r="W83" i="265"/>
  <c r="AN76" i="281"/>
  <c r="AN78" i="281" s="1"/>
  <c r="AN85" i="281" s="1"/>
  <c r="AN86" i="281" s="1"/>
  <c r="AO83" i="281" s="1"/>
  <c r="AQ84" i="281"/>
  <c r="AQ71" i="281"/>
  <c r="AQ73" i="281" s="1"/>
  <c r="AQ77" i="281" s="1"/>
  <c r="AO25" i="265"/>
  <c r="AO14" i="280"/>
  <c r="AT24" i="273"/>
  <c r="AT25" i="273" s="1"/>
  <c r="AT124" i="273"/>
  <c r="AQ9" i="265"/>
  <c r="AQ11" i="265" s="1"/>
  <c r="AQ14" i="265" s="1"/>
  <c r="AQ19" i="265" s="1"/>
  <c r="AQ22" i="265" s="1"/>
  <c r="AQ25" i="265" s="1"/>
  <c r="AQ61" i="281"/>
  <c r="AQ50" i="281"/>
  <c r="AQ45" i="281"/>
  <c r="AQ47" i="281" s="1"/>
  <c r="AQ51" i="281" s="1"/>
  <c r="AS2" i="281"/>
  <c r="AS125" i="273"/>
  <c r="AS126" i="273" s="1"/>
  <c r="AS2" i="275"/>
  <c r="AS32" i="273"/>
  <c r="AS33" i="273" s="1"/>
  <c r="AR42" i="273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2" i="265"/>
  <c r="AS75" i="273"/>
  <c r="AS76" i="273" s="1"/>
  <c r="AL13" i="280"/>
  <c r="AL16" i="280" s="1"/>
  <c r="AK74" i="265"/>
  <c r="AK75" i="265" s="1"/>
  <c r="AK81" i="265" s="1"/>
  <c r="AQ3" i="280"/>
  <c r="AQ3" i="281"/>
  <c r="AS22" i="281"/>
  <c r="AR14" i="281"/>
  <c r="AR28" i="281" s="1"/>
  <c r="AR30" i="281" s="1"/>
  <c r="AR36" i="281" s="1"/>
  <c r="AR38" i="281" s="1"/>
  <c r="AS22" i="280"/>
  <c r="AT32" i="273"/>
  <c r="AT33" i="273" s="1"/>
  <c r="AT2" i="280"/>
  <c r="AT96" i="273"/>
  <c r="AT97" i="273" s="1"/>
  <c r="AT119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T2" i="275"/>
  <c r="AT2" i="273"/>
  <c r="AT2" i="265"/>
  <c r="AV13" i="273"/>
  <c r="AV14" i="273" s="1"/>
  <c r="AW10" i="273"/>
  <c r="AV5" i="273"/>
  <c r="AV5" i="275"/>
  <c r="AV5" i="265"/>
  <c r="AR66" i="273"/>
  <c r="AR67" i="273" s="1"/>
  <c r="AR112" i="273"/>
  <c r="AT38" i="273"/>
  <c r="AT118" i="273"/>
  <c r="AQ3" i="265"/>
  <c r="AQ3" i="273"/>
  <c r="AQ50" i="273"/>
  <c r="AQ3" i="275"/>
  <c r="AS4" i="265"/>
  <c r="AS79" i="273"/>
  <c r="AT80" i="273" s="1"/>
  <c r="AT58" i="273" s="1"/>
  <c r="AS58" i="281" l="1"/>
  <c r="AS81" i="281"/>
  <c r="AS46" i="281"/>
  <c r="AS72" i="281"/>
  <c r="AQ14" i="280"/>
  <c r="X53" i="265"/>
  <c r="X25" i="280"/>
  <c r="X27" i="280" s="1"/>
  <c r="Y60" i="281"/>
  <c r="Y52" i="281" s="1"/>
  <c r="Y53" i="281" s="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124" i="273"/>
  <c r="AR9" i="265"/>
  <c r="AR11" i="265" s="1"/>
  <c r="AR14" i="265" s="1"/>
  <c r="AR19" i="265" s="1"/>
  <c r="AR22" i="265" s="1"/>
  <c r="AR25" i="265" s="1"/>
  <c r="AR61" i="281"/>
  <c r="AR50" i="281"/>
  <c r="AR45" i="281"/>
  <c r="AR47" i="281" s="1"/>
  <c r="AR51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11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75" i="273"/>
  <c r="AT76" i="273" s="1"/>
  <c r="AT81" i="281" s="1"/>
  <c r="AR14" i="280"/>
  <c r="AM13" i="280"/>
  <c r="AM16" i="280" s="1"/>
  <c r="AL74" i="265"/>
  <c r="AL75" i="265" s="1"/>
  <c r="AL81" i="265" s="1"/>
  <c r="AS4" i="280"/>
  <c r="AS4" i="281"/>
  <c r="AT108" i="273"/>
  <c r="AT37" i="281"/>
  <c r="AT22" i="281"/>
  <c r="AT13" i="281"/>
  <c r="AR3" i="280"/>
  <c r="AR3" i="281"/>
  <c r="AU2" i="280"/>
  <c r="AS4" i="273"/>
  <c r="AS4" i="275"/>
  <c r="AU32" i="273"/>
  <c r="AU33" i="273" s="1"/>
  <c r="AU38" i="273" s="1"/>
  <c r="AT42" i="273"/>
  <c r="AT113" i="273"/>
  <c r="AT114" i="273" s="1"/>
  <c r="AT21" i="281" s="1"/>
  <c r="AU2" i="273"/>
  <c r="AU51" i="273"/>
  <c r="AV37" i="273"/>
  <c r="AV47" i="273"/>
  <c r="AV48" i="273" s="1"/>
  <c r="AV51" i="273" s="1"/>
  <c r="AV56" i="273"/>
  <c r="AV19" i="273"/>
  <c r="AV20" i="273" s="1"/>
  <c r="AU39" i="273"/>
  <c r="AU41" i="273" s="1"/>
  <c r="AU42" i="273" s="1"/>
  <c r="AW5" i="265"/>
  <c r="AX10" i="273"/>
  <c r="AW5" i="275"/>
  <c r="AW5" i="273"/>
  <c r="AW13" i="273"/>
  <c r="AW14" i="273" s="1"/>
  <c r="AU52" i="273"/>
  <c r="AT109" i="273"/>
  <c r="AS112" i="273"/>
  <c r="AT4" i="265"/>
  <c r="AT4" i="275"/>
  <c r="AT4" i="273"/>
  <c r="AS66" i="273"/>
  <c r="AS67" i="273" s="1"/>
  <c r="AR3" i="273"/>
  <c r="AR3" i="275"/>
  <c r="AR3" i="265"/>
  <c r="AR50" i="273"/>
  <c r="AT46" i="281" l="1"/>
  <c r="AT72" i="281"/>
  <c r="Y62" i="281"/>
  <c r="Y63" i="281" s="1"/>
  <c r="Y30" i="265"/>
  <c r="Y33" i="265" s="1"/>
  <c r="Y37" i="265" s="1"/>
  <c r="Y42" i="265" s="1"/>
  <c r="Y47" i="265" s="1"/>
  <c r="Y50" i="265" s="1"/>
  <c r="Y30" i="280" s="1"/>
  <c r="X63" i="265"/>
  <c r="X65" i="265" s="1"/>
  <c r="X67" i="265" s="1"/>
  <c r="X80" i="265" s="1"/>
  <c r="Y24" i="280"/>
  <c r="AP76" i="281"/>
  <c r="AP78" i="281" s="1"/>
  <c r="AP85" i="281" s="1"/>
  <c r="AP86" i="281" s="1"/>
  <c r="AQ83" i="281" s="1"/>
  <c r="AT58" i="281"/>
  <c r="AT22" i="280"/>
  <c r="AT79" i="273"/>
  <c r="AU80" i="273" s="1"/>
  <c r="AU58" i="273" s="1"/>
  <c r="AT11" i="280"/>
  <c r="AT57" i="273"/>
  <c r="AT15" i="275"/>
  <c r="AT20" i="275" s="1"/>
  <c r="AU17" i="275" s="1"/>
  <c r="AT60" i="273"/>
  <c r="AX5" i="281"/>
  <c r="AX5" i="280"/>
  <c r="AS30" i="281"/>
  <c r="AS36" i="281" s="1"/>
  <c r="AS38" i="281" s="1"/>
  <c r="AU2" i="281"/>
  <c r="AU125" i="273"/>
  <c r="AU126" i="273" s="1"/>
  <c r="AU75" i="273"/>
  <c r="AU76" i="273" s="1"/>
  <c r="AU81" i="281" s="1"/>
  <c r="AU118" i="273"/>
  <c r="AV24" i="273"/>
  <c r="AV25" i="273" s="1"/>
  <c r="AV124" i="273"/>
  <c r="AU96" i="273"/>
  <c r="AU97" i="273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N13" i="280"/>
  <c r="AN16" i="280" s="1"/>
  <c r="AM74" i="265"/>
  <c r="AM75" i="265" s="1"/>
  <c r="AM81" i="265" s="1"/>
  <c r="AS3" i="280"/>
  <c r="AS3" i="281"/>
  <c r="AU4" i="280"/>
  <c r="AU4" i="281"/>
  <c r="AU37" i="281"/>
  <c r="AU22" i="281"/>
  <c r="AU13" i="281"/>
  <c r="AT4" i="280"/>
  <c r="AT4" i="281"/>
  <c r="AT23" i="281"/>
  <c r="AT29" i="281" s="1"/>
  <c r="AV32" i="273"/>
  <c r="AV33" i="273" s="1"/>
  <c r="AV2" i="280"/>
  <c r="AV2" i="273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T66" i="273"/>
  <c r="AT67" i="273" s="1"/>
  <c r="AU4" i="273"/>
  <c r="AU4" i="275"/>
  <c r="AU4" i="265"/>
  <c r="AV113" i="273"/>
  <c r="AV119" i="273"/>
  <c r="AV108" i="273"/>
  <c r="AV38" i="273"/>
  <c r="AV118" i="273"/>
  <c r="AS50" i="273"/>
  <c r="AS3" i="265"/>
  <c r="AS3" i="275"/>
  <c r="AS3" i="273"/>
  <c r="AV42" i="273"/>
  <c r="AT112" i="273"/>
  <c r="AU46" i="281" l="1"/>
  <c r="AU72" i="281"/>
  <c r="Y53" i="265"/>
  <c r="Y25" i="280"/>
  <c r="Y27" i="280" s="1"/>
  <c r="X83" i="265"/>
  <c r="X82" i="265"/>
  <c r="Z60" i="281"/>
  <c r="Z52" i="281" s="1"/>
  <c r="Z53" i="281" s="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11" i="280"/>
  <c r="AU57" i="273"/>
  <c r="AU60" i="273" s="1"/>
  <c r="AU15" i="275"/>
  <c r="AU20" i="275" s="1"/>
  <c r="AV17" i="275" s="1"/>
  <c r="AU22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S51" i="281" s="1"/>
  <c r="AV76" i="273"/>
  <c r="AW24" i="273"/>
  <c r="AW25" i="273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V109" i="273" s="1"/>
  <c r="AU113" i="273"/>
  <c r="AU114" i="273" s="1"/>
  <c r="AU21" i="281" s="1"/>
  <c r="AV2" i="281"/>
  <c r="AV125" i="273"/>
  <c r="AV126" i="273" s="1"/>
  <c r="AN74" i="265"/>
  <c r="AN75" i="265" s="1"/>
  <c r="AN81" i="265" s="1"/>
  <c r="AO13" i="280"/>
  <c r="AO16" i="280" s="1"/>
  <c r="AV4" i="280"/>
  <c r="AV4" i="281"/>
  <c r="AT3" i="280"/>
  <c r="AT3" i="281"/>
  <c r="AV37" i="281"/>
  <c r="AV22" i="281"/>
  <c r="AV13" i="281"/>
  <c r="AU23" i="281"/>
  <c r="AU29" i="281" s="1"/>
  <c r="AV22" i="280"/>
  <c r="AV11" i="280"/>
  <c r="AW32" i="273"/>
  <c r="AW33" i="273" s="1"/>
  <c r="AW2" i="280"/>
  <c r="AW39" i="273"/>
  <c r="AW41" i="273" s="1"/>
  <c r="AW52" i="273" s="1"/>
  <c r="AW51" i="273"/>
  <c r="AW96" i="273"/>
  <c r="AW97" i="273" s="1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W113" i="273"/>
  <c r="AU112" i="273"/>
  <c r="AV4" i="275"/>
  <c r="AV4" i="265"/>
  <c r="AV4" i="273"/>
  <c r="AT3" i="265"/>
  <c r="AT3" i="273"/>
  <c r="AT3" i="275"/>
  <c r="AT50" i="273"/>
  <c r="AW38" i="273"/>
  <c r="AW118" i="273"/>
  <c r="AV57" i="273"/>
  <c r="AV79" i="273"/>
  <c r="AW80" i="273" s="1"/>
  <c r="AW58" i="273" s="1"/>
  <c r="AV15" i="275"/>
  <c r="AW42" i="273" l="1"/>
  <c r="AV58" i="281"/>
  <c r="AV81" i="281"/>
  <c r="AV46" i="281"/>
  <c r="AV72" i="281"/>
  <c r="AV120" i="273"/>
  <c r="AV12" i="281" s="1"/>
  <c r="Z24" i="280"/>
  <c r="Y63" i="265"/>
  <c r="Y65" i="265" s="1"/>
  <c r="Y67" i="265" s="1"/>
  <c r="Y80" i="265" s="1"/>
  <c r="Z62" i="281"/>
  <c r="Z63" i="281" s="1"/>
  <c r="Z30" i="265"/>
  <c r="Z33" i="265" s="1"/>
  <c r="Z37" i="265" s="1"/>
  <c r="Z42" i="265" s="1"/>
  <c r="Z47" i="265" s="1"/>
  <c r="Z50" i="265" s="1"/>
  <c r="Z30" i="280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U61" i="281" s="1"/>
  <c r="AU45" i="281"/>
  <c r="AU47" i="281" s="1"/>
  <c r="AU51" i="281" s="1"/>
  <c r="AT9" i="265"/>
  <c r="AT11" i="265" s="1"/>
  <c r="AT14" i="265" s="1"/>
  <c r="AT19" i="265" s="1"/>
  <c r="AT22" i="265" s="1"/>
  <c r="AT61" i="281"/>
  <c r="AT50" i="281"/>
  <c r="AT45" i="281"/>
  <c r="AT47" i="281" s="1"/>
  <c r="AT51" i="281" s="1"/>
  <c r="AV20" i="275"/>
  <c r="AW17" i="275" s="1"/>
  <c r="AV60" i="273"/>
  <c r="AZ5" i="281"/>
  <c r="AZ5" i="280"/>
  <c r="AX24" i="273"/>
  <c r="AX25" i="273" s="1"/>
  <c r="AX124" i="273"/>
  <c r="AV14" i="281"/>
  <c r="AV28" i="281" s="1"/>
  <c r="AW2" i="281"/>
  <c r="AW125" i="273"/>
  <c r="AW126" i="273" s="1"/>
  <c r="AW75" i="273"/>
  <c r="AW76" i="273" s="1"/>
  <c r="AW2" i="273"/>
  <c r="AW90" i="273"/>
  <c r="AW91" i="273" s="1"/>
  <c r="AW100" i="273" s="1"/>
  <c r="AX101" i="273" s="1"/>
  <c r="AX59" i="273" s="1"/>
  <c r="AW2" i="275"/>
  <c r="AS14" i="280"/>
  <c r="AS25" i="265"/>
  <c r="AV114" i="273"/>
  <c r="AV21" i="281" s="1"/>
  <c r="AV23" i="281" s="1"/>
  <c r="AV29" i="281" s="1"/>
  <c r="AV30" i="281" s="1"/>
  <c r="AV36" i="281" s="1"/>
  <c r="AV38" i="281" s="1"/>
  <c r="AP13" i="280"/>
  <c r="AP16" i="280" s="1"/>
  <c r="AO74" i="265"/>
  <c r="AO75" i="265" s="1"/>
  <c r="AO81" i="265" s="1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22" i="280"/>
  <c r="AX75" i="273"/>
  <c r="AX2" i="280"/>
  <c r="AX2" i="275"/>
  <c r="AX96" i="273"/>
  <c r="AX97" i="273" s="1"/>
  <c r="AX113" i="273" s="1"/>
  <c r="AX2" i="265"/>
  <c r="AX39" i="273"/>
  <c r="AX41" i="273" s="1"/>
  <c r="AX52" i="273" s="1"/>
  <c r="AY19" i="273"/>
  <c r="AY20" i="273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V112" i="273"/>
  <c r="AW109" i="273"/>
  <c r="AX42" i="273" l="1"/>
  <c r="AW58" i="281"/>
  <c r="AW81" i="281"/>
  <c r="AW114" i="273"/>
  <c r="AW21" i="281" s="1"/>
  <c r="AX76" i="273"/>
  <c r="AW57" i="273"/>
  <c r="AW60" i="273" s="1"/>
  <c r="AX119" i="273"/>
  <c r="AX120" i="273" s="1"/>
  <c r="AX12" i="281" s="1"/>
  <c r="AW46" i="281"/>
  <c r="AW72" i="281"/>
  <c r="Z53" i="265"/>
  <c r="Z25" i="280"/>
  <c r="Z27" i="280" s="1"/>
  <c r="Y83" i="265"/>
  <c r="Y82" i="265"/>
  <c r="AA60" i="281"/>
  <c r="AA52" i="281" s="1"/>
  <c r="AA53" i="281" s="1"/>
  <c r="Z64" i="265"/>
  <c r="AS76" i="281"/>
  <c r="AS78" i="281" s="1"/>
  <c r="AS85" i="281" s="1"/>
  <c r="AS86" i="281" s="1"/>
  <c r="AT83" i="281" s="1"/>
  <c r="AV71" i="281"/>
  <c r="AV73" i="281" s="1"/>
  <c r="AV77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14" i="280" s="1"/>
  <c r="AV61" i="281"/>
  <c r="AV50" i="281"/>
  <c r="AV45" i="281"/>
  <c r="AV47" i="281" s="1"/>
  <c r="AV51" i="281" s="1"/>
  <c r="BA5" i="281"/>
  <c r="BA5" i="280"/>
  <c r="AT25" i="265"/>
  <c r="AT14" i="280"/>
  <c r="AW79" i="273"/>
  <c r="AX80" i="273" s="1"/>
  <c r="AX58" i="273" s="1"/>
  <c r="AX108" i="273"/>
  <c r="AY24" i="273"/>
  <c r="AY25" i="273" s="1"/>
  <c r="AY124" i="273"/>
  <c r="AW11" i="280"/>
  <c r="AW23" i="281"/>
  <c r="AW29" i="281" s="1"/>
  <c r="AX2" i="281"/>
  <c r="AX125" i="273"/>
  <c r="AX126" i="273" s="1"/>
  <c r="AX32" i="273"/>
  <c r="AX33" i="273" s="1"/>
  <c r="AQ13" i="280"/>
  <c r="AQ16" i="280" s="1"/>
  <c r="AP74" i="265"/>
  <c r="AP75" i="265" s="1"/>
  <c r="AP81" i="265" s="1"/>
  <c r="AX4" i="280"/>
  <c r="AX4" i="281"/>
  <c r="AV3" i="280"/>
  <c r="AV3" i="281"/>
  <c r="AX37" i="281"/>
  <c r="AX22" i="281"/>
  <c r="AX13" i="281"/>
  <c r="AX14" i="281" s="1"/>
  <c r="AX28" i="281" s="1"/>
  <c r="AW14" i="281"/>
  <c r="AW28" i="281" s="1"/>
  <c r="AX22" i="280"/>
  <c r="AX11" i="280"/>
  <c r="AY90" i="273"/>
  <c r="AY91" i="273" s="1"/>
  <c r="AY100" i="273" s="1"/>
  <c r="AZ101" i="273" s="1"/>
  <c r="AZ59" i="273" s="1"/>
  <c r="AY2" i="280"/>
  <c r="AY75" i="273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X109" i="273"/>
  <c r="AW11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76" i="273"/>
  <c r="AX4" i="265"/>
  <c r="AX4" i="273"/>
  <c r="AX4" i="275"/>
  <c r="AY58" i="281" l="1"/>
  <c r="AY81" i="281"/>
  <c r="AX23" i="281"/>
  <c r="AX29" i="281" s="1"/>
  <c r="AX30" i="281" s="1"/>
  <c r="AX36" i="281" s="1"/>
  <c r="AX38" i="281" s="1"/>
  <c r="AX46" i="281"/>
  <c r="AX72" i="281"/>
  <c r="AX58" i="281"/>
  <c r="AX81" i="281"/>
  <c r="AX114" i="273"/>
  <c r="AX21" i="281" s="1"/>
  <c r="AV25" i="265"/>
  <c r="AA24" i="280"/>
  <c r="Z63" i="265"/>
  <c r="Z65" i="265" s="1"/>
  <c r="Z67" i="265" s="1"/>
  <c r="Z80" i="265" s="1"/>
  <c r="AA62" i="281"/>
  <c r="AA63" i="281" s="1"/>
  <c r="AA30" i="265"/>
  <c r="AA33" i="265" s="1"/>
  <c r="AA37" i="265" s="1"/>
  <c r="AA42" i="265" s="1"/>
  <c r="AA47" i="265" s="1"/>
  <c r="AA50" i="265" s="1"/>
  <c r="AA30" i="280" s="1"/>
  <c r="AT76" i="281"/>
  <c r="AT78" i="281" s="1"/>
  <c r="AT85" i="281" s="1"/>
  <c r="AT86" i="281" s="1"/>
  <c r="AU83" i="281" s="1"/>
  <c r="AU25" i="265"/>
  <c r="AU14" i="280"/>
  <c r="BB5" i="281"/>
  <c r="BB5" i="280"/>
  <c r="AY118" i="273"/>
  <c r="AZ24" i="273"/>
  <c r="AZ25" i="273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2" i="275"/>
  <c r="AQ74" i="265"/>
  <c r="AQ75" i="265" s="1"/>
  <c r="AQ81" i="265" s="1"/>
  <c r="AR13" i="280"/>
  <c r="AR16" i="280" s="1"/>
  <c r="AW3" i="280"/>
  <c r="AW3" i="281"/>
  <c r="AY108" i="273"/>
  <c r="AY109" i="273" s="1"/>
  <c r="AY37" i="281"/>
  <c r="AY22" i="281"/>
  <c r="AY13" i="281"/>
  <c r="AY22" i="280"/>
  <c r="AY11" i="280"/>
  <c r="AZ32" i="273"/>
  <c r="AZ33" i="273" s="1"/>
  <c r="AZ118" i="273" s="1"/>
  <c r="AZ2" i="280"/>
  <c r="AZ90" i="273"/>
  <c r="AZ91" i="273" s="1"/>
  <c r="AZ100" i="273" s="1"/>
  <c r="BA101" i="273" s="1"/>
  <c r="BA59" i="273" s="1"/>
  <c r="AZ96" i="273"/>
  <c r="AZ97" i="273" s="1"/>
  <c r="AZ75" i="273"/>
  <c r="AZ76" i="273" s="1"/>
  <c r="AZ39" i="273"/>
  <c r="AZ41" i="273" s="1"/>
  <c r="AZ2" i="273"/>
  <c r="AZ2" i="265"/>
  <c r="AY119" i="273"/>
  <c r="AY120" i="273" s="1"/>
  <c r="AY12" i="281" s="1"/>
  <c r="AY113" i="273"/>
  <c r="AY114" i="273" s="1"/>
  <c r="AY21" i="281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Z42" i="273"/>
  <c r="AZ52" i="273"/>
  <c r="AZ38" i="273"/>
  <c r="AX112" i="273"/>
  <c r="AZ113" i="273"/>
  <c r="AZ114" i="273" s="1"/>
  <c r="AZ21" i="281" s="1"/>
  <c r="AZ119" i="273"/>
  <c r="AZ108" i="273"/>
  <c r="AW3" i="265"/>
  <c r="AW50" i="273"/>
  <c r="AW3" i="273"/>
  <c r="AW3" i="275"/>
  <c r="AZ58" i="281" l="1"/>
  <c r="AZ81" i="281"/>
  <c r="AZ15" i="275"/>
  <c r="AY46" i="281"/>
  <c r="AY72" i="281"/>
  <c r="AA53" i="265"/>
  <c r="AA25" i="280"/>
  <c r="AA27" i="280" s="1"/>
  <c r="Z83" i="265"/>
  <c r="Z82" i="265"/>
  <c r="AB60" i="281"/>
  <c r="AA64" i="265"/>
  <c r="AU76" i="281"/>
  <c r="AU78" i="281" s="1"/>
  <c r="AU85" i="281" s="1"/>
  <c r="AU86" i="281" s="1"/>
  <c r="AV83" i="281" s="1"/>
  <c r="AX84" i="281"/>
  <c r="AX71" i="281"/>
  <c r="AX73" i="281" s="1"/>
  <c r="AX77" i="281" s="1"/>
  <c r="AW84" i="281"/>
  <c r="AW71" i="281"/>
  <c r="AW73" i="281" s="1"/>
  <c r="AW77" i="281" s="1"/>
  <c r="BA24" i="273"/>
  <c r="BA25" i="273" s="1"/>
  <c r="BA124" i="273"/>
  <c r="AZ57" i="273"/>
  <c r="AZ60" i="273" s="1"/>
  <c r="BC5" i="281"/>
  <c r="BC5" i="280"/>
  <c r="AX9" i="265"/>
  <c r="AX11" i="265" s="1"/>
  <c r="AX14" i="265" s="1"/>
  <c r="AX19" i="265" s="1"/>
  <c r="AX22" i="265" s="1"/>
  <c r="AX14" i="280" s="1"/>
  <c r="AX61" i="281"/>
  <c r="AX50" i="281"/>
  <c r="AX45" i="281"/>
  <c r="AX47" i="281" s="1"/>
  <c r="AX51" i="281" s="1"/>
  <c r="AY42" i="273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W51" i="281" s="1"/>
  <c r="AZ2" i="281"/>
  <c r="AZ125" i="273"/>
  <c r="AZ126" i="273" s="1"/>
  <c r="AZ2" i="275"/>
  <c r="AS13" i="280"/>
  <c r="AS16" i="280" s="1"/>
  <c r="AR74" i="265"/>
  <c r="AR75" i="265" s="1"/>
  <c r="AR81" i="265" s="1"/>
  <c r="AX3" i="280"/>
  <c r="AX3" i="281"/>
  <c r="AZ37" i="281"/>
  <c r="AZ22" i="281"/>
  <c r="AZ23" i="281" s="1"/>
  <c r="AZ29" i="281" s="1"/>
  <c r="AZ13" i="281"/>
  <c r="AY14" i="281"/>
  <c r="AY28" i="281" s="1"/>
  <c r="AZ4" i="280"/>
  <c r="AZ4" i="281"/>
  <c r="AY23" i="281"/>
  <c r="AY29" i="281" s="1"/>
  <c r="BA32" i="273"/>
  <c r="BA33" i="273" s="1"/>
  <c r="BA2" i="280"/>
  <c r="AZ79" i="273"/>
  <c r="BA80" i="273" s="1"/>
  <c r="BA58" i="273" s="1"/>
  <c r="AZ22" i="280"/>
  <c r="AZ11" i="280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113" i="273" s="1"/>
  <c r="BA114" i="273" s="1"/>
  <c r="BA21" i="281" s="1"/>
  <c r="BA2" i="273"/>
  <c r="AZ120" i="273"/>
  <c r="AZ12" i="281" s="1"/>
  <c r="BB19" i="273"/>
  <c r="BB20" i="273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Y66" i="273"/>
  <c r="AY67" i="273" s="1"/>
  <c r="BA76" i="273"/>
  <c r="BA119" i="273"/>
  <c r="BA120" i="273" s="1"/>
  <c r="BA12" i="281" s="1"/>
  <c r="BA108" i="273"/>
  <c r="BA38" i="273"/>
  <c r="BA118" i="273"/>
  <c r="AX3" i="273"/>
  <c r="AX3" i="275"/>
  <c r="AX3" i="265"/>
  <c r="AX50" i="273"/>
  <c r="BA58" i="281" l="1"/>
  <c r="BA81" i="281"/>
  <c r="AZ46" i="281"/>
  <c r="AZ72" i="281"/>
  <c r="AX25" i="265"/>
  <c r="AA63" i="265"/>
  <c r="AA65" i="265" s="1"/>
  <c r="AA67" i="265" s="1"/>
  <c r="AA80" i="265" s="1"/>
  <c r="AB24" i="280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124" i="273"/>
  <c r="AW25" i="265"/>
  <c r="AW14" i="280"/>
  <c r="AY4" i="281"/>
  <c r="AY4" i="275"/>
  <c r="AY4" i="273"/>
  <c r="AY4" i="280"/>
  <c r="AY4" i="265"/>
  <c r="BA2" i="281"/>
  <c r="BA125" i="273"/>
  <c r="BA126" i="273" s="1"/>
  <c r="AS74" i="265"/>
  <c r="AS75" i="265" s="1"/>
  <c r="AS81" i="265" s="1"/>
  <c r="AT13" i="280"/>
  <c r="AT16" i="280" s="1"/>
  <c r="AY3" i="280"/>
  <c r="AY3" i="281"/>
  <c r="AY30" i="281"/>
  <c r="AY36" i="281" s="1"/>
  <c r="AY38" i="281" s="1"/>
  <c r="BA37" i="281"/>
  <c r="BA22" i="281"/>
  <c r="BA23" i="281" s="1"/>
  <c r="BA29" i="281" s="1"/>
  <c r="BA13" i="281"/>
  <c r="BA14" i="281" s="1"/>
  <c r="BA28" i="281" s="1"/>
  <c r="AZ14" i="281"/>
  <c r="AZ28" i="281" s="1"/>
  <c r="AZ30" i="281" s="1"/>
  <c r="AZ36" i="281" s="1"/>
  <c r="AZ38" i="281" s="1"/>
  <c r="BA11" i="280"/>
  <c r="BA22" i="280"/>
  <c r="BB32" i="273"/>
  <c r="BB33" i="273" s="1"/>
  <c r="BB38" i="273" s="1"/>
  <c r="BA42" i="273"/>
  <c r="BA4" i="265" s="1"/>
  <c r="BB90" i="273"/>
  <c r="BB91" i="273" s="1"/>
  <c r="BB100" i="273" s="1"/>
  <c r="BC101" i="273" s="1"/>
  <c r="BC59" i="273" s="1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B118" i="273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BA4" i="273"/>
  <c r="AZ112" i="273"/>
  <c r="BA109" i="273"/>
  <c r="AZ66" i="273"/>
  <c r="AZ67" i="273" s="1"/>
  <c r="BA4" i="275" l="1"/>
  <c r="BA46" i="281"/>
  <c r="BA72" i="281"/>
  <c r="AB62" i="281"/>
  <c r="AB63" i="281" s="1"/>
  <c r="AB30" i="265"/>
  <c r="AB33" i="265" s="1"/>
  <c r="AB37" i="265" s="1"/>
  <c r="AB42" i="265" s="1"/>
  <c r="AB47" i="265" s="1"/>
  <c r="AB50" i="265" s="1"/>
  <c r="AB30" i="280" s="1"/>
  <c r="AA83" i="265"/>
  <c r="AA82" i="265"/>
  <c r="AW76" i="281"/>
  <c r="AW78" i="281" s="1"/>
  <c r="AW85" i="281" s="1"/>
  <c r="AW86" i="281" s="1"/>
  <c r="AX83" i="281" s="1"/>
  <c r="AZ71" i="281"/>
  <c r="AZ73" i="281" s="1"/>
  <c r="AZ77" i="281" s="1"/>
  <c r="AZ84" i="281"/>
  <c r="AY84" i="281"/>
  <c r="AY71" i="281"/>
  <c r="AY73" i="281" s="1"/>
  <c r="AY77" i="281" s="1"/>
  <c r="BE5" i="281"/>
  <c r="BE5" i="280"/>
  <c r="BB2" i="281"/>
  <c r="BB125" i="273"/>
  <c r="BB126" i="273" s="1"/>
  <c r="BB75" i="273"/>
  <c r="BB76" i="273" s="1"/>
  <c r="BB2" i="273"/>
  <c r="BB2" i="275"/>
  <c r="BC24" i="273"/>
  <c r="BC25" i="273" s="1"/>
  <c r="BC124" i="273"/>
  <c r="BB96" i="273"/>
  <c r="BB97" i="273" s="1"/>
  <c r="BB119" i="273" s="1"/>
  <c r="BB120" i="273" s="1"/>
  <c r="BB12" i="281" s="1"/>
  <c r="BB2" i="280"/>
  <c r="AZ9" i="265"/>
  <c r="AZ11" i="265" s="1"/>
  <c r="AZ14" i="265" s="1"/>
  <c r="AZ19" i="265" s="1"/>
  <c r="AZ22" i="265" s="1"/>
  <c r="AZ14" i="280" s="1"/>
  <c r="AZ61" i="281"/>
  <c r="AZ50" i="281"/>
  <c r="AZ45" i="281"/>
  <c r="AZ47" i="281" s="1"/>
  <c r="AZ51" i="281" s="1"/>
  <c r="AY9" i="265"/>
  <c r="AY11" i="265" s="1"/>
  <c r="AY14" i="265" s="1"/>
  <c r="AY19" i="265" s="1"/>
  <c r="AY22" i="265" s="1"/>
  <c r="AY14" i="280" s="1"/>
  <c r="AY61" i="281"/>
  <c r="AY50" i="281"/>
  <c r="AY45" i="281"/>
  <c r="AY47" i="281" s="1"/>
  <c r="AY51" i="281" s="1"/>
  <c r="AT74" i="265"/>
  <c r="AT75" i="265" s="1"/>
  <c r="AT81" i="265" s="1"/>
  <c r="AU13" i="280"/>
  <c r="AU16" i="280" s="1"/>
  <c r="AZ25" i="265"/>
  <c r="AZ3" i="280"/>
  <c r="AZ3" i="281"/>
  <c r="BA4" i="280"/>
  <c r="BA4" i="281"/>
  <c r="BA30" i="281"/>
  <c r="BA36" i="281" s="1"/>
  <c r="BA38" i="281" s="1"/>
  <c r="BB37" i="281"/>
  <c r="BB13" i="281"/>
  <c r="BC2" i="280"/>
  <c r="BB22" i="280"/>
  <c r="BB11" i="280"/>
  <c r="BB42" i="273"/>
  <c r="BB4" i="281" s="1"/>
  <c r="BB108" i="273"/>
  <c r="BB109" i="273" s="1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56" i="273"/>
  <c r="BD37" i="273"/>
  <c r="BD47" i="273"/>
  <c r="BD48" i="273" s="1"/>
  <c r="BD51" i="273" s="1"/>
  <c r="BC96" i="273"/>
  <c r="BC97" i="273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A112" i="273"/>
  <c r="BC108" i="273"/>
  <c r="BB46" i="281" l="1"/>
  <c r="BB72" i="281"/>
  <c r="BB58" i="281"/>
  <c r="BB81" i="281"/>
  <c r="BB14" i="281"/>
  <c r="BB28" i="281" s="1"/>
  <c r="AB53" i="265"/>
  <c r="AB25" i="280"/>
  <c r="AB27" i="280" s="1"/>
  <c r="AY25" i="265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124" i="273"/>
  <c r="BA9" i="265"/>
  <c r="BA11" i="265" s="1"/>
  <c r="BA14" i="265" s="1"/>
  <c r="BA19" i="265" s="1"/>
  <c r="BA22" i="265" s="1"/>
  <c r="BA14" i="280" s="1"/>
  <c r="BA61" i="281"/>
  <c r="BA50" i="281"/>
  <c r="BA45" i="281"/>
  <c r="BA47" i="281" s="1"/>
  <c r="BA51" i="281" s="1"/>
  <c r="BC2" i="281"/>
  <c r="BC125" i="273"/>
  <c r="BC126" i="273" s="1"/>
  <c r="BC2" i="265"/>
  <c r="BC2" i="273"/>
  <c r="BC2" i="275"/>
  <c r="BC75" i="273"/>
  <c r="BC76" i="273" s="1"/>
  <c r="BC81" i="281" s="1"/>
  <c r="BB22" i="281"/>
  <c r="BB113" i="273"/>
  <c r="BB114" i="273" s="1"/>
  <c r="BB21" i="281" s="1"/>
  <c r="AV13" i="280"/>
  <c r="AV16" i="280" s="1"/>
  <c r="AU74" i="265"/>
  <c r="AU75" i="265" s="1"/>
  <c r="AU81" i="265" s="1"/>
  <c r="BA25" i="265"/>
  <c r="BD96" i="273"/>
  <c r="BD97" i="273" s="1"/>
  <c r="BD75" i="273"/>
  <c r="BC113" i="273"/>
  <c r="BC37" i="281"/>
  <c r="BC22" i="281"/>
  <c r="BC13" i="281"/>
  <c r="BC118" i="273"/>
  <c r="BC119" i="273"/>
  <c r="BC120" i="273" s="1"/>
  <c r="BC12" i="281" s="1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C22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C109" i="273"/>
  <c r="BB66" i="273"/>
  <c r="BB67" i="273" s="1"/>
  <c r="BD113" i="273"/>
  <c r="BD119" i="273"/>
  <c r="BD108" i="273"/>
  <c r="BD38" i="273" l="1"/>
  <c r="BD76" i="273"/>
  <c r="BC46" i="281"/>
  <c r="BC72" i="281"/>
  <c r="AC52" i="281"/>
  <c r="AC53" i="281" s="1"/>
  <c r="AB63" i="265"/>
  <c r="AB65" i="265" s="1"/>
  <c r="AB67" i="265" s="1"/>
  <c r="AB80" i="265" s="1"/>
  <c r="AC24" i="280"/>
  <c r="AY76" i="281"/>
  <c r="AY78" i="281" s="1"/>
  <c r="AY85" i="281" s="1"/>
  <c r="AY86" i="281" s="1"/>
  <c r="AZ83" i="281" s="1"/>
  <c r="BE24" i="273"/>
  <c r="BE25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120" i="273"/>
  <c r="BD12" i="281" s="1"/>
  <c r="BD42" i="273"/>
  <c r="BD4" i="280" s="1"/>
  <c r="BD79" i="273"/>
  <c r="BE80" i="273" s="1"/>
  <c r="BE58" i="273" s="1"/>
  <c r="BC11" i="280"/>
  <c r="BD11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AV74" i="265"/>
  <c r="AV75" i="265" s="1"/>
  <c r="AV81" i="265" s="1"/>
  <c r="AW13" i="280"/>
  <c r="AW16" i="280" s="1"/>
  <c r="BB3" i="280"/>
  <c r="BB3" i="281"/>
  <c r="BD4" i="281"/>
  <c r="BC14" i="281"/>
  <c r="BC28" i="281" s="1"/>
  <c r="BD37" i="281"/>
  <c r="BD22" i="281"/>
  <c r="BD13" i="281"/>
  <c r="BD14" i="281" s="1"/>
  <c r="BD28" i="281" s="1"/>
  <c r="BE2" i="280"/>
  <c r="BE2" i="273"/>
  <c r="BE39" i="273"/>
  <c r="BE41" i="273" s="1"/>
  <c r="BE42" i="273" s="1"/>
  <c r="BE2" i="275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112" i="273"/>
  <c r="BD109" i="273"/>
  <c r="BB50" i="273"/>
  <c r="BB3" i="273"/>
  <c r="BB3" i="275"/>
  <c r="BB3" i="265"/>
  <c r="BD4" i="275"/>
  <c r="BD4" i="273"/>
  <c r="BD60" i="273" l="1"/>
  <c r="BD58" i="281"/>
  <c r="BD81" i="281"/>
  <c r="BD22" i="280"/>
  <c r="BD15" i="275"/>
  <c r="BD20" i="275" s="1"/>
  <c r="BE17" i="275" s="1"/>
  <c r="BD57" i="273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C30" i="280" s="1"/>
  <c r="AB83" i="265"/>
  <c r="AB82" i="265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B51" i="281" s="1"/>
  <c r="BE2" i="281"/>
  <c r="BE125" i="273"/>
  <c r="BE126" i="273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81" i="281" s="1"/>
  <c r="BE96" i="273"/>
  <c r="BE97" i="273" s="1"/>
  <c r="BE32" i="273"/>
  <c r="BE33" i="273" s="1"/>
  <c r="BC30" i="281"/>
  <c r="BC36" i="281" s="1"/>
  <c r="BC38" i="281" s="1"/>
  <c r="BD114" i="273"/>
  <c r="BD21" i="281" s="1"/>
  <c r="BD23" i="281" s="1"/>
  <c r="BD29" i="281" s="1"/>
  <c r="BD30" i="281" s="1"/>
  <c r="BD36" i="281" s="1"/>
  <c r="BD38" i="281" s="1"/>
  <c r="AX13" i="280"/>
  <c r="AX16" i="280" s="1"/>
  <c r="AW74" i="265"/>
  <c r="AW75" i="265" s="1"/>
  <c r="AW81" i="265" s="1"/>
  <c r="BC3" i="280"/>
  <c r="BC3" i="281"/>
  <c r="BE52" i="273"/>
  <c r="BE4" i="280"/>
  <c r="BE4" i="281"/>
  <c r="BE37" i="281"/>
  <c r="BE22" i="281"/>
  <c r="BE13" i="281"/>
  <c r="BF32" i="273"/>
  <c r="BF33" i="273" s="1"/>
  <c r="BF118" i="273" s="1"/>
  <c r="BF2" i="280"/>
  <c r="BE79" i="273"/>
  <c r="BF80" i="273" s="1"/>
  <c r="BF58" i="273" s="1"/>
  <c r="BE22" i="280"/>
  <c r="BF96" i="273"/>
  <c r="BF97" i="273" s="1"/>
  <c r="BF119" i="273" s="1"/>
  <c r="BF90" i="273"/>
  <c r="BF91" i="273" s="1"/>
  <c r="BF100" i="273" s="1"/>
  <c r="BG101" i="273" s="1"/>
  <c r="BG59" i="273" s="1"/>
  <c r="BG19" i="273"/>
  <c r="BG20" i="273" s="1"/>
  <c r="BG56" i="273"/>
  <c r="BG37" i="273"/>
  <c r="BG47" i="273"/>
  <c r="BG48" i="273" s="1"/>
  <c r="BG51" i="273" s="1"/>
  <c r="BF2" i="273"/>
  <c r="BF2" i="275"/>
  <c r="BF2" i="265"/>
  <c r="BH13" i="273"/>
  <c r="BH14" i="273" s="1"/>
  <c r="BI10" i="273"/>
  <c r="BH5" i="275"/>
  <c r="BH5" i="273"/>
  <c r="BH5" i="265"/>
  <c r="BE4" i="275"/>
  <c r="BE4" i="265"/>
  <c r="BE4" i="273"/>
  <c r="BD66" i="273"/>
  <c r="BD67" i="273" s="1"/>
  <c r="BD112" i="273"/>
  <c r="BC3" i="273"/>
  <c r="BC3" i="265"/>
  <c r="BC50" i="273"/>
  <c r="BC3" i="275"/>
  <c r="BF38" i="273"/>
  <c r="BE46" i="281" l="1"/>
  <c r="BE72" i="281"/>
  <c r="AD60" i="281"/>
  <c r="AD52" i="281" s="1"/>
  <c r="AD53" i="281" s="1"/>
  <c r="AC64" i="265"/>
  <c r="AC53" i="265"/>
  <c r="AC25" i="280"/>
  <c r="AC27" i="280" s="1"/>
  <c r="BA76" i="281"/>
  <c r="BA78" i="281" s="1"/>
  <c r="BA85" i="281" s="1"/>
  <c r="BA86" i="281" s="1"/>
  <c r="BB83" i="281" s="1"/>
  <c r="BD71" i="281"/>
  <c r="BD73" i="281" s="1"/>
  <c r="BD77" i="281" s="1"/>
  <c r="BD84" i="281"/>
  <c r="BC84" i="281"/>
  <c r="BC71" i="281"/>
  <c r="BC73" i="281" s="1"/>
  <c r="BC77" i="281" s="1"/>
  <c r="BD9" i="265"/>
  <c r="BD11" i="265" s="1"/>
  <c r="BD14" i="265" s="1"/>
  <c r="BD19" i="265" s="1"/>
  <c r="BD22" i="265" s="1"/>
  <c r="BD14" i="280" s="1"/>
  <c r="BD61" i="281"/>
  <c r="BD50" i="281"/>
  <c r="BD45" i="281"/>
  <c r="BD47" i="281" s="1"/>
  <c r="BD51" i="281" s="1"/>
  <c r="BC9" i="265"/>
  <c r="BC11" i="265" s="1"/>
  <c r="BC14" i="265" s="1"/>
  <c r="BC19" i="265" s="1"/>
  <c r="BC22" i="265" s="1"/>
  <c r="BC61" i="281"/>
  <c r="BC50" i="281"/>
  <c r="BC45" i="281"/>
  <c r="BC47" i="281" s="1"/>
  <c r="BC51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124" i="273"/>
  <c r="BE11" i="280"/>
  <c r="BE119" i="273"/>
  <c r="BE120" i="273" s="1"/>
  <c r="BE12" i="281" s="1"/>
  <c r="BE14" i="281" s="1"/>
  <c r="BE28" i="281" s="1"/>
  <c r="BE108" i="273"/>
  <c r="BE109" i="273" s="1"/>
  <c r="BE112" i="273" s="1"/>
  <c r="BE113" i="273"/>
  <c r="BE114" i="273" s="1"/>
  <c r="BE21" i="281" s="1"/>
  <c r="BE23" i="281" s="1"/>
  <c r="BE29" i="281" s="1"/>
  <c r="BB25" i="265"/>
  <c r="BB14" i="280"/>
  <c r="BF2" i="281"/>
  <c r="BF125" i="273"/>
  <c r="BF126" i="273" s="1"/>
  <c r="BF75" i="273"/>
  <c r="BF76" i="273" s="1"/>
  <c r="BD25" i="265"/>
  <c r="AX74" i="265"/>
  <c r="AX75" i="265" s="1"/>
  <c r="AX81" i="265" s="1"/>
  <c r="AY13" i="280"/>
  <c r="AY16" i="280" s="1"/>
  <c r="BD3" i="280"/>
  <c r="BD3" i="281"/>
  <c r="BF113" i="273"/>
  <c r="BF37" i="281"/>
  <c r="BF22" i="281"/>
  <c r="BF13" i="281"/>
  <c r="BF22" i="280"/>
  <c r="BG75" i="273"/>
  <c r="BG76" i="273" s="1"/>
  <c r="BG79" i="273" s="1"/>
  <c r="BH80" i="273" s="1"/>
  <c r="BH58" i="273" s="1"/>
  <c r="BF108" i="273"/>
  <c r="BF109" i="273" s="1"/>
  <c r="BG2" i="265"/>
  <c r="BI13" i="273"/>
  <c r="BI14" i="273" s="1"/>
  <c r="BJ10" i="273"/>
  <c r="BI5" i="275"/>
  <c r="BI5" i="265"/>
  <c r="BI5" i="273"/>
  <c r="BG32" i="273"/>
  <c r="BG33" i="273" s="1"/>
  <c r="BG38" i="273" s="1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F114" i="273" l="1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24" i="280"/>
  <c r="AC63" i="265"/>
  <c r="AC65" i="265" s="1"/>
  <c r="AC67" i="265" s="1"/>
  <c r="AC80" i="265" s="1"/>
  <c r="AD62" i="281"/>
  <c r="AD63" i="281" s="1"/>
  <c r="AD30" i="265"/>
  <c r="AD33" i="265" s="1"/>
  <c r="AD37" i="265" s="1"/>
  <c r="AD42" i="265" s="1"/>
  <c r="AD47" i="265" s="1"/>
  <c r="AD50" i="265" s="1"/>
  <c r="AD30" i="280" s="1"/>
  <c r="BE30" i="281"/>
  <c r="BE36" i="281" s="1"/>
  <c r="BE38" i="281" s="1"/>
  <c r="BB76" i="281"/>
  <c r="BB78" i="281" s="1"/>
  <c r="BB85" i="281" s="1"/>
  <c r="BB86" i="281" s="1"/>
  <c r="BC83" i="281" s="1"/>
  <c r="BE61" i="281"/>
  <c r="BE45" i="281"/>
  <c r="BE47" i="281" s="1"/>
  <c r="BE51" i="281" s="1"/>
  <c r="BG2" i="281"/>
  <c r="BG125" i="273"/>
  <c r="BG126" i="273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2" i="280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2" i="281" s="1"/>
  <c r="BG2" i="280"/>
  <c r="BF11" i="280"/>
  <c r="BF52" i="273"/>
  <c r="BF42" i="273"/>
  <c r="BC25" i="265"/>
  <c r="BC14" i="280"/>
  <c r="BG39" i="273"/>
  <c r="BG41" i="273" s="1"/>
  <c r="AZ13" i="280"/>
  <c r="AZ16" i="280" s="1"/>
  <c r="AY74" i="265"/>
  <c r="AY75" i="265" s="1"/>
  <c r="AY81" i="265" s="1"/>
  <c r="BE3" i="280"/>
  <c r="BE3" i="281"/>
  <c r="BG22" i="280"/>
  <c r="BG11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E3" i="273"/>
  <c r="BE50" i="273"/>
  <c r="BE3" i="265"/>
  <c r="BE3" i="275"/>
  <c r="BG20" i="275"/>
  <c r="BH17" i="275" s="1"/>
  <c r="BF112" i="273"/>
  <c r="BH2" i="265" l="1"/>
  <c r="BF30" i="281"/>
  <c r="BF36" i="281" s="1"/>
  <c r="BF38" i="281" s="1"/>
  <c r="BH2" i="275"/>
  <c r="BG46" i="281"/>
  <c r="BG72" i="281"/>
  <c r="AD53" i="265"/>
  <c r="AD25" i="280"/>
  <c r="AD27" i="280" s="1"/>
  <c r="AC83" i="265"/>
  <c r="AC82" i="265"/>
  <c r="AE60" i="281"/>
  <c r="AE52" i="281" s="1"/>
  <c r="AE53" i="281" s="1"/>
  <c r="AD64" i="265"/>
  <c r="BF84" i="281"/>
  <c r="BF71" i="281"/>
  <c r="BF73" i="281" s="1"/>
  <c r="BF77" i="281" s="1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F9" i="265"/>
  <c r="BF11" i="265" s="1"/>
  <c r="BF14" i="265" s="1"/>
  <c r="BF19" i="265" s="1"/>
  <c r="BF22" i="265" s="1"/>
  <c r="BF14" i="280" s="1"/>
  <c r="BF61" i="281"/>
  <c r="BF50" i="281"/>
  <c r="BF45" i="281"/>
  <c r="BF47" i="281" s="1"/>
  <c r="BF51" i="281" s="1"/>
  <c r="BG42" i="273"/>
  <c r="BG52" i="273"/>
  <c r="BG119" i="273"/>
  <c r="BG120" i="273" s="1"/>
  <c r="BG12" i="281" s="1"/>
  <c r="BG108" i="273"/>
  <c r="BG109" i="273" s="1"/>
  <c r="BG113" i="273"/>
  <c r="BG114" i="273" s="1"/>
  <c r="BG21" i="281" s="1"/>
  <c r="BG23" i="281" s="1"/>
  <c r="BG29" i="281" s="1"/>
  <c r="BH2" i="281"/>
  <c r="BH125" i="273"/>
  <c r="BH126" i="273" s="1"/>
  <c r="BH90" i="273"/>
  <c r="BH91" i="273" s="1"/>
  <c r="BH100" i="273" s="1"/>
  <c r="BI101" i="273" s="1"/>
  <c r="BI59" i="273" s="1"/>
  <c r="BH75" i="273"/>
  <c r="BH76" i="273" s="1"/>
  <c r="BH81" i="281" s="1"/>
  <c r="BH2" i="273"/>
  <c r="BH96" i="273"/>
  <c r="BH97" i="273" s="1"/>
  <c r="BH108" i="273" s="1"/>
  <c r="BH109" i="273" s="1"/>
  <c r="BI24" i="273"/>
  <c r="BI2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BF25" i="265"/>
  <c r="AZ74" i="265"/>
  <c r="AZ75" i="265" s="1"/>
  <c r="AZ81" i="265" s="1"/>
  <c r="BA13" i="280"/>
  <c r="BA16" i="280" s="1"/>
  <c r="BF3" i="280"/>
  <c r="BF3" i="281"/>
  <c r="BH37" i="281"/>
  <c r="BH13" i="281"/>
  <c r="BI75" i="273"/>
  <c r="BI2" i="281"/>
  <c r="BI2" i="275"/>
  <c r="BI32" i="273"/>
  <c r="BI33" i="273" s="1"/>
  <c r="BI118" i="273" s="1"/>
  <c r="BI2" i="280"/>
  <c r="BI2" i="273"/>
  <c r="BI2" i="265"/>
  <c r="BI96" i="273"/>
  <c r="BI97" i="273" s="1"/>
  <c r="BI113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I38" i="273"/>
  <c r="BF3" i="265"/>
  <c r="BF3" i="273"/>
  <c r="BF3" i="275"/>
  <c r="BF50" i="273"/>
  <c r="BG66" i="273"/>
  <c r="BG67" i="273" s="1"/>
  <c r="BI119" i="273" l="1"/>
  <c r="BH46" i="281"/>
  <c r="BH72" i="281"/>
  <c r="AD63" i="265"/>
  <c r="AD65" i="265" s="1"/>
  <c r="AD67" i="265" s="1"/>
  <c r="AD80" i="265" s="1"/>
  <c r="AE24" i="280"/>
  <c r="AE62" i="281"/>
  <c r="AE63" i="281" s="1"/>
  <c r="AE30" i="265"/>
  <c r="AE33" i="265" s="1"/>
  <c r="AE37" i="265" s="1"/>
  <c r="AE42" i="265" s="1"/>
  <c r="AE47" i="265" s="1"/>
  <c r="AE50" i="265" s="1"/>
  <c r="AE30" i="280" s="1"/>
  <c r="BD76" i="281"/>
  <c r="BD78" i="281" s="1"/>
  <c r="BD85" i="281" s="1"/>
  <c r="BD86" i="281" s="1"/>
  <c r="BE83" i="281" s="1"/>
  <c r="BG30" i="281"/>
  <c r="BG36" i="281" s="1"/>
  <c r="BG38" i="281" s="1"/>
  <c r="BG61" i="281" s="1"/>
  <c r="BE14" i="280"/>
  <c r="BE25" i="265"/>
  <c r="BH58" i="281"/>
  <c r="BH22" i="280"/>
  <c r="BH57" i="273"/>
  <c r="BH60" i="273" s="1"/>
  <c r="BH66" i="273" s="1"/>
  <c r="BH67" i="273" s="1"/>
  <c r="BH15" i="275"/>
  <c r="BH20" i="275" s="1"/>
  <c r="BI17" i="275" s="1"/>
  <c r="BH11" i="280"/>
  <c r="BH79" i="273"/>
  <c r="BI80" i="273" s="1"/>
  <c r="BI58" i="273" s="1"/>
  <c r="BG4" i="280"/>
  <c r="BG4" i="273"/>
  <c r="BG4" i="281"/>
  <c r="BG4" i="265"/>
  <c r="BG4" i="275"/>
  <c r="BJ24" i="273"/>
  <c r="BJ25" i="273" s="1"/>
  <c r="BJ124" i="273"/>
  <c r="BL5" i="281"/>
  <c r="BL5" i="280"/>
  <c r="BH113" i="273"/>
  <c r="BH114" i="273" s="1"/>
  <c r="BH21" i="281" s="1"/>
  <c r="BI76" i="273"/>
  <c r="BI81" i="281" s="1"/>
  <c r="BH22" i="281"/>
  <c r="BH119" i="273"/>
  <c r="BH120" i="273" s="1"/>
  <c r="BH12" i="281" s="1"/>
  <c r="BH14" i="281" s="1"/>
  <c r="BH28" i="281" s="1"/>
  <c r="BH52" i="273"/>
  <c r="BH42" i="273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A74" i="265"/>
  <c r="BA75" i="265" s="1"/>
  <c r="BA81" i="265" s="1"/>
  <c r="BB13" i="280"/>
  <c r="BB16" i="280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J79" i="273" s="1"/>
  <c r="BK80" i="273" s="1"/>
  <c r="BK58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I109" i="273"/>
  <c r="BI46" i="281" l="1"/>
  <c r="BI72" i="281"/>
  <c r="BJ58" i="281"/>
  <c r="BJ81" i="281"/>
  <c r="BG45" i="281"/>
  <c r="BG47" i="281" s="1"/>
  <c r="BG51" i="281" s="1"/>
  <c r="AE53" i="265"/>
  <c r="AE25" i="280"/>
  <c r="AE27" i="280" s="1"/>
  <c r="AF60" i="281"/>
  <c r="AE64" i="265"/>
  <c r="AD83" i="265"/>
  <c r="AD82" i="265"/>
  <c r="BE76" i="281"/>
  <c r="BE78" i="281" s="1"/>
  <c r="BE85" i="281" s="1"/>
  <c r="BE86" i="281" s="1"/>
  <c r="BF83" i="281" s="1"/>
  <c r="BH30" i="281"/>
  <c r="BH36" i="281" s="1"/>
  <c r="BH38" i="281" s="1"/>
  <c r="BH61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2" i="275" s="1"/>
  <c r="BK124" i="273"/>
  <c r="BJ96" i="273"/>
  <c r="BJ97" i="273" s="1"/>
  <c r="BJ119" i="273" s="1"/>
  <c r="BI42" i="273"/>
  <c r="BJ32" i="273"/>
  <c r="BJ33" i="273" s="1"/>
  <c r="BH4" i="280"/>
  <c r="BH4" i="275"/>
  <c r="BH4" i="281"/>
  <c r="BH4" i="265"/>
  <c r="BH4" i="273"/>
  <c r="BI58" i="281"/>
  <c r="BI11" i="280"/>
  <c r="BI57" i="273"/>
  <c r="BI60" i="273" s="1"/>
  <c r="BI66" i="273" s="1"/>
  <c r="BI67" i="273" s="1"/>
  <c r="BI15" i="275"/>
  <c r="BI20" i="275" s="1"/>
  <c r="BJ17" i="275" s="1"/>
  <c r="BI22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C13" i="280"/>
  <c r="BC16" i="280" s="1"/>
  <c r="BB74" i="265"/>
  <c r="BB75" i="265" s="1"/>
  <c r="BB81" i="265" s="1"/>
  <c r="BH3" i="280"/>
  <c r="BH3" i="281"/>
  <c r="BK2" i="273"/>
  <c r="BJ13" i="281"/>
  <c r="BI4" i="280"/>
  <c r="BI4" i="281"/>
  <c r="BJ57" i="273"/>
  <c r="BJ22" i="280"/>
  <c r="BJ11" i="280"/>
  <c r="BK75" i="273"/>
  <c r="BK76" i="273" s="1"/>
  <c r="BK81" i="281" s="1"/>
  <c r="BJ15" i="275"/>
  <c r="BJ20" i="275" s="1"/>
  <c r="BK17" i="275" s="1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BJ120" i="273" l="1"/>
  <c r="BJ12" i="281" s="1"/>
  <c r="BJ14" i="281" s="1"/>
  <c r="BJ28" i="281" s="1"/>
  <c r="BJ46" i="281"/>
  <c r="BJ72" i="281"/>
  <c r="BJ60" i="273"/>
  <c r="BK96" i="273"/>
  <c r="BK97" i="273" s="1"/>
  <c r="BK37" i="281" s="1"/>
  <c r="BJ37" i="281"/>
  <c r="BH45" i="281"/>
  <c r="BH47" i="281" s="1"/>
  <c r="BH51" i="281" s="1"/>
  <c r="AF52" i="281"/>
  <c r="AF53" i="281" s="1"/>
  <c r="AE63" i="265"/>
  <c r="AE65" i="265" s="1"/>
  <c r="AE67" i="265" s="1"/>
  <c r="AE80" i="265" s="1"/>
  <c r="AF24" i="280"/>
  <c r="BF76" i="281"/>
  <c r="BF78" i="281" s="1"/>
  <c r="BF85" i="281" s="1"/>
  <c r="BF86" i="281" s="1"/>
  <c r="BG83" i="281" s="1"/>
  <c r="BG14" i="280"/>
  <c r="BG25" i="265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96" i="273" s="1"/>
  <c r="BL97" i="273" s="1"/>
  <c r="BL119" i="273" s="1"/>
  <c r="BL124" i="273"/>
  <c r="BK2" i="281"/>
  <c r="BK125" i="273"/>
  <c r="BK126" i="273" s="1"/>
  <c r="BK90" i="273"/>
  <c r="BK91" i="273" s="1"/>
  <c r="BK100" i="273" s="1"/>
  <c r="BL101" i="273" s="1"/>
  <c r="BL59" i="273" s="1"/>
  <c r="BJ42" i="273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K4" i="281" s="1"/>
  <c r="BI4" i="273"/>
  <c r="BI4" i="265"/>
  <c r="BI4" i="275"/>
  <c r="BC74" i="265"/>
  <c r="BC75" i="265" s="1"/>
  <c r="BC81" i="265" s="1"/>
  <c r="BD13" i="280"/>
  <c r="BD16" i="280" s="1"/>
  <c r="BI3" i="280"/>
  <c r="BI3" i="281"/>
  <c r="BK113" i="273"/>
  <c r="BK114" i="273" s="1"/>
  <c r="BK21" i="281" s="1"/>
  <c r="BK22" i="281"/>
  <c r="BK4" i="280"/>
  <c r="BL75" i="273"/>
  <c r="BL76" i="273" s="1"/>
  <c r="BK57" i="273"/>
  <c r="BK60" i="273" s="1"/>
  <c r="BK22" i="280"/>
  <c r="BK11" i="280"/>
  <c r="BK119" i="273"/>
  <c r="BL2" i="265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K4" i="265"/>
  <c r="BJ112" i="273"/>
  <c r="BJ66" i="273"/>
  <c r="BJ67" i="273" s="1"/>
  <c r="BK23" i="281" l="1"/>
  <c r="BK29" i="281" s="1"/>
  <c r="BL58" i="281"/>
  <c r="BL81" i="281"/>
  <c r="BK4" i="273"/>
  <c r="BK4" i="275"/>
  <c r="BL79" i="273"/>
  <c r="BM80" i="273" s="1"/>
  <c r="BM58" i="273" s="1"/>
  <c r="BK52" i="273"/>
  <c r="BK108" i="273"/>
  <c r="BK109" i="273" s="1"/>
  <c r="BK13" i="281"/>
  <c r="BK46" i="281"/>
  <c r="BK72" i="281"/>
  <c r="BJ23" i="281"/>
  <c r="BJ29" i="281" s="1"/>
  <c r="BJ30" i="281" s="1"/>
  <c r="BJ36" i="281" s="1"/>
  <c r="BJ38" i="281" s="1"/>
  <c r="BJ84" i="281" s="1"/>
  <c r="AF62" i="281"/>
  <c r="AF63" i="281" s="1"/>
  <c r="AF30" i="265"/>
  <c r="AF33" i="265" s="1"/>
  <c r="AF37" i="265" s="1"/>
  <c r="AF42" i="265" s="1"/>
  <c r="AF47" i="265" s="1"/>
  <c r="AF50" i="265" s="1"/>
  <c r="AF30" i="280" s="1"/>
  <c r="AE83" i="265"/>
  <c r="AE82" i="265"/>
  <c r="BG76" i="281"/>
  <c r="BG78" i="281" s="1"/>
  <c r="BG85" i="281" s="1"/>
  <c r="BG86" i="281" s="1"/>
  <c r="BH83" i="281" s="1"/>
  <c r="BI84" i="281"/>
  <c r="BI71" i="281"/>
  <c r="BI73" i="281" s="1"/>
  <c r="BI77" i="281" s="1"/>
  <c r="BH25" i="265"/>
  <c r="BH14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2" i="275"/>
  <c r="BL32" i="273"/>
  <c r="BL33" i="273" s="1"/>
  <c r="BL15" i="275"/>
  <c r="BL57" i="273"/>
  <c r="BO5" i="281"/>
  <c r="BO5" i="280"/>
  <c r="BL90" i="273"/>
  <c r="BL91" i="273" s="1"/>
  <c r="BL100" i="273" s="1"/>
  <c r="BM101" i="273" s="1"/>
  <c r="BM59" i="273" s="1"/>
  <c r="BM24" i="273"/>
  <c r="BM25" i="273" s="1"/>
  <c r="BM32" i="273" s="1"/>
  <c r="BM33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I51" i="281" s="1"/>
  <c r="BE13" i="280"/>
  <c r="BE16" i="280" s="1"/>
  <c r="BD74" i="265"/>
  <c r="BD75" i="265" s="1"/>
  <c r="BD81" i="265" s="1"/>
  <c r="BJ3" i="280"/>
  <c r="BJ3" i="281"/>
  <c r="BL108" i="273"/>
  <c r="BL37" i="281"/>
  <c r="BL22" i="281"/>
  <c r="BL13" i="281"/>
  <c r="BL22" i="280"/>
  <c r="BL11" i="280"/>
  <c r="BL20" i="275"/>
  <c r="BM17" i="275" s="1"/>
  <c r="BM75" i="273"/>
  <c r="BM76" i="273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L109" i="273"/>
  <c r="BK112" i="273"/>
  <c r="BK66" i="273"/>
  <c r="BK67" i="273" s="1"/>
  <c r="BL60" i="273"/>
  <c r="BJ71" i="281" l="1"/>
  <c r="BJ73" i="281" s="1"/>
  <c r="BJ77" i="281" s="1"/>
  <c r="BM38" i="273"/>
  <c r="BM118" i="273"/>
  <c r="BM58" i="281"/>
  <c r="BM81" i="281"/>
  <c r="BL46" i="281"/>
  <c r="BL72" i="281"/>
  <c r="BL42" i="273"/>
  <c r="BK14" i="281"/>
  <c r="BK28" i="281" s="1"/>
  <c r="BK30" i="281" s="1"/>
  <c r="BK36" i="281" s="1"/>
  <c r="BK38" i="281" s="1"/>
  <c r="BK84" i="281" s="1"/>
  <c r="BJ45" i="281"/>
  <c r="BJ47" i="281" s="1"/>
  <c r="BJ51" i="281" s="1"/>
  <c r="BJ61" i="281"/>
  <c r="BJ50" i="281"/>
  <c r="BJ9" i="265"/>
  <c r="BJ11" i="265" s="1"/>
  <c r="BJ14" i="265" s="1"/>
  <c r="BJ19" i="265" s="1"/>
  <c r="BJ22" i="265" s="1"/>
  <c r="AF53" i="265"/>
  <c r="AF25" i="280"/>
  <c r="AF27" i="280" s="1"/>
  <c r="AG60" i="281"/>
  <c r="AG52" i="281" s="1"/>
  <c r="AG53" i="281" s="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96" i="273"/>
  <c r="BM97" i="273" s="1"/>
  <c r="BM2" i="273"/>
  <c r="BN24" i="273"/>
  <c r="BN25" i="273" s="1"/>
  <c r="BN32" i="273" s="1"/>
  <c r="BN33" i="273" s="1"/>
  <c r="BN124" i="273"/>
  <c r="BM2" i="275"/>
  <c r="BM90" i="273"/>
  <c r="BM91" i="273" s="1"/>
  <c r="BM100" i="273" s="1"/>
  <c r="BN101" i="273" s="1"/>
  <c r="BN59" i="273" s="1"/>
  <c r="BM2" i="280"/>
  <c r="BK61" i="281"/>
  <c r="BI14" i="280"/>
  <c r="BI25" i="265"/>
  <c r="BL38" i="273"/>
  <c r="BM39" i="273" s="1"/>
  <c r="BM41" i="273" s="1"/>
  <c r="BL118" i="273"/>
  <c r="BL120" i="273"/>
  <c r="BL12" i="281" s="1"/>
  <c r="BL14" i="281" s="1"/>
  <c r="BL28" i="281" s="1"/>
  <c r="BF13" i="280"/>
  <c r="BF16" i="280" s="1"/>
  <c r="BE74" i="265"/>
  <c r="BE75" i="265" s="1"/>
  <c r="BE81" i="265" s="1"/>
  <c r="BL23" i="281"/>
  <c r="BL29" i="281" s="1"/>
  <c r="BK3" i="280"/>
  <c r="BK3" i="281"/>
  <c r="BN96" i="273"/>
  <c r="BN97" i="273" s="1"/>
  <c r="BN119" i="273" s="1"/>
  <c r="BL4" i="280"/>
  <c r="BL4" i="281"/>
  <c r="BM22" i="280"/>
  <c r="BM11" i="280"/>
  <c r="BN75" i="273"/>
  <c r="BN76" i="273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L66" i="273"/>
  <c r="BL67" i="273" s="1"/>
  <c r="BL112" i="273"/>
  <c r="BK3" i="275"/>
  <c r="BK3" i="273"/>
  <c r="BK3" i="265"/>
  <c r="BK50" i="273"/>
  <c r="BN108" i="273" l="1"/>
  <c r="BK45" i="281"/>
  <c r="BK47" i="281" s="1"/>
  <c r="BK51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AG24" i="280"/>
  <c r="AF63" i="265"/>
  <c r="AF65" i="265" s="1"/>
  <c r="AF67" i="265" s="1"/>
  <c r="AF80" i="265" s="1"/>
  <c r="BJ25" i="265"/>
  <c r="BJ14" i="280"/>
  <c r="AG62" i="281"/>
  <c r="AG63" i="281" s="1"/>
  <c r="AG30" i="265"/>
  <c r="AG33" i="265" s="1"/>
  <c r="AG37" i="265" s="1"/>
  <c r="AG42" i="265" s="1"/>
  <c r="AG47" i="265" s="1"/>
  <c r="AG50" i="265" s="1"/>
  <c r="AG30" i="280" s="1"/>
  <c r="BI76" i="281"/>
  <c r="BI78" i="281" s="1"/>
  <c r="BI85" i="281" s="1"/>
  <c r="BI86" i="281" s="1"/>
  <c r="BJ83" i="281" s="1"/>
  <c r="BO24" i="273"/>
  <c r="BO25" i="273" s="1"/>
  <c r="BO124" i="273"/>
  <c r="BL30" i="281"/>
  <c r="BL36" i="281" s="1"/>
  <c r="BL38" i="281" s="1"/>
  <c r="BN2" i="281"/>
  <c r="BN125" i="273"/>
  <c r="BN126" i="273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114" i="273" s="1"/>
  <c r="BN21" i="281" s="1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N39" i="273"/>
  <c r="BN41" i="273" s="1"/>
  <c r="BF74" i="265"/>
  <c r="BF75" i="265" s="1"/>
  <c r="BF81" i="265" s="1"/>
  <c r="BG13" i="280"/>
  <c r="BG16" i="280" s="1"/>
  <c r="BL3" i="280"/>
  <c r="BL3" i="281"/>
  <c r="BN37" i="281"/>
  <c r="BN22" i="281"/>
  <c r="BN13" i="281"/>
  <c r="BN11" i="280"/>
  <c r="BN22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112" i="273"/>
  <c r="BN109" i="273"/>
  <c r="BL3" i="273"/>
  <c r="BL3" i="265"/>
  <c r="BL50" i="273"/>
  <c r="BL3" i="275"/>
  <c r="BO39" i="273" l="1"/>
  <c r="BO41" i="273" s="1"/>
  <c r="BO52" i="273" s="1"/>
  <c r="BO42" i="273"/>
  <c r="BO4" i="281" s="1"/>
  <c r="BK25" i="265"/>
  <c r="BK14" i="280"/>
  <c r="BN23" i="281"/>
  <c r="BN29" i="281" s="1"/>
  <c r="BN46" i="281"/>
  <c r="BN72" i="281"/>
  <c r="AG53" i="265"/>
  <c r="AG25" i="280"/>
  <c r="AG27" i="280" s="1"/>
  <c r="AF82" i="265"/>
  <c r="AF83" i="265"/>
  <c r="AH60" i="281"/>
  <c r="AG64" i="265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124" i="273"/>
  <c r="BN52" i="273"/>
  <c r="BN42" i="273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L51" i="281" s="1"/>
  <c r="BO2" i="281"/>
  <c r="BO125" i="273"/>
  <c r="BO126" i="273" s="1"/>
  <c r="BO32" i="273"/>
  <c r="BO33" i="273" s="1"/>
  <c r="BO96" i="273"/>
  <c r="BO97" i="273" s="1"/>
  <c r="BO75" i="273"/>
  <c r="BO76" i="273" s="1"/>
  <c r="BO81" i="281" s="1"/>
  <c r="BO2" i="265"/>
  <c r="BG74" i="265"/>
  <c r="BG75" i="265" s="1"/>
  <c r="BG81" i="265" s="1"/>
  <c r="BH13" i="280"/>
  <c r="BH16" i="280" s="1"/>
  <c r="BM3" i="280"/>
  <c r="BM3" i="281"/>
  <c r="BO4" i="280"/>
  <c r="BP32" i="273"/>
  <c r="BP33" i="273" s="1"/>
  <c r="BP118" i="273" s="1"/>
  <c r="BP2" i="280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P2" i="273"/>
  <c r="BP96" i="273"/>
  <c r="BP97" i="273" s="1"/>
  <c r="BP2" i="265"/>
  <c r="BR13" i="273"/>
  <c r="BR14" i="273" s="1"/>
  <c r="BS10" i="273"/>
  <c r="BR5" i="275"/>
  <c r="BR5" i="273"/>
  <c r="BR5" i="265"/>
  <c r="BN112" i="273"/>
  <c r="BN66" i="273"/>
  <c r="BN67" i="273" s="1"/>
  <c r="BP108" i="273"/>
  <c r="BO4" i="275"/>
  <c r="BO4" i="273"/>
  <c r="BM3" i="265"/>
  <c r="BM3" i="275"/>
  <c r="BM50" i="273"/>
  <c r="BM3" i="273"/>
  <c r="BN30" i="281" l="1"/>
  <c r="BN36" i="281" s="1"/>
  <c r="BN38" i="281" s="1"/>
  <c r="BN84" i="281" s="1"/>
  <c r="BO4" i="265"/>
  <c r="BP38" i="273"/>
  <c r="BO46" i="281"/>
  <c r="BO72" i="281"/>
  <c r="AG63" i="265"/>
  <c r="AG65" i="265" s="1"/>
  <c r="AG67" i="265" s="1"/>
  <c r="AG80" i="265" s="1"/>
  <c r="AH24" i="280"/>
  <c r="AH52" i="281"/>
  <c r="AH53" i="281" s="1"/>
  <c r="BK76" i="281"/>
  <c r="BK78" i="281" s="1"/>
  <c r="BK85" i="281" s="1"/>
  <c r="BK86" i="281" s="1"/>
  <c r="BL83" i="281" s="1"/>
  <c r="BN71" i="281"/>
  <c r="BN73" i="281" s="1"/>
  <c r="BN77" i="281" s="1"/>
  <c r="BM30" i="281"/>
  <c r="BM36" i="281" s="1"/>
  <c r="BM38" i="281" s="1"/>
  <c r="BM9" i="265" s="1"/>
  <c r="BM11" i="265" s="1"/>
  <c r="BM14" i="265" s="1"/>
  <c r="BM19" i="265" s="1"/>
  <c r="BM22" i="265" s="1"/>
  <c r="BN9" i="265"/>
  <c r="BN11" i="265" s="1"/>
  <c r="BN14" i="265" s="1"/>
  <c r="BN19" i="265" s="1"/>
  <c r="BN22" i="265" s="1"/>
  <c r="BN25" i="265" s="1"/>
  <c r="BN50" i="281"/>
  <c r="BS5" i="281"/>
  <c r="BS5" i="280"/>
  <c r="BQ24" i="273"/>
  <c r="BQ25" i="273" s="1"/>
  <c r="BQ96" i="273" s="1"/>
  <c r="BQ97" i="273" s="1"/>
  <c r="BQ124" i="273"/>
  <c r="BO22" i="281"/>
  <c r="BO119" i="273"/>
  <c r="BO120" i="273" s="1"/>
  <c r="BO12" i="281" s="1"/>
  <c r="BO108" i="273"/>
  <c r="BO109" i="273" s="1"/>
  <c r="BP109" i="273" s="1"/>
  <c r="BO37" i="281"/>
  <c r="BO13" i="281"/>
  <c r="BO113" i="273"/>
  <c r="BO114" i="273" s="1"/>
  <c r="BO21" i="281" s="1"/>
  <c r="BM50" i="281"/>
  <c r="BO58" i="281"/>
  <c r="BO11" i="280"/>
  <c r="BO57" i="273"/>
  <c r="BO60" i="273" s="1"/>
  <c r="BO66" i="273" s="1"/>
  <c r="BO67" i="273" s="1"/>
  <c r="BO15" i="275"/>
  <c r="BO20" i="275" s="1"/>
  <c r="BP17" i="275" s="1"/>
  <c r="BO22" i="280"/>
  <c r="BO79" i="273"/>
  <c r="BP80" i="273" s="1"/>
  <c r="BP58" i="273" s="1"/>
  <c r="BO118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5" i="273"/>
  <c r="BP126" i="273" s="1"/>
  <c r="BP75" i="273"/>
  <c r="BP76" i="273" s="1"/>
  <c r="BP81" i="281" s="1"/>
  <c r="BH74" i="265"/>
  <c r="BH75" i="265" s="1"/>
  <c r="BH81" i="265" s="1"/>
  <c r="BI13" i="280"/>
  <c r="BI16" i="280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Q90" i="273"/>
  <c r="BQ91" i="273" s="1"/>
  <c r="BQ100" i="273" s="1"/>
  <c r="BR101" i="273" s="1"/>
  <c r="BR59" i="273" s="1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BN45" i="281" l="1"/>
  <c r="BN47" i="281" s="1"/>
  <c r="BN51" i="281" s="1"/>
  <c r="BN61" i="281"/>
  <c r="BO112" i="273"/>
  <c r="BN14" i="280"/>
  <c r="BP46" i="281"/>
  <c r="BP72" i="281"/>
  <c r="AH62" i="281"/>
  <c r="AH63" i="281" s="1"/>
  <c r="AH30" i="265"/>
  <c r="AH33" i="265" s="1"/>
  <c r="AH37" i="265" s="1"/>
  <c r="AH42" i="265" s="1"/>
  <c r="AH47" i="265" s="1"/>
  <c r="AH50" i="265" s="1"/>
  <c r="AH30" i="280" s="1"/>
  <c r="AG82" i="265"/>
  <c r="AG83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51" i="281" s="1"/>
  <c r="BM61" i="281"/>
  <c r="BO14" i="281"/>
  <c r="BO28" i="281" s="1"/>
  <c r="BO23" i="281"/>
  <c r="BO29" i="281" s="1"/>
  <c r="BT5" i="281"/>
  <c r="BT5" i="280"/>
  <c r="BM14" i="280"/>
  <c r="BM25" i="265"/>
  <c r="BQ2" i="281"/>
  <c r="BQ125" i="273"/>
  <c r="BQ126" i="273" s="1"/>
  <c r="BQ2" i="265"/>
  <c r="BQ32" i="273"/>
  <c r="BQ33" i="273" s="1"/>
  <c r="BQ2" i="275"/>
  <c r="BR24" i="273"/>
  <c r="BR25" i="273" s="1"/>
  <c r="BR124" i="273"/>
  <c r="BQ2" i="273"/>
  <c r="BQ75" i="273"/>
  <c r="BP120" i="273"/>
  <c r="BP12" i="281" s="1"/>
  <c r="BP14" i="281" s="1"/>
  <c r="BP28" i="281" s="1"/>
  <c r="BP58" i="281"/>
  <c r="BP11" i="280"/>
  <c r="BP57" i="273"/>
  <c r="BP60" i="273" s="1"/>
  <c r="BP66" i="273" s="1"/>
  <c r="BP67" i="273" s="1"/>
  <c r="BP15" i="275"/>
  <c r="BP20" i="275" s="1"/>
  <c r="BQ17" i="275" s="1"/>
  <c r="BP22" i="280"/>
  <c r="BP79" i="273"/>
  <c r="BQ80" i="273" s="1"/>
  <c r="BQ58" i="273" s="1"/>
  <c r="BP52" i="273"/>
  <c r="BP42" i="273"/>
  <c r="BQ39" i="273"/>
  <c r="BQ41" i="273" s="1"/>
  <c r="BI74" i="265"/>
  <c r="BI75" i="265" s="1"/>
  <c r="BI81" i="265" s="1"/>
  <c r="BJ13" i="280"/>
  <c r="BJ16" i="280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R2" i="265"/>
  <c r="BT13" i="273"/>
  <c r="BT14" i="273" s="1"/>
  <c r="BU10" i="273"/>
  <c r="BT5" i="273"/>
  <c r="BT5" i="265"/>
  <c r="BT5" i="275"/>
  <c r="BP112" i="273"/>
  <c r="BQ109" i="273"/>
  <c r="BO3" i="265"/>
  <c r="BO3" i="275"/>
  <c r="BO50" i="273"/>
  <c r="BO3" i="273"/>
  <c r="BR38" i="273" l="1"/>
  <c r="BQ46" i="281"/>
  <c r="BQ72" i="281"/>
  <c r="AH53" i="265"/>
  <c r="AH25" i="280"/>
  <c r="AH27" i="280" s="1"/>
  <c r="BO30" i="281"/>
  <c r="BO36" i="281" s="1"/>
  <c r="BO38" i="281" s="1"/>
  <c r="BO61" i="281" s="1"/>
  <c r="AI60" i="281"/>
  <c r="AI52" i="281" s="1"/>
  <c r="AI53" i="281" s="1"/>
  <c r="AH64" i="265"/>
  <c r="BM76" i="281"/>
  <c r="BM78" i="281" s="1"/>
  <c r="BM85" i="281" s="1"/>
  <c r="BM86" i="281" s="1"/>
  <c r="BN83" i="281" s="1"/>
  <c r="BO84" i="281"/>
  <c r="BU5" i="281"/>
  <c r="BU5" i="280"/>
  <c r="BQ42" i="273"/>
  <c r="BQ52" i="273"/>
  <c r="BQ76" i="273"/>
  <c r="BQ81" i="281" s="1"/>
  <c r="BR125" i="273"/>
  <c r="BR126" i="273" s="1"/>
  <c r="BR75" i="273"/>
  <c r="BR76" i="273" s="1"/>
  <c r="BR81" i="281" s="1"/>
  <c r="BR2" i="275"/>
  <c r="BR2" i="273"/>
  <c r="BQ38" i="273"/>
  <c r="BR39" i="273" s="1"/>
  <c r="BR41" i="273" s="1"/>
  <c r="BQ118" i="273"/>
  <c r="BR96" i="273"/>
  <c r="BR97" i="273" s="1"/>
  <c r="BS24" i="273"/>
  <c r="BS25" i="273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K13" i="280"/>
  <c r="BK16" i="280" s="1"/>
  <c r="BJ74" i="265"/>
  <c r="BJ75" i="265" s="1"/>
  <c r="BJ81" i="265" s="1"/>
  <c r="BP3" i="280"/>
  <c r="BP3" i="281"/>
  <c r="BR119" i="273"/>
  <c r="BR37" i="281"/>
  <c r="BR22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BS58" i="281" l="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51" i="281" s="1"/>
  <c r="BO71" i="281"/>
  <c r="BO73" i="281" s="1"/>
  <c r="BO77" i="281" s="1"/>
  <c r="AI62" i="281"/>
  <c r="AI63" i="281" s="1"/>
  <c r="AI30" i="265"/>
  <c r="AI33" i="265" s="1"/>
  <c r="AI37" i="265" s="1"/>
  <c r="AI42" i="265" s="1"/>
  <c r="AI47" i="265" s="1"/>
  <c r="AI50" i="265" s="1"/>
  <c r="AI30" i="280" s="1"/>
  <c r="AI24" i="280"/>
  <c r="AH63" i="265"/>
  <c r="AH65" i="265" s="1"/>
  <c r="AH67" i="265" s="1"/>
  <c r="AH80" i="265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22" i="280"/>
  <c r="BR79" i="273"/>
  <c r="BS80" i="273" s="1"/>
  <c r="BS58" i="273" s="1"/>
  <c r="BR11" i="280"/>
  <c r="BR57" i="273"/>
  <c r="BR15" i="275"/>
  <c r="BS2" i="281"/>
  <c r="BS125" i="273"/>
  <c r="BS126" i="273" s="1"/>
  <c r="BS96" i="273"/>
  <c r="BS97" i="273" s="1"/>
  <c r="BQ4" i="280"/>
  <c r="BQ4" i="265"/>
  <c r="BQ4" i="281"/>
  <c r="BQ4" i="275"/>
  <c r="BQ4" i="273"/>
  <c r="BT24" i="273"/>
  <c r="BT25" i="273" s="1"/>
  <c r="BT2" i="280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P51" i="281" s="1"/>
  <c r="BR52" i="273"/>
  <c r="BR42" i="273"/>
  <c r="BQ58" i="281"/>
  <c r="BQ57" i="273"/>
  <c r="BQ60" i="273" s="1"/>
  <c r="BQ15" i="275"/>
  <c r="BQ20" i="275" s="1"/>
  <c r="BR17" i="275" s="1"/>
  <c r="BQ79" i="273"/>
  <c r="BR80" i="273" s="1"/>
  <c r="BR58" i="273" s="1"/>
  <c r="BQ11" i="280"/>
  <c r="BQ22" i="280"/>
  <c r="BS39" i="273"/>
  <c r="BS41" i="273" s="1"/>
  <c r="BK74" i="265"/>
  <c r="BK75" i="265" s="1"/>
  <c r="BK81" i="265" s="1"/>
  <c r="BL13" i="280"/>
  <c r="BL16" i="280" s="1"/>
  <c r="BQ30" i="281"/>
  <c r="BQ36" i="281" s="1"/>
  <c r="BQ38" i="281" s="1"/>
  <c r="BR23" i="281"/>
  <c r="BR29" i="281" s="1"/>
  <c r="BS22" i="280"/>
  <c r="BS11" i="280"/>
  <c r="BT75" i="273"/>
  <c r="BT76" i="273" s="1"/>
  <c r="BT81" i="281" s="1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BT90" i="273" l="1"/>
  <c r="BT91" i="273" s="1"/>
  <c r="BT100" i="273" s="1"/>
  <c r="BU101" i="273" s="1"/>
  <c r="BU59" i="273" s="1"/>
  <c r="BS46" i="281"/>
  <c r="BS72" i="281"/>
  <c r="BR20" i="275"/>
  <c r="BS17" i="275" s="1"/>
  <c r="AH83" i="265"/>
  <c r="AH82" i="265"/>
  <c r="AI53" i="265"/>
  <c r="AI25" i="280"/>
  <c r="AI27" i="280" s="1"/>
  <c r="AJ60" i="281"/>
  <c r="AJ52" i="281" s="1"/>
  <c r="AJ53" i="281" s="1"/>
  <c r="AI64" i="265"/>
  <c r="BO25" i="265"/>
  <c r="BO14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R60" i="273"/>
  <c r="BR66" i="273" s="1"/>
  <c r="BR67" i="273" s="1"/>
  <c r="BR3" i="280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2" i="280" s="1"/>
  <c r="BU124" i="273"/>
  <c r="BW5" i="281"/>
  <c r="BW5" i="280"/>
  <c r="BQ9" i="265"/>
  <c r="BQ11" i="265" s="1"/>
  <c r="BQ14" i="265" s="1"/>
  <c r="BQ19" i="265" s="1"/>
  <c r="BQ22" i="265" s="1"/>
  <c r="BQ14" i="280" s="1"/>
  <c r="BQ61" i="281"/>
  <c r="BQ50" i="281"/>
  <c r="BQ45" i="281"/>
  <c r="BQ47" i="281" s="1"/>
  <c r="BQ51" i="281" s="1"/>
  <c r="BS42" i="273"/>
  <c r="BS52" i="273"/>
  <c r="BP14" i="280"/>
  <c r="BP25" i="265"/>
  <c r="BS118" i="273"/>
  <c r="BS38" i="273"/>
  <c r="BT39" i="273" s="1"/>
  <c r="BT41" i="273" s="1"/>
  <c r="BT2" i="281"/>
  <c r="BT125" i="273"/>
  <c r="BT126" i="273" s="1"/>
  <c r="BT32" i="273"/>
  <c r="BT33" i="273" s="1"/>
  <c r="BT2" i="273"/>
  <c r="BT2" i="265"/>
  <c r="BT96" i="273"/>
  <c r="BT97" i="273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Q25" i="265"/>
  <c r="BM13" i="280"/>
  <c r="BM16" i="280" s="1"/>
  <c r="BL74" i="265"/>
  <c r="BL75" i="265" s="1"/>
  <c r="BL81" i="265" s="1"/>
  <c r="BR3" i="281"/>
  <c r="BT57" i="273"/>
  <c r="BT22" i="280"/>
  <c r="BT11" i="280"/>
  <c r="BU32" i="273"/>
  <c r="BU33" i="273" s="1"/>
  <c r="BU38" i="273" s="1"/>
  <c r="BT15" i="275"/>
  <c r="BU2" i="26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U2" i="273"/>
  <c r="BR3" i="265"/>
  <c r="BR3" i="273"/>
  <c r="BT20" i="275"/>
  <c r="BU17" i="275" s="1"/>
  <c r="BR3" i="275" l="1"/>
  <c r="BR50" i="273"/>
  <c r="BU118" i="273"/>
  <c r="BU96" i="273"/>
  <c r="BU97" i="273" s="1"/>
  <c r="BU119" i="273" s="1"/>
  <c r="BU75" i="273"/>
  <c r="BU76" i="273" s="1"/>
  <c r="BU2" i="275"/>
  <c r="BT46" i="281"/>
  <c r="BT72" i="281"/>
  <c r="BS60" i="273"/>
  <c r="AJ24" i="280"/>
  <c r="AI63" i="265"/>
  <c r="AI65" i="265" s="1"/>
  <c r="AI67" i="265" s="1"/>
  <c r="AI80" i="265" s="1"/>
  <c r="AJ62" i="281"/>
  <c r="AJ63" i="281" s="1"/>
  <c r="AJ30" i="265"/>
  <c r="AJ33" i="265" s="1"/>
  <c r="AJ37" i="265" s="1"/>
  <c r="AJ42" i="265" s="1"/>
  <c r="AJ47" i="265" s="1"/>
  <c r="AJ50" i="265" s="1"/>
  <c r="AJ30" i="280" s="1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R51" i="281" s="1"/>
  <c r="BV24" i="273"/>
  <c r="BV25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52" i="273"/>
  <c r="BS4" i="280"/>
  <c r="BS4" i="265"/>
  <c r="BS4" i="281"/>
  <c r="BS4" i="273"/>
  <c r="BS4" i="275"/>
  <c r="BU2" i="281"/>
  <c r="BU125" i="273"/>
  <c r="BU126" i="273" s="1"/>
  <c r="BU90" i="273"/>
  <c r="BU91" i="273" s="1"/>
  <c r="BU100" i="273" s="1"/>
  <c r="BV101" i="273" s="1"/>
  <c r="BV59" i="273" s="1"/>
  <c r="BM74" i="265"/>
  <c r="BM75" i="265" s="1"/>
  <c r="BM81" i="265" s="1"/>
  <c r="BN13" i="280"/>
  <c r="BN16" i="280" s="1"/>
  <c r="BU37" i="281"/>
  <c r="BU13" i="281"/>
  <c r="BV32" i="273"/>
  <c r="BV33" i="273" s="1"/>
  <c r="BV118" i="273" s="1"/>
  <c r="BU57" i="273"/>
  <c r="BU22" i="280"/>
  <c r="BU11" i="280"/>
  <c r="BV75" i="273"/>
  <c r="BV76" i="273" s="1"/>
  <c r="BU108" i="273"/>
  <c r="BV2" i="273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BV38" i="273"/>
  <c r="BV42" i="273" l="1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U58" i="281"/>
  <c r="BU81" i="281"/>
  <c r="BS30" i="281"/>
  <c r="BS36" i="281" s="1"/>
  <c r="BS38" i="281" s="1"/>
  <c r="BS84" i="281" s="1"/>
  <c r="AJ53" i="265"/>
  <c r="AJ25" i="280"/>
  <c r="AJ27" i="280" s="1"/>
  <c r="AI82" i="265"/>
  <c r="AI83" i="265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52" i="273"/>
  <c r="BV2" i="281"/>
  <c r="BV125" i="273"/>
  <c r="BV126" i="273" s="1"/>
  <c r="BV90" i="273"/>
  <c r="BV91" i="273" s="1"/>
  <c r="BV100" i="273" s="1"/>
  <c r="BW101" i="273" s="1"/>
  <c r="BW59" i="273" s="1"/>
  <c r="BY5" i="281"/>
  <c r="BY5" i="280"/>
  <c r="BW24" i="273"/>
  <c r="BW25" i="273" s="1"/>
  <c r="BW124" i="273"/>
  <c r="BV2" i="275"/>
  <c r="BU109" i="273"/>
  <c r="BV96" i="273"/>
  <c r="BV97" i="273" s="1"/>
  <c r="BV22" i="281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5" i="265"/>
  <c r="BR14" i="280"/>
  <c r="BO13" i="280"/>
  <c r="BO16" i="280" s="1"/>
  <c r="BN74" i="265"/>
  <c r="BN75" i="265" s="1"/>
  <c r="BN81" i="265" s="1"/>
  <c r="BV108" i="273"/>
  <c r="BV4" i="280"/>
  <c r="BV4" i="281"/>
  <c r="BW90" i="273"/>
  <c r="BW91" i="273" s="1"/>
  <c r="BW100" i="273" s="1"/>
  <c r="BX101" i="273" s="1"/>
  <c r="BX59" i="273" s="1"/>
  <c r="BV11" i="280"/>
  <c r="BV22" i="280"/>
  <c r="BV79" i="273"/>
  <c r="BW80" i="273" s="1"/>
  <c r="BW58" i="273" s="1"/>
  <c r="BV57" i="273"/>
  <c r="BV15" i="275"/>
  <c r="BV20" i="275" s="1"/>
  <c r="BW17" i="275" s="1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W96" i="273"/>
  <c r="BW97" i="273" s="1"/>
  <c r="BW113" i="273" s="1"/>
  <c r="BW39" i="273"/>
  <c r="BW41" i="273" s="1"/>
  <c r="BW42" i="273" s="1"/>
  <c r="BU112" i="273"/>
  <c r="BV4" i="265"/>
  <c r="BV4" i="275"/>
  <c r="BV4" i="273"/>
  <c r="BV109" i="273" l="1"/>
  <c r="BU23" i="281"/>
  <c r="BU29" i="281" s="1"/>
  <c r="BU30" i="281" s="1"/>
  <c r="BU36" i="281" s="1"/>
  <c r="BU38" i="281" s="1"/>
  <c r="BS45" i="281"/>
  <c r="BS47" i="281" s="1"/>
  <c r="BS51" i="281" s="1"/>
  <c r="BT66" i="273"/>
  <c r="BT67" i="273" s="1"/>
  <c r="BU60" i="273"/>
  <c r="BU66" i="273" s="1"/>
  <c r="BU67" i="273" s="1"/>
  <c r="BU3" i="280" s="1"/>
  <c r="BW118" i="273"/>
  <c r="BV60" i="273"/>
  <c r="BV66" i="273" s="1"/>
  <c r="BV67" i="273" s="1"/>
  <c r="BV46" i="281"/>
  <c r="BV72" i="281"/>
  <c r="BS61" i="281"/>
  <c r="BS3" i="280"/>
  <c r="BS3" i="275"/>
  <c r="BS50" i="273"/>
  <c r="BS3" i="281"/>
  <c r="BS3" i="273"/>
  <c r="BS3" i="265"/>
  <c r="AJ63" i="265"/>
  <c r="AJ65" i="265" s="1"/>
  <c r="AJ67" i="265" s="1"/>
  <c r="AJ80" i="265" s="1"/>
  <c r="AK24" i="280"/>
  <c r="BS50" i="281"/>
  <c r="BS9" i="265"/>
  <c r="BS11" i="265" s="1"/>
  <c r="BS14" i="265" s="1"/>
  <c r="BS19" i="265" s="1"/>
  <c r="BS22" i="265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T51" i="281" s="1"/>
  <c r="BX24" i="273"/>
  <c r="BX25" i="273" s="1"/>
  <c r="BX2" i="280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2" i="275"/>
  <c r="BS25" i="265"/>
  <c r="BS14" i="280"/>
  <c r="BW52" i="273"/>
  <c r="BW2" i="265"/>
  <c r="BZ5" i="281"/>
  <c r="BZ5" i="280"/>
  <c r="BW2" i="273"/>
  <c r="BW2" i="280"/>
  <c r="BV13" i="281"/>
  <c r="BV14" i="281" s="1"/>
  <c r="BV28" i="281" s="1"/>
  <c r="BV37" i="281"/>
  <c r="BW75" i="273"/>
  <c r="BW76" i="273" s="1"/>
  <c r="BW81" i="281" s="1"/>
  <c r="BU4" i="280"/>
  <c r="BU4" i="265"/>
  <c r="BU4" i="273"/>
  <c r="BU4" i="281"/>
  <c r="BU4" i="275"/>
  <c r="BP13" i="280"/>
  <c r="BP16" i="280" s="1"/>
  <c r="BO74" i="265"/>
  <c r="BO75" i="265" s="1"/>
  <c r="BO81" i="265" s="1"/>
  <c r="BU3" i="281"/>
  <c r="BW4" i="280"/>
  <c r="BW4" i="281"/>
  <c r="BW119" i="273"/>
  <c r="BW120" i="273" s="1"/>
  <c r="BW12" i="281" s="1"/>
  <c r="BW37" i="281"/>
  <c r="BW22" i="281"/>
  <c r="BW13" i="281"/>
  <c r="BW79" i="273"/>
  <c r="BX80" i="273" s="1"/>
  <c r="BX58" i="273" s="1"/>
  <c r="BW11" i="280"/>
  <c r="BW108" i="273"/>
  <c r="BW109" i="273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BU84" i="281" l="1"/>
  <c r="BU61" i="281"/>
  <c r="BU45" i="281"/>
  <c r="BU47" i="281" s="1"/>
  <c r="BU51" i="281" s="1"/>
  <c r="BU71" i="281"/>
  <c r="BU73" i="281" s="1"/>
  <c r="BU77" i="281" s="1"/>
  <c r="BU9" i="265"/>
  <c r="BU11" i="265" s="1"/>
  <c r="BU14" i="265" s="1"/>
  <c r="BU19" i="265" s="1"/>
  <c r="BU22" i="265" s="1"/>
  <c r="BU14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U25" i="265"/>
  <c r="BV30" i="281"/>
  <c r="BV36" i="281" s="1"/>
  <c r="BV38" i="281" s="1"/>
  <c r="BV71" i="281" s="1"/>
  <c r="BV73" i="281" s="1"/>
  <c r="BV77" i="281" s="1"/>
  <c r="AK62" i="281"/>
  <c r="AK63" i="281" s="1"/>
  <c r="AK30" i="265"/>
  <c r="AK33" i="265" s="1"/>
  <c r="AK37" i="265" s="1"/>
  <c r="AK42" i="265" s="1"/>
  <c r="AK47" i="265" s="1"/>
  <c r="AK50" i="265" s="1"/>
  <c r="AK30" i="280" s="1"/>
  <c r="AJ83" i="265"/>
  <c r="AJ82" i="265"/>
  <c r="BS76" i="281"/>
  <c r="BS78" i="281" s="1"/>
  <c r="BS85" i="281" s="1"/>
  <c r="BS86" i="281" s="1"/>
  <c r="BT83" i="281" s="1"/>
  <c r="BY24" i="273"/>
  <c r="BY25" i="273" s="1"/>
  <c r="BY124" i="273"/>
  <c r="CA5" i="281"/>
  <c r="CA5" i="280"/>
  <c r="BV45" i="281"/>
  <c r="BV47" i="281" s="1"/>
  <c r="BV51" i="281" s="1"/>
  <c r="BW58" i="281"/>
  <c r="BW15" i="275"/>
  <c r="BW20" i="275" s="1"/>
  <c r="BX17" i="275" s="1"/>
  <c r="BW57" i="273"/>
  <c r="BW60" i="273" s="1"/>
  <c r="BX2" i="281"/>
  <c r="BX125" i="273"/>
  <c r="BX126" i="273" s="1"/>
  <c r="BX90" i="273"/>
  <c r="BX91" i="273" s="1"/>
  <c r="BX100" i="273" s="1"/>
  <c r="BY101" i="273" s="1"/>
  <c r="BY59" i="273" s="1"/>
  <c r="BX2" i="273"/>
  <c r="BX75" i="273"/>
  <c r="BX76" i="273" s="1"/>
  <c r="BX22" i="280" s="1"/>
  <c r="BX96" i="273"/>
  <c r="BX97" i="273" s="1"/>
  <c r="BX2" i="265"/>
  <c r="BX32" i="273"/>
  <c r="BX33" i="273" s="1"/>
  <c r="BW22" i="280"/>
  <c r="BW114" i="273"/>
  <c r="BW21" i="281" s="1"/>
  <c r="BW23" i="281" s="1"/>
  <c r="BW29" i="281" s="1"/>
  <c r="BT14" i="280"/>
  <c r="BT25" i="265"/>
  <c r="BP74" i="265"/>
  <c r="BP75" i="265" s="1"/>
  <c r="BP81" i="265" s="1"/>
  <c r="BQ13" i="280"/>
  <c r="BQ16" i="280" s="1"/>
  <c r="BV3" i="280"/>
  <c r="BV3" i="281"/>
  <c r="BX4" i="280"/>
  <c r="BX4" i="281"/>
  <c r="BW14" i="281"/>
  <c r="BW28" i="281" s="1"/>
  <c r="BX11" i="280"/>
  <c r="BY32" i="273"/>
  <c r="BY33" i="273" s="1"/>
  <c r="BY118" i="273" s="1"/>
  <c r="BY2" i="280"/>
  <c r="BY2" i="265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Y96" i="273"/>
  <c r="BY97" i="273" s="1"/>
  <c r="BY2" i="273"/>
  <c r="BY108" i="273"/>
  <c r="BW66" i="273"/>
  <c r="BW67" i="273" s="1"/>
  <c r="BX57" i="273"/>
  <c r="BX79" i="273"/>
  <c r="BY80" i="273" s="1"/>
  <c r="BY58" i="273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X46" i="281" l="1"/>
  <c r="BX72" i="281"/>
  <c r="BY38" i="273"/>
  <c r="BX58" i="281"/>
  <c r="BX81" i="281"/>
  <c r="BV61" i="281"/>
  <c r="BV84" i="281"/>
  <c r="AL60" i="281"/>
  <c r="AK64" i="265"/>
  <c r="BV50" i="281"/>
  <c r="BV9" i="265"/>
  <c r="BV11" i="265" s="1"/>
  <c r="BV14" i="265" s="1"/>
  <c r="BV19" i="265" s="1"/>
  <c r="BV22" i="265" s="1"/>
  <c r="BV25" i="265" s="1"/>
  <c r="AK53" i="265"/>
  <c r="AK25" i="280"/>
  <c r="AK27" i="280" s="1"/>
  <c r="BT76" i="281"/>
  <c r="BT78" i="281" s="1"/>
  <c r="BT85" i="281" s="1"/>
  <c r="BT86" i="281" s="1"/>
  <c r="BU83" i="281" s="1"/>
  <c r="BZ24" i="273"/>
  <c r="BZ25" i="273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V14" i="280"/>
  <c r="BX60" i="273"/>
  <c r="CB5" i="281"/>
  <c r="CB5" i="280"/>
  <c r="BY2" i="281"/>
  <c r="BY125" i="273"/>
  <c r="BY126" i="273" s="1"/>
  <c r="BY75" i="273"/>
  <c r="BR13" i="280"/>
  <c r="BR16" i="280" s="1"/>
  <c r="BQ74" i="265"/>
  <c r="BQ75" i="265" s="1"/>
  <c r="BQ81" i="265" s="1"/>
  <c r="BW3" i="280"/>
  <c r="BW3" i="281"/>
  <c r="BY119" i="273"/>
  <c r="BY120" i="273" s="1"/>
  <c r="BY12" i="281" s="1"/>
  <c r="BY37" i="281"/>
  <c r="BY22" i="281"/>
  <c r="BY13" i="281"/>
  <c r="BZ32" i="273"/>
  <c r="BZ33" i="273" s="1"/>
  <c r="BZ2" i="280"/>
  <c r="CA37" i="273"/>
  <c r="CA47" i="273"/>
  <c r="CA48" i="273" s="1"/>
  <c r="CA51" i="273" s="1"/>
  <c r="CA19" i="273"/>
  <c r="CA20" i="273" s="1"/>
  <c r="CA56" i="273"/>
  <c r="BZ2" i="273"/>
  <c r="BZ2" i="275"/>
  <c r="BZ2" i="265"/>
  <c r="BY113" i="273"/>
  <c r="CB5" i="275"/>
  <c r="CB5" i="265"/>
  <c r="CB13" i="273"/>
  <c r="CB14" i="273" s="1"/>
  <c r="CB5" i="273"/>
  <c r="CC10" i="273"/>
  <c r="BX66" i="273"/>
  <c r="BX67" i="273" s="1"/>
  <c r="BZ38" i="273"/>
  <c r="BZ118" i="273"/>
  <c r="BW3" i="273"/>
  <c r="BW3" i="265"/>
  <c r="BW3" i="275"/>
  <c r="BW50" i="273"/>
  <c r="BY109" i="273" l="1"/>
  <c r="BY46" i="281"/>
  <c r="BY72" i="281"/>
  <c r="AK63" i="265"/>
  <c r="AK65" i="265" s="1"/>
  <c r="AK67" i="265" s="1"/>
  <c r="AK80" i="265" s="1"/>
  <c r="AL24" i="280"/>
  <c r="AL52" i="281"/>
  <c r="AL53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90" i="273" s="1"/>
  <c r="CA91" i="273" s="1"/>
  <c r="CA100" i="273" s="1"/>
  <c r="CB101" i="273" s="1"/>
  <c r="CB59" i="273" s="1"/>
  <c r="CA124" i="273"/>
  <c r="BY52" i="273"/>
  <c r="BY42" i="273"/>
  <c r="BY114" i="273"/>
  <c r="BY21" i="281" s="1"/>
  <c r="BY23" i="281" s="1"/>
  <c r="BY29" i="281" s="1"/>
  <c r="BZ39" i="273"/>
  <c r="BZ41" i="273" s="1"/>
  <c r="BY76" i="273"/>
  <c r="BY81" i="281" s="1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W51" i="281" s="1"/>
  <c r="BZ2" i="281"/>
  <c r="BZ125" i="273"/>
  <c r="BZ126" i="273" s="1"/>
  <c r="BZ90" i="273"/>
  <c r="BZ91" i="273" s="1"/>
  <c r="BZ100" i="273" s="1"/>
  <c r="CA101" i="273" s="1"/>
  <c r="CA59" i="273" s="1"/>
  <c r="BZ75" i="273"/>
  <c r="BZ96" i="273"/>
  <c r="BZ97" i="273" s="1"/>
  <c r="BY14" i="281"/>
  <c r="BY28" i="281" s="1"/>
  <c r="BR74" i="265"/>
  <c r="BR75" i="265" s="1"/>
  <c r="BR81" i="265" s="1"/>
  <c r="BS13" i="280"/>
  <c r="BS16" i="280" s="1"/>
  <c r="BX3" i="280"/>
  <c r="BX3" i="281"/>
  <c r="CA2" i="280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A2" i="265"/>
  <c r="CA38" i="273"/>
  <c r="BY112" i="273"/>
  <c r="CB51" i="273"/>
  <c r="BX3" i="265"/>
  <c r="BX50" i="273"/>
  <c r="BX3" i="273"/>
  <c r="BX3" i="275"/>
  <c r="BZ46" i="281" l="1"/>
  <c r="BZ72" i="281"/>
  <c r="CA96" i="273"/>
  <c r="CA97" i="273" s="1"/>
  <c r="CA119" i="273" s="1"/>
  <c r="CA120" i="273" s="1"/>
  <c r="CA12" i="281" s="1"/>
  <c r="CA2" i="273"/>
  <c r="AK82" i="265"/>
  <c r="AK83" i="265"/>
  <c r="BX30" i="281"/>
  <c r="BX36" i="281" s="1"/>
  <c r="BX38" i="281" s="1"/>
  <c r="BX71" i="281" s="1"/>
  <c r="BX73" i="281" s="1"/>
  <c r="BX77" i="281" s="1"/>
  <c r="AL62" i="281"/>
  <c r="AL63" i="281" s="1"/>
  <c r="AL30" i="265"/>
  <c r="AL33" i="265" s="1"/>
  <c r="AL37" i="265" s="1"/>
  <c r="AL42" i="265" s="1"/>
  <c r="AL47" i="265" s="1"/>
  <c r="AL50" i="265" s="1"/>
  <c r="AL30" i="280" s="1"/>
  <c r="BV76" i="281"/>
  <c r="BV78" i="281" s="1"/>
  <c r="BV85" i="281" s="1"/>
  <c r="BV86" i="281" s="1"/>
  <c r="BW83" i="281" s="1"/>
  <c r="BY30" i="281"/>
  <c r="BY36" i="281" s="1"/>
  <c r="BY38" i="281" s="1"/>
  <c r="BY50" i="281" s="1"/>
  <c r="CB24" i="273"/>
  <c r="CB25" i="273" s="1"/>
  <c r="CB125" i="273" s="1"/>
  <c r="CB124" i="273"/>
  <c r="CD5" i="281"/>
  <c r="CD5" i="280"/>
  <c r="BX45" i="281"/>
  <c r="BX47" i="281" s="1"/>
  <c r="BX51" i="281" s="1"/>
  <c r="BY58" i="281"/>
  <c r="BY22" i="280"/>
  <c r="BY79" i="273"/>
  <c r="BZ80" i="273" s="1"/>
  <c r="BZ58" i="273" s="1"/>
  <c r="BY11" i="280"/>
  <c r="BY57" i="273"/>
  <c r="BY60" i="273" s="1"/>
  <c r="BY15" i="275"/>
  <c r="BY20" i="275" s="1"/>
  <c r="BZ17" i="275" s="1"/>
  <c r="BZ52" i="273"/>
  <c r="BZ42" i="273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14" i="280"/>
  <c r="BW25" i="265"/>
  <c r="BZ76" i="273"/>
  <c r="BZ81" i="281" s="1"/>
  <c r="CA2" i="281"/>
  <c r="CA125" i="273"/>
  <c r="CA126" i="273" s="1"/>
  <c r="CA2" i="275"/>
  <c r="CA75" i="273"/>
  <c r="CA76" i="273" s="1"/>
  <c r="CA81" i="281" s="1"/>
  <c r="BT13" i="280"/>
  <c r="BT16" i="280" s="1"/>
  <c r="BS74" i="265"/>
  <c r="BS75" i="265" s="1"/>
  <c r="BS81" i="265" s="1"/>
  <c r="CB2" i="281"/>
  <c r="CA37" i="281"/>
  <c r="CA13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B2" i="273"/>
  <c r="CC51" i="273"/>
  <c r="CA113" i="273" l="1"/>
  <c r="CA108" i="273"/>
  <c r="CA109" i="273" s="1"/>
  <c r="CA22" i="281"/>
  <c r="BY9" i="265"/>
  <c r="BY11" i="265" s="1"/>
  <c r="BY14" i="265" s="1"/>
  <c r="BY19" i="265" s="1"/>
  <c r="BY22" i="265" s="1"/>
  <c r="BY25" i="265" s="1"/>
  <c r="CB126" i="273"/>
  <c r="CB46" i="281" s="1"/>
  <c r="CA46" i="281"/>
  <c r="CA72" i="281"/>
  <c r="CB72" i="281"/>
  <c r="CB2" i="265"/>
  <c r="CB96" i="273"/>
  <c r="CB97" i="273" s="1"/>
  <c r="CB119" i="273" s="1"/>
  <c r="CB120" i="273" s="1"/>
  <c r="CB12" i="281" s="1"/>
  <c r="CB2" i="280"/>
  <c r="BY14" i="280"/>
  <c r="BX61" i="281"/>
  <c r="BX84" i="281"/>
  <c r="BX50" i="281"/>
  <c r="BX9" i="265"/>
  <c r="BX11" i="265" s="1"/>
  <c r="BX14" i="265" s="1"/>
  <c r="BX19" i="265" s="1"/>
  <c r="BX22" i="265" s="1"/>
  <c r="BX25" i="265" s="1"/>
  <c r="AM60" i="281"/>
  <c r="AM52" i="281" s="1"/>
  <c r="AM53" i="281" s="1"/>
  <c r="AL64" i="265"/>
  <c r="AL53" i="265"/>
  <c r="AL25" i="280"/>
  <c r="AL27" i="280" s="1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51" i="281" s="1"/>
  <c r="BY61" i="281"/>
  <c r="CA58" i="281"/>
  <c r="CA11" i="280"/>
  <c r="CA79" i="273"/>
  <c r="CB80" i="273" s="1"/>
  <c r="CB58" i="273" s="1"/>
  <c r="CA22" i="280"/>
  <c r="CA57" i="273"/>
  <c r="CA15" i="275"/>
  <c r="CE5" i="281"/>
  <c r="CE5" i="280"/>
  <c r="CC24" i="273"/>
  <c r="CC25" i="273" s="1"/>
  <c r="CC32" i="273" s="1"/>
  <c r="CC33" i="273" s="1"/>
  <c r="CC124" i="273"/>
  <c r="BZ58" i="281"/>
  <c r="BZ11" i="280"/>
  <c r="BZ79" i="273"/>
  <c r="CA80" i="273" s="1"/>
  <c r="CA58" i="273" s="1"/>
  <c r="BZ22" i="280"/>
  <c r="BZ57" i="273"/>
  <c r="BZ60" i="273" s="1"/>
  <c r="BZ15" i="275"/>
  <c r="BZ20" i="275" s="1"/>
  <c r="CA17" i="275" s="1"/>
  <c r="BZ23" i="281"/>
  <c r="BZ29" i="281" s="1"/>
  <c r="BY66" i="273"/>
  <c r="BY67" i="273" s="1"/>
  <c r="BX14" i="280"/>
  <c r="CB2" i="275"/>
  <c r="CA114" i="273"/>
  <c r="CA21" i="281" s="1"/>
  <c r="CB75" i="273"/>
  <c r="CB76" i="273" s="1"/>
  <c r="CB81" i="281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BT75" i="265" s="1"/>
  <c r="BT81" i="265" s="1"/>
  <c r="CB113" i="273"/>
  <c r="CB22" i="281"/>
  <c r="CA14" i="281"/>
  <c r="CA28" i="281" s="1"/>
  <c r="CA23" i="281"/>
  <c r="CA29" i="281" s="1"/>
  <c r="CB22" i="280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A112" i="273"/>
  <c r="CC38" i="273" l="1"/>
  <c r="CC118" i="273"/>
  <c r="CC2" i="265"/>
  <c r="CC75" i="273"/>
  <c r="CC76" i="273" s="1"/>
  <c r="CC81" i="281" s="1"/>
  <c r="CB114" i="273"/>
  <c r="CB21" i="281" s="1"/>
  <c r="CC15" i="275"/>
  <c r="CB108" i="273"/>
  <c r="CB109" i="273" s="1"/>
  <c r="CB112" i="273" s="1"/>
  <c r="CB13" i="281"/>
  <c r="CB14" i="281" s="1"/>
  <c r="CB28" i="281" s="1"/>
  <c r="CB37" i="281"/>
  <c r="CA20" i="275"/>
  <c r="CB17" i="275" s="1"/>
  <c r="AM24" i="280"/>
  <c r="AL63" i="265"/>
  <c r="AL65" i="265" s="1"/>
  <c r="AL67" i="265" s="1"/>
  <c r="AL80" i="265" s="1"/>
  <c r="AM62" i="281"/>
  <c r="AM63" i="281" s="1"/>
  <c r="AM30" i="265"/>
  <c r="AM33" i="265" s="1"/>
  <c r="AM37" i="265" s="1"/>
  <c r="AM42" i="265" s="1"/>
  <c r="AM47" i="265" s="1"/>
  <c r="AM50" i="265" s="1"/>
  <c r="AM30" i="280" s="1"/>
  <c r="BX76" i="281"/>
  <c r="BX78" i="281" s="1"/>
  <c r="BX85" i="281" s="1"/>
  <c r="BX86" i="281" s="1"/>
  <c r="BY83" i="281" s="1"/>
  <c r="CA60" i="273"/>
  <c r="BZ66" i="273"/>
  <c r="BZ67" i="273" s="1"/>
  <c r="CD24" i="273"/>
  <c r="CD25" i="273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90" i="273"/>
  <c r="CC91" i="273" s="1"/>
  <c r="CC100" i="273" s="1"/>
  <c r="CD101" i="273" s="1"/>
  <c r="CD59" i="273" s="1"/>
  <c r="CC2" i="273"/>
  <c r="CC57" i="273"/>
  <c r="CC96" i="273"/>
  <c r="CC97" i="273" s="1"/>
  <c r="CC108" i="273" s="1"/>
  <c r="CC109" i="273" s="1"/>
  <c r="CF5" i="281"/>
  <c r="CF5" i="280"/>
  <c r="CB15" i="275"/>
  <c r="CB20" i="275" s="1"/>
  <c r="CC17" i="275" s="1"/>
  <c r="CC2" i="275"/>
  <c r="CB11" i="280"/>
  <c r="CB57" i="273"/>
  <c r="CC2" i="280"/>
  <c r="CB52" i="273"/>
  <c r="CB42" i="273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BV13" i="280"/>
  <c r="BV16" i="280" s="1"/>
  <c r="BU74" i="265"/>
  <c r="BU75" i="265" s="1"/>
  <c r="BU81" i="265" s="1"/>
  <c r="CB23" i="281"/>
  <c r="CB29" i="281" s="1"/>
  <c r="CB30" i="281" s="1"/>
  <c r="CB36" i="281" s="1"/>
  <c r="CD2" i="280"/>
  <c r="CC22" i="280"/>
  <c r="CC11" i="280"/>
  <c r="CC20" i="275"/>
  <c r="CD17" i="275" s="1"/>
  <c r="CD2" i="273"/>
  <c r="CD96" i="273"/>
  <c r="CD97" i="273" s="1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CC22" i="281" l="1"/>
  <c r="CC46" i="281"/>
  <c r="CC72" i="281"/>
  <c r="CB38" i="281"/>
  <c r="CC119" i="273"/>
  <c r="CC120" i="273" s="1"/>
  <c r="CC12" i="281" s="1"/>
  <c r="AM53" i="265"/>
  <c r="AM25" i="280"/>
  <c r="AM27" i="280" s="1"/>
  <c r="AL82" i="265"/>
  <c r="AL83" i="265"/>
  <c r="AN60" i="281"/>
  <c r="AN52" i="281" s="1"/>
  <c r="AN53" i="281" s="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B84" i="281"/>
  <c r="CB71" i="281"/>
  <c r="CB73" i="281" s="1"/>
  <c r="CB77" i="281" s="1"/>
  <c r="CG5" i="281"/>
  <c r="CG5" i="280"/>
  <c r="CB9" i="265"/>
  <c r="CB11" i="265" s="1"/>
  <c r="CB14" i="265" s="1"/>
  <c r="CB19" i="265" s="1"/>
  <c r="CB22" i="265" s="1"/>
  <c r="CB25" i="265" s="1"/>
  <c r="CB61" i="281"/>
  <c r="CB50" i="281"/>
  <c r="CB45" i="281"/>
  <c r="CB47" i="281" s="1"/>
  <c r="CB51" i="281" s="1"/>
  <c r="CA9" i="265"/>
  <c r="CA11" i="265" s="1"/>
  <c r="CA14" i="265" s="1"/>
  <c r="CA19" i="265" s="1"/>
  <c r="CA22" i="265" s="1"/>
  <c r="CA25" i="265" s="1"/>
  <c r="CA50" i="281"/>
  <c r="CA61" i="281"/>
  <c r="CA45" i="281"/>
  <c r="CA47" i="281" s="1"/>
  <c r="CA51" i="281" s="1"/>
  <c r="CD2" i="281"/>
  <c r="CD125" i="273"/>
  <c r="CD126" i="273" s="1"/>
  <c r="CA66" i="273"/>
  <c r="CA67" i="273" s="1"/>
  <c r="CB60" i="273"/>
  <c r="CD90" i="273"/>
  <c r="CD91" i="273" s="1"/>
  <c r="CD100" i="273" s="1"/>
  <c r="CE101" i="273" s="1"/>
  <c r="CE59" i="273" s="1"/>
  <c r="CE24" i="273"/>
  <c r="CE25" i="273" s="1"/>
  <c r="CE2" i="281" s="1"/>
  <c r="CE124" i="273"/>
  <c r="CD32" i="273"/>
  <c r="CD33" i="273" s="1"/>
  <c r="CC113" i="273"/>
  <c r="CC114" i="273" s="1"/>
  <c r="CC21" i="281" s="1"/>
  <c r="CC23" i="281" s="1"/>
  <c r="CC29" i="281" s="1"/>
  <c r="CD75" i="273"/>
  <c r="CD76" i="273" s="1"/>
  <c r="CD81" i="281" s="1"/>
  <c r="CC13" i="281"/>
  <c r="CC37" i="281"/>
  <c r="CD2" i="265"/>
  <c r="CC42" i="273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BZ51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BV74" i="265"/>
  <c r="BV75" i="265" s="1"/>
  <c r="BV81" i="265" s="1"/>
  <c r="BW13" i="280"/>
  <c r="BW16" i="280" s="1"/>
  <c r="CA14" i="280"/>
  <c r="CE32" i="273"/>
  <c r="CE33" i="273" s="1"/>
  <c r="CE38" i="273" s="1"/>
  <c r="CD113" i="273"/>
  <c r="CD37" i="281"/>
  <c r="CD22" i="281"/>
  <c r="CD13" i="281"/>
  <c r="CE96" i="273"/>
  <c r="CE97" i="273" s="1"/>
  <c r="CE119" i="273" s="1"/>
  <c r="CE90" i="273"/>
  <c r="CE91" i="273" s="1"/>
  <c r="CE100" i="273" s="1"/>
  <c r="CF101" i="273" s="1"/>
  <c r="CF59" i="273" s="1"/>
  <c r="CD11" i="280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3" i="273"/>
  <c r="CE118" i="273"/>
  <c r="CD114" i="273" l="1"/>
  <c r="CD21" i="281" s="1"/>
  <c r="CB14" i="280"/>
  <c r="CD46" i="281"/>
  <c r="CD72" i="281"/>
  <c r="CE108" i="273"/>
  <c r="CE2" i="275"/>
  <c r="CD120" i="273"/>
  <c r="CD12" i="281" s="1"/>
  <c r="CD22" i="280"/>
  <c r="CE2" i="280"/>
  <c r="CC14" i="281"/>
  <c r="CC28" i="281" s="1"/>
  <c r="AN24" i="280"/>
  <c r="AM63" i="265"/>
  <c r="AM65" i="265" s="1"/>
  <c r="AM67" i="265" s="1"/>
  <c r="AM80" i="265" s="1"/>
  <c r="AN62" i="281"/>
  <c r="AN63" i="281" s="1"/>
  <c r="AN30" i="265"/>
  <c r="AN33" i="265" s="1"/>
  <c r="AN37" i="265" s="1"/>
  <c r="AN42" i="265" s="1"/>
  <c r="AN47" i="265" s="1"/>
  <c r="AN50" i="265" s="1"/>
  <c r="AN30" i="280" s="1"/>
  <c r="BZ76" i="281"/>
  <c r="BZ78" i="281" s="1"/>
  <c r="BZ85" i="281" s="1"/>
  <c r="BZ86" i="281" s="1"/>
  <c r="CA83" i="281" s="1"/>
  <c r="CH5" i="281"/>
  <c r="CH5" i="280"/>
  <c r="CC30" i="281"/>
  <c r="CC36" i="281" s="1"/>
  <c r="CC38" i="281" s="1"/>
  <c r="CD42" i="273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2" i="275" s="1"/>
  <c r="CF124" i="273"/>
  <c r="BZ25" i="265"/>
  <c r="BZ14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75" i="273"/>
  <c r="CE2" i="265"/>
  <c r="CB66" i="273"/>
  <c r="CB67" i="273" s="1"/>
  <c r="CC60" i="273"/>
  <c r="BW74" i="265"/>
  <c r="BW75" i="265" s="1"/>
  <c r="BW81" i="265" s="1"/>
  <c r="BX13" i="280"/>
  <c r="BX16" i="280" s="1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CF39" i="273" l="1"/>
  <c r="CF41" i="273" s="1"/>
  <c r="CE120" i="273"/>
  <c r="CE12" i="281" s="1"/>
  <c r="CF38" i="273"/>
  <c r="CE46" i="281"/>
  <c r="CE72" i="281"/>
  <c r="CD30" i="281"/>
  <c r="CD36" i="281" s="1"/>
  <c r="CD38" i="281" s="1"/>
  <c r="CD84" i="281" s="1"/>
  <c r="AN53" i="265"/>
  <c r="AN25" i="280"/>
  <c r="AN27" i="280" s="1"/>
  <c r="AM83" i="265"/>
  <c r="AM82" i="265"/>
  <c r="AO60" i="281"/>
  <c r="AO52" i="281" s="1"/>
  <c r="AO53" i="281" s="1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124" i="273"/>
  <c r="CE14" i="281"/>
  <c r="CE28" i="281" s="1"/>
  <c r="CB3" i="281"/>
  <c r="CB3" i="273"/>
  <c r="CB3" i="275"/>
  <c r="CB3" i="280"/>
  <c r="CB50" i="273"/>
  <c r="CB3" i="265"/>
  <c r="CE76" i="273"/>
  <c r="CE81" i="281" s="1"/>
  <c r="CF2" i="281"/>
  <c r="CF125" i="273"/>
  <c r="CF126" i="273" s="1"/>
  <c r="CF75" i="273"/>
  <c r="CF76" i="273" s="1"/>
  <c r="CF81" i="281" s="1"/>
  <c r="CF96" i="273"/>
  <c r="CF97" i="273" s="1"/>
  <c r="CC9" i="265"/>
  <c r="CC11" i="265" s="1"/>
  <c r="CC14" i="265" s="1"/>
  <c r="CC19" i="265" s="1"/>
  <c r="CC22" i="265" s="1"/>
  <c r="CC61" i="281"/>
  <c r="CC50" i="281"/>
  <c r="CC45" i="281"/>
  <c r="CC47" i="281" s="1"/>
  <c r="CC51" i="281" s="1"/>
  <c r="CF2" i="265"/>
  <c r="CF2" i="280"/>
  <c r="CD45" i="281"/>
  <c r="CD47" i="281" s="1"/>
  <c r="CD51" i="281" s="1"/>
  <c r="CF2" i="273"/>
  <c r="CD60" i="273"/>
  <c r="CC66" i="273"/>
  <c r="CC67" i="273" s="1"/>
  <c r="CE42" i="273"/>
  <c r="CE52" i="273"/>
  <c r="CD4" i="280"/>
  <c r="CD4" i="265"/>
  <c r="CD4" i="275"/>
  <c r="CD4" i="281"/>
  <c r="CD4" i="273"/>
  <c r="BX74" i="265"/>
  <c r="BX75" i="265" s="1"/>
  <c r="BX81" i="265" s="1"/>
  <c r="BY13" i="280"/>
  <c r="BY16" i="280" s="1"/>
  <c r="CG2" i="275"/>
  <c r="CG2" i="281"/>
  <c r="CE30" i="281"/>
  <c r="CE36" i="281" s="1"/>
  <c r="CE38" i="281" s="1"/>
  <c r="CG75" i="273"/>
  <c r="CG76" i="273" s="1"/>
  <c r="CG2" i="280"/>
  <c r="CI5" i="265"/>
  <c r="CI5" i="273"/>
  <c r="CJ10" i="273"/>
  <c r="CI5" i="275"/>
  <c r="CI13" i="273"/>
  <c r="CI14" i="273" s="1"/>
  <c r="CH37" i="273"/>
  <c r="CH47" i="273"/>
  <c r="CH48" i="273" s="1"/>
  <c r="CH19" i="273"/>
  <c r="CH20" i="273" s="1"/>
  <c r="CH56" i="273"/>
  <c r="CG39" i="273"/>
  <c r="CG41" i="273" s="1"/>
  <c r="CG52" i="273" s="1"/>
  <c r="CG2" i="265"/>
  <c r="CG96" i="273"/>
  <c r="CG97" i="273" s="1"/>
  <c r="CG90" i="273"/>
  <c r="CG91" i="273" s="1"/>
  <c r="CG100" i="273" s="1"/>
  <c r="CH101" i="273" s="1"/>
  <c r="CH59" i="273" s="1"/>
  <c r="CH51" i="273"/>
  <c r="CE112" i="273"/>
  <c r="CG57" i="273"/>
  <c r="CG42" i="273" l="1"/>
  <c r="CG4" i="281" s="1"/>
  <c r="CF52" i="273"/>
  <c r="CF42" i="273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D25" i="265" s="1"/>
  <c r="AO24" i="280"/>
  <c r="AN63" i="265"/>
  <c r="AN65" i="265" s="1"/>
  <c r="AN67" i="265" s="1"/>
  <c r="AN80" i="265" s="1"/>
  <c r="AO62" i="281"/>
  <c r="AO63" i="281" s="1"/>
  <c r="AO30" i="265"/>
  <c r="AO33" i="265" s="1"/>
  <c r="AO37" i="265" s="1"/>
  <c r="AO42" i="265" s="1"/>
  <c r="AO47" i="265" s="1"/>
  <c r="AO50" i="265" s="1"/>
  <c r="AO30" i="280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11" i="280"/>
  <c r="CF79" i="273"/>
  <c r="CG80" i="273" s="1"/>
  <c r="CG58" i="273" s="1"/>
  <c r="CF22" i="280"/>
  <c r="CF57" i="273"/>
  <c r="CF15" i="275"/>
  <c r="CJ5" i="281"/>
  <c r="CJ5" i="280"/>
  <c r="CE9" i="265"/>
  <c r="CE11" i="265" s="1"/>
  <c r="CE14" i="265" s="1"/>
  <c r="CE19" i="265" s="1"/>
  <c r="CE22" i="265" s="1"/>
  <c r="CE25" i="265" s="1"/>
  <c r="CE50" i="281"/>
  <c r="CE61" i="281"/>
  <c r="CE45" i="281"/>
  <c r="CE47" i="281" s="1"/>
  <c r="CE51" i="281" s="1"/>
  <c r="CC3" i="280"/>
  <c r="CC3" i="275"/>
  <c r="CC50" i="273"/>
  <c r="CC3" i="281"/>
  <c r="CC3" i="273"/>
  <c r="CC3" i="265"/>
  <c r="CC14" i="280"/>
  <c r="CC25" i="265"/>
  <c r="CE58" i="281"/>
  <c r="CE22" i="280"/>
  <c r="CE79" i="273"/>
  <c r="CF80" i="273" s="1"/>
  <c r="CF58" i="273" s="1"/>
  <c r="CE11" i="280"/>
  <c r="CE57" i="273"/>
  <c r="CE15" i="275"/>
  <c r="CE20" i="275" s="1"/>
  <c r="CF17" i="275" s="1"/>
  <c r="CG79" i="273"/>
  <c r="CH80" i="273" s="1"/>
  <c r="CH58" i="273" s="1"/>
  <c r="CH24" i="273"/>
  <c r="CH25" i="273" s="1"/>
  <c r="CH124" i="273"/>
  <c r="CE4" i="281"/>
  <c r="CE4" i="273"/>
  <c r="CE4" i="280"/>
  <c r="CE4" i="265"/>
  <c r="CE4" i="275"/>
  <c r="CE60" i="273"/>
  <c r="CD66" i="273"/>
  <c r="CD67" i="273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G125" i="273"/>
  <c r="CG126" i="273" s="1"/>
  <c r="CG2" i="273"/>
  <c r="CG32" i="273"/>
  <c r="CG33" i="273" s="1"/>
  <c r="BY74" i="265"/>
  <c r="BY75" i="265" s="1"/>
  <c r="BY81" i="265" s="1"/>
  <c r="BZ13" i="280"/>
  <c r="BZ16" i="280" s="1"/>
  <c r="CH2" i="273"/>
  <c r="CG4" i="280"/>
  <c r="CG113" i="273"/>
  <c r="CG114" i="273" s="1"/>
  <c r="CG21" i="281" s="1"/>
  <c r="CG37" i="281"/>
  <c r="CG22" i="281"/>
  <c r="CG23" i="281" s="1"/>
  <c r="CG29" i="281" s="1"/>
  <c r="CG13" i="281"/>
  <c r="CH32" i="273"/>
  <c r="CH33" i="273" s="1"/>
  <c r="CH38" i="273" s="1"/>
  <c r="CH2" i="280"/>
  <c r="CG22" i="280"/>
  <c r="CG11" i="280"/>
  <c r="CG119" i="273"/>
  <c r="CG120" i="273" s="1"/>
  <c r="CG12" i="281" s="1"/>
  <c r="CH96" i="273"/>
  <c r="CH97" i="273" s="1"/>
  <c r="CH108" i="273" s="1"/>
  <c r="CH90" i="273"/>
  <c r="CH91" i="273" s="1"/>
  <c r="CH100" i="273" s="1"/>
  <c r="CI101" i="273" s="1"/>
  <c r="CI59" i="273" s="1"/>
  <c r="CG108" i="273"/>
  <c r="CG109" i="273" s="1"/>
  <c r="CH2" i="275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H118" i="273"/>
  <c r="CF112" i="273"/>
  <c r="CG4" i="265"/>
  <c r="CG4" i="273"/>
  <c r="CF4" i="281" l="1"/>
  <c r="CF4" i="265"/>
  <c r="CF4" i="273"/>
  <c r="CF4" i="280"/>
  <c r="CF4" i="275"/>
  <c r="CG4" i="275"/>
  <c r="CD14" i="280"/>
  <c r="CG46" i="281"/>
  <c r="CG72" i="281"/>
  <c r="CF20" i="275"/>
  <c r="CG17" i="275" s="1"/>
  <c r="CG20" i="275" s="1"/>
  <c r="CH17" i="275" s="1"/>
  <c r="CE14" i="280"/>
  <c r="CF23" i="281"/>
  <c r="CF29" i="281" s="1"/>
  <c r="CF30" i="281" s="1"/>
  <c r="CF36" i="281" s="1"/>
  <c r="CF38" i="281" s="1"/>
  <c r="CF9" i="265" s="1"/>
  <c r="CF11" i="265" s="1"/>
  <c r="CF14" i="265" s="1"/>
  <c r="CF19" i="265" s="1"/>
  <c r="CF22" i="265" s="1"/>
  <c r="AO53" i="265"/>
  <c r="AO25" i="280"/>
  <c r="AO27" i="280" s="1"/>
  <c r="AN82" i="265"/>
  <c r="AN83" i="265"/>
  <c r="AP60" i="281"/>
  <c r="AO64" i="265"/>
  <c r="CC76" i="281"/>
  <c r="CC78" i="281" s="1"/>
  <c r="CC85" i="281" s="1"/>
  <c r="CC86" i="281" s="1"/>
  <c r="CD83" i="281" s="1"/>
  <c r="CI24" i="273"/>
  <c r="CI25" i="273" s="1"/>
  <c r="CI96" i="273" s="1"/>
  <c r="CI97" i="273" s="1"/>
  <c r="CI124" i="273"/>
  <c r="CG38" i="273"/>
  <c r="CH39" i="273" s="1"/>
  <c r="CH41" i="273" s="1"/>
  <c r="CG118" i="273"/>
  <c r="CE66" i="273"/>
  <c r="CE67" i="273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75" i="273"/>
  <c r="CH76" i="273" s="1"/>
  <c r="CH81" i="281" s="1"/>
  <c r="BZ74" i="265"/>
  <c r="BZ75" i="265" s="1"/>
  <c r="BZ81" i="265" s="1"/>
  <c r="CA13" i="280"/>
  <c r="CA16" i="280" s="1"/>
  <c r="CI2" i="281"/>
  <c r="CH119" i="273"/>
  <c r="CH37" i="281"/>
  <c r="CH22" i="281"/>
  <c r="CH13" i="281"/>
  <c r="CG14" i="281"/>
  <c r="CG28" i="281" s="1"/>
  <c r="CG30" i="281" s="1"/>
  <c r="CG36" i="281" s="1"/>
  <c r="CG38" i="281" s="1"/>
  <c r="CI90" i="273"/>
  <c r="CI91" i="273" s="1"/>
  <c r="CI100" i="273" s="1"/>
  <c r="CJ101" i="273" s="1"/>
  <c r="CJ59" i="273" s="1"/>
  <c r="CI39" i="273"/>
  <c r="CI41" i="273" s="1"/>
  <c r="CI42" i="273" s="1"/>
  <c r="CI32" i="273"/>
  <c r="CI33" i="273" s="1"/>
  <c r="CI38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CH109" i="273"/>
  <c r="CI52" i="273"/>
  <c r="CI113" i="273" l="1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CF51" i="281" s="1"/>
  <c r="AP24" i="280"/>
  <c r="AO63" i="265"/>
  <c r="AO65" i="265" s="1"/>
  <c r="AO67" i="265" s="1"/>
  <c r="AO80" i="265" s="1"/>
  <c r="AP52" i="281"/>
  <c r="AP53" i="281" s="1"/>
  <c r="CD76" i="281"/>
  <c r="CD78" i="281" s="1"/>
  <c r="CD85" i="281" s="1"/>
  <c r="CD86" i="281" s="1"/>
  <c r="CE83" i="281" s="1"/>
  <c r="CG71" i="281"/>
  <c r="CG73" i="281" s="1"/>
  <c r="CG77" i="281" s="1"/>
  <c r="CG84" i="281"/>
  <c r="CJ24" i="273"/>
  <c r="CJ25" i="273" s="1"/>
  <c r="CJ2" i="281" s="1"/>
  <c r="CJ124" i="273"/>
  <c r="CF66" i="273"/>
  <c r="CF67" i="273" s="1"/>
  <c r="CG60" i="273"/>
  <c r="CI114" i="273"/>
  <c r="CI21" i="281" s="1"/>
  <c r="CL5" i="281"/>
  <c r="CL5" i="280"/>
  <c r="CG9" i="265"/>
  <c r="CG11" i="265" s="1"/>
  <c r="CG14" i="265" s="1"/>
  <c r="CG19" i="265" s="1"/>
  <c r="CG22" i="265" s="1"/>
  <c r="CG25" i="265" s="1"/>
  <c r="CG61" i="281"/>
  <c r="CG50" i="281"/>
  <c r="CG45" i="281"/>
  <c r="CG47" i="281" s="1"/>
  <c r="CG51" i="281" s="1"/>
  <c r="CH23" i="281"/>
  <c r="CH29" i="281" s="1"/>
  <c r="CH120" i="273"/>
  <c r="CH12" i="281" s="1"/>
  <c r="CH14" i="281" s="1"/>
  <c r="CH28" i="281" s="1"/>
  <c r="CH58" i="281"/>
  <c r="CH22" i="280"/>
  <c r="CH79" i="273"/>
  <c r="CI80" i="273" s="1"/>
  <c r="CI58" i="273" s="1"/>
  <c r="CH11" i="280"/>
  <c r="CH57" i="273"/>
  <c r="CH15" i="275"/>
  <c r="CH20" i="275" s="1"/>
  <c r="CI17" i="275" s="1"/>
  <c r="CE3" i="280"/>
  <c r="CE3" i="265"/>
  <c r="CE50" i="273"/>
  <c r="CE3" i="281"/>
  <c r="CE3" i="275"/>
  <c r="CE3" i="273"/>
  <c r="CF14" i="280"/>
  <c r="CF25" i="265"/>
  <c r="CH42" i="273"/>
  <c r="CH52" i="273"/>
  <c r="CI125" i="273"/>
  <c r="CI126" i="273" s="1"/>
  <c r="CI75" i="273"/>
  <c r="CI76" i="273" s="1"/>
  <c r="CI81" i="281" s="1"/>
  <c r="CB13" i="280"/>
  <c r="CB16" i="280" s="1"/>
  <c r="CA74" i="265"/>
  <c r="CA75" i="265" s="1"/>
  <c r="CA81" i="265" s="1"/>
  <c r="CI4" i="280"/>
  <c r="CI4" i="281"/>
  <c r="CI118" i="273"/>
  <c r="CJ2" i="280"/>
  <c r="CI37" i="281"/>
  <c r="CI22" i="281"/>
  <c r="CI13" i="281"/>
  <c r="CJ2" i="275"/>
  <c r="CJ96" i="273"/>
  <c r="CJ97" i="273" s="1"/>
  <c r="CJ119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21" i="281" s="1"/>
  <c r="CI4" i="273"/>
  <c r="CI4" i="265"/>
  <c r="CI4" i="275"/>
  <c r="CH112" i="273"/>
  <c r="CJ42" i="273"/>
  <c r="CJ108" i="273" l="1"/>
  <c r="CI23" i="281"/>
  <c r="CI29" i="281" s="1"/>
  <c r="CI120" i="273"/>
  <c r="CI12" i="281" s="1"/>
  <c r="CI46" i="281"/>
  <c r="CI72" i="281"/>
  <c r="CG14" i="280"/>
  <c r="AO83" i="265"/>
  <c r="AO82" i="265"/>
  <c r="AP62" i="281"/>
  <c r="AP63" i="281" s="1"/>
  <c r="AP30" i="265"/>
  <c r="AP33" i="265" s="1"/>
  <c r="AP37" i="265" s="1"/>
  <c r="AP42" i="265" s="1"/>
  <c r="AP47" i="265" s="1"/>
  <c r="AP50" i="265" s="1"/>
  <c r="AP30" i="280" s="1"/>
  <c r="CE76" i="281"/>
  <c r="CE78" i="281" s="1"/>
  <c r="CE85" i="281" s="1"/>
  <c r="CE86" i="281" s="1"/>
  <c r="CF83" i="281" s="1"/>
  <c r="CM5" i="281"/>
  <c r="CM5" i="280"/>
  <c r="CI58" i="281"/>
  <c r="CI11" i="280"/>
  <c r="CI57" i="273"/>
  <c r="CI15" i="275"/>
  <c r="CI20" i="275" s="1"/>
  <c r="CJ17" i="275" s="1"/>
  <c r="CI22" i="280"/>
  <c r="CI79" i="273"/>
  <c r="CJ80" i="273" s="1"/>
  <c r="CJ58" i="273" s="1"/>
  <c r="CH60" i="273"/>
  <c r="CG66" i="273"/>
  <c r="CG67" i="273" s="1"/>
  <c r="CJ76" i="273"/>
  <c r="CJ120" i="273"/>
  <c r="CJ12" i="281" s="1"/>
  <c r="CK24" i="273"/>
  <c r="CK25" i="273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32" i="273"/>
  <c r="CJ33" i="273" s="1"/>
  <c r="CJ2" i="273"/>
  <c r="CJ2" i="265"/>
  <c r="CB74" i="265"/>
  <c r="CB75" i="265" s="1"/>
  <c r="CB81" i="265" s="1"/>
  <c r="CC13" i="280"/>
  <c r="CC16" i="280" s="1"/>
  <c r="CJ4" i="280"/>
  <c r="CJ4" i="281"/>
  <c r="CJ37" i="281"/>
  <c r="CJ22" i="281"/>
  <c r="CJ23" i="281" s="1"/>
  <c r="CJ29" i="281" s="1"/>
  <c r="CJ13" i="281"/>
  <c r="CI14" i="281"/>
  <c r="CI28" i="281" s="1"/>
  <c r="CI30" i="281" s="1"/>
  <c r="CI36" i="281" s="1"/>
  <c r="CI38" i="281" s="1"/>
  <c r="CK32" i="273"/>
  <c r="CK33" i="273" s="1"/>
  <c r="CK118" i="273" s="1"/>
  <c r="CK96" i="273"/>
  <c r="CK97" i="273" s="1"/>
  <c r="CK119" i="273" s="1"/>
  <c r="CJ11" i="280"/>
  <c r="CK2" i="273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4" i="265"/>
  <c r="CJ4" i="275"/>
  <c r="CJ4" i="273"/>
  <c r="CJ109" i="273"/>
  <c r="CI112" i="273"/>
  <c r="CK38" i="273"/>
  <c r="CJ57" i="273"/>
  <c r="CJ15" i="275"/>
  <c r="CJ20" i="275" l="1"/>
  <c r="CK17" i="275" s="1"/>
  <c r="CK113" i="273"/>
  <c r="CK114" i="273" s="1"/>
  <c r="CK21" i="281" s="1"/>
  <c r="CJ46" i="281"/>
  <c r="CJ72" i="281"/>
  <c r="CJ58" i="281"/>
  <c r="CJ81" i="281"/>
  <c r="AQ60" i="281"/>
  <c r="AQ52" i="281" s="1"/>
  <c r="AQ53" i="281" s="1"/>
  <c r="AP64" i="265"/>
  <c r="AP53" i="265"/>
  <c r="AP25" i="280"/>
  <c r="AP27" i="280" s="1"/>
  <c r="CF76" i="281"/>
  <c r="CF78" i="281" s="1"/>
  <c r="CF85" i="281" s="1"/>
  <c r="CF86" i="281" s="1"/>
  <c r="CG83" i="281" s="1"/>
  <c r="CI84" i="281"/>
  <c r="CI71" i="281"/>
  <c r="CI73" i="281" s="1"/>
  <c r="CI77" i="281" s="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2" i="280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H51" i="281" s="1"/>
  <c r="CK2" i="281"/>
  <c r="CK125" i="273"/>
  <c r="CK126" i="273" s="1"/>
  <c r="CH66" i="273"/>
  <c r="CH67" i="273" s="1"/>
  <c r="CI60" i="273"/>
  <c r="CI66" i="273" s="1"/>
  <c r="CI67" i="273" s="1"/>
  <c r="CJ79" i="273"/>
  <c r="CK80" i="273" s="1"/>
  <c r="CK58" i="273" s="1"/>
  <c r="CK108" i="273"/>
  <c r="CK2" i="265"/>
  <c r="CK75" i="273"/>
  <c r="CK76" i="273" s="1"/>
  <c r="CK90" i="273"/>
  <c r="CK91" i="273" s="1"/>
  <c r="CK100" i="273" s="1"/>
  <c r="CL101" i="273" s="1"/>
  <c r="CL59" i="273" s="1"/>
  <c r="CJ22" i="280"/>
  <c r="CK2" i="280"/>
  <c r="CI9" i="265"/>
  <c r="CI11" i="265" s="1"/>
  <c r="CI14" i="265" s="1"/>
  <c r="CI19" i="265" s="1"/>
  <c r="CI22" i="265" s="1"/>
  <c r="CI14" i="280" s="1"/>
  <c r="CI50" i="281"/>
  <c r="CI61" i="281"/>
  <c r="CI45" i="281"/>
  <c r="CI47" i="281" s="1"/>
  <c r="CI51" i="281" s="1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I25" i="265"/>
  <c r="CD13" i="280"/>
  <c r="CD16" i="280" s="1"/>
  <c r="CC74" i="265"/>
  <c r="CC75" i="265" s="1"/>
  <c r="CC81" i="265" s="1"/>
  <c r="CI3" i="280"/>
  <c r="CI3" i="281"/>
  <c r="CK42" i="273"/>
  <c r="CK4" i="265" s="1"/>
  <c r="CK37" i="281"/>
  <c r="CK22" i="281"/>
  <c r="CK23" i="281" s="1"/>
  <c r="CK29" i="281" s="1"/>
  <c r="CK13" i="281"/>
  <c r="CK22" i="280"/>
  <c r="CK11" i="280"/>
  <c r="CL75" i="273"/>
  <c r="CL76" i="273" s="1"/>
  <c r="CL2" i="273"/>
  <c r="CL39" i="273"/>
  <c r="CL41" i="273" s="1"/>
  <c r="CL52" i="273" s="1"/>
  <c r="CL2" i="275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L90" i="273"/>
  <c r="CL91" i="273" s="1"/>
  <c r="CL100" i="273" s="1"/>
  <c r="CM101" i="273" s="1"/>
  <c r="CM59" i="273" s="1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CL79" i="273"/>
  <c r="CM80" i="273" s="1"/>
  <c r="CM58" i="273" s="1"/>
  <c r="CK4" i="275"/>
  <c r="CL58" i="281" l="1"/>
  <c r="CL81" i="281"/>
  <c r="CL15" i="275"/>
  <c r="CL57" i="273"/>
  <c r="CL96" i="273"/>
  <c r="CL97" i="273" s="1"/>
  <c r="CL113" i="273" s="1"/>
  <c r="CL114" i="273" s="1"/>
  <c r="CL21" i="281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CJ3" i="281" s="1"/>
  <c r="AQ24" i="280"/>
  <c r="AP63" i="265"/>
  <c r="AP65" i="265" s="1"/>
  <c r="AP67" i="265" s="1"/>
  <c r="AP80" i="265" s="1"/>
  <c r="AQ62" i="281"/>
  <c r="AQ63" i="281" s="1"/>
  <c r="AQ30" i="265"/>
  <c r="AQ33" i="265" s="1"/>
  <c r="AQ37" i="265" s="1"/>
  <c r="AQ42" i="265" s="1"/>
  <c r="AQ47" i="265" s="1"/>
  <c r="AQ50" i="265" s="1"/>
  <c r="AQ30" i="280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90" i="273" s="1"/>
  <c r="CM91" i="273" s="1"/>
  <c r="CM100" i="273" s="1"/>
  <c r="CN101" i="273" s="1"/>
  <c r="CN59" i="273" s="1"/>
  <c r="CM124" i="273"/>
  <c r="CJ9" i="265"/>
  <c r="CJ11" i="265" s="1"/>
  <c r="CJ14" i="265" s="1"/>
  <c r="CJ19" i="265" s="1"/>
  <c r="CJ22" i="265" s="1"/>
  <c r="CJ14" i="280" s="1"/>
  <c r="CJ61" i="281"/>
  <c r="CJ50" i="281"/>
  <c r="CJ45" i="281"/>
  <c r="CJ47" i="281" s="1"/>
  <c r="CJ51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O5" i="281"/>
  <c r="CO5" i="280"/>
  <c r="CK14" i="281"/>
  <c r="CK28" i="281" s="1"/>
  <c r="CK30" i="281" s="1"/>
  <c r="CK36" i="281" s="1"/>
  <c r="CK38" i="281" s="1"/>
  <c r="CH14" i="280"/>
  <c r="CH25" i="265"/>
  <c r="CL2" i="281"/>
  <c r="CL125" i="273"/>
  <c r="CL126" i="273" s="1"/>
  <c r="CL2" i="265"/>
  <c r="CJ25" i="265"/>
  <c r="CD74" i="265"/>
  <c r="CD75" i="265" s="1"/>
  <c r="CD81" i="265" s="1"/>
  <c r="CE13" i="280"/>
  <c r="CE16" i="280" s="1"/>
  <c r="CL42" i="273"/>
  <c r="CJ3" i="280"/>
  <c r="CL37" i="281"/>
  <c r="CL13" i="281"/>
  <c r="CK4" i="280"/>
  <c r="CK4" i="281"/>
  <c r="CM2" i="280"/>
  <c r="CL11" i="280"/>
  <c r="CL22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65"/>
  <c r="CL4" i="273"/>
  <c r="CL4" i="275"/>
  <c r="CJ50" i="273"/>
  <c r="CJ3" i="275"/>
  <c r="CM75" i="273" l="1"/>
  <c r="CM76" i="273" s="1"/>
  <c r="CM15" i="275" s="1"/>
  <c r="CM32" i="273"/>
  <c r="CM33" i="273" s="1"/>
  <c r="CM58" i="281"/>
  <c r="CL46" i="281"/>
  <c r="CL72" i="281"/>
  <c r="CJ3" i="273"/>
  <c r="CJ3" i="265"/>
  <c r="CM57" i="273"/>
  <c r="CL108" i="273"/>
  <c r="CL109" i="273" s="1"/>
  <c r="CM2" i="273"/>
  <c r="CM2" i="265"/>
  <c r="CL22" i="281"/>
  <c r="CL23" i="281" s="1"/>
  <c r="CL29" i="281" s="1"/>
  <c r="CK60" i="273"/>
  <c r="AR60" i="281"/>
  <c r="AR52" i="281" s="1"/>
  <c r="AR53" i="281" s="1"/>
  <c r="AQ64" i="265"/>
  <c r="AQ53" i="265"/>
  <c r="AQ25" i="280"/>
  <c r="AQ27" i="280" s="1"/>
  <c r="AP83" i="265"/>
  <c r="AP82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14" i="280" s="1"/>
  <c r="CK61" i="281"/>
  <c r="CK50" i="281"/>
  <c r="CK45" i="281"/>
  <c r="CK47" i="281" s="1"/>
  <c r="CK51" i="281" s="1"/>
  <c r="CP5" i="281"/>
  <c r="CP5" i="280"/>
  <c r="CM79" i="273"/>
  <c r="CN80" i="273" s="1"/>
  <c r="CN58" i="273" s="1"/>
  <c r="CN24" i="273"/>
  <c r="CN25" i="273" s="1"/>
  <c r="CN124" i="273"/>
  <c r="CM2" i="281"/>
  <c r="CM125" i="273"/>
  <c r="CM126" i="273" s="1"/>
  <c r="CM96" i="273"/>
  <c r="CM97" i="273" s="1"/>
  <c r="CE74" i="265"/>
  <c r="CE75" i="265" s="1"/>
  <c r="CE81" i="265" s="1"/>
  <c r="CF13" i="280"/>
  <c r="CF16" i="280" s="1"/>
  <c r="CK25" i="265"/>
  <c r="CM52" i="273"/>
  <c r="CL14" i="281"/>
  <c r="CL28" i="281" s="1"/>
  <c r="CL30" i="281" s="1"/>
  <c r="CL36" i="281" s="1"/>
  <c r="CL38" i="281" s="1"/>
  <c r="CM4" i="280"/>
  <c r="CM4" i="281"/>
  <c r="CL4" i="280"/>
  <c r="CL4" i="281"/>
  <c r="CM22" i="280"/>
  <c r="CM11" i="280"/>
  <c r="CN32" i="273"/>
  <c r="CN33" i="273" s="1"/>
  <c r="CN2" i="280"/>
  <c r="CN96" i="273"/>
  <c r="CN97" i="273" s="1"/>
  <c r="CN75" i="273"/>
  <c r="CN76" i="273" s="1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N118" i="273"/>
  <c r="CM4" i="273"/>
  <c r="CM4" i="265"/>
  <c r="CM4" i="275"/>
  <c r="CL112" i="273"/>
  <c r="CN113" i="273"/>
  <c r="CN108" i="273"/>
  <c r="CN119" i="273"/>
  <c r="CM81" i="281" l="1"/>
  <c r="CM118" i="273"/>
  <c r="CM38" i="273"/>
  <c r="CN39" i="273" s="1"/>
  <c r="CN41" i="273" s="1"/>
  <c r="CN58" i="281"/>
  <c r="CN81" i="281"/>
  <c r="CM46" i="281"/>
  <c r="CM72" i="281"/>
  <c r="CK66" i="273"/>
  <c r="CK67" i="273" s="1"/>
  <c r="CL60" i="273"/>
  <c r="AR24" i="280"/>
  <c r="AQ63" i="265"/>
  <c r="AQ65" i="265" s="1"/>
  <c r="AQ67" i="265" s="1"/>
  <c r="AQ80" i="265" s="1"/>
  <c r="AR62" i="281"/>
  <c r="AR63" i="281" s="1"/>
  <c r="AR30" i="265"/>
  <c r="AR33" i="265" s="1"/>
  <c r="AR37" i="265" s="1"/>
  <c r="AR42" i="265" s="1"/>
  <c r="AR47" i="265" s="1"/>
  <c r="AR50" i="265" s="1"/>
  <c r="AR30" i="280" s="1"/>
  <c r="CI76" i="281"/>
  <c r="CI78" i="281" s="1"/>
  <c r="CI85" i="281" s="1"/>
  <c r="CI86" i="281" s="1"/>
  <c r="CJ83" i="281" s="1"/>
  <c r="CL84" i="281"/>
  <c r="CL71" i="281"/>
  <c r="CL73" i="281" s="1"/>
  <c r="CL77" i="281" s="1"/>
  <c r="CQ5" i="281"/>
  <c r="CQ5" i="280"/>
  <c r="CO24" i="273"/>
  <c r="CO25" i="273" s="1"/>
  <c r="CO124" i="273"/>
  <c r="CL9" i="265"/>
  <c r="CL11" i="265" s="1"/>
  <c r="CL14" i="265" s="1"/>
  <c r="CL19" i="265" s="1"/>
  <c r="CL22" i="265" s="1"/>
  <c r="CL25" i="265" s="1"/>
  <c r="CL61" i="281"/>
  <c r="CL50" i="281"/>
  <c r="CL45" i="281"/>
  <c r="CL47" i="281" s="1"/>
  <c r="CL51" i="281" s="1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90" i="273"/>
  <c r="CN91" i="273" s="1"/>
  <c r="CN100" i="273" s="1"/>
  <c r="CO101" i="273" s="1"/>
  <c r="CO59" i="273" s="1"/>
  <c r="CF74" i="265"/>
  <c r="CF75" i="265" s="1"/>
  <c r="CF81" i="265" s="1"/>
  <c r="CG13" i="280"/>
  <c r="CG16" i="280" s="1"/>
  <c r="CN37" i="281"/>
  <c r="CN22" i="281"/>
  <c r="CN13" i="281"/>
  <c r="CN22" i="280"/>
  <c r="CN11" i="280"/>
  <c r="CO75" i="273"/>
  <c r="CO76" i="273" s="1"/>
  <c r="CO32" i="273"/>
  <c r="CO33" i="273" s="1"/>
  <c r="CO38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0" i="273"/>
  <c r="CO91" i="273" s="1"/>
  <c r="CO100" i="273" s="1"/>
  <c r="CP101" i="273" s="1"/>
  <c r="CP59" i="273" s="1"/>
  <c r="CN57" i="273"/>
  <c r="CN79" i="273"/>
  <c r="CO80" i="273" s="1"/>
  <c r="CO58" i="273" s="1"/>
  <c r="CN15" i="275"/>
  <c r="CN20" i="275" s="1"/>
  <c r="CO17" i="275" s="1"/>
  <c r="CO79" i="273"/>
  <c r="CP80" i="273" s="1"/>
  <c r="CP58" i="273" s="1"/>
  <c r="CM112" i="273"/>
  <c r="CO42" i="273"/>
  <c r="CN42" i="273" l="1"/>
  <c r="CN52" i="273"/>
  <c r="CN46" i="281"/>
  <c r="CN72" i="281"/>
  <c r="CN120" i="273"/>
  <c r="CN12" i="281" s="1"/>
  <c r="CL66" i="273"/>
  <c r="CL67" i="273" s="1"/>
  <c r="CM60" i="273"/>
  <c r="CM66" i="273" s="1"/>
  <c r="CM67" i="273" s="1"/>
  <c r="CO58" i="281"/>
  <c r="CO81" i="281"/>
  <c r="CK3" i="280"/>
  <c r="CK50" i="273"/>
  <c r="CK3" i="273"/>
  <c r="CK3" i="281"/>
  <c r="CK3" i="265"/>
  <c r="CK3" i="275"/>
  <c r="CL14" i="280"/>
  <c r="AR53" i="265"/>
  <c r="AR25" i="280"/>
  <c r="AR27" i="280" s="1"/>
  <c r="AQ82" i="265"/>
  <c r="AQ83" i="265"/>
  <c r="AS60" i="281"/>
  <c r="AS52" i="281" s="1"/>
  <c r="AS53" i="281" s="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2" i="281" s="1"/>
  <c r="CP124" i="273"/>
  <c r="CO2" i="281"/>
  <c r="CO125" i="273"/>
  <c r="CO126" i="273" s="1"/>
  <c r="CO2" i="265"/>
  <c r="CO15" i="275"/>
  <c r="CO20" i="275" s="1"/>
  <c r="CP17" i="275" s="1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G74" i="265"/>
  <c r="CG75" i="265" s="1"/>
  <c r="CG81" i="265" s="1"/>
  <c r="CH13" i="280"/>
  <c r="CH16" i="280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P39" i="273"/>
  <c r="CP41" i="273" s="1"/>
  <c r="CP42" i="273" s="1"/>
  <c r="CP96" i="273"/>
  <c r="CP97" i="273" s="1"/>
  <c r="CP113" i="273" s="1"/>
  <c r="CP75" i="273"/>
  <c r="CP76" i="273" s="1"/>
  <c r="CO22" i="280"/>
  <c r="CO11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109" i="273"/>
  <c r="CP119" i="273"/>
  <c r="CP120" i="273" s="1"/>
  <c r="CP12" i="281" s="1"/>
  <c r="CO4" i="275"/>
  <c r="CO4" i="273"/>
  <c r="CO4" i="265"/>
  <c r="CM3" i="265"/>
  <c r="CM3" i="273"/>
  <c r="CM50" i="273"/>
  <c r="CM3" i="275"/>
  <c r="CP52" i="273"/>
  <c r="CP118" i="273"/>
  <c r="CN60" i="273" l="1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R63" i="265"/>
  <c r="AR65" i="265" s="1"/>
  <c r="AR67" i="265" s="1"/>
  <c r="AR80" i="265" s="1"/>
  <c r="AS24" i="280"/>
  <c r="AS62" i="281"/>
  <c r="AS63" i="281" s="1"/>
  <c r="AS30" i="265"/>
  <c r="AS33" i="265" s="1"/>
  <c r="AS37" i="265" s="1"/>
  <c r="AS42" i="265" s="1"/>
  <c r="AS47" i="265" s="1"/>
  <c r="AS50" i="265" s="1"/>
  <c r="AS30" i="280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N61" i="281" s="1"/>
  <c r="CM30" i="281"/>
  <c r="CM36" i="281" s="1"/>
  <c r="CM38" i="281" s="1"/>
  <c r="CN9" i="265"/>
  <c r="CN11" i="265" s="1"/>
  <c r="CN14" i="265" s="1"/>
  <c r="CN19" i="265" s="1"/>
  <c r="CN22" i="265" s="1"/>
  <c r="CN25" i="265" s="1"/>
  <c r="CS5" i="281"/>
  <c r="CS5" i="280"/>
  <c r="CQ24" i="273"/>
  <c r="CQ25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O30" i="281" s="1"/>
  <c r="CO36" i="281" s="1"/>
  <c r="CO38" i="281" s="1"/>
  <c r="CM9" i="265"/>
  <c r="CM11" i="265" s="1"/>
  <c r="CM14" i="265" s="1"/>
  <c r="CM19" i="265" s="1"/>
  <c r="CM22" i="265" s="1"/>
  <c r="CM61" i="281"/>
  <c r="CP125" i="273"/>
  <c r="CP126" i="273" s="1"/>
  <c r="CP2" i="265"/>
  <c r="CH74" i="265"/>
  <c r="CH75" i="265" s="1"/>
  <c r="CH81" i="265" s="1"/>
  <c r="CI13" i="280"/>
  <c r="CI16" i="280" s="1"/>
  <c r="CP4" i="280"/>
  <c r="CP4" i="281"/>
  <c r="CP37" i="281"/>
  <c r="CP22" i="281"/>
  <c r="CP13" i="281"/>
  <c r="CP14" i="281" s="1"/>
  <c r="CP28" i="281" s="1"/>
  <c r="CQ75" i="273"/>
  <c r="CQ76" i="273" s="1"/>
  <c r="CQ81" i="281" s="1"/>
  <c r="CQ22" i="280"/>
  <c r="CQ2" i="280"/>
  <c r="CP11" i="280"/>
  <c r="CP22" i="280"/>
  <c r="CQ39" i="273"/>
  <c r="CQ41" i="273" s="1"/>
  <c r="CQ42" i="273" s="1"/>
  <c r="CQ2" i="265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Q2" i="275"/>
  <c r="CP4" i="273"/>
  <c r="CP4" i="265"/>
  <c r="CP4" i="275"/>
  <c r="CQ79" i="273"/>
  <c r="CR80" i="273" s="1"/>
  <c r="CR58" i="273" s="1"/>
  <c r="CO112" i="273"/>
  <c r="CP109" i="273"/>
  <c r="CO60" i="273" l="1"/>
  <c r="CN66" i="273"/>
  <c r="CN67" i="273" s="1"/>
  <c r="CQ38" i="273"/>
  <c r="CN14" i="280"/>
  <c r="CP46" i="281"/>
  <c r="CP72" i="281"/>
  <c r="CN50" i="281"/>
  <c r="AT60" i="281"/>
  <c r="AT52" i="281" s="1"/>
  <c r="AT53" i="281" s="1"/>
  <c r="AS64" i="265"/>
  <c r="CN45" i="281"/>
  <c r="CN47" i="281" s="1"/>
  <c r="CN51" i="281" s="1"/>
  <c r="AS53" i="265"/>
  <c r="AS25" i="280"/>
  <c r="AS27" i="280" s="1"/>
  <c r="AR83" i="265"/>
  <c r="AR82" i="265"/>
  <c r="CL76" i="281"/>
  <c r="CL78" i="281" s="1"/>
  <c r="CL85" i="281" s="1"/>
  <c r="CL86" i="281" s="1"/>
  <c r="CM83" i="281" s="1"/>
  <c r="CO71" i="281"/>
  <c r="CO73" i="281" s="1"/>
  <c r="CO77" i="281" s="1"/>
  <c r="CO84" i="281"/>
  <c r="CM84" i="281"/>
  <c r="CM71" i="281"/>
  <c r="CM73" i="281" s="1"/>
  <c r="CM77" i="281" s="1"/>
  <c r="CM45" i="281"/>
  <c r="CM47" i="281" s="1"/>
  <c r="CM51" i="281" s="1"/>
  <c r="CM50" i="281"/>
  <c r="CN84" i="281"/>
  <c r="CN71" i="281"/>
  <c r="CN73" i="281" s="1"/>
  <c r="CN77" i="281" s="1"/>
  <c r="CO9" i="265"/>
  <c r="CO11" i="265" s="1"/>
  <c r="CO14" i="265" s="1"/>
  <c r="CO19" i="265" s="1"/>
  <c r="CO22" i="265" s="1"/>
  <c r="CO25" i="265" s="1"/>
  <c r="CO61" i="281"/>
  <c r="CO50" i="281"/>
  <c r="CO45" i="281"/>
  <c r="CO47" i="281" s="1"/>
  <c r="CO51" i="281" s="1"/>
  <c r="CQ11" i="280"/>
  <c r="CQ58" i="281"/>
  <c r="CQ2" i="281"/>
  <c r="CQ125" i="273"/>
  <c r="CQ126" i="273" s="1"/>
  <c r="CQ15" i="275"/>
  <c r="CQ20" i="275" s="1"/>
  <c r="CR17" i="275" s="1"/>
  <c r="CQ57" i="273"/>
  <c r="CQ2" i="273"/>
  <c r="CR24" i="273"/>
  <c r="CR25" i="273" s="1"/>
  <c r="CR124" i="273"/>
  <c r="CT5" i="281"/>
  <c r="CT5" i="280"/>
  <c r="CQ96" i="273"/>
  <c r="CQ97" i="273" s="1"/>
  <c r="CQ90" i="273"/>
  <c r="CQ91" i="273" s="1"/>
  <c r="CQ100" i="273" s="1"/>
  <c r="CR101" i="273" s="1"/>
  <c r="CR59" i="273" s="1"/>
  <c r="CM25" i="265"/>
  <c r="CM14" i="280"/>
  <c r="CP114" i="273"/>
  <c r="CP21" i="281" s="1"/>
  <c r="CP23" i="281" s="1"/>
  <c r="CP29" i="281" s="1"/>
  <c r="CP30" i="281" s="1"/>
  <c r="CP36" i="281" s="1"/>
  <c r="CP38" i="281" s="1"/>
  <c r="CI74" i="265"/>
  <c r="CI75" i="265" s="1"/>
  <c r="CI81" i="265" s="1"/>
  <c r="CJ13" i="280"/>
  <c r="CJ16" i="280" s="1"/>
  <c r="CO14" i="280"/>
  <c r="CQ52" i="273"/>
  <c r="CQ119" i="273"/>
  <c r="CQ120" i="273" s="1"/>
  <c r="CQ12" i="281" s="1"/>
  <c r="CQ37" i="281"/>
  <c r="CQ22" i="281"/>
  <c r="CQ13" i="281"/>
  <c r="CQ4" i="280"/>
  <c r="CQ4" i="281"/>
  <c r="CR75" i="273"/>
  <c r="CR76" i="273" s="1"/>
  <c r="CR2" i="280"/>
  <c r="CR2" i="275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113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56" i="273"/>
  <c r="CR42" i="273"/>
  <c r="CP112" i="273"/>
  <c r="CR57" i="273"/>
  <c r="CR38" i="273"/>
  <c r="CR118" i="273"/>
  <c r="CQ4" i="275"/>
  <c r="CQ4" i="265"/>
  <c r="CQ4" i="273"/>
  <c r="CN3" i="281" l="1"/>
  <c r="CN3" i="265"/>
  <c r="CN3" i="273"/>
  <c r="CN3" i="280"/>
  <c r="CN3" i="275"/>
  <c r="CN50" i="273"/>
  <c r="CP60" i="273"/>
  <c r="CO66" i="273"/>
  <c r="CO67" i="273" s="1"/>
  <c r="CR58" i="281"/>
  <c r="CR81" i="281"/>
  <c r="CR15" i="275"/>
  <c r="CR20" i="275" s="1"/>
  <c r="CS17" i="275" s="1"/>
  <c r="CQ46" i="281"/>
  <c r="CQ72" i="281"/>
  <c r="AS63" i="265"/>
  <c r="AS65" i="265" s="1"/>
  <c r="AS67" i="265" s="1"/>
  <c r="AS80" i="265" s="1"/>
  <c r="AT24" i="280"/>
  <c r="AT62" i="281"/>
  <c r="AT63" i="281" s="1"/>
  <c r="AT30" i="265"/>
  <c r="AT33" i="265" s="1"/>
  <c r="AT37" i="265" s="1"/>
  <c r="AT42" i="265" s="1"/>
  <c r="AT47" i="265" s="1"/>
  <c r="AT50" i="265" s="1"/>
  <c r="AT30" i="280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25" i="265" s="1"/>
  <c r="CP61" i="281"/>
  <c r="CP50" i="281"/>
  <c r="CP45" i="281"/>
  <c r="CP47" i="281" s="1"/>
  <c r="CP51" i="281" s="1"/>
  <c r="CS24" i="273"/>
  <c r="CS25" i="273" s="1"/>
  <c r="CS1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Q23" i="281" s="1"/>
  <c r="CQ29" i="281" s="1"/>
  <c r="CR2" i="281"/>
  <c r="CR125" i="273"/>
  <c r="CR126" i="273" s="1"/>
  <c r="CQ14" i="281"/>
  <c r="CQ28" i="281" s="1"/>
  <c r="CK13" i="280"/>
  <c r="CK16" i="280" s="1"/>
  <c r="CJ74" i="265"/>
  <c r="CJ75" i="265" s="1"/>
  <c r="CJ81" i="265" s="1"/>
  <c r="CP14" i="280"/>
  <c r="CR4" i="280"/>
  <c r="CR4" i="281"/>
  <c r="CS2" i="281"/>
  <c r="CR119" i="273"/>
  <c r="CR120" i="273" s="1"/>
  <c r="CR12" i="281" s="1"/>
  <c r="CR37" i="281"/>
  <c r="CR22" i="281"/>
  <c r="CR13" i="281"/>
  <c r="CS32" i="273"/>
  <c r="CS33" i="273" s="1"/>
  <c r="CS118" i="273" s="1"/>
  <c r="CR22" i="280"/>
  <c r="CR11" i="280"/>
  <c r="CS75" i="273"/>
  <c r="CS76" i="273" s="1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S57" i="273"/>
  <c r="CS38" i="273"/>
  <c r="CR4" i="275"/>
  <c r="CR4" i="265"/>
  <c r="CR4" i="273"/>
  <c r="CS42" i="273" l="1"/>
  <c r="CO3" i="281"/>
  <c r="CO3" i="280"/>
  <c r="CO3" i="265"/>
  <c r="CO3" i="273"/>
  <c r="CO50" i="273"/>
  <c r="CO3" i="275"/>
  <c r="CP66" i="273"/>
  <c r="CP67" i="273" s="1"/>
  <c r="CQ60" i="273"/>
  <c r="CS58" i="281"/>
  <c r="CS81" i="281"/>
  <c r="CR109" i="273"/>
  <c r="CR46" i="281"/>
  <c r="CR72" i="281"/>
  <c r="CS126" i="273"/>
  <c r="AU60" i="281"/>
  <c r="AU52" i="281" s="1"/>
  <c r="AU53" i="281" s="1"/>
  <c r="AT64" i="265"/>
  <c r="AT53" i="265"/>
  <c r="AT25" i="280"/>
  <c r="AT27" i="280" s="1"/>
  <c r="AS82" i="265"/>
  <c r="AS83" i="265"/>
  <c r="CN76" i="281"/>
  <c r="CN78" i="281" s="1"/>
  <c r="CN85" i="281" s="1"/>
  <c r="CN86" i="281" s="1"/>
  <c r="CO83" i="281" s="1"/>
  <c r="CQ30" i="281"/>
  <c r="CQ36" i="281" s="1"/>
  <c r="CQ38" i="281" s="1"/>
  <c r="CQ50" i="281" s="1"/>
  <c r="CS15" i="275"/>
  <c r="CS20" i="275" s="1"/>
  <c r="CT17" i="275" s="1"/>
  <c r="CS2" i="265"/>
  <c r="CV5" i="281"/>
  <c r="CV5" i="280"/>
  <c r="CT24" i="273"/>
  <c r="CT25" i="273" s="1"/>
  <c r="CT2" i="275" s="1"/>
  <c r="CT124" i="273"/>
  <c r="CS96" i="273"/>
  <c r="CS97" i="273" s="1"/>
  <c r="CS108" i="273" s="1"/>
  <c r="CS109" i="273" s="1"/>
  <c r="CS2" i="280"/>
  <c r="CS2" i="273"/>
  <c r="CR114" i="273"/>
  <c r="CR21" i="281" s="1"/>
  <c r="CR23" i="281" s="1"/>
  <c r="CR29" i="281" s="1"/>
  <c r="CK74" i="265"/>
  <c r="CK75" i="265" s="1"/>
  <c r="CK81" i="265" s="1"/>
  <c r="CL13" i="280"/>
  <c r="CL16" i="280" s="1"/>
  <c r="CS4" i="280"/>
  <c r="CS4" i="281"/>
  <c r="CS37" i="281"/>
  <c r="CR14" i="281"/>
  <c r="CR28" i="281" s="1"/>
  <c r="CS79" i="273"/>
  <c r="CT80" i="273" s="1"/>
  <c r="CT58" i="273" s="1"/>
  <c r="CS22" i="280"/>
  <c r="CS11" i="280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CT42" i="273"/>
  <c r="CR112" i="273"/>
  <c r="CP3" i="280" l="1"/>
  <c r="CP3" i="281"/>
  <c r="CP3" i="273"/>
  <c r="CP3" i="275"/>
  <c r="CP50" i="273"/>
  <c r="CP3" i="265"/>
  <c r="CT75" i="273"/>
  <c r="CT76" i="273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T58" i="281"/>
  <c r="CT81" i="281"/>
  <c r="CS46" i="281"/>
  <c r="CS72" i="281"/>
  <c r="CT57" i="273"/>
  <c r="CS13" i="281"/>
  <c r="CQ45" i="281"/>
  <c r="CQ47" i="281" s="1"/>
  <c r="CQ51" i="281" s="1"/>
  <c r="AU24" i="280"/>
  <c r="AT63" i="265"/>
  <c r="AT65" i="265" s="1"/>
  <c r="AT67" i="265" s="1"/>
  <c r="AT80" i="265" s="1"/>
  <c r="AU62" i="281"/>
  <c r="AU63" i="281" s="1"/>
  <c r="AU30" i="265"/>
  <c r="AU33" i="265" s="1"/>
  <c r="AU37" i="265" s="1"/>
  <c r="AU42" i="265" s="1"/>
  <c r="AU47" i="265" s="1"/>
  <c r="AU50" i="265" s="1"/>
  <c r="AU30" i="280" s="1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5" i="275"/>
  <c r="CT20" i="275" s="1"/>
  <c r="CU17" i="275" s="1"/>
  <c r="CT2" i="265"/>
  <c r="CT2" i="273"/>
  <c r="CU24" i="273"/>
  <c r="CU25" i="273" s="1"/>
  <c r="CU2" i="280" s="1"/>
  <c r="CU124" i="273"/>
  <c r="CT96" i="273"/>
  <c r="CT97" i="273" s="1"/>
  <c r="CT108" i="273" s="1"/>
  <c r="CT109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M13" i="280"/>
  <c r="CM16" i="280" s="1"/>
  <c r="CL74" i="265"/>
  <c r="CL75" i="265" s="1"/>
  <c r="CL81" i="265" s="1"/>
  <c r="CT4" i="280"/>
  <c r="CT4" i="281"/>
  <c r="CU2" i="275"/>
  <c r="CT22" i="281"/>
  <c r="CU90" i="273"/>
  <c r="CU91" i="273" s="1"/>
  <c r="CU100" i="273" s="1"/>
  <c r="CV101" i="273" s="1"/>
  <c r="CV59" i="273" s="1"/>
  <c r="CT79" i="273"/>
  <c r="CU80" i="273" s="1"/>
  <c r="CU58" i="273" s="1"/>
  <c r="CT11" i="280"/>
  <c r="CT22" i="280"/>
  <c r="CU32" i="273"/>
  <c r="CU33" i="273" s="1"/>
  <c r="CU118" i="273" s="1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CT4" i="265"/>
  <c r="CT4" i="273"/>
  <c r="CT4" i="275"/>
  <c r="CU38" i="273"/>
  <c r="CU96" i="273" l="1"/>
  <c r="CU97" i="273" s="1"/>
  <c r="CU2" i="265"/>
  <c r="CU75" i="273"/>
  <c r="CU76" i="273" s="1"/>
  <c r="CT113" i="273"/>
  <c r="CS60" i="273"/>
  <c r="CR66" i="273"/>
  <c r="CR67" i="273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58" i="281"/>
  <c r="CU81" i="281"/>
  <c r="CT46" i="281"/>
  <c r="CT72" i="281"/>
  <c r="CU108" i="273"/>
  <c r="CU79" i="273"/>
  <c r="CV80" i="273" s="1"/>
  <c r="CV58" i="273" s="1"/>
  <c r="CU2" i="273"/>
  <c r="CT119" i="273"/>
  <c r="CT120" i="273" s="1"/>
  <c r="CT12" i="281" s="1"/>
  <c r="CT14" i="281" s="1"/>
  <c r="CT28" i="281" s="1"/>
  <c r="CT13" i="281"/>
  <c r="CT37" i="281"/>
  <c r="AV60" i="281"/>
  <c r="AV52" i="281" s="1"/>
  <c r="AV53" i="281" s="1"/>
  <c r="AU64" i="265"/>
  <c r="AU53" i="265"/>
  <c r="AU25" i="280"/>
  <c r="AU27" i="280" s="1"/>
  <c r="AT83" i="265"/>
  <c r="AT82" i="265"/>
  <c r="CP76" i="281"/>
  <c r="CP78" i="281" s="1"/>
  <c r="CP85" i="281" s="1"/>
  <c r="CP86" i="281" s="1"/>
  <c r="CQ83" i="281" s="1"/>
  <c r="CR84" i="281"/>
  <c r="CR71" i="281"/>
  <c r="CR73" i="281" s="1"/>
  <c r="CR77" i="281" s="1"/>
  <c r="CQ25" i="265"/>
  <c r="CQ14" i="280"/>
  <c r="CX5" i="281"/>
  <c r="CX5" i="280"/>
  <c r="CV24" i="273"/>
  <c r="CV25" i="273" s="1"/>
  <c r="CV124" i="273"/>
  <c r="CT114" i="273"/>
  <c r="CT21" i="281" s="1"/>
  <c r="CT23" i="281" s="1"/>
  <c r="CT29" i="281" s="1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R51" i="281" s="1"/>
  <c r="CU2" i="281"/>
  <c r="CU125" i="273"/>
  <c r="CU126" i="273" s="1"/>
  <c r="CN13" i="280"/>
  <c r="CN16" i="280" s="1"/>
  <c r="CM74" i="265"/>
  <c r="CM75" i="265" s="1"/>
  <c r="CM81" i="265" s="1"/>
  <c r="CV2" i="280"/>
  <c r="CU37" i="281"/>
  <c r="CU13" i="281"/>
  <c r="CU22" i="281"/>
  <c r="CU22" i="280"/>
  <c r="CU11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CV39" i="273"/>
  <c r="CV41" i="273" s="1"/>
  <c r="CV42" i="273" s="1"/>
  <c r="CT112" i="273"/>
  <c r="CU109" i="273"/>
  <c r="CU52" i="273" l="1"/>
  <c r="CU42" i="273"/>
  <c r="CR3" i="281"/>
  <c r="CR50" i="273"/>
  <c r="CR3" i="275"/>
  <c r="CR3" i="280"/>
  <c r="CR3" i="273"/>
  <c r="CR3" i="265"/>
  <c r="CT60" i="273"/>
  <c r="CS66" i="273"/>
  <c r="CS67" i="273" s="1"/>
  <c r="CU15" i="275"/>
  <c r="CU20" i="275" s="1"/>
  <c r="CV17" i="275" s="1"/>
  <c r="CU57" i="273"/>
  <c r="CU119" i="273"/>
  <c r="CU120" i="273" s="1"/>
  <c r="CU12" i="281" s="1"/>
  <c r="CU113" i="273"/>
  <c r="CU46" i="281"/>
  <c r="CU72" i="281"/>
  <c r="AV24" i="280"/>
  <c r="AU63" i="265"/>
  <c r="AU65" i="265" s="1"/>
  <c r="AU67" i="265" s="1"/>
  <c r="AU80" i="265" s="1"/>
  <c r="AV62" i="281"/>
  <c r="AV63" i="281" s="1"/>
  <c r="AV30" i="265"/>
  <c r="AV33" i="265" s="1"/>
  <c r="AV37" i="265" s="1"/>
  <c r="AV42" i="265" s="1"/>
  <c r="AV47" i="265" s="1"/>
  <c r="AV50" i="265" s="1"/>
  <c r="AV30" i="280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S51" i="281" s="1"/>
  <c r="CY5" i="281"/>
  <c r="CY5" i="280"/>
  <c r="CR25" i="265"/>
  <c r="CR14" i="280"/>
  <c r="CV125" i="273"/>
  <c r="CV126" i="273" s="1"/>
  <c r="CV32" i="273"/>
  <c r="CV33" i="273" s="1"/>
  <c r="CV2" i="265"/>
  <c r="CV2" i="275"/>
  <c r="CV75" i="273"/>
  <c r="CV76" i="273" s="1"/>
  <c r="CV81" i="281" s="1"/>
  <c r="CV90" i="273"/>
  <c r="CV91" i="273" s="1"/>
  <c r="CV100" i="273" s="1"/>
  <c r="CW101" i="273" s="1"/>
  <c r="CW59" i="273" s="1"/>
  <c r="CV96" i="273"/>
  <c r="CV97" i="273" s="1"/>
  <c r="CV2" i="273"/>
  <c r="CU114" i="273"/>
  <c r="CU21" i="281" s="1"/>
  <c r="CU23" i="281" s="1"/>
  <c r="CU29" i="281" s="1"/>
  <c r="CW24" i="273"/>
  <c r="CW25" i="273" s="1"/>
  <c r="CW2" i="281" s="1"/>
  <c r="CW124" i="273"/>
  <c r="CV2" i="281"/>
  <c r="CT30" i="281"/>
  <c r="CT36" i="281" s="1"/>
  <c r="CT38" i="281" s="1"/>
  <c r="CN74" i="265"/>
  <c r="CN75" i="265" s="1"/>
  <c r="CN81" i="265" s="1"/>
  <c r="CO13" i="280"/>
  <c r="CO16" i="280" s="1"/>
  <c r="CV4" i="280"/>
  <c r="CV4" i="281"/>
  <c r="CW32" i="273"/>
  <c r="CW33" i="273" s="1"/>
  <c r="CW118" i="273" s="1"/>
  <c r="CU14" i="281"/>
  <c r="CU28" i="281" s="1"/>
  <c r="CW75" i="273"/>
  <c r="CV52" i="273"/>
  <c r="CW96" i="273"/>
  <c r="CW97" i="273" s="1"/>
  <c r="CW11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5"/>
  <c r="CV4" i="273"/>
  <c r="CV4" i="265"/>
  <c r="CW90" i="273" l="1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U60" i="273"/>
  <c r="CU66" i="273" s="1"/>
  <c r="CU67" i="273" s="1"/>
  <c r="CV46" i="281"/>
  <c r="CV72" i="281"/>
  <c r="AV53" i="265"/>
  <c r="AV25" i="280"/>
  <c r="AV27" i="280" s="1"/>
  <c r="AU82" i="265"/>
  <c r="AU83" i="265"/>
  <c r="AW60" i="281"/>
  <c r="AW52" i="281" s="1"/>
  <c r="AW53" i="281" s="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T51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58" i="281"/>
  <c r="CV22" i="280"/>
  <c r="CV57" i="273"/>
  <c r="CV60" i="273" s="1"/>
  <c r="CV66" i="273" s="1"/>
  <c r="CV67" i="273" s="1"/>
  <c r="CV15" i="275"/>
  <c r="CV20" i="275" s="1"/>
  <c r="CW17" i="275" s="1"/>
  <c r="CV11" i="280"/>
  <c r="CV79" i="273"/>
  <c r="CW80" i="273" s="1"/>
  <c r="CW58" i="273" s="1"/>
  <c r="CX24" i="273"/>
  <c r="CX25" i="273" s="1"/>
  <c r="CX124" i="273"/>
  <c r="CZ5" i="281"/>
  <c r="CZ5" i="280"/>
  <c r="CW76" i="273"/>
  <c r="CW125" i="273"/>
  <c r="CW126" i="273" s="1"/>
  <c r="CW2" i="273"/>
  <c r="CV38" i="273"/>
  <c r="CW39" i="273" s="1"/>
  <c r="CW41" i="273" s="1"/>
  <c r="CV118" i="273"/>
  <c r="CW120" i="273" s="1"/>
  <c r="CW12" i="281" s="1"/>
  <c r="CS14" i="280"/>
  <c r="CS25" i="265"/>
  <c r="CP13" i="280"/>
  <c r="CP16" i="280" s="1"/>
  <c r="CO74" i="265"/>
  <c r="CO75" i="265" s="1"/>
  <c r="CO81" i="265" s="1"/>
  <c r="CW108" i="273"/>
  <c r="CW37" i="281"/>
  <c r="CW22" i="281"/>
  <c r="CW13" i="281"/>
  <c r="CU3" i="280"/>
  <c r="CU3" i="281"/>
  <c r="CX2" i="275"/>
  <c r="CW113" i="273"/>
  <c r="CW22" i="280"/>
  <c r="CW11" i="280"/>
  <c r="CX75" i="273"/>
  <c r="CX2" i="280"/>
  <c r="CX96" i="273"/>
  <c r="CX97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W57" i="273"/>
  <c r="CW79" i="273"/>
  <c r="CX80" i="273" s="1"/>
  <c r="CX58" i="273" s="1"/>
  <c r="CW15" i="275"/>
  <c r="CW20" i="275" s="1"/>
  <c r="CX17" i="275" s="1"/>
  <c r="CU3" i="265"/>
  <c r="CU3" i="273"/>
  <c r="CU50" i="273"/>
  <c r="CU3" i="275"/>
  <c r="CW109" i="273"/>
  <c r="CV112" i="273"/>
  <c r="CX76" i="273"/>
  <c r="CT3" i="280" l="1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CW14" i="281"/>
  <c r="CW28" i="281" s="1"/>
  <c r="AW24" i="280"/>
  <c r="AV63" i="265"/>
  <c r="AV65" i="265" s="1"/>
  <c r="AV67" i="265" s="1"/>
  <c r="AV80" i="265" s="1"/>
  <c r="AW62" i="281"/>
  <c r="AW63" i="281" s="1"/>
  <c r="AW30" i="265"/>
  <c r="AW33" i="265" s="1"/>
  <c r="AW37" i="265" s="1"/>
  <c r="AW42" i="265" s="1"/>
  <c r="AW47" i="265" s="1"/>
  <c r="AW50" i="265" s="1"/>
  <c r="AW30" i="280" s="1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2" i="280" s="1"/>
  <c r="CY124" i="273"/>
  <c r="DA5" i="281"/>
  <c r="DA5" i="280"/>
  <c r="CW42" i="273"/>
  <c r="CW52" i="273"/>
  <c r="CV23" i="281"/>
  <c r="CV29" i="281" s="1"/>
  <c r="CV30" i="281" s="1"/>
  <c r="CV36" i="281" s="1"/>
  <c r="CV38" i="281" s="1"/>
  <c r="CT14" i="280"/>
  <c r="CT25" i="265"/>
  <c r="CW60" i="273"/>
  <c r="CW66" i="273" s="1"/>
  <c r="CW67" i="273" s="1"/>
  <c r="CX39" i="273"/>
  <c r="CX41" i="273" s="1"/>
  <c r="CX2" i="281"/>
  <c r="CX125" i="273"/>
  <c r="CX126" i="273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U51" i="281" s="1"/>
  <c r="CP74" i="265"/>
  <c r="CP75" i="265" s="1"/>
  <c r="CP81" i="265" s="1"/>
  <c r="CQ13" i="280"/>
  <c r="CQ16" i="280" s="1"/>
  <c r="CV3" i="280"/>
  <c r="CV3" i="281"/>
  <c r="CX113" i="273"/>
  <c r="CX114" i="273" s="1"/>
  <c r="CX21" i="281" s="1"/>
  <c r="CX37" i="281"/>
  <c r="CX22" i="281"/>
  <c r="CX23" i="281" s="1"/>
  <c r="CX29" i="281" s="1"/>
  <c r="CX13" i="281"/>
  <c r="CX108" i="273"/>
  <c r="CX109" i="273" s="1"/>
  <c r="CW23" i="281"/>
  <c r="CW29" i="281" s="1"/>
  <c r="CY75" i="273"/>
  <c r="CY76" i="273" s="1"/>
  <c r="CX11" i="280"/>
  <c r="CX22" i="280"/>
  <c r="CX119" i="273"/>
  <c r="CX120" i="273" s="1"/>
  <c r="CX12" i="281" s="1"/>
  <c r="CY2" i="273"/>
  <c r="CY2" i="265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CY58" i="281" l="1"/>
  <c r="CY81" i="281"/>
  <c r="CX46" i="281"/>
  <c r="CX72" i="281"/>
  <c r="CY96" i="273"/>
  <c r="CY97" i="273" s="1"/>
  <c r="CY90" i="273"/>
  <c r="CY91" i="273" s="1"/>
  <c r="CY100" i="273" s="1"/>
  <c r="CZ101" i="273" s="1"/>
  <c r="CZ59" i="273" s="1"/>
  <c r="CY2" i="275"/>
  <c r="CW30" i="281"/>
  <c r="CW36" i="281" s="1"/>
  <c r="CW38" i="281" s="1"/>
  <c r="CW71" i="281" s="1"/>
  <c r="CW73" i="281" s="1"/>
  <c r="CW77" i="281" s="1"/>
  <c r="AW53" i="265"/>
  <c r="AW25" i="280"/>
  <c r="AW27" i="280" s="1"/>
  <c r="AV83" i="265"/>
  <c r="AV82" i="265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W9" i="265"/>
  <c r="CW11" i="265" s="1"/>
  <c r="CW14" i="265" s="1"/>
  <c r="CW19" i="265" s="1"/>
  <c r="CW22" i="265" s="1"/>
  <c r="CW25" i="265" s="1"/>
  <c r="CU25" i="265"/>
  <c r="CU14" i="280"/>
  <c r="CV9" i="265"/>
  <c r="CV11" i="265" s="1"/>
  <c r="CV14" i="265" s="1"/>
  <c r="CV19" i="265" s="1"/>
  <c r="CV22" i="265" s="1"/>
  <c r="CV61" i="281"/>
  <c r="CV50" i="281"/>
  <c r="CV45" i="281"/>
  <c r="CV47" i="281" s="1"/>
  <c r="CV51" i="281" s="1"/>
  <c r="CZ24" i="273"/>
  <c r="CZ25" i="273" s="1"/>
  <c r="CZ124" i="273"/>
  <c r="CX38" i="273"/>
  <c r="CY39" i="273" s="1"/>
  <c r="CY41" i="273" s="1"/>
  <c r="CX118" i="273"/>
  <c r="CX52" i="273"/>
  <c r="CX42" i="273"/>
  <c r="CW4" i="280"/>
  <c r="CW4" i="265"/>
  <c r="CW4" i="281"/>
  <c r="CW4" i="275"/>
  <c r="CW4" i="273"/>
  <c r="CY2" i="281"/>
  <c r="CY125" i="273"/>
  <c r="CY126" i="273" s="1"/>
  <c r="CR13" i="280"/>
  <c r="CR16" i="280" s="1"/>
  <c r="CQ74" i="265"/>
  <c r="CQ75" i="265" s="1"/>
  <c r="CQ81" i="265" s="1"/>
  <c r="CW3" i="280"/>
  <c r="CW3" i="281"/>
  <c r="CZ2" i="280"/>
  <c r="CX14" i="281"/>
  <c r="CX28" i="281" s="1"/>
  <c r="CX30" i="281" s="1"/>
  <c r="CX36" i="281" s="1"/>
  <c r="CX38" i="281" s="1"/>
  <c r="CZ2" i="273"/>
  <c r="CZ75" i="273"/>
  <c r="CY108" i="273"/>
  <c r="CY109" i="273" s="1"/>
  <c r="CY37" i="281"/>
  <c r="CY13" i="281"/>
  <c r="CY22" i="281"/>
  <c r="CY22" i="280"/>
  <c r="CY11" i="280"/>
  <c r="CZ39" i="273"/>
  <c r="CZ41" i="273" s="1"/>
  <c r="CZ42" i="273" s="1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76" i="273"/>
  <c r="CX112" i="273"/>
  <c r="CW3" i="265"/>
  <c r="CW3" i="273"/>
  <c r="CW3" i="275"/>
  <c r="CW50" i="273"/>
  <c r="CW45" i="281" l="1"/>
  <c r="CW47" i="281" s="1"/>
  <c r="CW51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Y14" i="281" s="1"/>
  <c r="CY28" i="281" s="1"/>
  <c r="CW84" i="281"/>
  <c r="CW50" i="281"/>
  <c r="AW63" i="265"/>
  <c r="AW65" i="265" s="1"/>
  <c r="AW67" i="265" s="1"/>
  <c r="AW80" i="265" s="1"/>
  <c r="AX24" i="280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14" i="280"/>
  <c r="DC5" i="281"/>
  <c r="DC5" i="280"/>
  <c r="DA24" i="273"/>
  <c r="DA25" i="273" s="1"/>
  <c r="DA125" i="273" s="1"/>
  <c r="DA124" i="273"/>
  <c r="CX9" i="265"/>
  <c r="CX11" i="265" s="1"/>
  <c r="CX14" i="265" s="1"/>
  <c r="CX19" i="265" s="1"/>
  <c r="CX22" i="265" s="1"/>
  <c r="CX25" i="265" s="1"/>
  <c r="CX61" i="281"/>
  <c r="CX50" i="281"/>
  <c r="CX45" i="281"/>
  <c r="CX47" i="281" s="1"/>
  <c r="CX51" i="281" s="1"/>
  <c r="CY42" i="273"/>
  <c r="CY52" i="273"/>
  <c r="CZ125" i="273"/>
  <c r="CZ126" i="273" s="1"/>
  <c r="CZ32" i="273"/>
  <c r="CZ33" i="273" s="1"/>
  <c r="CZ96" i="273"/>
  <c r="CZ97" i="273" s="1"/>
  <c r="CZ2" i="265"/>
  <c r="CV25" i="265"/>
  <c r="CV14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S13" i="280"/>
  <c r="CS16" i="280" s="1"/>
  <c r="CR74" i="265"/>
  <c r="CR75" i="265" s="1"/>
  <c r="CR81" i="265" s="1"/>
  <c r="CX3" i="280"/>
  <c r="CX3" i="281"/>
  <c r="DA2" i="281"/>
  <c r="CZ4" i="280"/>
  <c r="CZ4" i="281"/>
  <c r="DA96" i="273"/>
  <c r="DA97" i="273" s="1"/>
  <c r="DA113" i="273" s="1"/>
  <c r="CZ22" i="280"/>
  <c r="CZ11" i="280"/>
  <c r="DA75" i="273"/>
  <c r="DA76" i="273" s="1"/>
  <c r="DA2" i="273"/>
  <c r="CZ52" i="273"/>
  <c r="DA2" i="275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DA119" i="273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CY30" i="281" l="1"/>
  <c r="CY36" i="281" s="1"/>
  <c r="CY38" i="281" s="1"/>
  <c r="DA58" i="281"/>
  <c r="DA81" i="281"/>
  <c r="CZ46" i="281"/>
  <c r="CZ72" i="281"/>
  <c r="DA126" i="273"/>
  <c r="AX62" i="281"/>
  <c r="AX63" i="281" s="1"/>
  <c r="AX30" i="265"/>
  <c r="AX33" i="265" s="1"/>
  <c r="AX37" i="265" s="1"/>
  <c r="AX42" i="265" s="1"/>
  <c r="AX47" i="265" s="1"/>
  <c r="AX50" i="265" s="1"/>
  <c r="AX30" i="280" s="1"/>
  <c r="CX14" i="280"/>
  <c r="AW83" i="265"/>
  <c r="AW82" i="265"/>
  <c r="CY84" i="281"/>
  <c r="CY71" i="281"/>
  <c r="CY73" i="281" s="1"/>
  <c r="CY77" i="281" s="1"/>
  <c r="CV76" i="281"/>
  <c r="CV78" i="281" s="1"/>
  <c r="CV85" i="281" s="1"/>
  <c r="CV86" i="281" s="1"/>
  <c r="CW83" i="281" s="1"/>
  <c r="DD5" i="281"/>
  <c r="DD5" i="280"/>
  <c r="CY9" i="265"/>
  <c r="CY11" i="265" s="1"/>
  <c r="CY14" i="265" s="1"/>
  <c r="CY19" i="265" s="1"/>
  <c r="CY22" i="265" s="1"/>
  <c r="CY25" i="265" s="1"/>
  <c r="CY50" i="281"/>
  <c r="CY61" i="281"/>
  <c r="CY45" i="281"/>
  <c r="CY47" i="281" s="1"/>
  <c r="CY51" i="281" s="1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2" i="280" s="1"/>
  <c r="DB124" i="273"/>
  <c r="DA2" i="265"/>
  <c r="DA2" i="280"/>
  <c r="DA32" i="273"/>
  <c r="DA33" i="273" s="1"/>
  <c r="CZ118" i="273"/>
  <c r="CZ38" i="273"/>
  <c r="DA39" i="273" s="1"/>
  <c r="DA41" i="273" s="1"/>
  <c r="CS74" i="265"/>
  <c r="CS75" i="265" s="1"/>
  <c r="CS81" i="265" s="1"/>
  <c r="CT13" i="280"/>
  <c r="CT16" i="280" s="1"/>
  <c r="DA37" i="281"/>
  <c r="DA22" i="281"/>
  <c r="DA13" i="281"/>
  <c r="DA108" i="273"/>
  <c r="DA109" i="273" s="1"/>
  <c r="CY3" i="280"/>
  <c r="CY3" i="281"/>
  <c r="DA22" i="280"/>
  <c r="DA11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DB2" i="281" l="1"/>
  <c r="DA46" i="281"/>
  <c r="DA72" i="281"/>
  <c r="AX53" i="265"/>
  <c r="AX25" i="280"/>
  <c r="AX27" i="280" s="1"/>
  <c r="AY60" i="281"/>
  <c r="AY52" i="281" s="1"/>
  <c r="AY53" i="281" s="1"/>
  <c r="AX64" i="265"/>
  <c r="CW76" i="281"/>
  <c r="CW78" i="281" s="1"/>
  <c r="CW85" i="281" s="1"/>
  <c r="CW86" i="281" s="1"/>
  <c r="CX83" i="281" s="1"/>
  <c r="CY14" i="280"/>
  <c r="DC24" i="273"/>
  <c r="DC25" i="273" s="1"/>
  <c r="DC124" i="273"/>
  <c r="DE5" i="281"/>
  <c r="DE5" i="280"/>
  <c r="DA52" i="273"/>
  <c r="DA42" i="273"/>
  <c r="DA38" i="273"/>
  <c r="DB39" i="273" s="1"/>
  <c r="DB41" i="273" s="1"/>
  <c r="DA118" i="273"/>
  <c r="DB125" i="273"/>
  <c r="DB126" i="273" s="1"/>
  <c r="DB32" i="273"/>
  <c r="DB33" i="273" s="1"/>
  <c r="DB2" i="265"/>
  <c r="DB2" i="275"/>
  <c r="DB75" i="273"/>
  <c r="DB76" i="273" s="1"/>
  <c r="DB81" i="281" s="1"/>
  <c r="DB90" i="273"/>
  <c r="DB91" i="273" s="1"/>
  <c r="DB100" i="273" s="1"/>
  <c r="DC101" i="273" s="1"/>
  <c r="DC59" i="273" s="1"/>
  <c r="DB2" i="273"/>
  <c r="DB96" i="273"/>
  <c r="DB97" i="273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T74" i="265"/>
  <c r="CT75" i="265" s="1"/>
  <c r="CT81" i="265" s="1"/>
  <c r="CU13" i="280"/>
  <c r="CU16" i="280" s="1"/>
  <c r="CZ3" i="280"/>
  <c r="CZ3" i="281"/>
  <c r="DC2" i="265"/>
  <c r="DC75" i="273"/>
  <c r="DC76" i="273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112" i="273"/>
  <c r="DC38" i="273"/>
  <c r="CZ3" i="275"/>
  <c r="CZ50" i="273"/>
  <c r="CZ3" i="265"/>
  <c r="CZ3" i="273"/>
  <c r="DC58" i="281" l="1"/>
  <c r="DC81" i="281"/>
  <c r="DB46" i="281"/>
  <c r="DB72" i="281"/>
  <c r="AY62" i="281"/>
  <c r="AY63" i="281" s="1"/>
  <c r="AY30" i="265"/>
  <c r="AY33" i="265" s="1"/>
  <c r="AY37" i="265" s="1"/>
  <c r="AY42" i="265" s="1"/>
  <c r="AY47" i="265" s="1"/>
  <c r="AY50" i="265" s="1"/>
  <c r="AY30" i="280" s="1"/>
  <c r="AY24" i="280"/>
  <c r="AX63" i="265"/>
  <c r="AX65" i="265" s="1"/>
  <c r="AX67" i="265" s="1"/>
  <c r="AX80" i="265" s="1"/>
  <c r="CX76" i="281"/>
  <c r="CX78" i="281" s="1"/>
  <c r="CX85" i="281" s="1"/>
  <c r="CX86" i="281" s="1"/>
  <c r="CY83" i="281" s="1"/>
  <c r="CZ30" i="281"/>
  <c r="CZ36" i="281" s="1"/>
  <c r="CZ38" i="281" s="1"/>
  <c r="CZ50" i="281" s="1"/>
  <c r="DA30" i="281"/>
  <c r="DA36" i="281" s="1"/>
  <c r="DA38" i="281" s="1"/>
  <c r="DD24" i="273"/>
  <c r="DD25" i="273" s="1"/>
  <c r="DD2" i="281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11" i="280"/>
  <c r="DB57" i="273"/>
  <c r="DB60" i="273" s="1"/>
  <c r="DB15" i="275"/>
  <c r="DB20" i="275" s="1"/>
  <c r="DC17" i="275" s="1"/>
  <c r="DB22" i="280"/>
  <c r="DB79" i="273"/>
  <c r="DC80" i="273" s="1"/>
  <c r="DC58" i="273" s="1"/>
  <c r="DB42" i="273"/>
  <c r="DB52" i="273"/>
  <c r="DC2" i="281"/>
  <c r="DC125" i="273"/>
  <c r="DC126" i="273" s="1"/>
  <c r="DC96" i="273"/>
  <c r="DC97" i="273" s="1"/>
  <c r="DC90" i="273"/>
  <c r="DC91" i="273" s="1"/>
  <c r="DC100" i="273" s="1"/>
  <c r="DD101" i="273" s="1"/>
  <c r="DD59" i="273" s="1"/>
  <c r="CV13" i="280"/>
  <c r="CV16" i="280" s="1"/>
  <c r="CU74" i="265"/>
  <c r="CU75" i="265" s="1"/>
  <c r="CU81" i="265" s="1"/>
  <c r="DA3" i="280"/>
  <c r="DA3" i="281"/>
  <c r="DD2" i="273"/>
  <c r="DC22" i="280"/>
  <c r="DC11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112" i="273"/>
  <c r="DB66" i="273"/>
  <c r="DB67" i="273" s="1"/>
  <c r="DC46" i="281" l="1"/>
  <c r="DC72" i="281"/>
  <c r="DD2" i="265"/>
  <c r="AX83" i="265"/>
  <c r="AX82" i="265"/>
  <c r="AY53" i="265"/>
  <c r="AY25" i="280"/>
  <c r="AY27" i="280" s="1"/>
  <c r="AZ60" i="281"/>
  <c r="AZ52" i="281" s="1"/>
  <c r="AZ53" i="281" s="1"/>
  <c r="AY64" i="265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51" i="281" s="1"/>
  <c r="CZ61" i="281"/>
  <c r="DA71" i="281"/>
  <c r="DA73" i="281" s="1"/>
  <c r="DA77" i="281" s="1"/>
  <c r="DA84" i="281"/>
  <c r="DG5" i="281"/>
  <c r="DG5" i="280"/>
  <c r="DC42" i="273"/>
  <c r="DC52" i="273"/>
  <c r="DB23" i="281"/>
  <c r="DB29" i="281" s="1"/>
  <c r="DB30" i="281" s="1"/>
  <c r="DB36" i="281" s="1"/>
  <c r="DB38" i="281" s="1"/>
  <c r="CZ25" i="265"/>
  <c r="CZ14" i="280"/>
  <c r="DD125" i="273"/>
  <c r="DD126" i="273" s="1"/>
  <c r="DD96" i="273"/>
  <c r="DD97" i="273" s="1"/>
  <c r="DD75" i="273"/>
  <c r="DD76" i="273" s="1"/>
  <c r="DD81" i="281" s="1"/>
  <c r="DA9" i="265"/>
  <c r="DA11" i="265" s="1"/>
  <c r="DA14" i="265" s="1"/>
  <c r="DA19" i="265" s="1"/>
  <c r="DA22" i="265" s="1"/>
  <c r="DA61" i="281"/>
  <c r="DA50" i="281"/>
  <c r="DA45" i="281"/>
  <c r="DA47" i="281" s="1"/>
  <c r="DA51" i="281" s="1"/>
  <c r="DC20" i="275"/>
  <c r="DD17" i="275" s="1"/>
  <c r="DC60" i="273"/>
  <c r="DE24" i="273"/>
  <c r="DE25" i="273" s="1"/>
  <c r="DE1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CW13" i="280"/>
  <c r="CW16" i="280" s="1"/>
  <c r="CV74" i="265"/>
  <c r="CV75" i="265" s="1"/>
  <c r="CV81" i="265" s="1"/>
  <c r="DB3" i="280"/>
  <c r="DB3" i="281"/>
  <c r="DE2" i="273"/>
  <c r="DE2" i="26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B3" i="265"/>
  <c r="DB3" i="273"/>
  <c r="DB50" i="273"/>
  <c r="DB3" i="275"/>
  <c r="DE96" i="273" l="1"/>
  <c r="DE97" i="273" s="1"/>
  <c r="DE75" i="273"/>
  <c r="DE2" i="275"/>
  <c r="DE32" i="273"/>
  <c r="DE33" i="273" s="1"/>
  <c r="DE38" i="273" s="1"/>
  <c r="DE2" i="280"/>
  <c r="DE2" i="281"/>
  <c r="DD46" i="281"/>
  <c r="DD72" i="281"/>
  <c r="AZ62" i="281"/>
  <c r="AZ63" i="281" s="1"/>
  <c r="AZ30" i="265"/>
  <c r="AZ33" i="265" s="1"/>
  <c r="AZ37" i="265" s="1"/>
  <c r="AZ42" i="265" s="1"/>
  <c r="AZ47" i="265" s="1"/>
  <c r="AZ50" i="265" s="1"/>
  <c r="AZ30" i="280" s="1"/>
  <c r="AY63" i="265"/>
  <c r="AY65" i="265" s="1"/>
  <c r="AY67" i="265" s="1"/>
  <c r="AY80" i="265" s="1"/>
  <c r="AZ24" i="280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22" i="280"/>
  <c r="DD79" i="273"/>
  <c r="DE80" i="273" s="1"/>
  <c r="DE58" i="273" s="1"/>
  <c r="DD11" i="280"/>
  <c r="DD57" i="273"/>
  <c r="DD60" i="273" s="1"/>
  <c r="DD66" i="273" s="1"/>
  <c r="DD67" i="273" s="1"/>
  <c r="DD15" i="275"/>
  <c r="DD20" i="275" s="1"/>
  <c r="DE17" i="275" s="1"/>
  <c r="DE76" i="273"/>
  <c r="DF24" i="273"/>
  <c r="DF25" i="273" s="1"/>
  <c r="DF75" i="273" s="1"/>
  <c r="DF76" i="273" s="1"/>
  <c r="DF124" i="273"/>
  <c r="DH5" i="281"/>
  <c r="DH5" i="280"/>
  <c r="DD42" i="273"/>
  <c r="DD52" i="273"/>
  <c r="DC14" i="281"/>
  <c r="DC28" i="281" s="1"/>
  <c r="DD118" i="273"/>
  <c r="DD38" i="273"/>
  <c r="DE39" i="273" s="1"/>
  <c r="DE41" i="273" s="1"/>
  <c r="DE126" i="273"/>
  <c r="DA14" i="280"/>
  <c r="DA25" i="265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B51" i="281" s="1"/>
  <c r="DC4" i="281"/>
  <c r="DC4" i="265"/>
  <c r="DC4" i="273"/>
  <c r="DC4" i="280"/>
  <c r="DC4" i="275"/>
  <c r="CX13" i="280"/>
  <c r="CX16" i="280" s="1"/>
  <c r="CW74" i="265"/>
  <c r="CW75" i="265" s="1"/>
  <c r="CW81" i="265" s="1"/>
  <c r="DC3" i="280"/>
  <c r="DC3" i="281"/>
  <c r="DE113" i="273"/>
  <c r="DE37" i="281"/>
  <c r="DE22" i="281"/>
  <c r="DE13" i="281"/>
  <c r="DE22" i="280"/>
  <c r="DE11" i="280"/>
  <c r="DF2" i="280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E57" i="273"/>
  <c r="DE79" i="273"/>
  <c r="DF80" i="273" s="1"/>
  <c r="DF58" i="273" s="1"/>
  <c r="DE15" i="275"/>
  <c r="DC3" i="265"/>
  <c r="DC3" i="273"/>
  <c r="DC50" i="273"/>
  <c r="DC3" i="275"/>
  <c r="DD14" i="281" l="1"/>
  <c r="DD28" i="281" s="1"/>
  <c r="DF39" i="273"/>
  <c r="DF41" i="273" s="1"/>
  <c r="DF42" i="273" s="1"/>
  <c r="DF58" i="281"/>
  <c r="DF81" i="281"/>
  <c r="DE46" i="281"/>
  <c r="DE72" i="281"/>
  <c r="DF52" i="273"/>
  <c r="DF2" i="275"/>
  <c r="DE118" i="273"/>
  <c r="DE58" i="281"/>
  <c r="DE81" i="281"/>
  <c r="AY83" i="265"/>
  <c r="AY82" i="265"/>
  <c r="AZ53" i="265"/>
  <c r="AZ25" i="280"/>
  <c r="AZ27" i="280" s="1"/>
  <c r="BA60" i="281"/>
  <c r="BA52" i="281" s="1"/>
  <c r="BA53" i="281" s="1"/>
  <c r="AZ64" i="265"/>
  <c r="DA76" i="281"/>
  <c r="DA78" i="281" s="1"/>
  <c r="DA85" i="281" s="1"/>
  <c r="DA86" i="281" s="1"/>
  <c r="DB83" i="281" s="1"/>
  <c r="DG24" i="273"/>
  <c r="DG25" i="273" s="1"/>
  <c r="DG124" i="273"/>
  <c r="DF2" i="281"/>
  <c r="DF125" i="273"/>
  <c r="DF126" i="273" s="1"/>
  <c r="DE20" i="275"/>
  <c r="DF17" i="275" s="1"/>
  <c r="DE60" i="273"/>
  <c r="DF2" i="273"/>
  <c r="DI5" i="281"/>
  <c r="DI5" i="280"/>
  <c r="DF96" i="273"/>
  <c r="DF97" i="273" s="1"/>
  <c r="DF119" i="273" s="1"/>
  <c r="DF120" i="273" s="1"/>
  <c r="DF12" i="281" s="1"/>
  <c r="DE109" i="273"/>
  <c r="DE112" i="273" s="1"/>
  <c r="DF32" i="273"/>
  <c r="DF33" i="273" s="1"/>
  <c r="DE114" i="273"/>
  <c r="DE21" i="281" s="1"/>
  <c r="DE23" i="281" s="1"/>
  <c r="DE29" i="281" s="1"/>
  <c r="DB25" i="265"/>
  <c r="DB14" i="280"/>
  <c r="DD23" i="281"/>
  <c r="DD29" i="281" s="1"/>
  <c r="DD30" i="281" s="1"/>
  <c r="DD36" i="281" s="1"/>
  <c r="DD38" i="281" s="1"/>
  <c r="DE42" i="273"/>
  <c r="DE52" i="273"/>
  <c r="DC30" i="281"/>
  <c r="DC36" i="281" s="1"/>
  <c r="DC38" i="281" s="1"/>
  <c r="DD4" i="280"/>
  <c r="DD4" i="273"/>
  <c r="DD4" i="281"/>
  <c r="DD4" i="265"/>
  <c r="DD4" i="275"/>
  <c r="CX74" i="265"/>
  <c r="CX75" i="265" s="1"/>
  <c r="CX81" i="265" s="1"/>
  <c r="CY13" i="280"/>
  <c r="CY16" i="280" s="1"/>
  <c r="DD3" i="280"/>
  <c r="DD3" i="281"/>
  <c r="DF22" i="281"/>
  <c r="DF108" i="273"/>
  <c r="DF4" i="280"/>
  <c r="DF4" i="281"/>
  <c r="DE14" i="281"/>
  <c r="DE28" i="281" s="1"/>
  <c r="DG90" i="273"/>
  <c r="DG91" i="273" s="1"/>
  <c r="DG100" i="273" s="1"/>
  <c r="DH101" i="273" s="1"/>
  <c r="DH59" i="273" s="1"/>
  <c r="DG2" i="280"/>
  <c r="DF57" i="273"/>
  <c r="DF11" i="280"/>
  <c r="DF22" i="280"/>
  <c r="DG32" i="273"/>
  <c r="DG33" i="273" s="1"/>
  <c r="DG118" i="273" s="1"/>
  <c r="DF79" i="273"/>
  <c r="DG80" i="273" s="1"/>
  <c r="DG58" i="273" s="1"/>
  <c r="DG2" i="275"/>
  <c r="DG75" i="273"/>
  <c r="DG76" i="273" s="1"/>
  <c r="DG81" i="281" s="1"/>
  <c r="DF15" i="275"/>
  <c r="DG2" i="273"/>
  <c r="DG2" i="265"/>
  <c r="DG96" i="273"/>
  <c r="DG97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F109" i="273"/>
  <c r="DF4" i="265"/>
  <c r="DF4" i="275"/>
  <c r="DF4" i="273"/>
  <c r="DD3" i="273"/>
  <c r="DD3" i="265"/>
  <c r="DD3" i="275"/>
  <c r="DD50" i="273"/>
  <c r="DF60" i="273" l="1"/>
  <c r="DF46" i="281"/>
  <c r="DF72" i="281"/>
  <c r="DG38" i="273"/>
  <c r="DG57" i="273"/>
  <c r="DF113" i="273"/>
  <c r="DF13" i="281"/>
  <c r="DF37" i="281"/>
  <c r="AZ63" i="265"/>
  <c r="AZ65" i="265" s="1"/>
  <c r="AZ67" i="265" s="1"/>
  <c r="AZ80" i="265" s="1"/>
  <c r="BA24" i="280"/>
  <c r="BA62" i="281"/>
  <c r="BA63" i="281" s="1"/>
  <c r="BA30" i="265"/>
  <c r="BA33" i="265" s="1"/>
  <c r="BA37" i="265" s="1"/>
  <c r="BA42" i="265" s="1"/>
  <c r="BA47" i="265" s="1"/>
  <c r="BA50" i="265" s="1"/>
  <c r="BA30" i="280" s="1"/>
  <c r="DB76" i="281"/>
  <c r="DB78" i="281" s="1"/>
  <c r="DB85" i="281" s="1"/>
  <c r="DB86" i="281" s="1"/>
  <c r="DC83" i="281" s="1"/>
  <c r="DD84" i="281"/>
  <c r="DD71" i="281"/>
  <c r="DD73" i="281" s="1"/>
  <c r="DD77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C51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124" i="273"/>
  <c r="DJ5" i="281"/>
  <c r="DJ5" i="280"/>
  <c r="DF20" i="275"/>
  <c r="DG17" i="275" s="1"/>
  <c r="DF114" i="273"/>
  <c r="DF21" i="281" s="1"/>
  <c r="DF23" i="281" s="1"/>
  <c r="DF29" i="281" s="1"/>
  <c r="DD9" i="265"/>
  <c r="DD11" i="265" s="1"/>
  <c r="DD14" i="265" s="1"/>
  <c r="DD19" i="265" s="1"/>
  <c r="DD22" i="265" s="1"/>
  <c r="DD61" i="281"/>
  <c r="DD50" i="281"/>
  <c r="DD45" i="281"/>
  <c r="DD47" i="281" s="1"/>
  <c r="DD51" i="281" s="1"/>
  <c r="DG2" i="281"/>
  <c r="DG125" i="273"/>
  <c r="DG126" i="273" s="1"/>
  <c r="CZ13" i="280"/>
  <c r="CZ16" i="280" s="1"/>
  <c r="CY74" i="265"/>
  <c r="CY75" i="265" s="1"/>
  <c r="CY81" i="265" s="1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22" i="280"/>
  <c r="DG11" i="280"/>
  <c r="DH32" i="273"/>
  <c r="DH33" i="273" s="1"/>
  <c r="DH118" i="273" s="1"/>
  <c r="DH2" i="280"/>
  <c r="DG108" i="273"/>
  <c r="DG109" i="273" s="1"/>
  <c r="DH90" i="273"/>
  <c r="DH91" i="273" s="1"/>
  <c r="DH100" i="273" s="1"/>
  <c r="DI101" i="273" s="1"/>
  <c r="DI59" i="273" s="1"/>
  <c r="DG20" i="275"/>
  <c r="DH17" i="275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DG60" i="273"/>
  <c r="DG46" i="281" l="1"/>
  <c r="DG72" i="281"/>
  <c r="DH38" i="273"/>
  <c r="DH39" i="273"/>
  <c r="DH41" i="273" s="1"/>
  <c r="DG114" i="273"/>
  <c r="DG21" i="281" s="1"/>
  <c r="BA53" i="265"/>
  <c r="BA25" i="280"/>
  <c r="BA27" i="280" s="1"/>
  <c r="BB60" i="281"/>
  <c r="BB52" i="281" s="1"/>
  <c r="BB53" i="281" s="1"/>
  <c r="BA64" i="265"/>
  <c r="AZ83" i="265"/>
  <c r="AZ82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C25" i="265"/>
  <c r="DC14" i="280"/>
  <c r="DI24" i="273"/>
  <c r="DI25" i="273" s="1"/>
  <c r="DI125" i="273" s="1"/>
  <c r="DI126" i="273" s="1"/>
  <c r="DI124" i="273"/>
  <c r="DK5" i="281"/>
  <c r="DK5" i="280"/>
  <c r="DG23" i="281"/>
  <c r="DG29" i="281" s="1"/>
  <c r="DD25" i="265"/>
  <c r="DD14" i="280"/>
  <c r="DH2" i="281"/>
  <c r="DH125" i="273"/>
  <c r="DH126" i="273" s="1"/>
  <c r="DH75" i="273"/>
  <c r="DH76" i="273" s="1"/>
  <c r="DH81" i="281" s="1"/>
  <c r="DH96" i="273"/>
  <c r="DH97" i="273" s="1"/>
  <c r="DE9" i="265"/>
  <c r="DE11" i="265" s="1"/>
  <c r="DE14" i="265" s="1"/>
  <c r="DE19" i="265" s="1"/>
  <c r="DE22" i="265" s="1"/>
  <c r="DE61" i="281"/>
  <c r="DE50" i="281"/>
  <c r="DE45" i="281"/>
  <c r="DE47" i="281" s="1"/>
  <c r="DE51" i="281" s="1"/>
  <c r="DF30" i="281"/>
  <c r="DF36" i="281" s="1"/>
  <c r="DF38" i="281" s="1"/>
  <c r="CZ74" i="265"/>
  <c r="CZ75" i="265" s="1"/>
  <c r="CZ81" i="265" s="1"/>
  <c r="DA13" i="280"/>
  <c r="DA16" i="280" s="1"/>
  <c r="DI32" i="273"/>
  <c r="DI33" i="273" s="1"/>
  <c r="DI118" i="273" s="1"/>
  <c r="DF3" i="280"/>
  <c r="DF3" i="281"/>
  <c r="DG14" i="281"/>
  <c r="DG28" i="281" s="1"/>
  <c r="DI2" i="280"/>
  <c r="DH22" i="280"/>
  <c r="DH11" i="280"/>
  <c r="DK5" i="265"/>
  <c r="DK5" i="273"/>
  <c r="DL10" i="273"/>
  <c r="DK13" i="273"/>
  <c r="DK14" i="273" s="1"/>
  <c r="DK5" i="275"/>
  <c r="DI96" i="273"/>
  <c r="DI97" i="273" s="1"/>
  <c r="DI108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112" i="273"/>
  <c r="DI38" i="273"/>
  <c r="DH46" i="281" l="1"/>
  <c r="DH72" i="281"/>
  <c r="DI46" i="281"/>
  <c r="DI72" i="281"/>
  <c r="DH42" i="273"/>
  <c r="DH52" i="273"/>
  <c r="DI39" i="273"/>
  <c r="DI41" i="273" s="1"/>
  <c r="DI42" i="273" s="1"/>
  <c r="DI2" i="273"/>
  <c r="DG30" i="281"/>
  <c r="DG36" i="281" s="1"/>
  <c r="DG38" i="281" s="1"/>
  <c r="DG71" i="281" s="1"/>
  <c r="DG73" i="281" s="1"/>
  <c r="DG77" i="281" s="1"/>
  <c r="BB62" i="281"/>
  <c r="BB63" i="281" s="1"/>
  <c r="BB30" i="265"/>
  <c r="BB33" i="265" s="1"/>
  <c r="BB37" i="265" s="1"/>
  <c r="BB42" i="265" s="1"/>
  <c r="BB47" i="265" s="1"/>
  <c r="BB50" i="265" s="1"/>
  <c r="BB30" i="280" s="1"/>
  <c r="BB24" i="280"/>
  <c r="BA63" i="265"/>
  <c r="BA65" i="265" s="1"/>
  <c r="BA67" i="265" s="1"/>
  <c r="BA80" i="265" s="1"/>
  <c r="DD76" i="281"/>
  <c r="DD78" i="281" s="1"/>
  <c r="DD85" i="281" s="1"/>
  <c r="DD86" i="281" s="1"/>
  <c r="DE83" i="281" s="1"/>
  <c r="DG84" i="281"/>
  <c r="DF84" i="281"/>
  <c r="DF71" i="281"/>
  <c r="DF73" i="281" s="1"/>
  <c r="DF77" i="281" s="1"/>
  <c r="DG9" i="265"/>
  <c r="DG11" i="265" s="1"/>
  <c r="DG14" i="265" s="1"/>
  <c r="DG19" i="265" s="1"/>
  <c r="DG22" i="265" s="1"/>
  <c r="DG25" i="265" s="1"/>
  <c r="DG61" i="28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75" i="273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2" i="281"/>
  <c r="DF9" i="265"/>
  <c r="DF11" i="265" s="1"/>
  <c r="DF14" i="265" s="1"/>
  <c r="DF19" i="265" s="1"/>
  <c r="DF22" i="265" s="1"/>
  <c r="DF25" i="265" s="1"/>
  <c r="DF61" i="281"/>
  <c r="DF50" i="281"/>
  <c r="DF45" i="281"/>
  <c r="DF47" i="281" s="1"/>
  <c r="DF51" i="281" s="1"/>
  <c r="DE14" i="280"/>
  <c r="DE25" i="265"/>
  <c r="DH58" i="281"/>
  <c r="DH79" i="273"/>
  <c r="DI80" i="273" s="1"/>
  <c r="DI58" i="273" s="1"/>
  <c r="DH57" i="273"/>
  <c r="DH60" i="273" s="1"/>
  <c r="DH15" i="275"/>
  <c r="DH20" i="275" s="1"/>
  <c r="DI17" i="275" s="1"/>
  <c r="DF14" i="280"/>
  <c r="DB13" i="280"/>
  <c r="DB16" i="280" s="1"/>
  <c r="DA74" i="265"/>
  <c r="DA75" i="265" s="1"/>
  <c r="DA81" i="265" s="1"/>
  <c r="DG14" i="280"/>
  <c r="DJ39" i="273"/>
  <c r="DJ41" i="273" s="1"/>
  <c r="DJ42" i="273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0"/>
  <c r="DI4" i="281"/>
  <c r="DI22" i="280"/>
  <c r="DI11" i="280"/>
  <c r="DJ32" i="273"/>
  <c r="DJ33" i="273" s="1"/>
  <c r="DJ38" i="273" s="1"/>
  <c r="DJ90" i="273"/>
  <c r="DJ91" i="273" s="1"/>
  <c r="DJ100" i="273" s="1"/>
  <c r="DK101" i="273" s="1"/>
  <c r="DK59" i="273" s="1"/>
  <c r="DI52" i="273"/>
  <c r="DI113" i="273"/>
  <c r="DI114" i="273" s="1"/>
  <c r="DI21" i="281" s="1"/>
  <c r="DL5" i="265"/>
  <c r="DL5" i="273"/>
  <c r="DL13" i="273"/>
  <c r="DL14" i="273" s="1"/>
  <c r="DL5" i="275"/>
  <c r="DM10" i="273"/>
  <c r="DJ2" i="275"/>
  <c r="DK37" i="273"/>
  <c r="DK47" i="273"/>
  <c r="DK48" i="273" s="1"/>
  <c r="DK51" i="273" s="1"/>
  <c r="DK56" i="273"/>
  <c r="DK19" i="273"/>
  <c r="DK20" i="273" s="1"/>
  <c r="DH112" i="273"/>
  <c r="DH66" i="273"/>
  <c r="DH67" i="273" s="1"/>
  <c r="DJ52" i="273"/>
  <c r="DG3" i="265"/>
  <c r="DG3" i="273"/>
  <c r="DG50" i="273"/>
  <c r="DG3" i="275"/>
  <c r="DI57" i="273"/>
  <c r="DI79" i="273"/>
  <c r="DJ80" i="273" s="1"/>
  <c r="DJ58" i="273" s="1"/>
  <c r="DI15" i="275"/>
  <c r="DI4" i="265"/>
  <c r="DI4" i="273"/>
  <c r="DI4" i="275"/>
  <c r="DK39" i="273" l="1"/>
  <c r="DK41" i="273" s="1"/>
  <c r="DJ76" i="273"/>
  <c r="DG45" i="281"/>
  <c r="DG47" i="281" s="1"/>
  <c r="DG51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2" i="265"/>
  <c r="BA83" i="265"/>
  <c r="BB53" i="265"/>
  <c r="BB25" i="280"/>
  <c r="BB27" i="280" s="1"/>
  <c r="BC60" i="281"/>
  <c r="BC52" i="281" s="1"/>
  <c r="BC53" i="281" s="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124" i="273"/>
  <c r="DJ2" i="281"/>
  <c r="DJ125" i="273"/>
  <c r="DJ126" i="273" s="1"/>
  <c r="DI20" i="275"/>
  <c r="DJ17" i="275" s="1"/>
  <c r="DI60" i="273"/>
  <c r="DI66" i="273" s="1"/>
  <c r="DI67" i="273" s="1"/>
  <c r="DJ96" i="273"/>
  <c r="DJ97" i="273" s="1"/>
  <c r="DM5" i="281"/>
  <c r="DM5" i="280"/>
  <c r="DJ2" i="273"/>
  <c r="DJ2" i="280"/>
  <c r="DH23" i="281"/>
  <c r="DH29" i="281" s="1"/>
  <c r="DI30" i="281"/>
  <c r="DI36" i="281" s="1"/>
  <c r="DI38" i="281" s="1"/>
  <c r="DC13" i="280"/>
  <c r="DC16" i="280" s="1"/>
  <c r="DB74" i="265"/>
  <c r="DB75" i="265" s="1"/>
  <c r="DB81" i="265" s="1"/>
  <c r="DK2" i="265"/>
  <c r="DJ4" i="280"/>
  <c r="DJ4" i="281"/>
  <c r="DH3" i="280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2" i="280"/>
  <c r="DK2" i="281"/>
  <c r="DJ11" i="280"/>
  <c r="DJ22" i="280"/>
  <c r="DK2" i="275"/>
  <c r="DK2" i="273"/>
  <c r="DK90" i="273"/>
  <c r="DK91" i="273" s="1"/>
  <c r="DK100" i="273" s="1"/>
  <c r="DL101" i="273" s="1"/>
  <c r="DL59" i="273" s="1"/>
  <c r="DJ108" i="273"/>
  <c r="DJ10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37" i="273"/>
  <c r="DJ113" i="273"/>
  <c r="DJ114" i="273" s="1"/>
  <c r="DJ21" i="281" s="1"/>
  <c r="DJ4" i="275"/>
  <c r="DJ4" i="265"/>
  <c r="DJ4" i="273"/>
  <c r="DK42" i="273"/>
  <c r="DK52" i="273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L51" i="273"/>
  <c r="DI112" i="273"/>
  <c r="DJ46" i="281" l="1"/>
  <c r="DJ72" i="281"/>
  <c r="BC62" i="281"/>
  <c r="BC63" i="281" s="1"/>
  <c r="BC30" i="265"/>
  <c r="BC33" i="265" s="1"/>
  <c r="BC37" i="265" s="1"/>
  <c r="BC42" i="265" s="1"/>
  <c r="BC47" i="265" s="1"/>
  <c r="BC50" i="265" s="1"/>
  <c r="BC30" i="280" s="1"/>
  <c r="BC24" i="280"/>
  <c r="BB63" i="265"/>
  <c r="BB65" i="265" s="1"/>
  <c r="BB67" i="265" s="1"/>
  <c r="BB80" i="265" s="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H61" i="281" s="1"/>
  <c r="DN5" i="281"/>
  <c r="DN5" i="280"/>
  <c r="DJ60" i="273"/>
  <c r="DJ66" i="273" s="1"/>
  <c r="DJ67" i="273" s="1"/>
  <c r="DL24" i="273"/>
  <c r="DL25" i="273" s="1"/>
  <c r="DL124" i="273"/>
  <c r="DI9" i="265"/>
  <c r="DI11" i="265" s="1"/>
  <c r="DI14" i="265" s="1"/>
  <c r="DI19" i="265" s="1"/>
  <c r="DI22" i="265" s="1"/>
  <c r="DI14" i="280" s="1"/>
  <c r="DI61" i="281"/>
  <c r="DI50" i="281"/>
  <c r="DI45" i="281"/>
  <c r="DI47" i="281" s="1"/>
  <c r="DI51" i="281" s="1"/>
  <c r="DK75" i="273"/>
  <c r="DK76" i="273" s="1"/>
  <c r="DK81" i="281" s="1"/>
  <c r="DK125" i="273"/>
  <c r="DK126" i="273" s="1"/>
  <c r="DK32" i="273"/>
  <c r="DK33" i="273" s="1"/>
  <c r="DK96" i="273"/>
  <c r="DK97" i="273" s="1"/>
  <c r="DJ30" i="281"/>
  <c r="DJ36" i="281" s="1"/>
  <c r="DJ38" i="281" s="1"/>
  <c r="DD13" i="280"/>
  <c r="DD16" i="280" s="1"/>
  <c r="DC74" i="265"/>
  <c r="DC75" i="265" s="1"/>
  <c r="DC81" i="265" s="1"/>
  <c r="DI3" i="280"/>
  <c r="DI3" i="281"/>
  <c r="DK4" i="280"/>
  <c r="DK4" i="281"/>
  <c r="DL2" i="280"/>
  <c r="DL32" i="273"/>
  <c r="DL33" i="273" s="1"/>
  <c r="DL38" i="273" s="1"/>
  <c r="DL2" i="273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DI25" i="265" l="1"/>
  <c r="DK46" i="281"/>
  <c r="DK72" i="281"/>
  <c r="DH45" i="281"/>
  <c r="DH47" i="281" s="1"/>
  <c r="DH51" i="281" s="1"/>
  <c r="BB82" i="265"/>
  <c r="BB83" i="265"/>
  <c r="BC53" i="265"/>
  <c r="BC25" i="280"/>
  <c r="BC27" i="280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14" i="280" s="1"/>
  <c r="DM24" i="273"/>
  <c r="DM25" i="273" s="1"/>
  <c r="DM32" i="273" s="1"/>
  <c r="DM33" i="273" s="1"/>
  <c r="DM124" i="273"/>
  <c r="DK38" i="273"/>
  <c r="DL39" i="273" s="1"/>
  <c r="DL41" i="273" s="1"/>
  <c r="DK118" i="273"/>
  <c r="DK58" i="281"/>
  <c r="DK11" i="280"/>
  <c r="DK79" i="273"/>
  <c r="DL80" i="273" s="1"/>
  <c r="DL58" i="273" s="1"/>
  <c r="DK22" i="280"/>
  <c r="DK57" i="273"/>
  <c r="DK60" i="273" s="1"/>
  <c r="DK66" i="273" s="1"/>
  <c r="DK67" i="273" s="1"/>
  <c r="DK15" i="275"/>
  <c r="DK20" i="275" s="1"/>
  <c r="DL17" i="275" s="1"/>
  <c r="DL2" i="281"/>
  <c r="DL125" i="273"/>
  <c r="DL126" i="273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108" i="273" s="1"/>
  <c r="DL2" i="275"/>
  <c r="DL75" i="273"/>
  <c r="DL76" i="273" s="1"/>
  <c r="DL81" i="281" s="1"/>
  <c r="DJ9" i="265"/>
  <c r="DJ11" i="265" s="1"/>
  <c r="DJ14" i="265" s="1"/>
  <c r="DJ19" i="265" s="1"/>
  <c r="DJ22" i="265" s="1"/>
  <c r="DJ61" i="281"/>
  <c r="DJ50" i="281"/>
  <c r="DJ45" i="281"/>
  <c r="DJ47" i="281" s="1"/>
  <c r="DJ51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H25" i="265"/>
  <c r="DE13" i="280"/>
  <c r="DE16" i="280" s="1"/>
  <c r="DD74" i="265"/>
  <c r="DD75" i="265" s="1"/>
  <c r="DD81" i="265" s="1"/>
  <c r="DM2" i="275"/>
  <c r="DJ3" i="280"/>
  <c r="DJ3" i="281"/>
  <c r="DL113" i="273"/>
  <c r="DL114" i="273" s="1"/>
  <c r="DL21" i="281" s="1"/>
  <c r="DL37" i="281"/>
  <c r="DL22" i="281"/>
  <c r="DL23" i="281" s="1"/>
  <c r="DL29" i="281" s="1"/>
  <c r="DL13" i="281"/>
  <c r="DL14" i="281" s="1"/>
  <c r="DL28" i="281" s="1"/>
  <c r="DM75" i="273"/>
  <c r="DM76" i="273" s="1"/>
  <c r="DL22" i="280"/>
  <c r="DL11" i="280"/>
  <c r="DL119" i="273"/>
  <c r="DL120" i="273" s="1"/>
  <c r="DL12" i="281" s="1"/>
  <c r="DM2" i="273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DL109" i="273"/>
  <c r="DM38" i="273" l="1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2" i="280"/>
  <c r="DL46" i="281"/>
  <c r="DL72" i="281"/>
  <c r="DK30" i="281"/>
  <c r="DK36" i="281" s="1"/>
  <c r="DK38" i="281" s="1"/>
  <c r="DK84" i="281" s="1"/>
  <c r="BD52" i="281"/>
  <c r="BD53" i="281" s="1"/>
  <c r="BD24" i="280"/>
  <c r="BC63" i="265"/>
  <c r="BC65" i="265" s="1"/>
  <c r="BC67" i="265" s="1"/>
  <c r="BC80" i="265" s="1"/>
  <c r="DH76" i="281"/>
  <c r="DH78" i="281" s="1"/>
  <c r="DH85" i="281" s="1"/>
  <c r="DH86" i="281" s="1"/>
  <c r="DI83" i="281" s="1"/>
  <c r="DP5" i="281"/>
  <c r="DP5" i="280"/>
  <c r="DJ25" i="265"/>
  <c r="DJ14" i="280"/>
  <c r="DL52" i="273"/>
  <c r="DL42" i="273"/>
  <c r="DN24" i="273"/>
  <c r="DN25" i="273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2" i="265"/>
  <c r="DF13" i="280"/>
  <c r="DF16" i="280" s="1"/>
  <c r="DE74" i="265"/>
  <c r="DE75" i="265" s="1"/>
  <c r="DE81" i="265" s="1"/>
  <c r="DM37" i="281"/>
  <c r="DM13" i="281"/>
  <c r="DM14" i="281" s="1"/>
  <c r="DM28" i="281" s="1"/>
  <c r="DL30" i="281"/>
  <c r="DL36" i="281" s="1"/>
  <c r="DL38" i="281" s="1"/>
  <c r="DK3" i="280"/>
  <c r="DK3" i="281"/>
  <c r="DN2" i="280"/>
  <c r="DM22" i="280"/>
  <c r="DM11" i="280"/>
  <c r="DN96" i="273"/>
  <c r="DN97" i="273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K3" i="265"/>
  <c r="DK50" i="273"/>
  <c r="DK3" i="275"/>
  <c r="DK3" i="273"/>
  <c r="DL112" i="273"/>
  <c r="DM57" i="273"/>
  <c r="DM79" i="273"/>
  <c r="DN80" i="273" s="1"/>
  <c r="DN58" i="273" s="1"/>
  <c r="DM15" i="275"/>
  <c r="DM20" i="275" s="1"/>
  <c r="DN17" i="275" s="1"/>
  <c r="DK61" i="281" l="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46" i="281"/>
  <c r="DM72" i="281"/>
  <c r="DK9" i="265"/>
  <c r="DK11" i="265" s="1"/>
  <c r="DK14" i="265" s="1"/>
  <c r="DK19" i="265" s="1"/>
  <c r="DK22" i="265" s="1"/>
  <c r="DK25" i="265" s="1"/>
  <c r="DK45" i="281"/>
  <c r="DK47" i="281" s="1"/>
  <c r="DK51" i="281" s="1"/>
  <c r="DK50" i="281"/>
  <c r="DK71" i="281"/>
  <c r="DK73" i="281" s="1"/>
  <c r="DK77" i="281" s="1"/>
  <c r="BC83" i="265"/>
  <c r="BC82" i="265"/>
  <c r="BD62" i="281"/>
  <c r="BD63" i="281" s="1"/>
  <c r="BD30" i="265"/>
  <c r="BD33" i="265" s="1"/>
  <c r="BD37" i="265" s="1"/>
  <c r="BD42" i="265" s="1"/>
  <c r="BD47" i="265" s="1"/>
  <c r="BD50" i="265" s="1"/>
  <c r="BD30" i="280" s="1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2" i="273" s="1"/>
  <c r="DO124" i="273"/>
  <c r="DL9" i="265"/>
  <c r="DL11" i="265" s="1"/>
  <c r="DL14" i="265" s="1"/>
  <c r="DL19" i="265" s="1"/>
  <c r="DL22" i="265" s="1"/>
  <c r="DL14" i="280" s="1"/>
  <c r="DL61" i="281"/>
  <c r="DL50" i="281"/>
  <c r="DL45" i="281"/>
  <c r="DL47" i="281" s="1"/>
  <c r="DL51" i="281" s="1"/>
  <c r="DM52" i="273"/>
  <c r="DM42" i="273"/>
  <c r="DN2" i="281"/>
  <c r="DN125" i="273"/>
  <c r="DN126" i="273" s="1"/>
  <c r="DN32" i="273"/>
  <c r="DN33" i="273" s="1"/>
  <c r="DN2" i="273"/>
  <c r="DN2" i="265"/>
  <c r="DN39" i="273"/>
  <c r="DN41" i="273" s="1"/>
  <c r="DM60" i="273"/>
  <c r="DM66" i="273" s="1"/>
  <c r="DM67" i="273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L4" i="281"/>
  <c r="DL4" i="273"/>
  <c r="DL4" i="275"/>
  <c r="DL4" i="280"/>
  <c r="DL4" i="265"/>
  <c r="DK14" i="280"/>
  <c r="DF74" i="265"/>
  <c r="DF75" i="265" s="1"/>
  <c r="DF81" i="265" s="1"/>
  <c r="DG13" i="280"/>
  <c r="DG16" i="280" s="1"/>
  <c r="DL3" i="280"/>
  <c r="DL3" i="281"/>
  <c r="DN119" i="273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O75" i="273"/>
  <c r="DO76" i="273" s="1"/>
  <c r="DN120" i="273"/>
  <c r="DN12" i="281" s="1"/>
  <c r="DN11" i="280"/>
  <c r="DN22" i="280"/>
  <c r="DO2" i="265"/>
  <c r="DN108" i="273"/>
  <c r="DO32" i="273"/>
  <c r="DO33" i="273" s="1"/>
  <c r="DO38" i="273" s="1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M112" i="273"/>
  <c r="DN57" i="273"/>
  <c r="DN79" i="273"/>
  <c r="DO80" i="273" s="1"/>
  <c r="DO58" i="273" s="1"/>
  <c r="DN15" i="275"/>
  <c r="DN20" i="275" s="1"/>
  <c r="DO17" i="275" s="1"/>
  <c r="DO118" i="273"/>
  <c r="DL3" i="275"/>
  <c r="DL3" i="265"/>
  <c r="DL3" i="273"/>
  <c r="DL50" i="273"/>
  <c r="DN109" i="273" l="1"/>
  <c r="DO58" i="281"/>
  <c r="DO81" i="281"/>
  <c r="DN60" i="273"/>
  <c r="DO2" i="275"/>
  <c r="DO90" i="273"/>
  <c r="DO91" i="273" s="1"/>
  <c r="DO100" i="273" s="1"/>
  <c r="DP101" i="273" s="1"/>
  <c r="DP59" i="273" s="1"/>
  <c r="DO96" i="273"/>
  <c r="DO97" i="273" s="1"/>
  <c r="DO2" i="280"/>
  <c r="DN58" i="281"/>
  <c r="DN81" i="281"/>
  <c r="DN46" i="281"/>
  <c r="DN72" i="281"/>
  <c r="DL25" i="265"/>
  <c r="BD53" i="265"/>
  <c r="BD25" i="280"/>
  <c r="BD27" i="280" s="1"/>
  <c r="BE60" i="281"/>
  <c r="BE52" i="281" s="1"/>
  <c r="BE53" i="281" s="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2" i="280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25" i="265" s="1"/>
  <c r="DM61" i="281"/>
  <c r="DM50" i="281"/>
  <c r="DM45" i="281"/>
  <c r="DM47" i="281" s="1"/>
  <c r="DM51" i="281" s="1"/>
  <c r="DN52" i="273"/>
  <c r="DN42" i="273"/>
  <c r="DO2" i="281"/>
  <c r="DO125" i="273"/>
  <c r="DO126" i="273" s="1"/>
  <c r="DN30" i="281"/>
  <c r="DN36" i="281" s="1"/>
  <c r="DN38" i="281" s="1"/>
  <c r="DG74" i="265"/>
  <c r="DG75" i="265" s="1"/>
  <c r="DG81" i="265" s="1"/>
  <c r="DH13" i="280"/>
  <c r="DH16" i="280" s="1"/>
  <c r="DP2" i="275"/>
  <c r="DM3" i="280"/>
  <c r="DM3" i="281"/>
  <c r="DO37" i="281"/>
  <c r="DO22" i="281"/>
  <c r="DO23" i="281" s="1"/>
  <c r="DO29" i="281" s="1"/>
  <c r="DO22" i="280"/>
  <c r="DO11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N112" i="273"/>
  <c r="DM3" i="265"/>
  <c r="DM3" i="273"/>
  <c r="DM3" i="275"/>
  <c r="DM50" i="273"/>
  <c r="DO57" i="273"/>
  <c r="DO60" i="273" s="1"/>
  <c r="DO79" i="273"/>
  <c r="DP80" i="273" s="1"/>
  <c r="DP58" i="273" s="1"/>
  <c r="DO15" i="275"/>
  <c r="DO20" i="275" s="1"/>
  <c r="DP17" i="275" s="1"/>
  <c r="DO113" i="273" l="1"/>
  <c r="DO114" i="273" s="1"/>
  <c r="DO21" i="281" s="1"/>
  <c r="DO119" i="273"/>
  <c r="DO120" i="273" s="1"/>
  <c r="DO12" i="281" s="1"/>
  <c r="DO108" i="273"/>
  <c r="DO109" i="273" s="1"/>
  <c r="DP39" i="273"/>
  <c r="DP41" i="273" s="1"/>
  <c r="DP42" i="273" s="1"/>
  <c r="DP4" i="281" s="1"/>
  <c r="DO13" i="281"/>
  <c r="DO14" i="281" s="1"/>
  <c r="DO28" i="281" s="1"/>
  <c r="DP90" i="273"/>
  <c r="DP91" i="273" s="1"/>
  <c r="DP100" i="273" s="1"/>
  <c r="DQ101" i="273" s="1"/>
  <c r="DQ59" i="273" s="1"/>
  <c r="DO46" i="281"/>
  <c r="DO72" i="281"/>
  <c r="DM14" i="280"/>
  <c r="BE24" i="280"/>
  <c r="BD63" i="265"/>
  <c r="BD65" i="265" s="1"/>
  <c r="BD67" i="265" s="1"/>
  <c r="BD80" i="265" s="1"/>
  <c r="BE62" i="281"/>
  <c r="BE63" i="281" s="1"/>
  <c r="BE30" i="265"/>
  <c r="BE33" i="265" s="1"/>
  <c r="BE37" i="265" s="1"/>
  <c r="BE42" i="265" s="1"/>
  <c r="BE47" i="265" s="1"/>
  <c r="BE50" i="265" s="1"/>
  <c r="BE30" i="280" s="1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P125" i="273"/>
  <c r="DP126" i="273" s="1"/>
  <c r="DP32" i="273"/>
  <c r="DP33" i="273" s="1"/>
  <c r="DP2" i="273"/>
  <c r="DP2" i="265"/>
  <c r="DS5" i="281"/>
  <c r="DS5" i="280"/>
  <c r="DQ24" i="273"/>
  <c r="DQ25" i="273" s="1"/>
  <c r="DQ124" i="273"/>
  <c r="DP75" i="273"/>
  <c r="DP76" i="273" s="1"/>
  <c r="DP81" i="281" s="1"/>
  <c r="DP96" i="273"/>
  <c r="DP97" i="273" s="1"/>
  <c r="DP2" i="281"/>
  <c r="DN9" i="265"/>
  <c r="DN11" i="265" s="1"/>
  <c r="DN14" i="265" s="1"/>
  <c r="DN19" i="265" s="1"/>
  <c r="DN22" i="265" s="1"/>
  <c r="DN25" i="265" s="1"/>
  <c r="DN61" i="281"/>
  <c r="DN50" i="281"/>
  <c r="DN45" i="281"/>
  <c r="DN47" i="281" s="1"/>
  <c r="DN51" i="281" s="1"/>
  <c r="DO30" i="281"/>
  <c r="DO36" i="281" s="1"/>
  <c r="DO38" i="281" s="1"/>
  <c r="DI13" i="280"/>
  <c r="DI16" i="280" s="1"/>
  <c r="DH74" i="265"/>
  <c r="DH75" i="265" s="1"/>
  <c r="DH81" i="265" s="1"/>
  <c r="DN3" i="280"/>
  <c r="DN3" i="281"/>
  <c r="DP4" i="280"/>
  <c r="DP37" i="281"/>
  <c r="DP22" i="281"/>
  <c r="DP23" i="281" s="1"/>
  <c r="DP29" i="281" s="1"/>
  <c r="DP13" i="281"/>
  <c r="DP14" i="281" s="1"/>
  <c r="DP28" i="281" s="1"/>
  <c r="DP108" i="273"/>
  <c r="DP109" i="273" s="1"/>
  <c r="DQ2" i="280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108" i="273" s="1"/>
  <c r="DO66" i="273"/>
  <c r="DO67" i="273" s="1"/>
  <c r="DO112" i="273"/>
  <c r="DN3" i="265"/>
  <c r="DN3" i="273"/>
  <c r="DN3" i="275"/>
  <c r="DN50" i="273"/>
  <c r="DP4" i="273"/>
  <c r="DP4" i="265"/>
  <c r="DP46" i="281" l="1"/>
  <c r="DP72" i="281"/>
  <c r="DP4" i="275"/>
  <c r="DP52" i="273"/>
  <c r="DP57" i="273"/>
  <c r="DP60" i="273" s="1"/>
  <c r="DN14" i="280"/>
  <c r="BE53" i="265"/>
  <c r="BE25" i="280"/>
  <c r="BE27" i="280" s="1"/>
  <c r="BD83" i="265"/>
  <c r="BD82" i="265"/>
  <c r="BF60" i="281"/>
  <c r="BF52" i="281" s="1"/>
  <c r="BF53" i="281" s="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11" i="280"/>
  <c r="DP58" i="281"/>
  <c r="DP22" i="280"/>
  <c r="DP79" i="273"/>
  <c r="DQ80" i="273" s="1"/>
  <c r="DQ58" i="273" s="1"/>
  <c r="DQ2" i="281"/>
  <c r="DQ125" i="273"/>
  <c r="DQ126" i="273" s="1"/>
  <c r="DQ90" i="273"/>
  <c r="DQ91" i="273" s="1"/>
  <c r="DQ100" i="273" s="1"/>
  <c r="DR101" i="273" s="1"/>
  <c r="DR59" i="273" s="1"/>
  <c r="DQ2" i="275"/>
  <c r="DQ75" i="273"/>
  <c r="DQ76" i="273" s="1"/>
  <c r="DQ81" i="281" s="1"/>
  <c r="DQ2" i="273"/>
  <c r="DQ2" i="265"/>
  <c r="DT5" i="281"/>
  <c r="DT5" i="280"/>
  <c r="DR24" i="273"/>
  <c r="DR25" i="273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O51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Q4" i="281" s="1"/>
  <c r="DP118" i="273"/>
  <c r="DO4" i="281"/>
  <c r="DO4" i="273"/>
  <c r="DO4" i="265"/>
  <c r="DO4" i="280"/>
  <c r="DO4" i="275"/>
  <c r="DJ13" i="280"/>
  <c r="DJ16" i="280" s="1"/>
  <c r="DI74" i="265"/>
  <c r="DI75" i="265" s="1"/>
  <c r="DI81" i="265" s="1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Q114" i="273" s="1"/>
  <c r="DQ21" i="281" s="1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Q4" i="280" l="1"/>
  <c r="DQ120" i="273"/>
  <c r="DQ12" i="281" s="1"/>
  <c r="DQ46" i="281"/>
  <c r="DQ72" i="281"/>
  <c r="BE63" i="265"/>
  <c r="BE65" i="265" s="1"/>
  <c r="BE67" i="265" s="1"/>
  <c r="BE80" i="265" s="1"/>
  <c r="BF24" i="280"/>
  <c r="BF62" i="281"/>
  <c r="BF63" i="281" s="1"/>
  <c r="BF30" i="265"/>
  <c r="BF33" i="265" s="1"/>
  <c r="BF37" i="265" s="1"/>
  <c r="BF42" i="265" s="1"/>
  <c r="BF47" i="265" s="1"/>
  <c r="BF50" i="265" s="1"/>
  <c r="BF30" i="280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25" i="265" s="1"/>
  <c r="DP61" i="281"/>
  <c r="DP50" i="281"/>
  <c r="DP45" i="281"/>
  <c r="DP47" i="281" s="1"/>
  <c r="DP51" i="281" s="1"/>
  <c r="DO14" i="280"/>
  <c r="DO25" i="265"/>
  <c r="DQ38" i="273"/>
  <c r="DR39" i="273" s="1"/>
  <c r="DR41" i="273" s="1"/>
  <c r="DR42" i="273" s="1"/>
  <c r="DQ118" i="273"/>
  <c r="DR2" i="281"/>
  <c r="DR125" i="273"/>
  <c r="DR126" i="273" s="1"/>
  <c r="DR32" i="273"/>
  <c r="DR33" i="273" s="1"/>
  <c r="DR2" i="273"/>
  <c r="DR2" i="265"/>
  <c r="DR96" i="273"/>
  <c r="DR97" i="273" s="1"/>
  <c r="DQ4" i="273"/>
  <c r="DQ4" i="275"/>
  <c r="DR90" i="273"/>
  <c r="DR91" i="273" s="1"/>
  <c r="DR100" i="273" s="1"/>
  <c r="DS101" i="273" s="1"/>
  <c r="DS59" i="273" s="1"/>
  <c r="DS24" i="273"/>
  <c r="DS25" i="273" s="1"/>
  <c r="DS90" i="273" s="1"/>
  <c r="DS91" i="273" s="1"/>
  <c r="DS100" i="273" s="1"/>
  <c r="DT101" i="273" s="1"/>
  <c r="DT59" i="273" s="1"/>
  <c r="DS124" i="273"/>
  <c r="DQ52" i="273"/>
  <c r="DR75" i="273"/>
  <c r="DR76" i="273" s="1"/>
  <c r="DR81" i="281" s="1"/>
  <c r="DQ58" i="281"/>
  <c r="DQ22" i="280"/>
  <c r="DQ79" i="273"/>
  <c r="DR80" i="273" s="1"/>
  <c r="DR58" i="273" s="1"/>
  <c r="DQ11" i="280"/>
  <c r="DQ57" i="273"/>
  <c r="DQ60" i="273" s="1"/>
  <c r="DQ15" i="275"/>
  <c r="DQ20" i="275" s="1"/>
  <c r="DR17" i="275" s="1"/>
  <c r="DP14" i="280"/>
  <c r="DQ30" i="281"/>
  <c r="DQ36" i="281" s="1"/>
  <c r="DQ38" i="281" s="1"/>
  <c r="DK13" i="280"/>
  <c r="DK16" i="280" s="1"/>
  <c r="DJ74" i="265"/>
  <c r="DJ75" i="265" s="1"/>
  <c r="DJ81" i="265" s="1"/>
  <c r="DP3" i="280"/>
  <c r="DP3" i="281"/>
  <c r="DS32" i="273"/>
  <c r="DS33" i="273" s="1"/>
  <c r="DS38" i="273" s="1"/>
  <c r="DR4" i="280"/>
  <c r="DR4" i="281"/>
  <c r="DS2" i="280"/>
  <c r="DR11" i="280"/>
  <c r="DR52" i="273"/>
  <c r="DS75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P3" i="265"/>
  <c r="DP3" i="273"/>
  <c r="DP3" i="275"/>
  <c r="DP50" i="273"/>
  <c r="DS118" i="273"/>
  <c r="DR4" i="265"/>
  <c r="DR4" i="275"/>
  <c r="DR4" i="273"/>
  <c r="DQ112" i="273"/>
  <c r="DR46" i="281" l="1"/>
  <c r="DR72" i="281"/>
  <c r="DS96" i="273"/>
  <c r="DS97" i="273" s="1"/>
  <c r="DS2" i="273"/>
  <c r="BF53" i="265"/>
  <c r="BF25" i="280"/>
  <c r="BF27" i="280" s="1"/>
  <c r="BG60" i="281"/>
  <c r="BF64" i="265"/>
  <c r="BE82" i="265"/>
  <c r="BE83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75" i="273" s="1"/>
  <c r="DT76" i="273" s="1"/>
  <c r="DT124" i="273"/>
  <c r="DR79" i="273"/>
  <c r="DS80" i="273" s="1"/>
  <c r="DS58" i="273" s="1"/>
  <c r="DR58" i="281"/>
  <c r="DR57" i="273"/>
  <c r="DR60" i="273" s="1"/>
  <c r="DR66" i="273" s="1"/>
  <c r="DR67" i="273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S81" i="281" s="1"/>
  <c r="DR22" i="280"/>
  <c r="DQ9" i="265"/>
  <c r="DQ11" i="265" s="1"/>
  <c r="DQ14" i="265" s="1"/>
  <c r="DQ19" i="265" s="1"/>
  <c r="DQ22" i="265" s="1"/>
  <c r="DQ25" i="265" s="1"/>
  <c r="DQ61" i="281"/>
  <c r="DQ50" i="281"/>
  <c r="DQ45" i="281"/>
  <c r="DQ47" i="281" s="1"/>
  <c r="DQ51" i="281" s="1"/>
  <c r="DS2" i="281"/>
  <c r="DS125" i="273"/>
  <c r="DS126" i="273" s="1"/>
  <c r="DS2" i="275"/>
  <c r="DR38" i="273"/>
  <c r="DS39" i="273" s="1"/>
  <c r="DS41" i="273" s="1"/>
  <c r="DS42" i="273" s="1"/>
  <c r="DR118" i="273"/>
  <c r="DL13" i="280"/>
  <c r="DL16" i="280" s="1"/>
  <c r="DK74" i="265"/>
  <c r="DK75" i="265" s="1"/>
  <c r="DK81" i="265" s="1"/>
  <c r="DS4" i="280"/>
  <c r="DS4" i="281"/>
  <c r="DS119" i="273"/>
  <c r="DS37" i="281"/>
  <c r="DS13" i="281"/>
  <c r="DS14" i="281" s="1"/>
  <c r="DS28" i="281" s="1"/>
  <c r="DS22" i="281"/>
  <c r="DS23" i="281" s="1"/>
  <c r="DS29" i="281" s="1"/>
  <c r="DQ3" i="280"/>
  <c r="DQ3" i="281"/>
  <c r="DS57" i="273"/>
  <c r="DS11" i="280"/>
  <c r="DT2" i="280"/>
  <c r="DS113" i="273"/>
  <c r="DS114" i="273" s="1"/>
  <c r="DS21" i="281" s="1"/>
  <c r="DS52" i="273"/>
  <c r="DT96" i="273"/>
  <c r="DT97" i="273" s="1"/>
  <c r="DT119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T39" i="273"/>
  <c r="DT41" i="273" s="1"/>
  <c r="DT42" i="273" s="1"/>
  <c r="DS60" i="273"/>
  <c r="DS109" i="273"/>
  <c r="DS4" i="275"/>
  <c r="DS4" i="273"/>
  <c r="DS4" i="265"/>
  <c r="DT113" i="273"/>
  <c r="DT114" i="273" s="1"/>
  <c r="DT21" i="281" s="1"/>
  <c r="DT52" i="273"/>
  <c r="DQ3" i="275"/>
  <c r="DQ3" i="273"/>
  <c r="DQ50" i="273"/>
  <c r="DQ3" i="265"/>
  <c r="DT58" i="281" l="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22" i="280"/>
  <c r="DQ14" i="280"/>
  <c r="DS46" i="281"/>
  <c r="DS72" i="281"/>
  <c r="BG52" i="281"/>
  <c r="BG53" i="281" s="1"/>
  <c r="BG24" i="280"/>
  <c r="BF63" i="265"/>
  <c r="BF65" i="265" s="1"/>
  <c r="BF67" i="265" s="1"/>
  <c r="BF80" i="265" s="1"/>
  <c r="DO76" i="281"/>
  <c r="DO78" i="281" s="1"/>
  <c r="DO85" i="281" s="1"/>
  <c r="DO86" i="281" s="1"/>
  <c r="DP83" i="281" s="1"/>
  <c r="DU24" i="273"/>
  <c r="DU25" i="273" s="1"/>
  <c r="DU2" i="280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M13" i="280"/>
  <c r="DM16" i="280" s="1"/>
  <c r="DL74" i="265"/>
  <c r="DL75" i="265" s="1"/>
  <c r="DL81" i="265" s="1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S30" i="281"/>
  <c r="DS36" i="281" s="1"/>
  <c r="DS38" i="281" s="1"/>
  <c r="DU32" i="273"/>
  <c r="DU33" i="273" s="1"/>
  <c r="DU38" i="273" s="1"/>
  <c r="DT22" i="280"/>
  <c r="DT11" i="280"/>
  <c r="DU2" i="273"/>
  <c r="DU75" i="273"/>
  <c r="DU76" i="273" s="1"/>
  <c r="DV37" i="273"/>
  <c r="DV56" i="273"/>
  <c r="DV19" i="273"/>
  <c r="DV20" i="273" s="1"/>
  <c r="DV47" i="273"/>
  <c r="DV48" i="273" s="1"/>
  <c r="DU96" i="273"/>
  <c r="DU97" i="273" s="1"/>
  <c r="DW5" i="265"/>
  <c r="DW5" i="273"/>
  <c r="DW13" i="273"/>
  <c r="DW14" i="273" s="1"/>
  <c r="DW5" i="275"/>
  <c r="DX10" i="273"/>
  <c r="DT4" i="275"/>
  <c r="DT4" i="273"/>
  <c r="DT4" i="265"/>
  <c r="DS112" i="273"/>
  <c r="DU118" i="273"/>
  <c r="DS66" i="273"/>
  <c r="DS67" i="273" s="1"/>
  <c r="DV51" i="273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DU58" i="281" l="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F83" i="265"/>
  <c r="BF82" i="265"/>
  <c r="BG62" i="281"/>
  <c r="BG63" i="281" s="1"/>
  <c r="BG30" i="265"/>
  <c r="BG33" i="265" s="1"/>
  <c r="BG37" i="265" s="1"/>
  <c r="BG42" i="265" s="1"/>
  <c r="BG47" i="265" s="1"/>
  <c r="BG50" i="265" s="1"/>
  <c r="BG30" i="280" s="1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75" i="273" s="1"/>
  <c r="DV76" i="273" s="1"/>
  <c r="DV124" i="273"/>
  <c r="DS9" i="265"/>
  <c r="DS11" i="265" s="1"/>
  <c r="DS14" i="265" s="1"/>
  <c r="DS19" i="265" s="1"/>
  <c r="DS22" i="265" s="1"/>
  <c r="DS14" i="280" s="1"/>
  <c r="DS50" i="281"/>
  <c r="DS61" i="281"/>
  <c r="DS45" i="281"/>
  <c r="DS47" i="281" s="1"/>
  <c r="DS51" i="281" s="1"/>
  <c r="DR9" i="265"/>
  <c r="DR11" i="265" s="1"/>
  <c r="DR14" i="265" s="1"/>
  <c r="DR19" i="265" s="1"/>
  <c r="DR22" i="265" s="1"/>
  <c r="DR61" i="281"/>
  <c r="DR50" i="281"/>
  <c r="DR45" i="281"/>
  <c r="DR47" i="281" s="1"/>
  <c r="DR51" i="281" s="1"/>
  <c r="DV39" i="273"/>
  <c r="DV41" i="273" s="1"/>
  <c r="DU2" i="281"/>
  <c r="DU125" i="273"/>
  <c r="DU126" i="273" s="1"/>
  <c r="DT30" i="281"/>
  <c r="DT36" i="281" s="1"/>
  <c r="DT38" i="281" s="1"/>
  <c r="DS25" i="265"/>
  <c r="DN13" i="280"/>
  <c r="DN16" i="280" s="1"/>
  <c r="DM74" i="265"/>
  <c r="DM75" i="265" s="1"/>
  <c r="DM81" i="265" s="1"/>
  <c r="DU119" i="273"/>
  <c r="DU120" i="273" s="1"/>
  <c r="DU12" i="281" s="1"/>
  <c r="DU37" i="281"/>
  <c r="DU22" i="281"/>
  <c r="DU23" i="281" s="1"/>
  <c r="DU29" i="281" s="1"/>
  <c r="DU13" i="281"/>
  <c r="DU14" i="281" s="1"/>
  <c r="DU28" i="281" s="1"/>
  <c r="DS3" i="280"/>
  <c r="DS3" i="281"/>
  <c r="DU22" i="280"/>
  <c r="DU11" i="280"/>
  <c r="DV2" i="280"/>
  <c r="DV96" i="273"/>
  <c r="DV97" i="273" s="1"/>
  <c r="DV108" i="273" s="1"/>
  <c r="DV2" i="275"/>
  <c r="DV2" i="265"/>
  <c r="DU108" i="273"/>
  <c r="DU109" i="273" s="1"/>
  <c r="DV2" i="273"/>
  <c r="DV90" i="273"/>
  <c r="DV91" i="273" s="1"/>
  <c r="DV100" i="273" s="1"/>
  <c r="DW101" i="273" s="1"/>
  <c r="DW59" i="273" s="1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119" i="273"/>
  <c r="DV120" i="273" s="1"/>
  <c r="DV12" i="281" s="1"/>
  <c r="DS3" i="273"/>
  <c r="DS3" i="265"/>
  <c r="DS3" i="275"/>
  <c r="DS50" i="273"/>
  <c r="DV42" i="273"/>
  <c r="DV52" i="273"/>
  <c r="DT112" i="273"/>
  <c r="DV57" i="273" l="1"/>
  <c r="DV15" i="275"/>
  <c r="DV58" i="281"/>
  <c r="DV81" i="281"/>
  <c r="DV79" i="273"/>
  <c r="DW80" i="273" s="1"/>
  <c r="DW58" i="273" s="1"/>
  <c r="DU46" i="281"/>
  <c r="DU72" i="281"/>
  <c r="DU42" i="273"/>
  <c r="DU52" i="273"/>
  <c r="BH60" i="281"/>
  <c r="BH52" i="281" s="1"/>
  <c r="BH53" i="281" s="1"/>
  <c r="BG64" i="265"/>
  <c r="BG53" i="265"/>
  <c r="BG25" i="280"/>
  <c r="BG27" i="280" s="1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25" i="265" s="1"/>
  <c r="DT61" i="281"/>
  <c r="DT50" i="281"/>
  <c r="DT45" i="281"/>
  <c r="DT47" i="281" s="1"/>
  <c r="DT51" i="281" s="1"/>
  <c r="DR25" i="265"/>
  <c r="DR14" i="280"/>
  <c r="DW24" i="273"/>
  <c r="DW25" i="273" s="1"/>
  <c r="DW2" i="280" s="1"/>
  <c r="DW124" i="273"/>
  <c r="DV2" i="281"/>
  <c r="DV125" i="273"/>
  <c r="DV126" i="273" s="1"/>
  <c r="DV32" i="273"/>
  <c r="DV33" i="273" s="1"/>
  <c r="DU30" i="281"/>
  <c r="DU36" i="281" s="1"/>
  <c r="DU38" i="281" s="1"/>
  <c r="DO13" i="280"/>
  <c r="DO16" i="280" s="1"/>
  <c r="DN74" i="265"/>
  <c r="DN75" i="265" s="1"/>
  <c r="DN81" i="265" s="1"/>
  <c r="DV4" i="280"/>
  <c r="DV4" i="281"/>
  <c r="DT3" i="280"/>
  <c r="DT3" i="281"/>
  <c r="DV113" i="273"/>
  <c r="DV37" i="281"/>
  <c r="DV22" i="281"/>
  <c r="DV23" i="281" s="1"/>
  <c r="DV29" i="281" s="1"/>
  <c r="DV13" i="281"/>
  <c r="DV14" i="281" s="1"/>
  <c r="DV28" i="281" s="1"/>
  <c r="DW75" i="273"/>
  <c r="DW76" i="273" s="1"/>
  <c r="DW57" i="273" s="1"/>
  <c r="DV114" i="273"/>
  <c r="DV21" i="281" s="1"/>
  <c r="DV11" i="280"/>
  <c r="DV22" i="280"/>
  <c r="DW96" i="273"/>
  <c r="DW97" i="273" s="1"/>
  <c r="DW119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W79" i="273"/>
  <c r="DX80" i="273" s="1"/>
  <c r="DX58" i="273" s="1"/>
  <c r="DT3" i="265"/>
  <c r="DT50" i="273"/>
  <c r="DT3" i="275"/>
  <c r="DT3" i="273"/>
  <c r="DU112" i="273"/>
  <c r="DV109" i="273"/>
  <c r="DV4" i="273"/>
  <c r="DV4" i="265"/>
  <c r="DV4" i="275"/>
  <c r="DW108" i="273"/>
  <c r="DW38" i="273"/>
  <c r="DW113" i="273" l="1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DV71" i="281" s="1"/>
  <c r="DV73" i="281" s="1"/>
  <c r="DV77" i="281" s="1"/>
  <c r="BG63" i="265"/>
  <c r="BG65" i="265" s="1"/>
  <c r="BG67" i="265" s="1"/>
  <c r="BG80" i="265" s="1"/>
  <c r="BH24" i="280"/>
  <c r="BH62" i="281"/>
  <c r="BH63" i="281" s="1"/>
  <c r="BH30" i="265"/>
  <c r="BH33" i="265" s="1"/>
  <c r="BH37" i="265" s="1"/>
  <c r="BH42" i="265" s="1"/>
  <c r="BH47" i="265" s="1"/>
  <c r="BH50" i="265" s="1"/>
  <c r="BH30" i="280" s="1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14" i="280"/>
  <c r="DZ5" i="281"/>
  <c r="DZ5" i="280"/>
  <c r="DV9" i="265"/>
  <c r="DV11" i="265" s="1"/>
  <c r="DV14" i="265" s="1"/>
  <c r="DV19" i="265" s="1"/>
  <c r="DV22" i="265" s="1"/>
  <c r="DV14" i="280" s="1"/>
  <c r="DU9" i="265"/>
  <c r="DU11" i="265" s="1"/>
  <c r="DU14" i="265" s="1"/>
  <c r="DU19" i="265" s="1"/>
  <c r="DU22" i="265" s="1"/>
  <c r="DU25" i="265" s="1"/>
  <c r="DU61" i="281"/>
  <c r="DU50" i="281"/>
  <c r="DU45" i="281"/>
  <c r="DU47" i="281" s="1"/>
  <c r="DU51" i="281" s="1"/>
  <c r="DV38" i="273"/>
  <c r="DW39" i="273" s="1"/>
  <c r="DW41" i="273" s="1"/>
  <c r="DV118" i="273"/>
  <c r="DW120" i="273" s="1"/>
  <c r="DW12" i="281" s="1"/>
  <c r="DX24" i="273"/>
  <c r="DX25" i="273" s="1"/>
  <c r="DX75" i="273" s="1"/>
  <c r="DX76" i="273" s="1"/>
  <c r="DX124" i="273"/>
  <c r="DW2" i="281"/>
  <c r="DW125" i="273"/>
  <c r="DW126" i="273" s="1"/>
  <c r="DP13" i="280"/>
  <c r="DP16" i="280" s="1"/>
  <c r="DO74" i="265"/>
  <c r="DO75" i="265" s="1"/>
  <c r="DO81" i="265" s="1"/>
  <c r="DU14" i="280"/>
  <c r="DU3" i="280"/>
  <c r="DU3" i="281"/>
  <c r="DW37" i="281"/>
  <c r="DW22" i="281"/>
  <c r="DW23" i="281" s="1"/>
  <c r="DW29" i="281" s="1"/>
  <c r="DW13" i="281"/>
  <c r="DW14" i="281" s="1"/>
  <c r="DW28" i="281" s="1"/>
  <c r="DW22" i="280"/>
  <c r="DW11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U3" i="273"/>
  <c r="DU3" i="275"/>
  <c r="DU3" i="265"/>
  <c r="DU50" i="273"/>
  <c r="DX58" i="281" l="1"/>
  <c r="DX81" i="281"/>
  <c r="DX2" i="265"/>
  <c r="DX32" i="273"/>
  <c r="DX33" i="273" s="1"/>
  <c r="DW46" i="281"/>
  <c r="DW72" i="281"/>
  <c r="DV45" i="281"/>
  <c r="DV47" i="281" s="1"/>
  <c r="DV51" i="281" s="1"/>
  <c r="DV25" i="265"/>
  <c r="DV61" i="281"/>
  <c r="DV50" i="281"/>
  <c r="BI60" i="281"/>
  <c r="BH64" i="265"/>
  <c r="BG82" i="265"/>
  <c r="BG83" i="265"/>
  <c r="BH53" i="265"/>
  <c r="BH25" i="280"/>
  <c r="BH27" i="280" s="1"/>
  <c r="DS76" i="281"/>
  <c r="DS78" i="281" s="1"/>
  <c r="DS85" i="281" s="1"/>
  <c r="DS86" i="281" s="1"/>
  <c r="DT83" i="281" s="1"/>
  <c r="EA5" i="281"/>
  <c r="EA5" i="280"/>
  <c r="DX125" i="273"/>
  <c r="DX126" i="273" s="1"/>
  <c r="DX96" i="273"/>
  <c r="DX97" i="273" s="1"/>
  <c r="DX90" i="273"/>
  <c r="DX91" i="273" s="1"/>
  <c r="DX100" i="273" s="1"/>
  <c r="DY101" i="273" s="1"/>
  <c r="DY59" i="273" s="1"/>
  <c r="DW52" i="273"/>
  <c r="DW42" i="273"/>
  <c r="DX42" i="273"/>
  <c r="DX4" i="281" s="1"/>
  <c r="DY24" i="273"/>
  <c r="DY25" i="273" s="1"/>
  <c r="DY2" i="280" s="1"/>
  <c r="DY124" i="273"/>
  <c r="DX2" i="275"/>
  <c r="DX2" i="280"/>
  <c r="DX2" i="273"/>
  <c r="DX2" i="281"/>
  <c r="DW30" i="281"/>
  <c r="DW36" i="281" s="1"/>
  <c r="DW38" i="281" s="1"/>
  <c r="DP74" i="265"/>
  <c r="DP75" i="265" s="1"/>
  <c r="DP81" i="265" s="1"/>
  <c r="DQ13" i="280"/>
  <c r="DQ16" i="280" s="1"/>
  <c r="DX4" i="280"/>
  <c r="DV3" i="280"/>
  <c r="DV3" i="281"/>
  <c r="DX22" i="280"/>
  <c r="DX11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112" i="273"/>
  <c r="DX4" i="275"/>
  <c r="DX4" i="273"/>
  <c r="DX4" i="265"/>
  <c r="DV3" i="275"/>
  <c r="DV50" i="273"/>
  <c r="DV3" i="265"/>
  <c r="DV3" i="273"/>
  <c r="DX46" i="281" l="1"/>
  <c r="DX72" i="281"/>
  <c r="DX118" i="273"/>
  <c r="DX38" i="273"/>
  <c r="DY39" i="273" s="1"/>
  <c r="DY41" i="273" s="1"/>
  <c r="BH63" i="265"/>
  <c r="BH65" i="265" s="1"/>
  <c r="BH67" i="265" s="1"/>
  <c r="BH80" i="265" s="1"/>
  <c r="BI24" i="280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25" i="265" s="1"/>
  <c r="DW50" i="281"/>
  <c r="DW61" i="281"/>
  <c r="DW45" i="281"/>
  <c r="DW47" i="281" s="1"/>
  <c r="DW51" i="281" s="1"/>
  <c r="DY125" i="273"/>
  <c r="DY126" i="273" s="1"/>
  <c r="DY75" i="273"/>
  <c r="DY76" i="273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2" i="265"/>
  <c r="DW4" i="280"/>
  <c r="DW4" i="265"/>
  <c r="DW4" i="275"/>
  <c r="DW4" i="281"/>
  <c r="DW4" i="273"/>
  <c r="DZ24" i="273"/>
  <c r="DZ25" i="273" s="1"/>
  <c r="DZ2" i="265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Q74" i="265"/>
  <c r="DQ75" i="265" s="1"/>
  <c r="DQ81" i="265" s="1"/>
  <c r="DR13" i="280"/>
  <c r="DR16" i="280" s="1"/>
  <c r="DW3" i="280"/>
  <c r="DW3" i="281"/>
  <c r="DZ32" i="273"/>
  <c r="DZ33" i="273" s="1"/>
  <c r="DZ38" i="273" s="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W3" i="273"/>
  <c r="DW50" i="273"/>
  <c r="DW3" i="265"/>
  <c r="DW3" i="275"/>
  <c r="DZ2" i="280" l="1"/>
  <c r="DY58" i="281"/>
  <c r="DY81" i="281"/>
  <c r="DY42" i="273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11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BI30" i="280" s="1"/>
  <c r="BH82" i="265"/>
  <c r="BH83" i="265"/>
  <c r="DU76" i="281"/>
  <c r="DU78" i="281" s="1"/>
  <c r="DU85" i="281" s="1"/>
  <c r="DU86" i="281" s="1"/>
  <c r="DV83" i="281" s="1"/>
  <c r="DW14" i="280"/>
  <c r="EA24" i="273"/>
  <c r="EA25" i="273" s="1"/>
  <c r="EA124" i="273"/>
  <c r="DX30" i="281"/>
  <c r="DX36" i="281" s="1"/>
  <c r="DX38" i="281" s="1"/>
  <c r="DZ2" i="281"/>
  <c r="DZ125" i="273"/>
  <c r="DZ126" i="273" s="1"/>
  <c r="DY118" i="273"/>
  <c r="DY38" i="273"/>
  <c r="DZ39" i="273" s="1"/>
  <c r="DZ41" i="273" s="1"/>
  <c r="DZ42" i="273" s="1"/>
  <c r="DY79" i="273"/>
  <c r="DZ80" i="273" s="1"/>
  <c r="DZ58" i="273" s="1"/>
  <c r="DZ2" i="275"/>
  <c r="DZ96" i="273"/>
  <c r="DZ97" i="273" s="1"/>
  <c r="DZ113" i="273" s="1"/>
  <c r="DZ2" i="273"/>
  <c r="DZ75" i="273"/>
  <c r="DZ76" i="273" s="1"/>
  <c r="DY22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R74" i="265"/>
  <c r="DR75" i="265" s="1"/>
  <c r="DR81" i="265" s="1"/>
  <c r="DS13" i="280"/>
  <c r="DS16" i="280" s="1"/>
  <c r="DX3" i="280"/>
  <c r="DX3" i="281"/>
  <c r="DZ4" i="280"/>
  <c r="DZ4" i="281"/>
  <c r="DZ119" i="273"/>
  <c r="DZ120" i="273" s="1"/>
  <c r="DZ12" i="281" s="1"/>
  <c r="DZ22" i="281"/>
  <c r="DZ23" i="281" s="1"/>
  <c r="DZ29" i="281" s="1"/>
  <c r="DZ108" i="273"/>
  <c r="DZ109" i="273" s="1"/>
  <c r="DZ22" i="280"/>
  <c r="EA90" i="273"/>
  <c r="EA91" i="273" s="1"/>
  <c r="EA100" i="273" s="1"/>
  <c r="EA2" i="280"/>
  <c r="EA39" i="273"/>
  <c r="EA41" i="273" s="1"/>
  <c r="EA52" i="273" s="1"/>
  <c r="DZ52" i="273"/>
  <c r="EA2" i="275"/>
  <c r="EA2" i="273"/>
  <c r="DZ79" i="273"/>
  <c r="EA80" i="273" s="1"/>
  <c r="EA58" i="273" s="1"/>
  <c r="DY66" i="273"/>
  <c r="DY67" i="273" s="1"/>
  <c r="DZ4" i="265"/>
  <c r="DZ4" i="275"/>
  <c r="DZ4" i="273"/>
  <c r="DX3" i="273"/>
  <c r="DX50" i="273"/>
  <c r="DX3" i="265"/>
  <c r="DX3" i="275"/>
  <c r="DZ58" i="281" l="1"/>
  <c r="DZ81" i="281"/>
  <c r="DZ15" i="275"/>
  <c r="DZ20" i="275" s="1"/>
  <c r="EA17" i="275" s="1"/>
  <c r="DZ57" i="273"/>
  <c r="DZ60" i="273" s="1"/>
  <c r="DZ66" i="273" s="1"/>
  <c r="DZ67" i="273" s="1"/>
  <c r="DZ11" i="280"/>
  <c r="DZ13" i="281"/>
  <c r="DZ14" i="281" s="1"/>
  <c r="DZ28" i="281" s="1"/>
  <c r="DZ30" i="281" s="1"/>
  <c r="DZ36" i="281" s="1"/>
  <c r="DZ38" i="281" s="1"/>
  <c r="DZ37" i="281"/>
  <c r="DY30" i="281"/>
  <c r="DY36" i="281" s="1"/>
  <c r="DY38" i="281" s="1"/>
  <c r="DY71" i="281" s="1"/>
  <c r="DY73" i="281" s="1"/>
  <c r="DY77" i="281" s="1"/>
  <c r="DZ46" i="281"/>
  <c r="DZ72" i="281"/>
  <c r="DY4" i="280"/>
  <c r="DY4" i="273"/>
  <c r="DY4" i="281"/>
  <c r="DY4" i="265"/>
  <c r="DY4" i="275"/>
  <c r="BI53" i="265"/>
  <c r="BI25" i="280"/>
  <c r="BI27" i="280" s="1"/>
  <c r="BJ60" i="28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Y61" i="28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DX51" i="281" s="1"/>
  <c r="EA2" i="281"/>
  <c r="EA125" i="273"/>
  <c r="EA126" i="273" s="1"/>
  <c r="EA32" i="273"/>
  <c r="EA33" i="273" s="1"/>
  <c r="EA96" i="273"/>
  <c r="EA97" i="273" s="1"/>
  <c r="EA75" i="273"/>
  <c r="EA76" i="273" s="1"/>
  <c r="EA2" i="265"/>
  <c r="DT13" i="280"/>
  <c r="DT16" i="280" s="1"/>
  <c r="DS74" i="265"/>
  <c r="DS75" i="265" s="1"/>
  <c r="DS81" i="265" s="1"/>
  <c r="DY3" i="280"/>
  <c r="DY3" i="281"/>
  <c r="EA42" i="273"/>
  <c r="EA4" i="275" s="1"/>
  <c r="DZ112" i="273"/>
  <c r="EA79" i="273"/>
  <c r="DY50" i="273"/>
  <c r="DY3" i="273"/>
  <c r="DY3" i="265"/>
  <c r="DY3" i="275"/>
  <c r="EA4" i="273"/>
  <c r="DY45" i="281" l="1"/>
  <c r="DY47" i="281" s="1"/>
  <c r="DY51" i="281" s="1"/>
  <c r="DY84" i="281"/>
  <c r="EA58" i="281"/>
  <c r="EA81" i="281"/>
  <c r="EA22" i="280"/>
  <c r="EA46" i="281"/>
  <c r="EA72" i="281"/>
  <c r="DY50" i="281"/>
  <c r="DY9" i="265"/>
  <c r="DY11" i="265" s="1"/>
  <c r="DY14" i="265" s="1"/>
  <c r="DY19" i="265" s="1"/>
  <c r="DY22" i="265" s="1"/>
  <c r="BI63" i="265"/>
  <c r="BI65" i="265" s="1"/>
  <c r="BI67" i="265" s="1"/>
  <c r="BI80" i="265" s="1"/>
  <c r="BJ24" i="280"/>
  <c r="BJ52" i="281"/>
  <c r="BJ53" i="281" s="1"/>
  <c r="DW76" i="281"/>
  <c r="DW78" i="281" s="1"/>
  <c r="DW85" i="281" s="1"/>
  <c r="DW86" i="281" s="1"/>
  <c r="DX83" i="281" s="1"/>
  <c r="DZ84" i="281"/>
  <c r="DZ71" i="281"/>
  <c r="DZ73" i="281" s="1"/>
  <c r="DZ77" i="281" s="1"/>
  <c r="DZ9" i="265"/>
  <c r="DZ11" i="265" s="1"/>
  <c r="DZ14" i="265" s="1"/>
  <c r="DZ19" i="265" s="1"/>
  <c r="DZ22" i="265" s="1"/>
  <c r="DZ14" i="280" s="1"/>
  <c r="DZ61" i="281"/>
  <c r="DZ50" i="281"/>
  <c r="DZ45" i="281"/>
  <c r="DZ47" i="281" s="1"/>
  <c r="DZ51" i="281" s="1"/>
  <c r="EA38" i="273"/>
  <c r="EA118" i="273"/>
  <c r="DX14" i="280"/>
  <c r="DX25" i="265"/>
  <c r="EA4" i="265"/>
  <c r="EA15" i="275"/>
  <c r="EA20" i="275" s="1"/>
  <c r="EA57" i="273"/>
  <c r="EA60" i="273" s="1"/>
  <c r="EA66" i="273" s="1"/>
  <c r="EA67" i="273" s="1"/>
  <c r="EA11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Y25" i="265"/>
  <c r="DY14" i="280"/>
  <c r="DZ25" i="265"/>
  <c r="DU13" i="280"/>
  <c r="DU16" i="280" s="1"/>
  <c r="DT74" i="265"/>
  <c r="DT75" i="265" s="1"/>
  <c r="DT81" i="265" s="1"/>
  <c r="DZ3" i="280"/>
  <c r="DZ3" i="281"/>
  <c r="EA4" i="280"/>
  <c r="EA4" i="281"/>
  <c r="EA112" i="273"/>
  <c r="DZ50" i="273"/>
  <c r="DZ3" i="275"/>
  <c r="DZ3" i="273"/>
  <c r="DZ3" i="265"/>
  <c r="BJ62" i="281" l="1"/>
  <c r="BJ63" i="281" s="1"/>
  <c r="BJ30" i="265"/>
  <c r="BJ33" i="265" s="1"/>
  <c r="BJ37" i="265" s="1"/>
  <c r="BJ42" i="265" s="1"/>
  <c r="BJ47" i="265" s="1"/>
  <c r="BJ50" i="265" s="1"/>
  <c r="BJ30" i="280" s="1"/>
  <c r="BI82" i="265"/>
  <c r="BI83" i="265"/>
  <c r="DX76" i="281"/>
  <c r="DX78" i="281" s="1"/>
  <c r="DX85" i="281" s="1"/>
  <c r="DX86" i="281" s="1"/>
  <c r="DY83" i="281" s="1"/>
  <c r="H23" i="281"/>
  <c r="H29" i="281" s="1"/>
  <c r="EA29" i="281"/>
  <c r="EA30" i="281" s="1"/>
  <c r="DU74" i="265"/>
  <c r="DU75" i="265" s="1"/>
  <c r="DU81" i="265" s="1"/>
  <c r="DV13" i="280"/>
  <c r="DV16" i="280" s="1"/>
  <c r="EA3" i="280"/>
  <c r="EA3" i="281"/>
  <c r="EA3" i="275"/>
  <c r="EA3" i="273"/>
  <c r="EA3" i="265"/>
  <c r="EA50" i="273"/>
  <c r="BK60" i="281" l="1"/>
  <c r="BK52" i="281" s="1"/>
  <c r="BK53" i="281" s="1"/>
  <c r="BJ64" i="265"/>
  <c r="BJ53" i="265"/>
  <c r="BJ25" i="280"/>
  <c r="BJ27" i="280" s="1"/>
  <c r="DY76" i="281"/>
  <c r="DY78" i="281" s="1"/>
  <c r="DY85" i="281" s="1"/>
  <c r="DY86" i="281" s="1"/>
  <c r="DZ83" i="281" s="1"/>
  <c r="H30" i="281"/>
  <c r="H36" i="281" s="1"/>
  <c r="EA36" i="281"/>
  <c r="EA38" i="281" s="1"/>
  <c r="DV74" i="265"/>
  <c r="DV75" i="265" s="1"/>
  <c r="DV81" i="265" s="1"/>
  <c r="DW13" i="280"/>
  <c r="DW16" i="280" s="1"/>
  <c r="F11" i="273"/>
  <c r="BJ63" i="265" l="1"/>
  <c r="BJ65" i="265" s="1"/>
  <c r="BJ67" i="265" s="1"/>
  <c r="BJ80" i="265" s="1"/>
  <c r="BK24" i="280"/>
  <c r="BK62" i="281"/>
  <c r="BK63" i="281" s="1"/>
  <c r="BK30" i="265"/>
  <c r="BK33" i="265" s="1"/>
  <c r="BK37" i="265" s="1"/>
  <c r="BK42" i="265" s="1"/>
  <c r="BK47" i="265" s="1"/>
  <c r="BK50" i="265" s="1"/>
  <c r="BK30" i="280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51" i="281" s="1"/>
  <c r="EA9" i="265"/>
  <c r="EA11" i="265" s="1"/>
  <c r="H38" i="281"/>
  <c r="DW74" i="265"/>
  <c r="DW75" i="265" s="1"/>
  <c r="DW81" i="265" s="1"/>
  <c r="DX13" i="280"/>
  <c r="DX16" i="280" s="1"/>
  <c r="H14" i="273"/>
  <c r="BL60" i="281" l="1"/>
  <c r="BL52" i="281" s="1"/>
  <c r="BL53" i="281" s="1"/>
  <c r="BK64" i="265"/>
  <c r="BJ83" i="265"/>
  <c r="BJ82" i="265"/>
  <c r="BK53" i="265"/>
  <c r="BK25" i="280"/>
  <c r="BK27" i="280" s="1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DY13" i="280"/>
  <c r="DY16" i="280" s="1"/>
  <c r="DX74" i="265"/>
  <c r="DX75" i="265" s="1"/>
  <c r="DX81" i="265" s="1"/>
  <c r="H56" i="273"/>
  <c r="H47" i="273"/>
  <c r="H19" i="273"/>
  <c r="H37" i="273"/>
  <c r="BK63" i="265" l="1"/>
  <c r="BK65" i="265" s="1"/>
  <c r="BK67" i="265" s="1"/>
  <c r="BK80" i="265" s="1"/>
  <c r="BL24" i="280"/>
  <c r="BL62" i="281"/>
  <c r="BL63" i="281" s="1"/>
  <c r="BL30" i="265"/>
  <c r="BL33" i="265" s="1"/>
  <c r="BL37" i="265" s="1"/>
  <c r="BL42" i="265" s="1"/>
  <c r="BL47" i="265" s="1"/>
  <c r="BL50" i="265" s="1"/>
  <c r="BL30" i="280" s="1"/>
  <c r="L21" i="269"/>
  <c r="J21" i="269"/>
  <c r="L19" i="269"/>
  <c r="J19" i="269"/>
  <c r="H14" i="265"/>
  <c r="H24" i="269" s="1"/>
  <c r="K24" i="269" s="1"/>
  <c r="EA19" i="265"/>
  <c r="DZ13" i="280"/>
  <c r="DZ16" i="280" s="1"/>
  <c r="DY74" i="265"/>
  <c r="DY75" i="265" s="1"/>
  <c r="DY81" i="265" s="1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Z69" i="277"/>
  <c r="Y59" i="277"/>
  <c r="Y60" i="277" s="1"/>
  <c r="X74" i="277"/>
  <c r="X69" i="277"/>
  <c r="AA72" i="277"/>
  <c r="AA59" i="277"/>
  <c r="AA60" i="277" s="1"/>
  <c r="Y70" i="277"/>
  <c r="Y74" i="277"/>
  <c r="Z59" i="277"/>
  <c r="Z60" i="277" s="1"/>
  <c r="AA69" i="277"/>
  <c r="AB71" i="277"/>
  <c r="AA74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F69" i="277"/>
  <c r="AF74" i="277"/>
  <c r="AH71" i="277"/>
  <c r="AG70" i="277"/>
  <c r="AG69" i="277"/>
  <c r="AH59" i="277"/>
  <c r="AH60" i="277" s="1"/>
  <c r="AI69" i="277"/>
  <c r="AI74" i="277"/>
  <c r="AG71" i="277"/>
  <c r="AI70" i="277"/>
  <c r="AI72" i="277"/>
  <c r="AI73" i="277"/>
  <c r="AJ71" i="277"/>
  <c r="AI59" i="277"/>
  <c r="AI60" i="277" s="1"/>
  <c r="AJ69" i="277"/>
  <c r="AK72" i="277"/>
  <c r="AJ70" i="277"/>
  <c r="AK74" i="277"/>
  <c r="AK69" i="277"/>
  <c r="AK71" i="277"/>
  <c r="AK70" i="277"/>
  <c r="AN69" i="277"/>
  <c r="AN72" i="277"/>
  <c r="AK59" i="277"/>
  <c r="AK60" i="277" s="1"/>
  <c r="AM71" i="277"/>
  <c r="AL59" i="277"/>
  <c r="AL60" i="277" s="1"/>
  <c r="AM72" i="277"/>
  <c r="AN74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Y69" i="277"/>
  <c r="AA73" i="277"/>
  <c r="Y72" i="277"/>
  <c r="AB74" i="277"/>
  <c r="AA71" i="277"/>
  <c r="AC59" i="277"/>
  <c r="AC60" i="277" s="1"/>
  <c r="AB70" i="277"/>
  <c r="AC72" i="277"/>
  <c r="AC69" i="277"/>
  <c r="AD69" i="277"/>
  <c r="AD74" i="277"/>
  <c r="AB69" i="277"/>
  <c r="AC74" i="277"/>
  <c r="AE73" i="277"/>
  <c r="AE59" i="277"/>
  <c r="AE60" i="277" s="1"/>
  <c r="AE74" i="277"/>
  <c r="AD71" i="277"/>
  <c r="AE70" i="277"/>
  <c r="AF72" i="277"/>
  <c r="AE69" i="277"/>
  <c r="AF73" i="277"/>
  <c r="AF59" i="277"/>
  <c r="AF60" i="277" s="1"/>
  <c r="AG73" i="277"/>
  <c r="AG59" i="277"/>
  <c r="AG60" i="277" s="1"/>
  <c r="AH70" i="277"/>
  <c r="AG74" i="277"/>
  <c r="AG72" i="277"/>
  <c r="AJ59" i="277"/>
  <c r="AJ60" i="277" s="1"/>
  <c r="AH72" i="277"/>
  <c r="AH69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L69" i="277"/>
  <c r="AM69" i="277"/>
  <c r="AM74" i="277"/>
  <c r="AM70" i="277"/>
  <c r="AN59" i="277"/>
  <c r="AN60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H58" i="281" l="1"/>
  <c r="H81" i="281"/>
  <c r="BL53" i="265"/>
  <c r="BL25" i="280"/>
  <c r="BL27" i="280" s="1"/>
  <c r="BM60" i="281"/>
  <c r="BM52" i="281" s="1"/>
  <c r="BM53" i="281" s="1"/>
  <c r="BL64" i="265"/>
  <c r="X64" i="277" s="1"/>
  <c r="BK82" i="265"/>
  <c r="BK83" i="265"/>
  <c r="EA22" i="265"/>
  <c r="H19" i="265"/>
  <c r="H29" i="269" s="1"/>
  <c r="K29" i="269" s="1"/>
  <c r="L24" i="269"/>
  <c r="J24" i="269"/>
  <c r="DZ74" i="265"/>
  <c r="DZ75" i="265" s="1"/>
  <c r="DZ81" i="265" s="1"/>
  <c r="EA13" i="280"/>
  <c r="H37" i="281"/>
  <c r="H22" i="281"/>
  <c r="H13" i="281"/>
  <c r="AB75" i="277"/>
  <c r="AB81" i="277" s="1"/>
  <c r="S65" i="277"/>
  <c r="H22" i="280"/>
  <c r="H11" i="280"/>
  <c r="T65" i="277"/>
  <c r="T67" i="277" s="1"/>
  <c r="T80" i="277" s="1"/>
  <c r="O65" i="277"/>
  <c r="O67" i="277" s="1"/>
  <c r="O80" i="277" s="1"/>
  <c r="J67" i="277"/>
  <c r="J80" i="277" s="1"/>
  <c r="AL75" i="277"/>
  <c r="AL81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AM75" i="277"/>
  <c r="AM81" i="277" s="1"/>
  <c r="AH75" i="277"/>
  <c r="AH81" i="277" s="1"/>
  <c r="AE75" i="277"/>
  <c r="AE81" i="277" s="1"/>
  <c r="AD75" i="277"/>
  <c r="AD81" i="277" s="1"/>
  <c r="AC75" i="277"/>
  <c r="AC81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A75" i="277"/>
  <c r="AA81" i="277" s="1"/>
  <c r="Z75" i="277"/>
  <c r="Z81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Y75" i="277"/>
  <c r="Y81" i="277" s="1"/>
  <c r="U75" i="277"/>
  <c r="U81" i="277" s="1"/>
  <c r="AG75" i="277"/>
  <c r="AG81" i="277" s="1"/>
  <c r="AF75" i="277"/>
  <c r="AF81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1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N40" i="277"/>
  <c r="AN44" i="277"/>
  <c r="AN10" i="277"/>
  <c r="BM62" i="281" l="1"/>
  <c r="BM63" i="281" s="1"/>
  <c r="BM30" i="265"/>
  <c r="BL63" i="265"/>
  <c r="BM24" i="280"/>
  <c r="J29" i="269"/>
  <c r="L29" i="269"/>
  <c r="K33" i="277"/>
  <c r="EA25" i="265"/>
  <c r="H25" i="265" s="1"/>
  <c r="H35" i="269" s="1"/>
  <c r="K35" i="269" s="1"/>
  <c r="H22" i="265"/>
  <c r="EA14" i="280"/>
  <c r="EA16" i="280" s="1"/>
  <c r="EA74" i="265" s="1"/>
  <c r="EA75" i="265" s="1"/>
  <c r="EA81" i="265" s="1"/>
  <c r="AJ11" i="277"/>
  <c r="AJ14" i="277" s="1"/>
  <c r="AJ19" i="277" s="1"/>
  <c r="AJ22" i="277" s="1"/>
  <c r="AJ25" i="277" s="1"/>
  <c r="AG11" i="277"/>
  <c r="AA14" i="277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 s="1"/>
  <c r="AC19" i="277" s="1"/>
  <c r="AC22" i="277" s="1"/>
  <c r="AC25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AA19" i="277"/>
  <c r="AA22" i="277" s="1"/>
  <c r="AA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K11" i="277"/>
  <c r="AK14" i="277" s="1"/>
  <c r="AK19" i="277" s="1"/>
  <c r="AK22" i="277" s="1"/>
  <c r="AK25" i="277" s="1"/>
  <c r="AH11" i="277"/>
  <c r="AH14" i="277" s="1"/>
  <c r="AH19" i="277" s="1"/>
  <c r="AH22" i="277" s="1"/>
  <c r="AH25" i="277" s="1"/>
  <c r="Z11" i="277"/>
  <c r="Z14" i="277" s="1"/>
  <c r="Z19" i="277" s="1"/>
  <c r="Z22" i="277" s="1"/>
  <c r="Z25" i="277" s="1"/>
  <c r="Y14" i="277"/>
  <c r="Y19" i="277" s="1"/>
  <c r="Y22" i="277" s="1"/>
  <c r="Y25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1" i="277"/>
  <c r="BN60" i="281" l="1"/>
  <c r="BM64" i="265"/>
  <c r="BL65" i="265"/>
  <c r="BL67" i="265" s="1"/>
  <c r="BL80" i="265" s="1"/>
  <c r="X63" i="277"/>
  <c r="X65" i="277" s="1"/>
  <c r="X67" i="277" s="1"/>
  <c r="X80" i="277" s="1"/>
  <c r="BM33" i="265"/>
  <c r="BM37" i="265" s="1"/>
  <c r="BM42" i="265" s="1"/>
  <c r="BM47" i="265" s="1"/>
  <c r="BM50" i="265" s="1"/>
  <c r="BM30" i="280" s="1"/>
  <c r="H14" i="280"/>
  <c r="H32" i="269"/>
  <c r="K32" i="269" s="1"/>
  <c r="J35" i="269"/>
  <c r="L35" i="269"/>
  <c r="J37" i="277"/>
  <c r="H11" i="277"/>
  <c r="J14" i="277"/>
  <c r="BM53" i="265" l="1"/>
  <c r="BM25" i="280"/>
  <c r="BM27" i="280" s="1"/>
  <c r="BL83" i="265"/>
  <c r="BL82" i="265"/>
  <c r="BN52" i="281"/>
  <c r="BN53" i="281" s="1"/>
  <c r="X83" i="277"/>
  <c r="X82" i="277"/>
  <c r="L32" i="269"/>
  <c r="J32" i="269"/>
  <c r="J19" i="277"/>
  <c r="H14" i="277"/>
  <c r="J41" i="277"/>
  <c r="BN62" i="281" l="1"/>
  <c r="BN63" i="281" s="1"/>
  <c r="BN30" i="265"/>
  <c r="BM63" i="265"/>
  <c r="BM65" i="265" s="1"/>
  <c r="BM67" i="265" s="1"/>
  <c r="BM80" i="265" s="1"/>
  <c r="BN24" i="280"/>
  <c r="J46" i="277"/>
  <c r="H19" i="277"/>
  <c r="J22" i="277"/>
  <c r="BM82" i="265" l="1"/>
  <c r="BM83" i="265"/>
  <c r="BO60" i="281"/>
  <c r="BO52" i="281" s="1"/>
  <c r="BO53" i="281" s="1"/>
  <c r="BN64" i="265"/>
  <c r="BN33" i="265"/>
  <c r="BN37" i="265" s="1"/>
  <c r="BN42" i="265" s="1"/>
  <c r="BN47" i="265" s="1"/>
  <c r="BN50" i="265" s="1"/>
  <c r="BN30" i="280" s="1"/>
  <c r="J25" i="277"/>
  <c r="H25" i="277" s="1"/>
  <c r="H22" i="277"/>
  <c r="J49" i="277"/>
  <c r="BN53" i="265" l="1"/>
  <c r="BN25" i="280"/>
  <c r="BN27" i="280" s="1"/>
  <c r="BO62" i="281"/>
  <c r="BO63" i="281" s="1"/>
  <c r="BO30" i="265"/>
  <c r="J52" i="277"/>
  <c r="BO33" i="265" l="1"/>
  <c r="BO37" i="265" s="1"/>
  <c r="BO42" i="265" s="1"/>
  <c r="BO47" i="265" s="1"/>
  <c r="BO50" i="265" s="1"/>
  <c r="BO30" i="280" s="1"/>
  <c r="BP60" i="281"/>
  <c r="BO64" i="265"/>
  <c r="BO24" i="280"/>
  <c r="BN63" i="265"/>
  <c r="BN65" i="265" s="1"/>
  <c r="BN67" i="265" s="1"/>
  <c r="BN80" i="265" s="1"/>
  <c r="BN82" i="265" l="1"/>
  <c r="BN83" i="265"/>
  <c r="BO53" i="265"/>
  <c r="BO25" i="280"/>
  <c r="BO27" i="280" s="1"/>
  <c r="BP52" i="281"/>
  <c r="BP53" i="281" s="1"/>
  <c r="BP62" i="281" l="1"/>
  <c r="BP63" i="281" s="1"/>
  <c r="BP30" i="265"/>
  <c r="BO63" i="265"/>
  <c r="BO65" i="265" s="1"/>
  <c r="BO67" i="265" s="1"/>
  <c r="BO80" i="265" s="1"/>
  <c r="BP24" i="280"/>
  <c r="BQ60" i="281" l="1"/>
  <c r="BQ52" i="281" s="1"/>
  <c r="BQ53" i="281" s="1"/>
  <c r="BP64" i="265"/>
  <c r="Y64" i="277" s="1"/>
  <c r="BO82" i="265"/>
  <c r="BO83" i="265"/>
  <c r="BP33" i="265"/>
  <c r="BP37" i="265" s="1"/>
  <c r="BP42" i="265" s="1"/>
  <c r="BP47" i="265" s="1"/>
  <c r="BP50" i="265" s="1"/>
  <c r="BP30" i="280" s="1"/>
  <c r="X30" i="277"/>
  <c r="X33" i="277" l="1"/>
  <c r="BP53" i="265"/>
  <c r="BP25" i="280"/>
  <c r="BP27" i="280" s="1"/>
  <c r="BQ62" i="281"/>
  <c r="BQ63" i="281" s="1"/>
  <c r="BQ30" i="265"/>
  <c r="X37" i="277" l="1"/>
  <c r="BQ33" i="265"/>
  <c r="BQ37" i="265" s="1"/>
  <c r="BQ42" i="265" s="1"/>
  <c r="BQ47" i="265" s="1"/>
  <c r="BQ50" i="265" s="1"/>
  <c r="BQ30" i="280" s="1"/>
  <c r="BQ24" i="280"/>
  <c r="BP63" i="265"/>
  <c r="BR60" i="281"/>
  <c r="BR52" i="281" s="1"/>
  <c r="BR53" i="281" s="1"/>
  <c r="BQ64" i="265"/>
  <c r="BR62" i="281" l="1"/>
  <c r="BR63" i="281" s="1"/>
  <c r="BR30" i="265"/>
  <c r="BQ53" i="265"/>
  <c r="BQ25" i="280"/>
  <c r="BQ27" i="280" s="1"/>
  <c r="X41" i="277"/>
  <c r="BP65" i="265"/>
  <c r="BP67" i="265" s="1"/>
  <c r="BP80" i="265" s="1"/>
  <c r="Y63" i="277"/>
  <c r="Y65" i="277" s="1"/>
  <c r="Y67" i="277" s="1"/>
  <c r="Y80" i="277" s="1"/>
  <c r="BP82" i="265" l="1"/>
  <c r="BP83" i="265"/>
  <c r="X46" i="277"/>
  <c r="BR33" i="265"/>
  <c r="BR37" i="265" s="1"/>
  <c r="BR42" i="265" s="1"/>
  <c r="BR47" i="265" s="1"/>
  <c r="BR50" i="265" s="1"/>
  <c r="BR30" i="280" s="1"/>
  <c r="Y83" i="277"/>
  <c r="Y82" i="277"/>
  <c r="BR24" i="280"/>
  <c r="BQ63" i="265"/>
  <c r="BQ65" i="265" s="1"/>
  <c r="BQ67" i="265" s="1"/>
  <c r="BQ80" i="265" s="1"/>
  <c r="BS60" i="281"/>
  <c r="BS52" i="281" s="1"/>
  <c r="BS53" i="281" s="1"/>
  <c r="BR64" i="265"/>
  <c r="BQ82" i="265" l="1"/>
  <c r="BQ83" i="265"/>
  <c r="BS62" i="281"/>
  <c r="BS63" i="281" s="1"/>
  <c r="BS30" i="265"/>
  <c r="BR53" i="265"/>
  <c r="BR25" i="280"/>
  <c r="BR27" i="280" s="1"/>
  <c r="X49" i="277"/>
  <c r="BR63" i="265" l="1"/>
  <c r="BR65" i="265" s="1"/>
  <c r="BR67" i="265" s="1"/>
  <c r="BR80" i="265" s="1"/>
  <c r="BS24" i="280"/>
  <c r="BS33" i="265"/>
  <c r="BS37" i="265" s="1"/>
  <c r="BS42" i="265" s="1"/>
  <c r="BS47" i="265" s="1"/>
  <c r="BS50" i="265" s="1"/>
  <c r="BS30" i="280" s="1"/>
  <c r="X52" i="277"/>
  <c r="BT60" i="281"/>
  <c r="BT52" i="281" s="1"/>
  <c r="BT53" i="281" s="1"/>
  <c r="BS64" i="265"/>
  <c r="BT62" i="281" l="1"/>
  <c r="BT63" i="281" s="1"/>
  <c r="BT30" i="265"/>
  <c r="BS53" i="265"/>
  <c r="BS25" i="280"/>
  <c r="BS27" i="280" s="1"/>
  <c r="BR83" i="265"/>
  <c r="BR82" i="265"/>
  <c r="BT33" i="265" l="1"/>
  <c r="BT37" i="265" s="1"/>
  <c r="BT42" i="265" s="1"/>
  <c r="BT47" i="265" s="1"/>
  <c r="BT50" i="265" s="1"/>
  <c r="BT30" i="280" s="1"/>
  <c r="Y30" i="277"/>
  <c r="BS63" i="265"/>
  <c r="BS65" i="265" s="1"/>
  <c r="BS67" i="265" s="1"/>
  <c r="BS80" i="265" s="1"/>
  <c r="BT24" i="280"/>
  <c r="BU60" i="281"/>
  <c r="BU52" i="281" s="1"/>
  <c r="BU53" i="281" s="1"/>
  <c r="BT64" i="265"/>
  <c r="Z64" i="277" s="1"/>
  <c r="Y33" i="277" l="1"/>
  <c r="BU62" i="281"/>
  <c r="BU63" i="281" s="1"/>
  <c r="BU30" i="265"/>
  <c r="BS83" i="265"/>
  <c r="BS82" i="265"/>
  <c r="BT53" i="265"/>
  <c r="BT25" i="280"/>
  <c r="BT27" i="280" s="1"/>
  <c r="BU24" i="280" l="1"/>
  <c r="BT63" i="265"/>
  <c r="BV60" i="281"/>
  <c r="BU64" i="265"/>
  <c r="BU33" i="265"/>
  <c r="BU37" i="265" s="1"/>
  <c r="BU42" i="265" s="1"/>
  <c r="BU47" i="265" s="1"/>
  <c r="BU50" i="265" s="1"/>
  <c r="BU30" i="280" s="1"/>
  <c r="Y37" i="277"/>
  <c r="BT65" i="265" l="1"/>
  <c r="BT67" i="265" s="1"/>
  <c r="BT80" i="265" s="1"/>
  <c r="Z63" i="277"/>
  <c r="Z65" i="277" s="1"/>
  <c r="Z67" i="277" s="1"/>
  <c r="Z80" i="277" s="1"/>
  <c r="Y41" i="277"/>
  <c r="BU53" i="265"/>
  <c r="BU25" i="280"/>
  <c r="BU27" i="280" s="1"/>
  <c r="BV52" i="281"/>
  <c r="BV53" i="281" s="1"/>
  <c r="BV24" i="280" l="1"/>
  <c r="BU63" i="265"/>
  <c r="BU65" i="265" s="1"/>
  <c r="BU67" i="265" s="1"/>
  <c r="BU80" i="265" s="1"/>
  <c r="Z82" i="277"/>
  <c r="Z83" i="277"/>
  <c r="BV62" i="281"/>
  <c r="BV63" i="281" s="1"/>
  <c r="BV30" i="265"/>
  <c r="Y46" i="277"/>
  <c r="BT83" i="265"/>
  <c r="BT82" i="265"/>
  <c r="Y49" i="277" l="1"/>
  <c r="BW60" i="281"/>
  <c r="BW52" i="281" s="1"/>
  <c r="BW53" i="281" s="1"/>
  <c r="BV64" i="265"/>
  <c r="BV33" i="265"/>
  <c r="BV37" i="265" s="1"/>
  <c r="BV42" i="265" s="1"/>
  <c r="BV47" i="265" s="1"/>
  <c r="BV50" i="265" s="1"/>
  <c r="BV30" i="280" s="1"/>
  <c r="BU83" i="265"/>
  <c r="BU82" i="265"/>
  <c r="BV53" i="265" l="1"/>
  <c r="BV25" i="280"/>
  <c r="BV27" i="280" s="1"/>
  <c r="BW62" i="281"/>
  <c r="BW63" i="281" s="1"/>
  <c r="BW30" i="265"/>
  <c r="Y52" i="277"/>
  <c r="BW33" i="265" l="1"/>
  <c r="BW37" i="265" s="1"/>
  <c r="BW42" i="265" s="1"/>
  <c r="BW47" i="265" s="1"/>
  <c r="BW50" i="265" s="1"/>
  <c r="BW30" i="280" s="1"/>
  <c r="BV63" i="265"/>
  <c r="BV65" i="265" s="1"/>
  <c r="BV67" i="265" s="1"/>
  <c r="BV80" i="265" s="1"/>
  <c r="BW24" i="280"/>
  <c r="BX60" i="281"/>
  <c r="BW64" i="265"/>
  <c r="BX52" i="281" l="1"/>
  <c r="BX53" i="281" s="1"/>
  <c r="BV83" i="265"/>
  <c r="BV82" i="265"/>
  <c r="BW53" i="265"/>
  <c r="BW25" i="280"/>
  <c r="BW27" i="280" s="1"/>
  <c r="BW63" i="265" l="1"/>
  <c r="BW65" i="265" s="1"/>
  <c r="BW67" i="265" s="1"/>
  <c r="BW80" i="265" s="1"/>
  <c r="BX24" i="280"/>
  <c r="BX62" i="281"/>
  <c r="BX63" i="281" s="1"/>
  <c r="BX30" i="265"/>
  <c r="BW83" i="265" l="1"/>
  <c r="BW82" i="265"/>
  <c r="BX33" i="265"/>
  <c r="BX37" i="265" s="1"/>
  <c r="BX42" i="265" s="1"/>
  <c r="BX47" i="265" s="1"/>
  <c r="BX50" i="265" s="1"/>
  <c r="BX30" i="280" s="1"/>
  <c r="Z30" i="277"/>
  <c r="BY60" i="281"/>
  <c r="BX64" i="265"/>
  <c r="AA64" i="277" s="1"/>
  <c r="BY52" i="281" l="1"/>
  <c r="BY53" i="281" s="1"/>
  <c r="Z33" i="277"/>
  <c r="BX53" i="265"/>
  <c r="BX25" i="280"/>
  <c r="BX27" i="280" s="1"/>
  <c r="BY62" i="281" l="1"/>
  <c r="BY63" i="281" s="1"/>
  <c r="BY30" i="265"/>
  <c r="BX63" i="265"/>
  <c r="BY24" i="280"/>
  <c r="Z37" i="277"/>
  <c r="Z41" i="277" l="1"/>
  <c r="BZ60" i="281"/>
  <c r="BY64" i="265"/>
  <c r="BY33" i="265"/>
  <c r="BY37" i="265" s="1"/>
  <c r="BY42" i="265" s="1"/>
  <c r="BY47" i="265" s="1"/>
  <c r="BY50" i="265" s="1"/>
  <c r="BY30" i="280" s="1"/>
  <c r="BX65" i="265"/>
  <c r="BX67" i="265" s="1"/>
  <c r="BX80" i="265" s="1"/>
  <c r="AA63" i="277"/>
  <c r="AA65" i="277" s="1"/>
  <c r="AA67" i="277" s="1"/>
  <c r="AA80" i="277" s="1"/>
  <c r="AA82" i="277" l="1"/>
  <c r="AA83" i="277"/>
  <c r="BX83" i="265"/>
  <c r="BX82" i="265"/>
  <c r="BY53" i="265"/>
  <c r="BY25" i="280"/>
  <c r="BY27" i="280" s="1"/>
  <c r="BZ52" i="281"/>
  <c r="BZ53" i="281" s="1"/>
  <c r="Z46" i="277"/>
  <c r="BZ24" i="280" l="1"/>
  <c r="BY63" i="265"/>
  <c r="BY65" i="265" s="1"/>
  <c r="BY67" i="265" s="1"/>
  <c r="BY80" i="265" s="1"/>
  <c r="Z49" i="277"/>
  <c r="BZ62" i="281"/>
  <c r="BZ63" i="281" s="1"/>
  <c r="BZ30" i="265"/>
  <c r="CA60" i="281" l="1"/>
  <c r="CA52" i="281" s="1"/>
  <c r="CA53" i="281" s="1"/>
  <c r="BZ64" i="265"/>
  <c r="Z52" i="277"/>
  <c r="BZ33" i="265"/>
  <c r="BZ37" i="265" s="1"/>
  <c r="BZ42" i="265" s="1"/>
  <c r="BZ47" i="265" s="1"/>
  <c r="BZ50" i="265" s="1"/>
  <c r="BZ30" i="280" s="1"/>
  <c r="BY83" i="265"/>
  <c r="BY82" i="265"/>
  <c r="BZ53" i="265" l="1"/>
  <c r="BZ25" i="280"/>
  <c r="BZ27" i="280" s="1"/>
  <c r="CA62" i="281"/>
  <c r="CA63" i="281" s="1"/>
  <c r="CA30" i="265"/>
  <c r="CA33" i="265" l="1"/>
  <c r="CA37" i="265" s="1"/>
  <c r="CA42" i="265" s="1"/>
  <c r="CA47" i="265" s="1"/>
  <c r="CA50" i="265" s="1"/>
  <c r="CA30" i="280" s="1"/>
  <c r="CA24" i="280"/>
  <c r="BZ63" i="265"/>
  <c r="BZ65" i="265" s="1"/>
  <c r="BZ67" i="265" s="1"/>
  <c r="BZ80" i="265" s="1"/>
  <c r="CB60" i="281"/>
  <c r="CB52" i="281" s="1"/>
  <c r="CB53" i="281" s="1"/>
  <c r="CA64" i="265"/>
  <c r="CB62" i="281" l="1"/>
  <c r="CB63" i="281" s="1"/>
  <c r="CB30" i="265"/>
  <c r="CA53" i="265"/>
  <c r="CA25" i="280"/>
  <c r="CA27" i="280" s="1"/>
  <c r="BZ83" i="265"/>
  <c r="BZ82" i="265"/>
  <c r="CB24" i="280" l="1"/>
  <c r="CA63" i="265"/>
  <c r="CA65" i="265" s="1"/>
  <c r="CA67" i="265" s="1"/>
  <c r="CA80" i="265" s="1"/>
  <c r="CB33" i="265"/>
  <c r="CB37" i="265" s="1"/>
  <c r="CB42" i="265" s="1"/>
  <c r="CB47" i="265" s="1"/>
  <c r="CB50" i="265" s="1"/>
  <c r="CB30" i="280" s="1"/>
  <c r="AA30" i="277"/>
  <c r="CC60" i="281"/>
  <c r="CC52" i="281" s="1"/>
  <c r="CC53" i="281" s="1"/>
  <c r="CB64" i="265"/>
  <c r="AB64" i="277" s="1"/>
  <c r="CC62" i="281" l="1"/>
  <c r="CC63" i="281" s="1"/>
  <c r="CC30" i="265"/>
  <c r="CB53" i="265"/>
  <c r="CB25" i="280"/>
  <c r="CB27" i="280" s="1"/>
  <c r="AA33" i="277"/>
  <c r="CA82" i="265"/>
  <c r="CA83" i="265"/>
  <c r="AA37" i="277" l="1"/>
  <c r="CC33" i="265"/>
  <c r="CC37" i="265" s="1"/>
  <c r="CC42" i="265" s="1"/>
  <c r="CC47" i="265" s="1"/>
  <c r="CC50" i="265" s="1"/>
  <c r="CC30" i="280" s="1"/>
  <c r="CC24" i="280"/>
  <c r="CB63" i="265"/>
  <c r="CD60" i="281"/>
  <c r="CC64" i="265"/>
  <c r="CB65" i="265" l="1"/>
  <c r="CB67" i="265" s="1"/>
  <c r="CB80" i="265" s="1"/>
  <c r="AB63" i="277"/>
  <c r="AB65" i="277" s="1"/>
  <c r="AB67" i="277" s="1"/>
  <c r="AB80" i="277" s="1"/>
  <c r="CD52" i="281"/>
  <c r="CD53" i="281" s="1"/>
  <c r="CC53" i="265"/>
  <c r="CC25" i="280"/>
  <c r="CC27" i="280" s="1"/>
  <c r="AA41" i="277"/>
  <c r="CC63" i="265" l="1"/>
  <c r="CC65" i="265" s="1"/>
  <c r="CC67" i="265" s="1"/>
  <c r="CC80" i="265" s="1"/>
  <c r="CD24" i="280"/>
  <c r="AB83" i="277"/>
  <c r="AB82" i="277"/>
  <c r="AA46" i="277"/>
  <c r="CD62" i="281"/>
  <c r="CD63" i="281" s="1"/>
  <c r="CD30" i="265"/>
  <c r="CB83" i="265"/>
  <c r="CB82" i="265"/>
  <c r="CD33" i="265" l="1"/>
  <c r="CD37" i="265" s="1"/>
  <c r="CD42" i="265" s="1"/>
  <c r="CD47" i="265" s="1"/>
  <c r="CD50" i="265" s="1"/>
  <c r="CD30" i="280" s="1"/>
  <c r="CE60" i="281"/>
  <c r="CD64" i="265"/>
  <c r="AA49" i="277"/>
  <c r="CC82" i="265"/>
  <c r="CC83" i="265"/>
  <c r="AA52" i="277" l="1"/>
  <c r="CE52" i="281"/>
  <c r="CE53" i="281" s="1"/>
  <c r="CD53" i="265"/>
  <c r="CD25" i="280"/>
  <c r="CD27" i="280" s="1"/>
  <c r="CE62" i="281" l="1"/>
  <c r="CE63" i="281" s="1"/>
  <c r="CE30" i="265"/>
  <c r="CD63" i="265"/>
  <c r="CD65" i="265" s="1"/>
  <c r="CD67" i="265" s="1"/>
  <c r="CD80" i="265" s="1"/>
  <c r="CE24" i="280"/>
  <c r="CD82" i="265" l="1"/>
  <c r="CD83" i="265"/>
  <c r="CF60" i="281"/>
  <c r="CF52" i="281" s="1"/>
  <c r="CF53" i="281" s="1"/>
  <c r="CE64" i="265"/>
  <c r="CE33" i="265"/>
  <c r="CE37" i="265" s="1"/>
  <c r="CE42" i="265" s="1"/>
  <c r="CE47" i="265" s="1"/>
  <c r="CE50" i="265" s="1"/>
  <c r="CE30" i="280" s="1"/>
  <c r="CE53" i="265" l="1"/>
  <c r="CE25" i="280"/>
  <c r="CE27" i="280" s="1"/>
  <c r="CF62" i="281"/>
  <c r="CF63" i="281" s="1"/>
  <c r="CF30" i="265"/>
  <c r="CG60" i="281" l="1"/>
  <c r="CG52" i="281" s="1"/>
  <c r="CG53" i="281" s="1"/>
  <c r="CF64" i="265"/>
  <c r="AC64" i="277" s="1"/>
  <c r="CF33" i="265"/>
  <c r="CF37" i="265" s="1"/>
  <c r="CF42" i="265" s="1"/>
  <c r="CF47" i="265" s="1"/>
  <c r="CF50" i="265" s="1"/>
  <c r="CF30" i="280" s="1"/>
  <c r="AB30" i="277"/>
  <c r="CE63" i="265"/>
  <c r="CE65" i="265" s="1"/>
  <c r="CE67" i="265" s="1"/>
  <c r="CE80" i="265" s="1"/>
  <c r="CF24" i="280"/>
  <c r="AB33" i="277" l="1"/>
  <c r="CE82" i="265"/>
  <c r="CE83" i="265"/>
  <c r="CF53" i="265"/>
  <c r="CF25" i="280"/>
  <c r="CF27" i="280" s="1"/>
  <c r="CG62" i="281"/>
  <c r="CG63" i="281" s="1"/>
  <c r="CG30" i="265"/>
  <c r="CF63" i="265" l="1"/>
  <c r="CG24" i="280"/>
  <c r="CG33" i="265"/>
  <c r="CG37" i="265" s="1"/>
  <c r="CG42" i="265" s="1"/>
  <c r="CG47" i="265" s="1"/>
  <c r="CG50" i="265" s="1"/>
  <c r="CG30" i="280" s="1"/>
  <c r="CH60" i="281"/>
  <c r="CG64" i="265"/>
  <c r="AB37" i="277"/>
  <c r="AB41" i="277" l="1"/>
  <c r="CH52" i="281"/>
  <c r="CH53" i="281" s="1"/>
  <c r="CG53" i="265"/>
  <c r="CG25" i="280"/>
  <c r="CG27" i="280" s="1"/>
  <c r="CF65" i="265"/>
  <c r="CF67" i="265" s="1"/>
  <c r="CF80" i="265" s="1"/>
  <c r="AC63" i="277"/>
  <c r="AC65" i="277" s="1"/>
  <c r="AC67" i="277" s="1"/>
  <c r="AC80" i="277" s="1"/>
  <c r="CG63" i="265" l="1"/>
  <c r="CG65" i="265" s="1"/>
  <c r="CG67" i="265" s="1"/>
  <c r="CG80" i="265" s="1"/>
  <c r="CH24" i="280"/>
  <c r="AC83" i="277"/>
  <c r="AC82" i="277"/>
  <c r="CH62" i="281"/>
  <c r="CH63" i="281" s="1"/>
  <c r="CH30" i="265"/>
  <c r="CF82" i="265"/>
  <c r="CF83" i="265"/>
  <c r="AB46" i="277"/>
  <c r="AB49" i="277" l="1"/>
  <c r="CI60" i="281"/>
  <c r="CH64" i="265"/>
  <c r="CH33" i="265"/>
  <c r="CH37" i="265" s="1"/>
  <c r="CH42" i="265" s="1"/>
  <c r="CH47" i="265" s="1"/>
  <c r="CH50" i="265" s="1"/>
  <c r="CH30" i="280" s="1"/>
  <c r="CG83" i="265"/>
  <c r="CG82" i="265"/>
  <c r="CH53" i="265" l="1"/>
  <c r="CH25" i="280"/>
  <c r="CH27" i="280" s="1"/>
  <c r="CI52" i="281"/>
  <c r="CI53" i="281" s="1"/>
  <c r="AB52" i="277"/>
  <c r="CH63" i="265" l="1"/>
  <c r="CH65" i="265" s="1"/>
  <c r="CH67" i="265" s="1"/>
  <c r="CH80" i="265" s="1"/>
  <c r="CI24" i="280"/>
  <c r="CI62" i="281"/>
  <c r="CI63" i="281" s="1"/>
  <c r="CI30" i="265"/>
  <c r="CJ60" i="281" l="1"/>
  <c r="CI64" i="265"/>
  <c r="CH83" i="265"/>
  <c r="CH82" i="265"/>
  <c r="CI33" i="265"/>
  <c r="CI37" i="265" s="1"/>
  <c r="CI42" i="265" s="1"/>
  <c r="CI47" i="265" s="1"/>
  <c r="CI50" i="265" s="1"/>
  <c r="CI30" i="280" s="1"/>
  <c r="CI53" i="265" l="1"/>
  <c r="CI25" i="280"/>
  <c r="CI27" i="280" s="1"/>
  <c r="CJ52" i="281"/>
  <c r="CJ53" i="281" s="1"/>
  <c r="CJ62" i="281" l="1"/>
  <c r="CJ63" i="281" s="1"/>
  <c r="CJ30" i="265"/>
  <c r="CJ24" i="280"/>
  <c r="CI63" i="265"/>
  <c r="CI65" i="265" s="1"/>
  <c r="CI67" i="265" s="1"/>
  <c r="CI80" i="265" s="1"/>
  <c r="CI83" i="265" l="1"/>
  <c r="CI82" i="265"/>
  <c r="CJ33" i="265"/>
  <c r="CJ37" i="265" s="1"/>
  <c r="CJ42" i="265" s="1"/>
  <c r="CJ47" i="265" s="1"/>
  <c r="CJ50" i="265" s="1"/>
  <c r="CJ30" i="280" s="1"/>
  <c r="AC30" i="277"/>
  <c r="AC33" i="277" s="1"/>
  <c r="AC37" i="277" s="1"/>
  <c r="AC41" i="277" s="1"/>
  <c r="AC46" i="277" s="1"/>
  <c r="AC49" i="277" s="1"/>
  <c r="AC52" i="277" s="1"/>
  <c r="CK60" i="281"/>
  <c r="CK52" i="281" s="1"/>
  <c r="CK53" i="281" s="1"/>
  <c r="CJ64" i="265"/>
  <c r="AD64" i="277" s="1"/>
  <c r="CK62" i="281" l="1"/>
  <c r="CK63" i="281" s="1"/>
  <c r="CK30" i="265"/>
  <c r="CJ53" i="265"/>
  <c r="CJ25" i="280"/>
  <c r="CJ27" i="280" s="1"/>
  <c r="CL60" i="281" l="1"/>
  <c r="CL52" i="281" s="1"/>
  <c r="CL53" i="281" s="1"/>
  <c r="CK64" i="265"/>
  <c r="CJ63" i="265"/>
  <c r="CK24" i="280"/>
  <c r="CK33" i="265"/>
  <c r="CK37" i="265" s="1"/>
  <c r="CK42" i="265" s="1"/>
  <c r="CK47" i="265" s="1"/>
  <c r="CK50" i="265" s="1"/>
  <c r="CK30" i="280" s="1"/>
  <c r="CK53" i="265" l="1"/>
  <c r="CK25" i="280"/>
  <c r="CK27" i="280" s="1"/>
  <c r="CJ65" i="265"/>
  <c r="CJ67" i="265" s="1"/>
  <c r="CJ80" i="265" s="1"/>
  <c r="AD63" i="277"/>
  <c r="AD65" i="277" s="1"/>
  <c r="AD67" i="277" s="1"/>
  <c r="AD80" i="277" s="1"/>
  <c r="CL62" i="281"/>
  <c r="CL63" i="281" s="1"/>
  <c r="CL30" i="265"/>
  <c r="AD82" i="277" l="1"/>
  <c r="AD83" i="277"/>
  <c r="CL33" i="265"/>
  <c r="CL37" i="265" s="1"/>
  <c r="CL42" i="265" s="1"/>
  <c r="CL47" i="265" s="1"/>
  <c r="CL50" i="265" s="1"/>
  <c r="CL30" i="280" s="1"/>
  <c r="CL24" i="280"/>
  <c r="CK63" i="265"/>
  <c r="CK65" i="265" s="1"/>
  <c r="CK67" i="265" s="1"/>
  <c r="CK80" i="265" s="1"/>
  <c r="CM60" i="281"/>
  <c r="CM52" i="281" s="1"/>
  <c r="CM53" i="281" s="1"/>
  <c r="CL64" i="265"/>
  <c r="CJ83" i="265"/>
  <c r="CJ82" i="265"/>
  <c r="CM62" i="281" l="1"/>
  <c r="CM63" i="281" s="1"/>
  <c r="CM30" i="265"/>
  <c r="CL53" i="265"/>
  <c r="CL25" i="280"/>
  <c r="CL27" i="280" s="1"/>
  <c r="CK82" i="265"/>
  <c r="CK83" i="265"/>
  <c r="CM24" i="280" l="1"/>
  <c r="CL63" i="265"/>
  <c r="CL65" i="265" s="1"/>
  <c r="CL67" i="265" s="1"/>
  <c r="CL80" i="265" s="1"/>
  <c r="CN60" i="281"/>
  <c r="CM64" i="265"/>
  <c r="CM33" i="265"/>
  <c r="CM37" i="265" s="1"/>
  <c r="CM42" i="265" s="1"/>
  <c r="CM47" i="265" s="1"/>
  <c r="CM50" i="265" s="1"/>
  <c r="CM30" i="280" s="1"/>
  <c r="CM53" i="265" l="1"/>
  <c r="CM25" i="280"/>
  <c r="CN52" i="281"/>
  <c r="CN53" i="281" s="1"/>
  <c r="CL83" i="265"/>
  <c r="CL82" i="265"/>
  <c r="CM27" i="280"/>
  <c r="CN62" i="281" l="1"/>
  <c r="CN63" i="281" s="1"/>
  <c r="CN30" i="265"/>
  <c r="CM63" i="265"/>
  <c r="CM65" i="265" s="1"/>
  <c r="CM67" i="265" s="1"/>
  <c r="CM80" i="265" s="1"/>
  <c r="CN24" i="280"/>
  <c r="CN33" i="265" l="1"/>
  <c r="CN37" i="265" s="1"/>
  <c r="CN42" i="265" s="1"/>
  <c r="CN47" i="265" s="1"/>
  <c r="CN50" i="265" s="1"/>
  <c r="CN30" i="280" s="1"/>
  <c r="AD30" i="277"/>
  <c r="AD33" i="277" s="1"/>
  <c r="AD37" i="277" s="1"/>
  <c r="AD41" i="277" s="1"/>
  <c r="AD46" i="277" s="1"/>
  <c r="AD49" i="277" s="1"/>
  <c r="AD52" i="277" s="1"/>
  <c r="CM83" i="265"/>
  <c r="CM82" i="265"/>
  <c r="CO60" i="281"/>
  <c r="CO52" i="281" s="1"/>
  <c r="CO53" i="281" s="1"/>
  <c r="CN64" i="265"/>
  <c r="AE64" i="277" s="1"/>
  <c r="CO62" i="281" l="1"/>
  <c r="CO63" i="281" s="1"/>
  <c r="CO30" i="265"/>
  <c r="CN53" i="265"/>
  <c r="CN25" i="280"/>
  <c r="CN27" i="280" s="1"/>
  <c r="CP60" i="281" l="1"/>
  <c r="CO64" i="265"/>
  <c r="CO24" i="280"/>
  <c r="CN63" i="265"/>
  <c r="CO33" i="265"/>
  <c r="CO37" i="265" s="1"/>
  <c r="CO42" i="265" s="1"/>
  <c r="CO47" i="265" s="1"/>
  <c r="CO50" i="265" s="1"/>
  <c r="CO30" i="280" s="1"/>
  <c r="CO53" i="265" l="1"/>
  <c r="CO25" i="280"/>
  <c r="CO27" i="280" s="1"/>
  <c r="CP52" i="281"/>
  <c r="CP53" i="281" s="1"/>
  <c r="CN65" i="265"/>
  <c r="CN67" i="265" s="1"/>
  <c r="CN80" i="265" s="1"/>
  <c r="AE63" i="277"/>
  <c r="AE65" i="277" s="1"/>
  <c r="AE67" i="277" s="1"/>
  <c r="AE80" i="277" s="1"/>
  <c r="AE83" i="277" l="1"/>
  <c r="AE82" i="277"/>
  <c r="CP62" i="281"/>
  <c r="CP63" i="281" s="1"/>
  <c r="CP30" i="265"/>
  <c r="CP24" i="280"/>
  <c r="CO63" i="265"/>
  <c r="CO65" i="265" s="1"/>
  <c r="CO67" i="265" s="1"/>
  <c r="CO80" i="265" s="1"/>
  <c r="CN82" i="265"/>
  <c r="CN83" i="265"/>
  <c r="CQ60" i="281" l="1"/>
  <c r="CQ52" i="281" s="1"/>
  <c r="CQ53" i="281" s="1"/>
  <c r="CP64" i="265"/>
  <c r="CO82" i="265"/>
  <c r="CO83" i="265"/>
  <c r="CP33" i="265"/>
  <c r="CP37" i="265" s="1"/>
  <c r="CP42" i="265" s="1"/>
  <c r="CP47" i="265" s="1"/>
  <c r="CP50" i="265" s="1"/>
  <c r="CP30" i="280" s="1"/>
  <c r="CP53" i="265" l="1"/>
  <c r="CP25" i="280"/>
  <c r="CP27" i="280" s="1"/>
  <c r="CQ62" i="281"/>
  <c r="CQ63" i="281" s="1"/>
  <c r="CQ30" i="265"/>
  <c r="CQ33" i="265" l="1"/>
  <c r="CQ37" i="265" s="1"/>
  <c r="CQ42" i="265" s="1"/>
  <c r="CQ47" i="265" s="1"/>
  <c r="CQ50" i="265" s="1"/>
  <c r="CQ30" i="280" s="1"/>
  <c r="CP63" i="265"/>
  <c r="CP65" i="265" s="1"/>
  <c r="CP67" i="265" s="1"/>
  <c r="CP80" i="265" s="1"/>
  <c r="CQ24" i="280"/>
  <c r="CR60" i="281"/>
  <c r="CQ64" i="265"/>
  <c r="CR52" i="281" l="1"/>
  <c r="CR53" i="281" s="1"/>
  <c r="CP83" i="265"/>
  <c r="CP82" i="265"/>
  <c r="CQ53" i="265"/>
  <c r="CQ25" i="280"/>
  <c r="CQ27" i="280" s="1"/>
  <c r="CQ63" i="265" l="1"/>
  <c r="CQ65" i="265" s="1"/>
  <c r="CQ67" i="265" s="1"/>
  <c r="CQ80" i="265" s="1"/>
  <c r="CR24" i="280"/>
  <c r="CR62" i="281"/>
  <c r="CR63" i="281" s="1"/>
  <c r="CR30" i="265"/>
  <c r="CS60" i="281" l="1"/>
  <c r="CR64" i="265"/>
  <c r="AF64" i="277" s="1"/>
  <c r="CQ82" i="265"/>
  <c r="CQ83" i="265"/>
  <c r="CR33" i="265"/>
  <c r="CR37" i="265" s="1"/>
  <c r="CR42" i="265" s="1"/>
  <c r="CR47" i="265" s="1"/>
  <c r="CR50" i="265" s="1"/>
  <c r="CR30" i="280" s="1"/>
  <c r="AE30" i="277"/>
  <c r="AE33" i="277" s="1"/>
  <c r="AE37" i="277" s="1"/>
  <c r="AE41" i="277" s="1"/>
  <c r="AE46" i="277" s="1"/>
  <c r="AE49" i="277" s="1"/>
  <c r="AE52" i="277" s="1"/>
  <c r="CR53" i="265" l="1"/>
  <c r="CR25" i="280"/>
  <c r="CR27" i="280" s="1"/>
  <c r="CS52" i="281"/>
  <c r="CS53" i="281" s="1"/>
  <c r="CR63" i="265" l="1"/>
  <c r="CS24" i="280"/>
  <c r="CS62" i="281"/>
  <c r="CS63" i="281" s="1"/>
  <c r="CS30" i="265"/>
  <c r="CT60" i="281" l="1"/>
  <c r="CT52" i="281" s="1"/>
  <c r="CT53" i="281" s="1"/>
  <c r="CS64" i="265"/>
  <c r="CR65" i="265"/>
  <c r="CR67" i="265" s="1"/>
  <c r="CR80" i="265" s="1"/>
  <c r="AF63" i="277"/>
  <c r="AF65" i="277" s="1"/>
  <c r="AF67" i="277" s="1"/>
  <c r="AF80" i="277" s="1"/>
  <c r="CS33" i="265"/>
  <c r="CS37" i="265" s="1"/>
  <c r="CS42" i="265" s="1"/>
  <c r="CS47" i="265" s="1"/>
  <c r="CS50" i="265" s="1"/>
  <c r="CS30" i="280" s="1"/>
  <c r="AF83" i="277" l="1"/>
  <c r="AF82" i="277"/>
  <c r="CS53" i="265"/>
  <c r="CS25" i="280"/>
  <c r="CS27" i="280" s="1"/>
  <c r="CR82" i="265"/>
  <c r="CR83" i="265"/>
  <c r="CT62" i="281"/>
  <c r="CT63" i="281" s="1"/>
  <c r="CT30" i="265"/>
  <c r="CT33" i="265" l="1"/>
  <c r="CT37" i="265" s="1"/>
  <c r="CT42" i="265" s="1"/>
  <c r="CT47" i="265" s="1"/>
  <c r="CT50" i="265" s="1"/>
  <c r="CT30" i="280" s="1"/>
  <c r="CS63" i="265"/>
  <c r="CS65" i="265" s="1"/>
  <c r="CS67" i="265" s="1"/>
  <c r="CS80" i="265" s="1"/>
  <c r="CT24" i="280"/>
  <c r="CU60" i="281"/>
  <c r="CU52" i="281" s="1"/>
  <c r="CU53" i="281" s="1"/>
  <c r="CT64" i="265"/>
  <c r="CU62" i="281" l="1"/>
  <c r="CU63" i="281" s="1"/>
  <c r="CU30" i="265"/>
  <c r="CS83" i="265"/>
  <c r="CS82" i="265"/>
  <c r="CT53" i="265"/>
  <c r="CT25" i="280"/>
  <c r="CT27" i="280" s="1"/>
  <c r="CU24" i="280" l="1"/>
  <c r="CT63" i="265"/>
  <c r="CT65" i="265" s="1"/>
  <c r="CT67" i="265" s="1"/>
  <c r="CT80" i="265" s="1"/>
  <c r="CU33" i="265"/>
  <c r="CU37" i="265" s="1"/>
  <c r="CU42" i="265" s="1"/>
  <c r="CU47" i="265" s="1"/>
  <c r="CU50" i="265" s="1"/>
  <c r="CU30" i="280" s="1"/>
  <c r="CV60" i="281"/>
  <c r="CV52" i="281" s="1"/>
  <c r="CV53" i="281" s="1"/>
  <c r="CU64" i="265"/>
  <c r="CT82" i="265" l="1"/>
  <c r="CT83" i="265"/>
  <c r="CV62" i="281"/>
  <c r="CV63" i="281" s="1"/>
  <c r="CV30" i="265"/>
  <c r="CU53" i="265"/>
  <c r="CU25" i="280"/>
  <c r="CU27" i="280" s="1"/>
  <c r="CW60" i="281" l="1"/>
  <c r="CW52" i="281" s="1"/>
  <c r="CW53" i="281" s="1"/>
  <c r="CV64" i="265"/>
  <c r="AG64" i="277" s="1"/>
  <c r="CV33" i="265"/>
  <c r="CV37" i="265" s="1"/>
  <c r="CV42" i="265" s="1"/>
  <c r="CV47" i="265" s="1"/>
  <c r="CV50" i="265" s="1"/>
  <c r="CV30" i="280" s="1"/>
  <c r="AF30" i="277"/>
  <c r="AF33" i="277" s="1"/>
  <c r="AF37" i="277" s="1"/>
  <c r="AF41" i="277" s="1"/>
  <c r="AF46" i="277" s="1"/>
  <c r="AF49" i="277" s="1"/>
  <c r="AF52" i="277" s="1"/>
  <c r="CV24" i="280"/>
  <c r="CU63" i="265"/>
  <c r="CU65" i="265" s="1"/>
  <c r="CU67" i="265" s="1"/>
  <c r="CU80" i="265" s="1"/>
  <c r="CU82" i="265" l="1"/>
  <c r="CU83" i="265"/>
  <c r="CV53" i="265"/>
  <c r="CV25" i="280"/>
  <c r="CV27" i="280" s="1"/>
  <c r="CW62" i="281"/>
  <c r="CW63" i="281" s="1"/>
  <c r="CW30" i="265"/>
  <c r="CW24" i="280" l="1"/>
  <c r="CV63" i="265"/>
  <c r="CW33" i="265"/>
  <c r="CW37" i="265" s="1"/>
  <c r="CW42" i="265" s="1"/>
  <c r="CW47" i="265" s="1"/>
  <c r="CW50" i="265" s="1"/>
  <c r="CW30" i="280" s="1"/>
  <c r="CX60" i="281"/>
  <c r="CX52" i="281" s="1"/>
  <c r="CX53" i="281" s="1"/>
  <c r="CW64" i="265"/>
  <c r="CV65" i="265" l="1"/>
  <c r="CV67" i="265" s="1"/>
  <c r="CV80" i="265" s="1"/>
  <c r="AG63" i="277"/>
  <c r="AG65" i="277" s="1"/>
  <c r="AG67" i="277" s="1"/>
  <c r="AG80" i="277" s="1"/>
  <c r="CX62" i="281"/>
  <c r="CX63" i="281" s="1"/>
  <c r="CX30" i="265"/>
  <c r="CW53" i="265"/>
  <c r="CW25" i="280"/>
  <c r="CW27" i="280" s="1"/>
  <c r="CX24" i="280" l="1"/>
  <c r="CW63" i="265"/>
  <c r="CW65" i="265" s="1"/>
  <c r="CW67" i="265" s="1"/>
  <c r="CW80" i="265" s="1"/>
  <c r="AG82" i="277"/>
  <c r="AG83" i="277"/>
  <c r="CX33" i="265"/>
  <c r="CX37" i="265" s="1"/>
  <c r="CX42" i="265" s="1"/>
  <c r="CX47" i="265" s="1"/>
  <c r="CX50" i="265" s="1"/>
  <c r="CX30" i="280" s="1"/>
  <c r="CY60" i="281"/>
  <c r="CY52" i="281" s="1"/>
  <c r="CY53" i="281" s="1"/>
  <c r="CX64" i="265"/>
  <c r="CV83" i="265"/>
  <c r="CV82" i="265"/>
  <c r="CW82" i="265" l="1"/>
  <c r="CW83" i="265"/>
  <c r="CY62" i="281"/>
  <c r="CY63" i="281" s="1"/>
  <c r="CY30" i="265"/>
  <c r="CX53" i="265"/>
  <c r="CX25" i="280"/>
  <c r="CX27" i="280" s="1"/>
  <c r="CZ60" i="281" l="1"/>
  <c r="CZ52" i="281" s="1"/>
  <c r="CZ53" i="281" s="1"/>
  <c r="CY64" i="265"/>
  <c r="CY33" i="265"/>
  <c r="CY37" i="265" s="1"/>
  <c r="CY42" i="265" s="1"/>
  <c r="CY47" i="265" s="1"/>
  <c r="CY50" i="265" s="1"/>
  <c r="CY30" i="280" s="1"/>
  <c r="CY24" i="280"/>
  <c r="CX63" i="265"/>
  <c r="CX65" i="265" s="1"/>
  <c r="CX67" i="265" s="1"/>
  <c r="CX80" i="265" s="1"/>
  <c r="CX82" i="265" l="1"/>
  <c r="CX83" i="265"/>
  <c r="CY53" i="265"/>
  <c r="CY25" i="280"/>
  <c r="CY27" i="280" s="1"/>
  <c r="CZ62" i="281"/>
  <c r="CZ63" i="281" s="1"/>
  <c r="CZ30" i="265"/>
  <c r="CZ24" i="280" l="1"/>
  <c r="CY63" i="265"/>
  <c r="CY65" i="265" s="1"/>
  <c r="CY67" i="265" s="1"/>
  <c r="CY80" i="265" s="1"/>
  <c r="CZ33" i="265"/>
  <c r="CZ37" i="265" s="1"/>
  <c r="CZ42" i="265" s="1"/>
  <c r="CZ47" i="265" s="1"/>
  <c r="CZ50" i="265" s="1"/>
  <c r="CZ30" i="280" s="1"/>
  <c r="AG30" i="277"/>
  <c r="AG33" i="277" s="1"/>
  <c r="AG37" i="277" s="1"/>
  <c r="AG41" i="277" s="1"/>
  <c r="AG46" i="277" s="1"/>
  <c r="AG49" i="277" s="1"/>
  <c r="AG52" i="277" s="1"/>
  <c r="DA60" i="281"/>
  <c r="DA52" i="281" s="1"/>
  <c r="DA53" i="281" s="1"/>
  <c r="CZ64" i="265"/>
  <c r="AH64" i="277" s="1"/>
  <c r="CY83" i="265" l="1"/>
  <c r="CY82" i="265"/>
  <c r="DA62" i="281"/>
  <c r="DA63" i="281" s="1"/>
  <c r="DA30" i="265"/>
  <c r="CZ53" i="265"/>
  <c r="CZ25" i="280"/>
  <c r="CZ27" i="280" s="1"/>
  <c r="CZ63" i="265" l="1"/>
  <c r="DA24" i="280"/>
  <c r="DA33" i="265"/>
  <c r="DA37" i="265" s="1"/>
  <c r="DA42" i="265" s="1"/>
  <c r="DA47" i="265" s="1"/>
  <c r="DA50" i="265" s="1"/>
  <c r="DA30" i="280" s="1"/>
  <c r="DB60" i="281"/>
  <c r="DA64" i="265"/>
  <c r="DB52" i="281" l="1"/>
  <c r="DB53" i="281" s="1"/>
  <c r="DA53" i="265"/>
  <c r="DA25" i="280"/>
  <c r="DA27" i="280" s="1"/>
  <c r="CZ65" i="265"/>
  <c r="CZ67" i="265" s="1"/>
  <c r="CZ80" i="265" s="1"/>
  <c r="AH63" i="277"/>
  <c r="AH65" i="277" s="1"/>
  <c r="AH67" i="277" s="1"/>
  <c r="AH80" i="277" s="1"/>
  <c r="DB24" i="280" l="1"/>
  <c r="DA63" i="265"/>
  <c r="DA65" i="265" s="1"/>
  <c r="DA67" i="265" s="1"/>
  <c r="DA80" i="265" s="1"/>
  <c r="AH83" i="277"/>
  <c r="AH82" i="277"/>
  <c r="CZ82" i="265"/>
  <c r="CZ83" i="265"/>
  <c r="DB62" i="281"/>
  <c r="DB63" i="281" s="1"/>
  <c r="DB30" i="265"/>
  <c r="DB33" i="265" l="1"/>
  <c r="DB37" i="265" s="1"/>
  <c r="DB42" i="265" s="1"/>
  <c r="DB47" i="265" s="1"/>
  <c r="DB50" i="265" s="1"/>
  <c r="DB30" i="280" s="1"/>
  <c r="DA82" i="265"/>
  <c r="DA83" i="265"/>
  <c r="DC60" i="281"/>
  <c r="DC52" i="281" s="1"/>
  <c r="DC53" i="281" s="1"/>
  <c r="DB64" i="265"/>
  <c r="DC62" i="281" l="1"/>
  <c r="DC63" i="281" s="1"/>
  <c r="DC30" i="265"/>
  <c r="DB53" i="265"/>
  <c r="DB25" i="280"/>
  <c r="DB27" i="280" s="1"/>
  <c r="DC24" i="280" l="1"/>
  <c r="DB63" i="265"/>
  <c r="DB65" i="265" s="1"/>
  <c r="DB67" i="265" s="1"/>
  <c r="DB80" i="265" s="1"/>
  <c r="DC33" i="265"/>
  <c r="DC37" i="265" s="1"/>
  <c r="DC42" i="265" s="1"/>
  <c r="DC47" i="265" s="1"/>
  <c r="DC50" i="265" s="1"/>
  <c r="DC30" i="280" s="1"/>
  <c r="DD60" i="281"/>
  <c r="DD52" i="281" s="1"/>
  <c r="DD53" i="281" s="1"/>
  <c r="DC64" i="265"/>
  <c r="DB83" i="265" l="1"/>
  <c r="DB82" i="265"/>
  <c r="DD62" i="281"/>
  <c r="DD63" i="281" s="1"/>
  <c r="DD30" i="265"/>
  <c r="DC53" i="265"/>
  <c r="DC25" i="280"/>
  <c r="DC27" i="280" s="1"/>
  <c r="DD24" i="280" l="1"/>
  <c r="DC63" i="265"/>
  <c r="DC65" i="265" s="1"/>
  <c r="DC67" i="265" s="1"/>
  <c r="DC80" i="265" s="1"/>
  <c r="DD33" i="265"/>
  <c r="DD37" i="265" s="1"/>
  <c r="DD42" i="265" s="1"/>
  <c r="DD47" i="265" s="1"/>
  <c r="DD50" i="265" s="1"/>
  <c r="DD30" i="280" s="1"/>
  <c r="AH30" i="277"/>
  <c r="AH33" i="277" s="1"/>
  <c r="AH37" i="277" s="1"/>
  <c r="AH41" i="277" s="1"/>
  <c r="AH46" i="277" s="1"/>
  <c r="AH49" i="277" s="1"/>
  <c r="AH52" i="277" s="1"/>
  <c r="DE60" i="281"/>
  <c r="DD64" i="265"/>
  <c r="AI64" i="277" s="1"/>
  <c r="DC82" i="265" l="1"/>
  <c r="DC83" i="265"/>
  <c r="DE52" i="281"/>
  <c r="DE53" i="281" s="1"/>
  <c r="DD53" i="265"/>
  <c r="DD25" i="280"/>
  <c r="DD27" i="280" s="1"/>
  <c r="DE24" i="280" l="1"/>
  <c r="DD63" i="265"/>
  <c r="DE62" i="281"/>
  <c r="DE63" i="281" s="1"/>
  <c r="DE30" i="265"/>
  <c r="DF60" i="281" l="1"/>
  <c r="DF52" i="281" s="1"/>
  <c r="DF53" i="281" s="1"/>
  <c r="DE64" i="265"/>
  <c r="DE33" i="265"/>
  <c r="DE37" i="265" s="1"/>
  <c r="DE42" i="265" s="1"/>
  <c r="DE47" i="265" s="1"/>
  <c r="DE50" i="265" s="1"/>
  <c r="DE30" i="280" s="1"/>
  <c r="DD65" i="265"/>
  <c r="DD67" i="265" s="1"/>
  <c r="DD80" i="265" s="1"/>
  <c r="AI63" i="277"/>
  <c r="AI65" i="277" s="1"/>
  <c r="AI67" i="277" s="1"/>
  <c r="AI80" i="277" s="1"/>
  <c r="AI82" i="277" l="1"/>
  <c r="AI83" i="277"/>
  <c r="DD82" i="265"/>
  <c r="DD83" i="265"/>
  <c r="DE53" i="265"/>
  <c r="DE25" i="280"/>
  <c r="DE27" i="280" s="1"/>
  <c r="DF62" i="281"/>
  <c r="DF63" i="281" s="1"/>
  <c r="DF30" i="265"/>
  <c r="DF33" i="265" l="1"/>
  <c r="DF37" i="265" s="1"/>
  <c r="DF42" i="265" s="1"/>
  <c r="DF47" i="265" s="1"/>
  <c r="DF50" i="265" s="1"/>
  <c r="DF30" i="280" s="1"/>
  <c r="DF24" i="280"/>
  <c r="DE63" i="265"/>
  <c r="DE65" i="265" s="1"/>
  <c r="DE67" i="265" s="1"/>
  <c r="DE80" i="265" s="1"/>
  <c r="DG60" i="281"/>
  <c r="DG52" i="281" s="1"/>
  <c r="DG53" i="281" s="1"/>
  <c r="DF64" i="265"/>
  <c r="DE82" i="265" l="1"/>
  <c r="DE83" i="265"/>
  <c r="DG62" i="281"/>
  <c r="DG63" i="281" s="1"/>
  <c r="DG30" i="265"/>
  <c r="DF53" i="265"/>
  <c r="DF25" i="280"/>
  <c r="DF27" i="280" s="1"/>
  <c r="DG24" i="280" l="1"/>
  <c r="DF63" i="265"/>
  <c r="DF65" i="265" s="1"/>
  <c r="DF67" i="265" s="1"/>
  <c r="DF80" i="265" s="1"/>
  <c r="DH60" i="281"/>
  <c r="DH52" i="281" s="1"/>
  <c r="DH53" i="281" s="1"/>
  <c r="DG64" i="265"/>
  <c r="DG33" i="265"/>
  <c r="DG37" i="265" s="1"/>
  <c r="DG42" i="265" s="1"/>
  <c r="DG47" i="265" s="1"/>
  <c r="DG50" i="265" s="1"/>
  <c r="DG30" i="280" s="1"/>
  <c r="DF83" i="265" l="1"/>
  <c r="DF82" i="265"/>
  <c r="DG53" i="265"/>
  <c r="DG25" i="280"/>
  <c r="DG27" i="280" s="1"/>
  <c r="DH62" i="281"/>
  <c r="DH63" i="281" s="1"/>
  <c r="DH30" i="265"/>
  <c r="DH33" i="265" l="1"/>
  <c r="DH37" i="265" s="1"/>
  <c r="DH42" i="265" s="1"/>
  <c r="DH47" i="265" s="1"/>
  <c r="DH50" i="265" s="1"/>
  <c r="DH30" i="280" s="1"/>
  <c r="AI30" i="277"/>
  <c r="AI33" i="277" s="1"/>
  <c r="AI37" i="277" s="1"/>
  <c r="AI41" i="277" s="1"/>
  <c r="AI46" i="277" s="1"/>
  <c r="AI49" i="277" s="1"/>
  <c r="AI52" i="277" s="1"/>
  <c r="DH24" i="280"/>
  <c r="DG63" i="265"/>
  <c r="DG65" i="265" s="1"/>
  <c r="DG67" i="265" s="1"/>
  <c r="DG80" i="265" s="1"/>
  <c r="DI60" i="281"/>
  <c r="DI52" i="281" s="1"/>
  <c r="DI53" i="281" s="1"/>
  <c r="DH64" i="265"/>
  <c r="AJ64" i="277" s="1"/>
  <c r="DG83" i="265" l="1"/>
  <c r="DG82" i="265"/>
  <c r="DI62" i="281"/>
  <c r="DI63" i="281" s="1"/>
  <c r="DI30" i="265"/>
  <c r="DH53" i="265"/>
  <c r="DH25" i="280"/>
  <c r="DH27" i="280" s="1"/>
  <c r="DI33" i="265" l="1"/>
  <c r="DI37" i="265" s="1"/>
  <c r="DI42" i="265" s="1"/>
  <c r="DI47" i="265" s="1"/>
  <c r="DI50" i="265" s="1"/>
  <c r="DI30" i="280" s="1"/>
  <c r="DH63" i="265"/>
  <c r="DI24" i="280"/>
  <c r="DJ60" i="281"/>
  <c r="DJ52" i="281" s="1"/>
  <c r="DJ53" i="281" s="1"/>
  <c r="DI64" i="265"/>
  <c r="DJ62" i="281" l="1"/>
  <c r="DJ63" i="281" s="1"/>
  <c r="DJ30" i="265"/>
  <c r="DH65" i="265"/>
  <c r="DH67" i="265" s="1"/>
  <c r="DH80" i="265" s="1"/>
  <c r="AJ63" i="277"/>
  <c r="AJ65" i="277" s="1"/>
  <c r="AJ67" i="277" s="1"/>
  <c r="AJ80" i="277" s="1"/>
  <c r="DI53" i="265"/>
  <c r="DI25" i="280"/>
  <c r="DI27" i="280" s="1"/>
  <c r="DI63" i="265" l="1"/>
  <c r="DI65" i="265" s="1"/>
  <c r="DI67" i="265" s="1"/>
  <c r="DI80" i="265" s="1"/>
  <c r="DJ24" i="280"/>
  <c r="DH83" i="265"/>
  <c r="DH82" i="265"/>
  <c r="DK60" i="281"/>
  <c r="DK52" i="281" s="1"/>
  <c r="DK53" i="281" s="1"/>
  <c r="DJ64" i="265"/>
  <c r="AJ83" i="277"/>
  <c r="AJ82" i="277"/>
  <c r="DJ33" i="265"/>
  <c r="DJ37" i="265" s="1"/>
  <c r="DJ42" i="265" s="1"/>
  <c r="DJ47" i="265" s="1"/>
  <c r="DJ50" i="265" s="1"/>
  <c r="DJ30" i="280" s="1"/>
  <c r="DJ53" i="265" l="1"/>
  <c r="DJ25" i="280"/>
  <c r="DJ27" i="280" s="1"/>
  <c r="DK62" i="281"/>
  <c r="DK63" i="281" s="1"/>
  <c r="DK30" i="265"/>
  <c r="DI83" i="265"/>
  <c r="DI82" i="265"/>
  <c r="DK24" i="280" l="1"/>
  <c r="DJ63" i="265"/>
  <c r="DJ65" i="265" s="1"/>
  <c r="DJ67" i="265" s="1"/>
  <c r="DJ80" i="265" s="1"/>
  <c r="DL60" i="281"/>
  <c r="DL52" i="281" s="1"/>
  <c r="DL53" i="281" s="1"/>
  <c r="DK64" i="265"/>
  <c r="DK33" i="265"/>
  <c r="DK37" i="265" s="1"/>
  <c r="DK42" i="265" s="1"/>
  <c r="DK47" i="265" s="1"/>
  <c r="DK50" i="265" s="1"/>
  <c r="DK30" i="280" s="1"/>
  <c r="DJ82" i="265" l="1"/>
  <c r="DJ83" i="265"/>
  <c r="DK53" i="265"/>
  <c r="DK25" i="280"/>
  <c r="DK27" i="280" s="1"/>
  <c r="DL62" i="281"/>
  <c r="DL63" i="281" s="1"/>
  <c r="DL30" i="265"/>
  <c r="DM60" i="281" l="1"/>
  <c r="DM52" i="281" s="1"/>
  <c r="DM53" i="281" s="1"/>
  <c r="DL64" i="265"/>
  <c r="AK64" i="277" s="1"/>
  <c r="DL33" i="265"/>
  <c r="DL37" i="265" s="1"/>
  <c r="DL42" i="265" s="1"/>
  <c r="DL47" i="265" s="1"/>
  <c r="DL50" i="265" s="1"/>
  <c r="DL30" i="280" s="1"/>
  <c r="AJ30" i="277"/>
  <c r="AJ33" i="277" s="1"/>
  <c r="AJ37" i="277" s="1"/>
  <c r="AJ41" i="277" s="1"/>
  <c r="AJ46" i="277" s="1"/>
  <c r="AJ49" i="277" s="1"/>
  <c r="AJ52" i="277" s="1"/>
  <c r="DL24" i="280"/>
  <c r="DK63" i="265"/>
  <c r="DK65" i="265" s="1"/>
  <c r="DK67" i="265" s="1"/>
  <c r="DK80" i="265" s="1"/>
  <c r="DK83" i="265" l="1"/>
  <c r="DK82" i="265"/>
  <c r="DL53" i="265"/>
  <c r="DL25" i="280"/>
  <c r="DL27" i="280" s="1"/>
  <c r="DM62" i="281"/>
  <c r="DM63" i="281" s="1"/>
  <c r="DM30" i="265"/>
  <c r="DM24" i="280" l="1"/>
  <c r="DL63" i="265"/>
  <c r="DN60" i="281"/>
  <c r="DN52" i="281" s="1"/>
  <c r="DN53" i="281" s="1"/>
  <c r="DM64" i="265"/>
  <c r="DM33" i="265"/>
  <c r="DM37" i="265" s="1"/>
  <c r="DM42" i="265" s="1"/>
  <c r="DM47" i="265" s="1"/>
  <c r="DM50" i="265" s="1"/>
  <c r="DM30" i="280" s="1"/>
  <c r="DL65" i="265" l="1"/>
  <c r="DL67" i="265" s="1"/>
  <c r="DL80" i="265" s="1"/>
  <c r="AK63" i="277"/>
  <c r="AK65" i="277" s="1"/>
  <c r="AK67" i="277" s="1"/>
  <c r="AK80" i="277" s="1"/>
  <c r="DM53" i="265"/>
  <c r="DM25" i="280"/>
  <c r="DM27" i="280" s="1"/>
  <c r="DN62" i="281"/>
  <c r="DN63" i="281" s="1"/>
  <c r="DN30" i="265"/>
  <c r="DM63" i="265" l="1"/>
  <c r="DM65" i="265" s="1"/>
  <c r="DM67" i="265" s="1"/>
  <c r="DM80" i="265" s="1"/>
  <c r="DN24" i="280"/>
  <c r="AK82" i="277"/>
  <c r="AK83" i="277"/>
  <c r="DN33" i="265"/>
  <c r="DN37" i="265" s="1"/>
  <c r="DN42" i="265" s="1"/>
  <c r="DN47" i="265" s="1"/>
  <c r="DN50" i="265" s="1"/>
  <c r="DN30" i="280" s="1"/>
  <c r="DO60" i="281"/>
  <c r="DN64" i="265"/>
  <c r="DL83" i="265"/>
  <c r="DL82" i="265"/>
  <c r="DO52" i="281" l="1"/>
  <c r="DO53" i="281" s="1"/>
  <c r="DN53" i="265"/>
  <c r="DN25" i="280"/>
  <c r="DN27" i="280" s="1"/>
  <c r="DM82" i="265"/>
  <c r="DM83" i="265"/>
  <c r="DN63" i="265" l="1"/>
  <c r="DN65" i="265" s="1"/>
  <c r="DN67" i="265" s="1"/>
  <c r="DN80" i="265" s="1"/>
  <c r="DO24" i="280"/>
  <c r="DO62" i="281"/>
  <c r="DO63" i="281" s="1"/>
  <c r="DO30" i="265"/>
  <c r="DP60" i="281" l="1"/>
  <c r="DP52" i="281" s="1"/>
  <c r="DP53" i="281" s="1"/>
  <c r="DO64" i="265"/>
  <c r="DO33" i="265"/>
  <c r="DO37" i="265" s="1"/>
  <c r="DO42" i="265" s="1"/>
  <c r="DO47" i="265" s="1"/>
  <c r="DO50" i="265" s="1"/>
  <c r="DO30" i="280" s="1"/>
  <c r="DN83" i="265"/>
  <c r="DN82" i="265"/>
  <c r="DO53" i="265" l="1"/>
  <c r="DO25" i="280"/>
  <c r="DO27" i="280" s="1"/>
  <c r="DP62" i="281"/>
  <c r="DP63" i="281" s="1"/>
  <c r="DP30" i="265"/>
  <c r="DP33" i="265" l="1"/>
  <c r="DP37" i="265" s="1"/>
  <c r="DP42" i="265" s="1"/>
  <c r="DP47" i="265" s="1"/>
  <c r="DP50" i="265" s="1"/>
  <c r="DP30" i="280" s="1"/>
  <c r="AK30" i="277"/>
  <c r="AK33" i="277" s="1"/>
  <c r="AK37" i="277" s="1"/>
  <c r="AK41" i="277" s="1"/>
  <c r="AK46" i="277" s="1"/>
  <c r="AK49" i="277" s="1"/>
  <c r="AK52" i="277" s="1"/>
  <c r="DO63" i="265"/>
  <c r="DO65" i="265" s="1"/>
  <c r="DO67" i="265" s="1"/>
  <c r="DO80" i="265" s="1"/>
  <c r="DP24" i="280"/>
  <c r="DQ60" i="281"/>
  <c r="DP64" i="265"/>
  <c r="AL64" i="277" s="1"/>
  <c r="DQ52" i="281" l="1"/>
  <c r="DQ53" i="281" s="1"/>
  <c r="DO83" i="265"/>
  <c r="DO82" i="265"/>
  <c r="DP53" i="265"/>
  <c r="DP25" i="280"/>
  <c r="DP27" i="280" s="1"/>
  <c r="DP63" i="265" l="1"/>
  <c r="DQ24" i="280"/>
  <c r="DQ62" i="281"/>
  <c r="DQ63" i="281" s="1"/>
  <c r="DQ30" i="265"/>
  <c r="DQ33" i="265" l="1"/>
  <c r="DQ37" i="265" s="1"/>
  <c r="DQ42" i="265" s="1"/>
  <c r="DQ47" i="265" s="1"/>
  <c r="DQ50" i="265" s="1"/>
  <c r="DQ30" i="280" s="1"/>
  <c r="DR60" i="281"/>
  <c r="DR52" i="281" s="1"/>
  <c r="DR53" i="281" s="1"/>
  <c r="DQ64" i="265"/>
  <c r="DP65" i="265"/>
  <c r="DP67" i="265" s="1"/>
  <c r="DP80" i="265" s="1"/>
  <c r="AL63" i="277"/>
  <c r="AL65" i="277" s="1"/>
  <c r="AL67" i="277" s="1"/>
  <c r="AL80" i="277" s="1"/>
  <c r="DP82" i="265" l="1"/>
  <c r="DP83" i="265"/>
  <c r="DR62" i="281"/>
  <c r="DR63" i="281" s="1"/>
  <c r="DR30" i="265"/>
  <c r="AL83" i="277"/>
  <c r="AL82" i="277"/>
  <c r="DQ53" i="265"/>
  <c r="DQ25" i="280"/>
  <c r="DQ27" i="280" s="1"/>
  <c r="DQ63" i="265" l="1"/>
  <c r="DQ65" i="265" s="1"/>
  <c r="DQ67" i="265" s="1"/>
  <c r="DQ80" i="265" s="1"/>
  <c r="DR24" i="280"/>
  <c r="DR33" i="265"/>
  <c r="DR37" i="265" s="1"/>
  <c r="DR42" i="265" s="1"/>
  <c r="DR47" i="265" s="1"/>
  <c r="DR50" i="265" s="1"/>
  <c r="DR30" i="280" s="1"/>
  <c r="DS60" i="281"/>
  <c r="DS52" i="281" s="1"/>
  <c r="DS53" i="281" s="1"/>
  <c r="DR64" i="265"/>
  <c r="DS62" i="281" l="1"/>
  <c r="DS63" i="281" s="1"/>
  <c r="DS30" i="265"/>
  <c r="DR53" i="265"/>
  <c r="DR25" i="280"/>
  <c r="DR27" i="280" s="1"/>
  <c r="DQ82" i="265"/>
  <c r="DQ83" i="265"/>
  <c r="DS24" i="280" l="1"/>
  <c r="DR63" i="265"/>
  <c r="DR65" i="265" s="1"/>
  <c r="DR67" i="265" s="1"/>
  <c r="DR80" i="265" s="1"/>
  <c r="DT60" i="281"/>
  <c r="DT52" i="281" s="1"/>
  <c r="DT53" i="281" s="1"/>
  <c r="DS64" i="265"/>
  <c r="DS33" i="265"/>
  <c r="DS37" i="265" s="1"/>
  <c r="DS42" i="265" s="1"/>
  <c r="DS47" i="265" s="1"/>
  <c r="DS50" i="265" s="1"/>
  <c r="DS30" i="280" s="1"/>
  <c r="DR83" i="265" l="1"/>
  <c r="DR82" i="265"/>
  <c r="DS53" i="265"/>
  <c r="DS25" i="280"/>
  <c r="DS27" i="280" s="1"/>
  <c r="DT62" i="281"/>
  <c r="DT63" i="281" s="1"/>
  <c r="DT30" i="265"/>
  <c r="DT33" i="265" l="1"/>
  <c r="DT37" i="265" s="1"/>
  <c r="DT42" i="265" s="1"/>
  <c r="DT47" i="265" s="1"/>
  <c r="DT50" i="265" s="1"/>
  <c r="DT30" i="280" s="1"/>
  <c r="AL30" i="277"/>
  <c r="AL33" i="277" s="1"/>
  <c r="AL37" i="277" s="1"/>
  <c r="AL41" i="277" s="1"/>
  <c r="AL46" i="277" s="1"/>
  <c r="AL49" i="277" s="1"/>
  <c r="AL52" i="277" s="1"/>
  <c r="DT24" i="280"/>
  <c r="DS63" i="265"/>
  <c r="DS65" i="265" s="1"/>
  <c r="DS67" i="265" s="1"/>
  <c r="DS80" i="265" s="1"/>
  <c r="DU60" i="281"/>
  <c r="DU52" i="281" s="1"/>
  <c r="DU53" i="281" s="1"/>
  <c r="DT64" i="265"/>
  <c r="AM64" i="277" s="1"/>
  <c r="DS82" i="265" l="1"/>
  <c r="DS83" i="265"/>
  <c r="DU62" i="281"/>
  <c r="DU63" i="281" s="1"/>
  <c r="DU30" i="265"/>
  <c r="DT53" i="265"/>
  <c r="DT25" i="280"/>
  <c r="DT27" i="280" s="1"/>
  <c r="DU24" i="280" l="1"/>
  <c r="DT63" i="265"/>
  <c r="DV60" i="281"/>
  <c r="DV52" i="281" s="1"/>
  <c r="DV53" i="281" s="1"/>
  <c r="DU64" i="265"/>
  <c r="DU33" i="265"/>
  <c r="DU37" i="265" s="1"/>
  <c r="DU42" i="265" s="1"/>
  <c r="DU47" i="265" s="1"/>
  <c r="DU50" i="265" s="1"/>
  <c r="DU30" i="280" s="1"/>
  <c r="DT65" i="265" l="1"/>
  <c r="DT67" i="265" s="1"/>
  <c r="DT80" i="265" s="1"/>
  <c r="AM63" i="277"/>
  <c r="AM65" i="277" s="1"/>
  <c r="AM67" i="277" s="1"/>
  <c r="AM80" i="277" s="1"/>
  <c r="DU53" i="265"/>
  <c r="DU25" i="280"/>
  <c r="DU27" i="280" s="1"/>
  <c r="DV62" i="281"/>
  <c r="DV63" i="281" s="1"/>
  <c r="DV30" i="265"/>
  <c r="DV24" i="280" l="1"/>
  <c r="DU63" i="265"/>
  <c r="DU65" i="265" s="1"/>
  <c r="DU67" i="265" s="1"/>
  <c r="DU80" i="265" s="1"/>
  <c r="AM83" i="277"/>
  <c r="AM82" i="277"/>
  <c r="DV33" i="265"/>
  <c r="DV37" i="265" s="1"/>
  <c r="DV42" i="265" s="1"/>
  <c r="DV47" i="265" s="1"/>
  <c r="DV50" i="265" s="1"/>
  <c r="DV30" i="280" s="1"/>
  <c r="DW60" i="281"/>
  <c r="DW52" i="281" s="1"/>
  <c r="DW53" i="281" s="1"/>
  <c r="DV64" i="265"/>
  <c r="DT83" i="265"/>
  <c r="DT82" i="265"/>
  <c r="DU83" i="265" l="1"/>
  <c r="DU82" i="265"/>
  <c r="DW62" i="281"/>
  <c r="DW63" i="281" s="1"/>
  <c r="DW30" i="265"/>
  <c r="DV53" i="265"/>
  <c r="DV25" i="280"/>
  <c r="DV27" i="280" s="1"/>
  <c r="DW33" i="265" l="1"/>
  <c r="DW37" i="265" s="1"/>
  <c r="DW42" i="265" s="1"/>
  <c r="DW47" i="265" s="1"/>
  <c r="DW50" i="265" s="1"/>
  <c r="DW30" i="280" s="1"/>
  <c r="DV63" i="265"/>
  <c r="DV65" i="265" s="1"/>
  <c r="DV67" i="265" s="1"/>
  <c r="DV80" i="265" s="1"/>
  <c r="DW24" i="280"/>
  <c r="DX60" i="281"/>
  <c r="DX52" i="281" s="1"/>
  <c r="DX53" i="281" s="1"/>
  <c r="DW64" i="265"/>
  <c r="DX62" i="281" l="1"/>
  <c r="DX63" i="281" s="1"/>
  <c r="DX30" i="265"/>
  <c r="DV83" i="265"/>
  <c r="DV82" i="265"/>
  <c r="DW53" i="265"/>
  <c r="DW25" i="280"/>
  <c r="DW27" i="280" s="1"/>
  <c r="DW63" i="265" l="1"/>
  <c r="DW65" i="265" s="1"/>
  <c r="DW67" i="265" s="1"/>
  <c r="DW80" i="265" s="1"/>
  <c r="DX24" i="280"/>
  <c r="DY60" i="281"/>
  <c r="DY52" i="281" s="1"/>
  <c r="DY53" i="281" s="1"/>
  <c r="DX64" i="265"/>
  <c r="AN64" i="277" s="1"/>
  <c r="DX33" i="265"/>
  <c r="DX37" i="265" s="1"/>
  <c r="DX42" i="265" s="1"/>
  <c r="DX47" i="265" s="1"/>
  <c r="DX50" i="265" s="1"/>
  <c r="DX30" i="280" s="1"/>
  <c r="AM30" i="277"/>
  <c r="AM33" i="277" s="1"/>
  <c r="AM37" i="277" s="1"/>
  <c r="AM41" i="277" s="1"/>
  <c r="AM46" i="277" s="1"/>
  <c r="AM49" i="277" s="1"/>
  <c r="AM52" i="277" s="1"/>
  <c r="DX53" i="265" l="1"/>
  <c r="DX25" i="280"/>
  <c r="DX27" i="280" s="1"/>
  <c r="DY62" i="281"/>
  <c r="DY63" i="281" s="1"/>
  <c r="DY30" i="265"/>
  <c r="DW83" i="265"/>
  <c r="DW82" i="265"/>
  <c r="DY24" i="280" l="1"/>
  <c r="DX63" i="265"/>
  <c r="DZ60" i="281"/>
  <c r="DZ52" i="281" s="1"/>
  <c r="DZ53" i="281" s="1"/>
  <c r="DY64" i="265"/>
  <c r="DY33" i="265"/>
  <c r="DY37" i="265" s="1"/>
  <c r="DY42" i="265" s="1"/>
  <c r="DY47" i="265" s="1"/>
  <c r="DY50" i="265" s="1"/>
  <c r="DY30" i="280" s="1"/>
  <c r="DX65" i="265" l="1"/>
  <c r="DX67" i="265" s="1"/>
  <c r="DX80" i="265" s="1"/>
  <c r="AN63" i="277"/>
  <c r="AN65" i="277" s="1"/>
  <c r="AN67" i="277" s="1"/>
  <c r="AN80" i="277" s="1"/>
  <c r="DY53" i="265"/>
  <c r="DY25" i="280"/>
  <c r="DY27" i="280" s="1"/>
  <c r="DZ62" i="281"/>
  <c r="DZ63" i="281" s="1"/>
  <c r="DZ30" i="265"/>
  <c r="DZ24" i="280" l="1"/>
  <c r="DY63" i="265"/>
  <c r="DY65" i="265" s="1"/>
  <c r="DY67" i="265" s="1"/>
  <c r="DY80" i="265" s="1"/>
  <c r="AN83" i="277"/>
  <c r="H83" i="277" s="1"/>
  <c r="AN82" i="277"/>
  <c r="F82" i="277" s="1"/>
  <c r="F13" i="264" s="1"/>
  <c r="DZ33" i="265"/>
  <c r="DZ37" i="265" s="1"/>
  <c r="DZ42" i="265" s="1"/>
  <c r="DZ47" i="265" s="1"/>
  <c r="DZ50" i="265" s="1"/>
  <c r="DZ30" i="280" s="1"/>
  <c r="EA60" i="281"/>
  <c r="DZ64" i="265"/>
  <c r="DX83" i="265"/>
  <c r="DX82" i="265"/>
  <c r="DY82" i="265" l="1"/>
  <c r="DY83" i="265"/>
  <c r="EA52" i="281"/>
  <c r="EA53" i="281" s="1"/>
  <c r="H53" i="281" s="1"/>
  <c r="DZ53" i="265"/>
  <c r="DZ25" i="280"/>
  <c r="DZ27" i="280" s="1"/>
  <c r="H30" i="265" l="1"/>
  <c r="H40" i="269" s="1"/>
  <c r="K40" i="269" s="1"/>
  <c r="H62" i="281"/>
  <c r="EA24" i="280"/>
  <c r="DZ63" i="265"/>
  <c r="DZ65" i="265" s="1"/>
  <c r="DZ67" i="265" s="1"/>
  <c r="DZ80" i="265" s="1"/>
  <c r="EA62" i="281"/>
  <c r="EA63" i="281" s="1"/>
  <c r="EA64" i="265" s="1"/>
  <c r="EA30" i="265"/>
  <c r="J40" i="269" l="1"/>
  <c r="L40" i="269"/>
  <c r="EA33" i="265"/>
  <c r="AN30" i="277"/>
  <c r="DZ83" i="265"/>
  <c r="DZ82" i="265"/>
  <c r="AN33" i="277" l="1"/>
  <c r="H30" i="277"/>
  <c r="EA37" i="265"/>
  <c r="H33" i="265"/>
  <c r="H43" i="269" s="1"/>
  <c r="K43" i="269" s="1"/>
  <c r="J43" i="269" l="1"/>
  <c r="L43" i="269"/>
  <c r="EA42" i="265"/>
  <c r="H37" i="265"/>
  <c r="H47" i="269" s="1"/>
  <c r="AN37" i="277"/>
  <c r="H33" i="277"/>
  <c r="AN41" i="277" l="1"/>
  <c r="H37" i="277"/>
  <c r="EA47" i="265"/>
  <c r="H42" i="265"/>
  <c r="H52" i="269" s="1"/>
  <c r="K52" i="269" s="1"/>
  <c r="L52" i="269" l="1"/>
  <c r="J52" i="269"/>
  <c r="EA50" i="265"/>
  <c r="EA30" i="280" s="1"/>
  <c r="F31" i="280" s="1"/>
  <c r="H47" i="265"/>
  <c r="H57" i="269" s="1"/>
  <c r="K57" i="269" s="1"/>
  <c r="AN46" i="277"/>
  <c r="H41" i="277"/>
  <c r="AN49" i="277" l="1"/>
  <c r="H46" i="277"/>
  <c r="EA53" i="265"/>
  <c r="H53" i="265" s="1"/>
  <c r="H63" i="269" s="1"/>
  <c r="EA25" i="280"/>
  <c r="EA27" i="280" s="1"/>
  <c r="EA63" i="265" s="1"/>
  <c r="EA65" i="265" s="1"/>
  <c r="EA67" i="265" s="1"/>
  <c r="EA80" i="265" s="1"/>
  <c r="H50" i="265"/>
  <c r="H30" i="280" s="1"/>
  <c r="J57" i="269"/>
  <c r="L57" i="269"/>
  <c r="J2" i="269"/>
  <c r="F3" i="277" l="1"/>
  <c r="F3" i="275"/>
  <c r="F3" i="280"/>
  <c r="F3" i="273"/>
  <c r="F3" i="281"/>
  <c r="F3" i="264"/>
  <c r="F3" i="265"/>
  <c r="EA82" i="265"/>
  <c r="F82" i="265" s="1"/>
  <c r="F12" i="264" s="1"/>
  <c r="F9" i="264" s="1"/>
  <c r="EA83" i="265"/>
  <c r="H83" i="265" s="1"/>
  <c r="H60" i="269"/>
  <c r="H25" i="280"/>
  <c r="AN52" i="277"/>
  <c r="H52" i="277" s="1"/>
  <c r="H49" i="277"/>
  <c r="F2" i="280" l="1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<sst xmlns="http://schemas.openxmlformats.org/spreadsheetml/2006/main" count="349" uniqueCount="215">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</sst>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4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69" fontId="17" fillId="0" borderId="0" xfId="1" applyNumberFormat="1" applyFont="1" applyFill="1">
      <alignment vertical="top"/>
    </xf>
    <xf numFmtId="174" fontId="3" fillId="0" borderId="0" xfId="1" applyNumberFormat="1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3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66"/>
  <sheetViews>
    <sheetView showGridLines="0" tabSelected="1" defaultGridColor="0" colorId="22" zoomScale="110" zoomScaleNormal="110" workbookViewId="0">
      <pane xSplit="10" ySplit="9" topLeftCell="K10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154</v>
      </c>
      <c r="M3" s="168" t="s">
        <v>155</v>
      </c>
      <c r="N3" s="167"/>
      <c r="O3" s="168" t="s">
        <v>156</v>
      </c>
      <c r="P3" s="168" t="s">
        <v>157</v>
      </c>
      <c r="Q3" s="168" t="s">
        <v>158</v>
      </c>
      <c r="R3" s="168" t="s">
        <v>159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173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4" customFormat="1" x14ac:dyDescent="0.35">
      <c r="A24" s="451"/>
      <c r="B24" s="451"/>
      <c r="C24" s="452"/>
      <c r="D24" s="453"/>
      <c r="E24" s="455" t="s">
        <v>182</v>
      </c>
      <c r="F24" s="456">
        <f xml:space="preserve"> IF( INDEX(J24:S24, $I$4) = "", INDEX(J24:R24, $I$6), INDEX(J24:S24, $I$4))</f>
        <v>0.33</v>
      </c>
      <c r="G24" s="455" t="s">
        <v>183</v>
      </c>
      <c r="H24" s="455"/>
      <c r="I24" s="336" t="str" cm="1">
        <f t="array" ref="I24" xml:space="preserve"> IF( INDEX(J24:S24, I$5) = "", IF( INDEX(J24:S24, I$6) = F24, "vw", "tu"), IF(INDEX(J24:S24, I$5) = F24, "vw", "tu"))</f>
        <v>vw</v>
      </c>
      <c r="J24" s="457"/>
      <c r="K24" s="458">
        <v>0.33</v>
      </c>
      <c r="L24" s="458">
        <v>0.33</v>
      </c>
      <c r="M24" s="458">
        <v>0.33</v>
      </c>
      <c r="N24" s="459"/>
      <c r="O24" s="460"/>
      <c r="P24" s="460"/>
      <c r="Q24" s="460"/>
      <c r="R24" s="460"/>
      <c r="S24" s="459"/>
    </row>
    <row r="25" spans="1:19" x14ac:dyDescent="0.35">
      <c r="E25" s="455" t="s">
        <v>184</v>
      </c>
      <c r="F25" s="456">
        <f xml:space="preserve"> IF( INDEX(J25:S25, $I$4) = "", INDEX(J25:R25, $I$6), INDEX(J25:S25, $I$4))</f>
        <v>0.36</v>
      </c>
      <c r="G25" s="455" t="s">
        <v>183</v>
      </c>
      <c r="H25" s="455"/>
      <c r="I25" s="336" t="str" cm="1">
        <f t="array" ref="I25" xml:space="preserve"> IF( INDEX(J25:S25, I$5) = "", IF( INDEX(J25:S25, I$6) = F25, "vw", "tu"), IF(INDEX(J25:S25, I$5) = F25, "vw", "tu"))</f>
        <v>vw</v>
      </c>
      <c r="J25" s="457"/>
      <c r="K25" s="458">
        <v>0.36</v>
      </c>
      <c r="L25" s="458">
        <v>0.36</v>
      </c>
      <c r="M25" s="458">
        <v>0.36</v>
      </c>
      <c r="N25" s="459"/>
      <c r="O25" s="460"/>
      <c r="P25" s="460"/>
      <c r="Q25" s="460"/>
      <c r="R25" s="460"/>
      <c r="S25" s="459"/>
    </row>
    <row r="26" spans="1:19" x14ac:dyDescent="0.35">
      <c r="E26" s="455" t="s">
        <v>185</v>
      </c>
      <c r="F26" s="456">
        <f xml:space="preserve"> IF( INDEX(J26:S26, $I$4) = "", INDEX(J26:R26, $I$6), INDEX(J26:S26, $I$4))</f>
        <v>0.15499999999999992</v>
      </c>
      <c r="G26" s="455" t="s">
        <v>183</v>
      </c>
      <c r="H26" s="455"/>
      <c r="I26" s="336" t="str" cm="1">
        <f t="array" ref="I26" xml:space="preserve"> IF( INDEX(J26:S26, I$5) = "", IF( INDEX(J26:S26, I$6) = F26, "vw", "tu"), IF(INDEX(J26:S26, I$5) = F26, "vw", "tu"))</f>
        <v>vw</v>
      </c>
      <c r="J26" s="457"/>
      <c r="K26" s="458">
        <v>0.15499999999999992</v>
      </c>
      <c r="L26" s="458">
        <v>0.15499999999999992</v>
      </c>
      <c r="M26" s="458">
        <v>0.15499999999999992</v>
      </c>
      <c r="N26" s="459"/>
      <c r="O26" s="460"/>
      <c r="P26" s="460"/>
      <c r="Q26" s="460"/>
      <c r="R26" s="460"/>
      <c r="S26" s="459"/>
    </row>
    <row r="27" spans="1:19" x14ac:dyDescent="0.35">
      <c r="E27" s="455" t="s">
        <v>186</v>
      </c>
      <c r="F27" s="456">
        <f xml:space="preserve"> IF( INDEX(J27:S27, $I$4) = "", INDEX(J27:R27, $I$6), INDEX(J27:S27, $I$4))</f>
        <v>0.155</v>
      </c>
      <c r="G27" s="455" t="s">
        <v>183</v>
      </c>
      <c r="H27" s="455"/>
      <c r="I27" s="336" t="str" cm="1">
        <f t="array" ref="I27" xml:space="preserve"> IF( INDEX(J27:S27, I$5) = "", IF( INDEX(J27:S27, I$6) = F27, "vw", "tu"), IF(INDEX(J27:S27, I$5) = F27, "vw", "tu"))</f>
        <v>vw</v>
      </c>
      <c r="J27" s="457"/>
      <c r="K27" s="458">
        <v>0.155</v>
      </c>
      <c r="L27" s="458">
        <v>0.155</v>
      </c>
      <c r="M27" s="458">
        <v>0.155</v>
      </c>
      <c r="N27" s="459"/>
      <c r="O27" s="460"/>
      <c r="P27" s="460"/>
      <c r="Q27" s="460"/>
      <c r="R27" s="460"/>
      <c r="S27" s="459"/>
    </row>
    <row r="29" spans="1:19" s="454" customFormat="1" x14ac:dyDescent="0.35">
      <c r="A29" s="451"/>
      <c r="B29" s="451"/>
      <c r="C29" s="452"/>
      <c r="D29" s="453"/>
      <c r="E29" s="455" t="s">
        <v>193</v>
      </c>
      <c r="F29" s="456">
        <f xml:space="preserve"> IF( INDEX(J29:S29, $I$4) = "", INDEX(J29:R29, $I$6), INDEX(J29:S29, $I$4))</f>
        <v>5.0000000000000001E-3</v>
      </c>
      <c r="G29" s="455" t="s">
        <v>181</v>
      </c>
      <c r="H29" s="455"/>
      <c r="I29" s="336" t="str" cm="1">
        <f t="array" ref="I29" xml:space="preserve"> IF( INDEX(J29:S29, I$5) = "", IF( INDEX(J29:S29, I$6) = F29, "vw", "tu"), IF(INDEX(J29:S29, I$5) = F29, "vw", "tu"))</f>
        <v>vw</v>
      </c>
      <c r="J29" s="457"/>
      <c r="K29" s="458">
        <v>5.0000000000000001E-3</v>
      </c>
      <c r="L29" s="458">
        <v>5.0000000000000001E-3</v>
      </c>
      <c r="M29" s="458">
        <v>5.0000000000000001E-3</v>
      </c>
      <c r="N29" s="459"/>
      <c r="O29" s="460"/>
      <c r="P29" s="460"/>
      <c r="Q29" s="460"/>
      <c r="R29" s="460"/>
      <c r="S29" s="459"/>
    </row>
    <row r="30" spans="1:19" s="434" customFormat="1" x14ac:dyDescent="0.35">
      <c r="A30" s="1"/>
      <c r="B30" s="1"/>
      <c r="C30" s="11"/>
      <c r="D30" s="12"/>
      <c r="E30" s="106" t="s">
        <v>187</v>
      </c>
      <c r="F30" s="263">
        <f xml:space="preserve"> IF( INDEX(J30:S30, $I$4) = "", INDEX(J30:R30, $I$6), INDEX(J30:S30, $I$4))</f>
        <v>250</v>
      </c>
      <c r="G30" s="106" t="s">
        <v>177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61" t="s">
        <v>188</v>
      </c>
      <c r="F31" s="462">
        <f xml:space="preserve"> IF( INDEX(J31:S31, $I$4) = "", INDEX(J31:R31, $I$6), INDEX(J31:S31, $I$4))</f>
        <v>0.97</v>
      </c>
      <c r="G31" s="461" t="s">
        <v>174</v>
      </c>
      <c r="H31" s="461"/>
      <c r="I31" s="336" t="str" cm="1">
        <f t="array" ref="I31" xml:space="preserve"> IF( INDEX(J31:S31, I$5) = "", IF( INDEX(J31:S31, I$6) = F31, "vw", "tu"), IF(INDEX(J31:S31, I$5) = F31, "vw", "tu"))</f>
        <v>vw</v>
      </c>
      <c r="J31" s="463"/>
      <c r="K31" s="464">
        <v>0.97</v>
      </c>
      <c r="L31" s="464">
        <v>0.97</v>
      </c>
      <c r="M31" s="464">
        <v>0.97</v>
      </c>
      <c r="N31" s="465"/>
      <c r="O31" s="466"/>
      <c r="P31" s="466"/>
      <c r="Q31" s="466"/>
      <c r="R31" s="466"/>
      <c r="S31" s="465"/>
    </row>
    <row r="33" spans="1:19" s="470" customFormat="1" x14ac:dyDescent="0.35">
      <c r="A33" s="467"/>
      <c r="B33" s="467"/>
      <c r="C33" s="468"/>
      <c r="D33" s="469"/>
      <c r="E33" s="471" t="s">
        <v>179</v>
      </c>
      <c r="F33" s="472">
        <f xml:space="preserve"> IF( INDEX(J33:S33, $I$4) = "", INDEX(J33:R33, $I$6), INDEX(J33:S33, $I$4))</f>
        <v>6.5000000000000002E-2</v>
      </c>
      <c r="G33" s="471" t="s">
        <v>180</v>
      </c>
      <c r="H33" s="471"/>
      <c r="I33" s="336" t="str" cm="1">
        <f t="array" ref="I33" xml:space="preserve"> IF( INDEX(J33:S33, I$5) = "", IF( INDEX(J33:S33, I$6) = F33, "vw", "tu"), IF(INDEX(J33:S33, I$5) = F33, "vw", "tu"))</f>
        <v>vw</v>
      </c>
      <c r="J33" s="473"/>
      <c r="K33" s="474">
        <v>6.5000000000000002E-2</v>
      </c>
      <c r="L33" s="474">
        <v>6.5000000000000002E-2</v>
      </c>
      <c r="M33" s="474">
        <v>6.5000000000000002E-2</v>
      </c>
      <c r="N33" s="475"/>
      <c r="O33" s="476"/>
      <c r="P33" s="476"/>
      <c r="Q33" s="476"/>
      <c r="R33" s="476"/>
      <c r="S33" s="475"/>
    </row>
    <row r="35" spans="1:19" x14ac:dyDescent="0.35">
      <c r="A35" s="1" t="s">
        <v>209</v>
      </c>
    </row>
    <row r="36" spans="1:19" s="434" customFormat="1" x14ac:dyDescent="0.35">
      <c r="A36" s="1"/>
      <c r="B36" s="1"/>
      <c r="C36" s="11"/>
      <c r="D36" s="12"/>
      <c r="E36" s="7" t="s">
        <v>210</v>
      </c>
      <c r="F36" s="263">
        <f xml:space="preserve"> IF( INDEX(J36:S36, $I$4) = "", INDEX(J36:R36, $I$6), INDEX(J36:S36, $I$4))</f>
        <v>60</v>
      </c>
      <c r="G36" s="106" t="s">
        <v>197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60</v>
      </c>
      <c r="L36" s="241">
        <v>60</v>
      </c>
      <c r="M36" s="241">
        <v>60</v>
      </c>
      <c r="N36" s="265"/>
      <c r="O36" s="266"/>
      <c r="P36" s="266"/>
      <c r="Q36" s="266"/>
      <c r="R36" s="266"/>
      <c r="S36" s="265"/>
    </row>
    <row r="37" spans="1:19" x14ac:dyDescent="0.35">
      <c r="A37" s="128"/>
      <c r="B37" s="128"/>
      <c r="C37" s="129"/>
      <c r="D37" s="130"/>
      <c r="E37" s="130"/>
      <c r="F37" s="223"/>
      <c r="G37" s="130"/>
      <c r="H37" s="224"/>
      <c r="I37" s="338"/>
      <c r="J37" s="213"/>
      <c r="K37" s="223"/>
      <c r="L37" s="223"/>
      <c r="M37" s="223"/>
      <c r="N37" s="132"/>
      <c r="O37" s="225"/>
      <c r="P37" s="225"/>
      <c r="Q37" s="225"/>
      <c r="R37" s="225"/>
      <c r="S37" s="132"/>
    </row>
    <row r="38" spans="1:19" x14ac:dyDescent="0.35">
      <c r="A38" s="128" t="s">
        <v>171</v>
      </c>
      <c r="B38" s="128"/>
      <c r="C38" s="129"/>
      <c r="D38" s="130"/>
      <c r="E38" s="130"/>
      <c r="F38" s="223"/>
      <c r="G38" s="130"/>
      <c r="H38" s="224"/>
      <c r="I38" s="338"/>
      <c r="J38" s="213"/>
      <c r="K38" s="223"/>
      <c r="L38" s="223"/>
      <c r="M38" s="223"/>
      <c r="N38" s="132"/>
      <c r="O38" s="225"/>
      <c r="P38" s="225"/>
      <c r="Q38" s="225"/>
      <c r="R38" s="225"/>
      <c r="S38" s="132"/>
    </row>
    <row r="39" spans="1:19" s="434" customFormat="1" x14ac:dyDescent="0.35">
      <c r="A39" s="1"/>
      <c r="B39" s="1"/>
      <c r="C39" s="11"/>
      <c r="D39" s="12"/>
      <c r="E39" s="106" t="s">
        <v>162</v>
      </c>
      <c r="F39" s="263">
        <f xml:space="preserve"> IF( INDEX(J39:S39, $I$4) = "", INDEX(J39:R39, $I$6), INDEX(J39:S39, $I$4))</f>
        <v>0</v>
      </c>
      <c r="G39" s="106" t="str">
        <f xml:space="preserve"> SMU</f>
        <v>$ 000s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0</v>
      </c>
      <c r="L39" s="241">
        <v>0</v>
      </c>
      <c r="M39" s="241">
        <v>0</v>
      </c>
      <c r="N39" s="265"/>
      <c r="O39" s="266"/>
      <c r="P39" s="266"/>
      <c r="Q39" s="266"/>
      <c r="R39" s="266"/>
      <c r="S39" s="265"/>
    </row>
    <row r="40" spans="1:19" s="434" customFormat="1" x14ac:dyDescent="0.35">
      <c r="A40" s="1"/>
      <c r="B40" s="1"/>
      <c r="C40" s="11"/>
      <c r="D40" s="12"/>
      <c r="E40" s="106" t="s">
        <v>166</v>
      </c>
      <c r="F40" s="263">
        <f xml:space="preserve"> IF( INDEX(J40:S40, $I$4) = "", INDEX(J40:R40, $I$6), INDEX(J40:S40, $I$4))</f>
        <v>0</v>
      </c>
      <c r="G40" s="106" t="str">
        <f xml:space="preserve"> SMU</f>
        <v>$ 000s</v>
      </c>
      <c r="H40" s="106"/>
      <c r="I40" s="336" t="str" cm="1">
        <f t="array" ref="I40" xml:space="preserve"> IF( INDEX(J40:S40, I$5) = "", IF( INDEX(J40:S40, I$6) = F40, "vw", "tu"), IF(INDEX(J40:S40, I$5) = F40, "vw", "tu"))</f>
        <v>vw</v>
      </c>
      <c r="J40" s="264"/>
      <c r="K40" s="241">
        <v>0</v>
      </c>
      <c r="L40" s="241">
        <v>0</v>
      </c>
      <c r="M40" s="241">
        <v>0</v>
      </c>
      <c r="N40" s="265"/>
      <c r="O40" s="266"/>
      <c r="P40" s="266"/>
      <c r="Q40" s="266"/>
      <c r="R40" s="266"/>
      <c r="S40" s="265"/>
    </row>
    <row r="41" spans="1:19" s="434" customFormat="1" x14ac:dyDescent="0.35">
      <c r="A41" s="1"/>
      <c r="B41" s="1"/>
      <c r="C41" s="11"/>
      <c r="D41" s="12"/>
      <c r="E41" s="106" t="s">
        <v>198</v>
      </c>
      <c r="F41" s="263">
        <f xml:space="preserve"> IF( INDEX(J41:S41, $I$4) = "", INDEX(J41:R41, $I$6), INDEX(J41:S41, $I$4))</f>
        <v>0</v>
      </c>
      <c r="G41" s="106" t="str">
        <f xml:space="preserve"> SMU</f>
        <v>$ 000s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0</v>
      </c>
      <c r="L41" s="241">
        <v>0</v>
      </c>
      <c r="M41" s="241">
        <v>0</v>
      </c>
      <c r="N41" s="265"/>
      <c r="O41" s="266"/>
      <c r="P41" s="266"/>
      <c r="Q41" s="266"/>
      <c r="R41" s="266"/>
      <c r="S41" s="265"/>
    </row>
    <row r="42" spans="1:19" s="434" customFormat="1" x14ac:dyDescent="0.35">
      <c r="A42" s="1"/>
      <c r="B42" s="1"/>
      <c r="C42" s="11"/>
      <c r="D42" s="12"/>
      <c r="E42" s="106"/>
      <c r="F42" s="436"/>
      <c r="G42" s="106"/>
      <c r="H42" s="106"/>
      <c r="I42" s="336"/>
      <c r="J42" s="264"/>
      <c r="K42" s="33"/>
      <c r="L42" s="33"/>
      <c r="M42" s="33"/>
      <c r="N42" s="265"/>
      <c r="O42" s="437"/>
      <c r="P42" s="437"/>
      <c r="Q42" s="437"/>
      <c r="R42" s="437"/>
      <c r="S42" s="265"/>
    </row>
    <row r="43" spans="1:19" x14ac:dyDescent="0.35">
      <c r="I43" s="336"/>
    </row>
    <row r="45" spans="1:19" x14ac:dyDescent="0.35">
      <c r="A45" s="195" t="s">
        <v>92</v>
      </c>
      <c r="B45" s="195"/>
      <c r="C45" s="196"/>
      <c r="D45" s="118"/>
      <c r="E45" s="118"/>
      <c r="F45" s="118"/>
      <c r="G45" s="118"/>
      <c r="H45" s="118"/>
      <c r="I45" s="339"/>
      <c r="J45" s="118"/>
      <c r="K45" s="118"/>
      <c r="L45" s="118"/>
      <c r="M45" s="118"/>
      <c r="N45" s="118"/>
      <c r="O45" s="118"/>
      <c r="P45" s="118"/>
      <c r="Q45" s="118"/>
      <c r="R45" s="118"/>
      <c r="S45" s="118"/>
    </row>
    <row r="46" spans="1:19" x14ac:dyDescent="0.35">
      <c r="A46" s="22"/>
      <c r="B46" s="22"/>
      <c r="C46" s="19"/>
      <c r="D46" s="47"/>
      <c r="E46" s="21"/>
      <c r="F46" s="20"/>
      <c r="G46" s="21"/>
      <c r="H46" s="21"/>
      <c r="J46" s="118"/>
      <c r="K46" s="21"/>
      <c r="L46" s="21"/>
      <c r="M46" s="21"/>
      <c r="N46" s="118"/>
      <c r="O46" s="21"/>
      <c r="P46" s="21"/>
      <c r="Q46" s="21"/>
      <c r="R46" s="21"/>
      <c r="S46" s="118"/>
    </row>
    <row r="47" spans="1:19" x14ac:dyDescent="0.35">
      <c r="A47" s="22"/>
      <c r="B47" s="22"/>
      <c r="C47" s="19"/>
      <c r="D47" s="47"/>
      <c r="E47" s="48" t="s">
        <v>40</v>
      </c>
      <c r="F47" s="387">
        <v>1E-3</v>
      </c>
      <c r="G47" s="48" t="s">
        <v>41</v>
      </c>
      <c r="H47" s="21"/>
      <c r="J47" s="118"/>
      <c r="K47" s="21"/>
      <c r="L47" s="21"/>
      <c r="M47" s="21"/>
      <c r="N47" s="118"/>
      <c r="O47" s="21"/>
      <c r="P47" s="21"/>
      <c r="Q47" s="21"/>
      <c r="R47" s="21"/>
      <c r="S47" s="118"/>
    </row>
    <row r="48" spans="1:19" x14ac:dyDescent="0.35">
      <c r="A48" s="22"/>
      <c r="B48" s="22"/>
      <c r="C48" s="19"/>
      <c r="D48" s="47"/>
      <c r="E48" s="48" t="s">
        <v>73</v>
      </c>
      <c r="F48" s="387">
        <v>1E-3</v>
      </c>
      <c r="G48" s="48" t="s">
        <v>41</v>
      </c>
      <c r="H48" s="21"/>
      <c r="J48" s="118"/>
      <c r="K48" s="21"/>
      <c r="L48" s="21"/>
      <c r="M48" s="21"/>
      <c r="N48" s="118"/>
      <c r="O48" s="21"/>
      <c r="P48" s="21"/>
      <c r="Q48" s="21"/>
      <c r="R48" s="21"/>
      <c r="S48" s="118"/>
    </row>
    <row r="49" spans="1:19" x14ac:dyDescent="0.35">
      <c r="A49" s="22"/>
      <c r="B49" s="22"/>
      <c r="C49" s="19"/>
      <c r="D49" s="20"/>
      <c r="E49" s="20" t="s">
        <v>43</v>
      </c>
      <c r="F49" s="121">
        <v>12</v>
      </c>
      <c r="G49" s="20" t="s">
        <v>10</v>
      </c>
      <c r="H49" s="20"/>
      <c r="J49" s="118"/>
      <c r="K49" s="20"/>
      <c r="L49" s="20"/>
      <c r="M49" s="20"/>
      <c r="N49" s="118"/>
      <c r="O49" s="20"/>
      <c r="P49" s="20"/>
      <c r="Q49" s="20"/>
      <c r="R49" s="20"/>
      <c r="S49" s="118"/>
    </row>
    <row r="50" spans="1:19" x14ac:dyDescent="0.35">
      <c r="E50" s="7" t="s">
        <v>105</v>
      </c>
      <c r="F50" s="156">
        <v>4</v>
      </c>
      <c r="G50" s="7" t="s">
        <v>87</v>
      </c>
    </row>
    <row r="51" spans="1:19" x14ac:dyDescent="0.35">
      <c r="E51" s="7" t="s">
        <v>90</v>
      </c>
      <c r="F51" s="389" t="s">
        <v>108</v>
      </c>
      <c r="G51" s="7" t="s">
        <v>91</v>
      </c>
      <c r="I51" s="340"/>
    </row>
    <row r="52" spans="1:19" x14ac:dyDescent="0.35">
      <c r="E52" s="107" t="s">
        <v>109</v>
      </c>
      <c r="F52" s="388">
        <v>100</v>
      </c>
      <c r="G52" s="107" t="s">
        <v>109</v>
      </c>
      <c r="H52" s="107"/>
    </row>
    <row r="53" spans="1:19" x14ac:dyDescent="0.35">
      <c r="A53" s="478"/>
      <c r="B53" s="478"/>
      <c r="C53" s="479"/>
      <c r="D53" s="480"/>
      <c r="E53" s="107" t="s">
        <v>190</v>
      </c>
      <c r="F53" s="388">
        <v>1000000</v>
      </c>
      <c r="G53" s="107" t="s">
        <v>189</v>
      </c>
      <c r="H53" s="107"/>
      <c r="I53" s="336" t="str" cm="1">
        <f t="array" ref="I53" xml:space="preserve"> IF( INDEX(J53:S53, I$5) = "", IF( INDEX(J53:S53, I$6) = F53, "vw", "tu"), IF(INDEX(J53:S53, I$5) = F53, "vw", "tu"))</f>
        <v>tu</v>
      </c>
      <c r="J53" s="211"/>
      <c r="N53" s="134"/>
    </row>
    <row r="54" spans="1:19" x14ac:dyDescent="0.35">
      <c r="E54" s="107" t="s">
        <v>160</v>
      </c>
      <c r="F54" s="388">
        <v>1000</v>
      </c>
      <c r="G54" s="107" t="s">
        <v>107</v>
      </c>
      <c r="H54" s="107"/>
    </row>
    <row r="56" spans="1:19" x14ac:dyDescent="0.35">
      <c r="B56" s="1" t="s">
        <v>27</v>
      </c>
    </row>
    <row r="57" spans="1:19" x14ac:dyDescent="0.35">
      <c r="A57" s="8"/>
      <c r="B57" s="8"/>
      <c r="C57" s="13"/>
      <c r="D57" s="34"/>
      <c r="E57" s="6" t="s">
        <v>30</v>
      </c>
      <c r="F57" s="156" t="s">
        <v>31</v>
      </c>
      <c r="G57" s="6" t="s">
        <v>26</v>
      </c>
      <c r="H57" s="6"/>
      <c r="J57" s="117"/>
      <c r="K57" s="33"/>
      <c r="L57" s="33"/>
      <c r="M57" s="33"/>
      <c r="N57" s="117"/>
      <c r="O57" s="33"/>
      <c r="P57" s="33"/>
      <c r="Q57" s="33"/>
      <c r="R57" s="33"/>
      <c r="S57" s="117"/>
    </row>
    <row r="58" spans="1:19" x14ac:dyDescent="0.35">
      <c r="A58" s="8"/>
      <c r="B58" s="8"/>
      <c r="C58" s="13"/>
      <c r="D58" s="34"/>
      <c r="E58" s="6" t="s">
        <v>46</v>
      </c>
      <c r="F58" s="156" t="s">
        <v>47</v>
      </c>
      <c r="G58" s="6" t="s">
        <v>26</v>
      </c>
      <c r="H58" s="6"/>
      <c r="J58" s="117"/>
      <c r="K58" s="33"/>
      <c r="L58" s="33"/>
      <c r="M58" s="33"/>
      <c r="N58" s="117"/>
      <c r="O58" s="33"/>
      <c r="P58" s="33"/>
      <c r="Q58" s="33"/>
      <c r="R58" s="33"/>
      <c r="S58" s="117"/>
    </row>
    <row r="59" spans="1:19" x14ac:dyDescent="0.35">
      <c r="A59" s="8"/>
      <c r="B59" s="8"/>
      <c r="C59" s="13"/>
      <c r="D59" s="34"/>
      <c r="E59" s="6" t="s">
        <v>48</v>
      </c>
      <c r="F59" s="156" t="s">
        <v>48</v>
      </c>
      <c r="G59" s="6" t="s">
        <v>26</v>
      </c>
      <c r="H59" s="6"/>
      <c r="I59" s="340"/>
      <c r="J59" s="117"/>
      <c r="K59" s="33"/>
      <c r="L59" s="33"/>
      <c r="M59" s="33"/>
      <c r="N59" s="117"/>
      <c r="O59" s="33"/>
      <c r="P59" s="33"/>
      <c r="Q59" s="33"/>
      <c r="R59" s="33"/>
      <c r="S59" s="117"/>
    </row>
    <row r="60" spans="1:19" x14ac:dyDescent="0.35">
      <c r="A60" s="8"/>
      <c r="B60" s="8"/>
      <c r="C60" s="13"/>
      <c r="D60" s="34"/>
      <c r="E60" s="6" t="s">
        <v>49</v>
      </c>
      <c r="F60" s="156" t="s">
        <v>49</v>
      </c>
      <c r="G60" s="6" t="s">
        <v>26</v>
      </c>
      <c r="H60" s="6"/>
      <c r="I60" s="340"/>
      <c r="J60" s="117"/>
      <c r="K60" s="33"/>
      <c r="L60" s="33"/>
      <c r="M60" s="33"/>
      <c r="N60" s="117"/>
      <c r="O60" s="33"/>
      <c r="P60" s="33"/>
      <c r="Q60" s="33"/>
      <c r="R60" s="33"/>
      <c r="S60" s="117"/>
    </row>
    <row r="61" spans="1:19" x14ac:dyDescent="0.35">
      <c r="A61" s="8"/>
      <c r="B61" s="8"/>
      <c r="C61" s="13"/>
      <c r="D61" s="34"/>
      <c r="E61" s="6"/>
      <c r="F61" s="26"/>
      <c r="G61" s="6"/>
      <c r="H61" s="6"/>
      <c r="I61" s="340"/>
      <c r="J61" s="117"/>
      <c r="K61" s="33"/>
      <c r="L61" s="33"/>
      <c r="M61" s="33"/>
      <c r="N61" s="117"/>
      <c r="O61" s="33"/>
      <c r="P61" s="33"/>
      <c r="Q61" s="33"/>
      <c r="R61" s="33"/>
      <c r="S61" s="117"/>
    </row>
    <row r="62" spans="1:19" x14ac:dyDescent="0.35">
      <c r="E62" s="106" t="s">
        <v>114</v>
      </c>
      <c r="F62" s="263">
        <f xml:space="preserve"> IF( INDEX(J62:S62, $I$4) = "", INDEX(J62:R62, $I$6), INDEX(J62:S62, $I$4))</f>
        <v>0</v>
      </c>
      <c r="G62" s="106" t="s">
        <v>115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/>
      <c r="L62" s="241"/>
      <c r="M62" s="241"/>
      <c r="N62" s="265"/>
      <c r="O62" s="266"/>
      <c r="P62" s="266"/>
      <c r="Q62" s="266"/>
      <c r="R62" s="266"/>
      <c r="S62" s="265"/>
    </row>
    <row r="63" spans="1:19" x14ac:dyDescent="0.35">
      <c r="A63" s="8"/>
      <c r="B63" s="8"/>
      <c r="C63" s="13"/>
      <c r="D63" s="34"/>
      <c r="E63" s="6"/>
      <c r="F63" s="26"/>
      <c r="G63" s="6"/>
      <c r="H63" s="6"/>
      <c r="I63" s="336"/>
      <c r="J63" s="117"/>
      <c r="K63" s="33"/>
      <c r="L63" s="33"/>
      <c r="M63" s="33"/>
      <c r="N63" s="117"/>
      <c r="O63" s="33"/>
      <c r="P63" s="33"/>
      <c r="Q63" s="33"/>
      <c r="R63" s="33"/>
      <c r="S63" s="117"/>
    </row>
    <row r="64" spans="1:19" x14ac:dyDescent="0.35">
      <c r="I64" s="336"/>
    </row>
    <row r="65" spans="1:9" x14ac:dyDescent="0.35">
      <c r="A65" s="1" t="s">
        <v>63</v>
      </c>
      <c r="I65" s="336"/>
    </row>
    <row r="66" spans="1:9" x14ac:dyDescent="0.35">
      <c r="I66" s="336"/>
    </row>
  </sheetData>
  <phoneticPr fontId="4" type="noConversion"/>
  <conditionalFormatting sqref="I13:I16">
    <cfRule type="cellIs" dxfId="62" priority="81" operator="equal">
      <formula>"tu"</formula>
    </cfRule>
  </conditionalFormatting>
  <conditionalFormatting sqref="I18">
    <cfRule type="cellIs" dxfId="61" priority="104" operator="equal">
      <formula>"tu"</formula>
    </cfRule>
  </conditionalFormatting>
  <conditionalFormatting sqref="I20:I21">
    <cfRule type="cellIs" dxfId="60" priority="195" operator="equal">
      <formula>"tu"</formula>
    </cfRule>
  </conditionalFormatting>
  <conditionalFormatting sqref="I24:I27">
    <cfRule type="cellIs" dxfId="59" priority="33" operator="equal">
      <formula>"tu"</formula>
    </cfRule>
  </conditionalFormatting>
  <conditionalFormatting sqref="I29:I31">
    <cfRule type="cellIs" dxfId="58" priority="23" operator="equal">
      <formula>"tu"</formula>
    </cfRule>
  </conditionalFormatting>
  <conditionalFormatting sqref="I33">
    <cfRule type="cellIs" dxfId="57" priority="18" operator="equal">
      <formula>"tu"</formula>
    </cfRule>
  </conditionalFormatting>
  <conditionalFormatting sqref="I36">
    <cfRule type="cellIs" dxfId="56" priority="6" operator="equal">
      <formula>"tu"</formula>
    </cfRule>
  </conditionalFormatting>
  <conditionalFormatting sqref="I39:I43">
    <cfRule type="cellIs" dxfId="55" priority="1" operator="equal">
      <formula>"tu"</formula>
    </cfRule>
  </conditionalFormatting>
  <conditionalFormatting sqref="I53">
    <cfRule type="cellIs" dxfId="54" priority="13" operator="equal">
      <formula>"tu"</formula>
    </cfRule>
  </conditionalFormatting>
  <conditionalFormatting sqref="I54:I56">
    <cfRule type="cellIs" dxfId="53" priority="196" operator="equal">
      <formula>1</formula>
    </cfRule>
  </conditionalFormatting>
  <conditionalFormatting sqref="I62:I66">
    <cfRule type="cellIs" dxfId="52" priority="110" operator="equal">
      <formula>"tu"</formula>
    </cfRule>
  </conditionalFormatting>
  <conditionalFormatting sqref="O13:R16">
    <cfRule type="cellIs" dxfId="51" priority="190" operator="equal">
      <formula>""</formula>
    </cfRule>
  </conditionalFormatting>
  <conditionalFormatting sqref="O18:R18 O50:R50">
    <cfRule type="cellIs" dxfId="50" priority="401" operator="equal">
      <formula>""</formula>
    </cfRule>
  </conditionalFormatting>
  <conditionalFormatting sqref="O20:R43">
    <cfRule type="cellIs" dxfId="49" priority="5" operator="equal">
      <formula>""</formula>
    </cfRule>
  </conditionalFormatting>
  <conditionalFormatting sqref="O52:R54">
    <cfRule type="cellIs" dxfId="48" priority="11" operator="equal">
      <formula>""</formula>
    </cfRule>
  </conditionalFormatting>
  <conditionalFormatting sqref="O62:R62">
    <cfRule type="cellIs" dxfId="47" priority="114" operator="equal">
      <formula>""</formula>
    </cfRule>
  </conditionalFormatting>
  <dataValidations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150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InpC!E$49</f>
        <v>Months in year</v>
      </c>
      <c r="F36" s="93">
        <f xml:space="preserve"> InpC!F$49</f>
        <v>12</v>
      </c>
      <c r="G36" s="93" t="str">
        <f xml:space="preserve"> InpC!G$49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152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InpC!E$49</f>
        <v>Months in year</v>
      </c>
      <c r="F46" s="93">
        <f xml:space="preserve"> InpC!F$49</f>
        <v>12</v>
      </c>
      <c r="G46" s="93" t="str">
        <f xml:space="preserve"> InpC!G$49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153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InpC!E$57</f>
        <v>Pre-forecast period</v>
      </c>
      <c r="F62" s="146" t="str">
        <f xml:space="preserve"> InpC!F$57</f>
        <v>Pre-fcst</v>
      </c>
      <c r="G62" s="146" t="str">
        <f xml:space="preserve"> InpC!G$57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InpC!E$58</f>
        <v>Financial Close</v>
      </c>
      <c r="F63" s="38" t="str">
        <f xml:space="preserve"> InpC!F$58</f>
        <v>Fin Close</v>
      </c>
      <c r="G63" s="38" t="str">
        <f xml:space="preserve"> InpC!G$58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InpC!E$59</f>
        <v>Operations</v>
      </c>
      <c r="F64" s="38" t="str">
        <f xml:space="preserve"> InpC!F$59</f>
        <v>Operations</v>
      </c>
      <c r="G64" s="38" t="str">
        <f xml:space="preserve"> InpC!G$59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InpC!E$60</f>
        <v>Post ops</v>
      </c>
      <c r="F65" s="38" t="str">
        <f xml:space="preserve"> InpC!F$60</f>
        <v>Post ops</v>
      </c>
      <c r="G65" s="38" t="str">
        <f xml:space="preserve"> InpC!G$60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InpC!E$49</f>
        <v>Months in year</v>
      </c>
      <c r="F86" s="43">
        <f xml:space="preserve"> InpC!F$49</f>
        <v>12</v>
      </c>
      <c r="G86" s="43" t="str">
        <f xml:space="preserve"> InpC!G$49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7" customFormat="1" hidden="1" outlineLevel="2" x14ac:dyDescent="0.35">
      <c r="A97" s="183"/>
      <c r="B97" s="183"/>
      <c r="C97" s="184"/>
      <c r="D97" s="185"/>
      <c r="E97" s="186" t="s">
        <v>118</v>
      </c>
      <c r="F97" s="448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149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151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InpC!E$50</f>
        <v>Number of periods in a year</v>
      </c>
      <c r="F111" s="38">
        <f xml:space="preserve"> InpC!F$50</f>
        <v>4</v>
      </c>
      <c r="G111" s="38" t="str">
        <f xml:space="preserve"> InpC!G$50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7" customFormat="1" hidden="1" outlineLevel="2" x14ac:dyDescent="0.35">
      <c r="A114" s="102"/>
      <c r="B114" s="102"/>
      <c r="C114" s="103"/>
      <c r="D114" s="104"/>
      <c r="E114" s="105" t="s">
        <v>151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InpC!E$50</f>
        <v>Number of periods in a year</v>
      </c>
      <c r="F117" s="43">
        <f xml:space="preserve"> InpC!F$50</f>
        <v>4</v>
      </c>
      <c r="G117" s="43" t="str">
        <f xml:space="preserve"> InpC!G$50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7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201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3" t="str">
        <f t="shared" ref="E124:AJ124" si="140" xml:space="preserve"> E$20</f>
        <v>Model period beginning</v>
      </c>
      <c r="F124" s="483">
        <f t="shared" si="140"/>
        <v>0</v>
      </c>
      <c r="G124" s="483" t="str">
        <f t="shared" si="140"/>
        <v>date</v>
      </c>
      <c r="H124" s="483">
        <f t="shared" si="140"/>
        <v>0</v>
      </c>
      <c r="I124" s="483">
        <f t="shared" si="140"/>
        <v>0</v>
      </c>
      <c r="J124" s="483">
        <f t="shared" si="140"/>
        <v>44013</v>
      </c>
      <c r="K124" s="483">
        <f t="shared" si="140"/>
        <v>44105</v>
      </c>
      <c r="L124" s="483">
        <f t="shared" si="140"/>
        <v>44197</v>
      </c>
      <c r="M124" s="483">
        <f t="shared" si="140"/>
        <v>44287</v>
      </c>
      <c r="N124" s="483">
        <f t="shared" si="140"/>
        <v>44378</v>
      </c>
      <c r="O124" s="483">
        <f t="shared" si="140"/>
        <v>44470</v>
      </c>
      <c r="P124" s="483">
        <f t="shared" si="140"/>
        <v>44562</v>
      </c>
      <c r="Q124" s="483">
        <f t="shared" si="140"/>
        <v>44652</v>
      </c>
      <c r="R124" s="483">
        <f t="shared" si="140"/>
        <v>44743</v>
      </c>
      <c r="S124" s="483">
        <f t="shared" si="140"/>
        <v>44835</v>
      </c>
      <c r="T124" s="483">
        <f t="shared" si="140"/>
        <v>44927</v>
      </c>
      <c r="U124" s="483">
        <f t="shared" si="140"/>
        <v>45017</v>
      </c>
      <c r="V124" s="483">
        <f t="shared" si="140"/>
        <v>45108</v>
      </c>
      <c r="W124" s="483">
        <f t="shared" si="140"/>
        <v>45200</v>
      </c>
      <c r="X124" s="483">
        <f t="shared" si="140"/>
        <v>45292</v>
      </c>
      <c r="Y124" s="483">
        <f t="shared" si="140"/>
        <v>45383</v>
      </c>
      <c r="Z124" s="483">
        <f t="shared" si="140"/>
        <v>45474</v>
      </c>
      <c r="AA124" s="483">
        <f t="shared" si="140"/>
        <v>45566</v>
      </c>
      <c r="AB124" s="483">
        <f t="shared" si="140"/>
        <v>45658</v>
      </c>
      <c r="AC124" s="483">
        <f t="shared" si="140"/>
        <v>45748</v>
      </c>
      <c r="AD124" s="483">
        <f t="shared" si="140"/>
        <v>45839</v>
      </c>
      <c r="AE124" s="483">
        <f t="shared" si="140"/>
        <v>45931</v>
      </c>
      <c r="AF124" s="483">
        <f t="shared" si="140"/>
        <v>46023</v>
      </c>
      <c r="AG124" s="483">
        <f t="shared" si="140"/>
        <v>46113</v>
      </c>
      <c r="AH124" s="483">
        <f t="shared" si="140"/>
        <v>46204</v>
      </c>
      <c r="AI124" s="483">
        <f t="shared" si="140"/>
        <v>46296</v>
      </c>
      <c r="AJ124" s="483">
        <f t="shared" si="140"/>
        <v>46388</v>
      </c>
      <c r="AK124" s="483">
        <f t="shared" ref="AK124:BP124" si="141" xml:space="preserve"> AK$20</f>
        <v>46478</v>
      </c>
      <c r="AL124" s="483">
        <f t="shared" si="141"/>
        <v>46569</v>
      </c>
      <c r="AM124" s="483">
        <f t="shared" si="141"/>
        <v>46661</v>
      </c>
      <c r="AN124" s="483">
        <f t="shared" si="141"/>
        <v>46753</v>
      </c>
      <c r="AO124" s="483">
        <f t="shared" si="141"/>
        <v>46844</v>
      </c>
      <c r="AP124" s="483">
        <f t="shared" si="141"/>
        <v>46935</v>
      </c>
      <c r="AQ124" s="483">
        <f t="shared" si="141"/>
        <v>47027</v>
      </c>
      <c r="AR124" s="483">
        <f t="shared" si="141"/>
        <v>47119</v>
      </c>
      <c r="AS124" s="483">
        <f t="shared" si="141"/>
        <v>47209</v>
      </c>
      <c r="AT124" s="483">
        <f t="shared" si="141"/>
        <v>47300</v>
      </c>
      <c r="AU124" s="483">
        <f t="shared" si="141"/>
        <v>47392</v>
      </c>
      <c r="AV124" s="483">
        <f t="shared" si="141"/>
        <v>47484</v>
      </c>
      <c r="AW124" s="483">
        <f t="shared" si="141"/>
        <v>47574</v>
      </c>
      <c r="AX124" s="483">
        <f t="shared" si="141"/>
        <v>47665</v>
      </c>
      <c r="AY124" s="483">
        <f t="shared" si="141"/>
        <v>47757</v>
      </c>
      <c r="AZ124" s="483">
        <f t="shared" si="141"/>
        <v>47849</v>
      </c>
      <c r="BA124" s="483">
        <f t="shared" si="141"/>
        <v>47939</v>
      </c>
      <c r="BB124" s="483">
        <f t="shared" si="141"/>
        <v>48030</v>
      </c>
      <c r="BC124" s="483">
        <f t="shared" si="141"/>
        <v>48122</v>
      </c>
      <c r="BD124" s="483">
        <f t="shared" si="141"/>
        <v>48214</v>
      </c>
      <c r="BE124" s="483">
        <f t="shared" si="141"/>
        <v>48305</v>
      </c>
      <c r="BF124" s="483">
        <f t="shared" si="141"/>
        <v>48396</v>
      </c>
      <c r="BG124" s="483">
        <f t="shared" si="141"/>
        <v>48488</v>
      </c>
      <c r="BH124" s="483">
        <f t="shared" si="141"/>
        <v>48580</v>
      </c>
      <c r="BI124" s="483">
        <f t="shared" si="141"/>
        <v>48670</v>
      </c>
      <c r="BJ124" s="483">
        <f t="shared" si="141"/>
        <v>48761</v>
      </c>
      <c r="BK124" s="483">
        <f t="shared" si="141"/>
        <v>48853</v>
      </c>
      <c r="BL124" s="483">
        <f t="shared" si="141"/>
        <v>48945</v>
      </c>
      <c r="BM124" s="483">
        <f t="shared" si="141"/>
        <v>49035</v>
      </c>
      <c r="BN124" s="483">
        <f t="shared" si="141"/>
        <v>49126</v>
      </c>
      <c r="BO124" s="483">
        <f t="shared" si="141"/>
        <v>49218</v>
      </c>
      <c r="BP124" s="483">
        <f t="shared" si="141"/>
        <v>49310</v>
      </c>
      <c r="BQ124" s="483">
        <f t="shared" ref="BQ124:CV124" si="142" xml:space="preserve"> BQ$20</f>
        <v>49400</v>
      </c>
      <c r="BR124" s="483">
        <f t="shared" si="142"/>
        <v>49491</v>
      </c>
      <c r="BS124" s="483">
        <f t="shared" si="142"/>
        <v>49583</v>
      </c>
      <c r="BT124" s="483">
        <f t="shared" si="142"/>
        <v>49675</v>
      </c>
      <c r="BU124" s="483">
        <f t="shared" si="142"/>
        <v>49766</v>
      </c>
      <c r="BV124" s="483">
        <f t="shared" si="142"/>
        <v>49857</v>
      </c>
      <c r="BW124" s="483">
        <f t="shared" si="142"/>
        <v>49949</v>
      </c>
      <c r="BX124" s="483">
        <f t="shared" si="142"/>
        <v>50041</v>
      </c>
      <c r="BY124" s="483">
        <f t="shared" si="142"/>
        <v>50131</v>
      </c>
      <c r="BZ124" s="483">
        <f t="shared" si="142"/>
        <v>50222</v>
      </c>
      <c r="CA124" s="483">
        <f t="shared" si="142"/>
        <v>50314</v>
      </c>
      <c r="CB124" s="483">
        <f t="shared" si="142"/>
        <v>50406</v>
      </c>
      <c r="CC124" s="483">
        <f t="shared" si="142"/>
        <v>50496</v>
      </c>
      <c r="CD124" s="483">
        <f t="shared" si="142"/>
        <v>50587</v>
      </c>
      <c r="CE124" s="483">
        <f t="shared" si="142"/>
        <v>50679</v>
      </c>
      <c r="CF124" s="483">
        <f t="shared" si="142"/>
        <v>50771</v>
      </c>
      <c r="CG124" s="483">
        <f t="shared" si="142"/>
        <v>50861</v>
      </c>
      <c r="CH124" s="483">
        <f t="shared" si="142"/>
        <v>50952</v>
      </c>
      <c r="CI124" s="483">
        <f t="shared" si="142"/>
        <v>51044</v>
      </c>
      <c r="CJ124" s="483">
        <f t="shared" si="142"/>
        <v>51136</v>
      </c>
      <c r="CK124" s="483">
        <f t="shared" si="142"/>
        <v>51227</v>
      </c>
      <c r="CL124" s="483">
        <f t="shared" si="142"/>
        <v>51318</v>
      </c>
      <c r="CM124" s="483">
        <f t="shared" si="142"/>
        <v>51410</v>
      </c>
      <c r="CN124" s="483">
        <f t="shared" si="142"/>
        <v>51502</v>
      </c>
      <c r="CO124" s="483">
        <f t="shared" si="142"/>
        <v>51592</v>
      </c>
      <c r="CP124" s="483">
        <f t="shared" si="142"/>
        <v>51683</v>
      </c>
      <c r="CQ124" s="483">
        <f t="shared" si="142"/>
        <v>51775</v>
      </c>
      <c r="CR124" s="483">
        <f t="shared" si="142"/>
        <v>51867</v>
      </c>
      <c r="CS124" s="483">
        <f t="shared" si="142"/>
        <v>51957</v>
      </c>
      <c r="CT124" s="483">
        <f t="shared" si="142"/>
        <v>52048</v>
      </c>
      <c r="CU124" s="483">
        <f t="shared" si="142"/>
        <v>52140</v>
      </c>
      <c r="CV124" s="483">
        <f t="shared" si="142"/>
        <v>52232</v>
      </c>
      <c r="CW124" s="483">
        <f t="shared" ref="CW124:EA124" si="143" xml:space="preserve"> CW$20</f>
        <v>52322</v>
      </c>
      <c r="CX124" s="483">
        <f t="shared" si="143"/>
        <v>52413</v>
      </c>
      <c r="CY124" s="483">
        <f t="shared" si="143"/>
        <v>52505</v>
      </c>
      <c r="CZ124" s="483">
        <f t="shared" si="143"/>
        <v>52597</v>
      </c>
      <c r="DA124" s="483">
        <f t="shared" si="143"/>
        <v>52688</v>
      </c>
      <c r="DB124" s="483">
        <f t="shared" si="143"/>
        <v>52779</v>
      </c>
      <c r="DC124" s="483">
        <f t="shared" si="143"/>
        <v>52871</v>
      </c>
      <c r="DD124" s="483">
        <f t="shared" si="143"/>
        <v>52963</v>
      </c>
      <c r="DE124" s="483">
        <f t="shared" si="143"/>
        <v>53053</v>
      </c>
      <c r="DF124" s="483">
        <f t="shared" si="143"/>
        <v>53144</v>
      </c>
      <c r="DG124" s="483">
        <f t="shared" si="143"/>
        <v>53236</v>
      </c>
      <c r="DH124" s="483">
        <f t="shared" si="143"/>
        <v>53328</v>
      </c>
      <c r="DI124" s="483">
        <f t="shared" si="143"/>
        <v>53418</v>
      </c>
      <c r="DJ124" s="483">
        <f t="shared" si="143"/>
        <v>53509</v>
      </c>
      <c r="DK124" s="483">
        <f t="shared" si="143"/>
        <v>53601</v>
      </c>
      <c r="DL124" s="483">
        <f t="shared" si="143"/>
        <v>53693</v>
      </c>
      <c r="DM124" s="483">
        <f t="shared" si="143"/>
        <v>53783</v>
      </c>
      <c r="DN124" s="483">
        <f t="shared" si="143"/>
        <v>53874</v>
      </c>
      <c r="DO124" s="483">
        <f t="shared" si="143"/>
        <v>53966</v>
      </c>
      <c r="DP124" s="483">
        <f t="shared" si="143"/>
        <v>54058</v>
      </c>
      <c r="DQ124" s="483">
        <f t="shared" si="143"/>
        <v>54149</v>
      </c>
      <c r="DR124" s="483">
        <f t="shared" si="143"/>
        <v>54240</v>
      </c>
      <c r="DS124" s="483">
        <f t="shared" si="143"/>
        <v>54332</v>
      </c>
      <c r="DT124" s="483">
        <f t="shared" si="143"/>
        <v>54424</v>
      </c>
      <c r="DU124" s="483">
        <f t="shared" si="143"/>
        <v>54514</v>
      </c>
      <c r="DV124" s="483">
        <f t="shared" si="143"/>
        <v>54605</v>
      </c>
      <c r="DW124" s="483">
        <f t="shared" si="143"/>
        <v>54697</v>
      </c>
      <c r="DX124" s="483">
        <f t="shared" si="143"/>
        <v>54789</v>
      </c>
      <c r="DY124" s="483">
        <f t="shared" si="143"/>
        <v>54879</v>
      </c>
      <c r="DZ124" s="483">
        <f t="shared" si="143"/>
        <v>54970</v>
      </c>
      <c r="EA124" s="483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202</v>
      </c>
      <c r="F126" s="147"/>
      <c r="G126" s="147" t="s">
        <v>197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13" operator="equal">
      <formula>"Fin Close"</formula>
    </cfRule>
    <cfRule type="cellIs" dxfId="43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90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16" sqref="G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173</v>
      </c>
    </row>
    <row r="9" spans="1:131" outlineLevel="1" x14ac:dyDescent="0.35"/>
    <row r="10" spans="1:131" outlineLevel="1" x14ac:dyDescent="0.35">
      <c r="B10" s="8" t="s">
        <v>191</v>
      </c>
    </row>
    <row r="11" spans="1:131" s="446" customFormat="1" outlineLevel="2" x14ac:dyDescent="0.35">
      <c r="A11" s="438"/>
      <c r="B11" s="438"/>
      <c r="C11" s="439"/>
      <c r="D11" s="274"/>
      <c r="E11" s="440" t="str">
        <f xml:space="preserve"> InpC!E$29</f>
        <v>Annual degradation</v>
      </c>
      <c r="F11" s="440">
        <f xml:space="preserve"> InpC!F$29</f>
        <v>5.0000000000000001E-3</v>
      </c>
      <c r="G11" s="440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6" customFormat="1" outlineLevel="2" x14ac:dyDescent="0.35">
      <c r="A12" s="192"/>
      <c r="B12" s="192"/>
      <c r="C12" s="193"/>
      <c r="D12" s="194"/>
      <c r="E12" s="441" t="str">
        <f xml:space="preserve"> Time!E$120</f>
        <v>Contract year number</v>
      </c>
      <c r="F12" s="441">
        <f xml:space="preserve"> Time!F$120</f>
        <v>0</v>
      </c>
      <c r="G12" s="441" t="str">
        <f xml:space="preserve"> Time!G$120</f>
        <v>counter</v>
      </c>
      <c r="H12" s="441">
        <f xml:space="preserve"> Time!H$120</f>
        <v>0</v>
      </c>
      <c r="I12" s="441">
        <f xml:space="preserve"> Time!I$120</f>
        <v>0</v>
      </c>
      <c r="J12" s="441">
        <f xml:space="preserve"> Time!J$120</f>
        <v>0</v>
      </c>
      <c r="K12" s="441">
        <f xml:space="preserve"> Time!K$120</f>
        <v>0</v>
      </c>
      <c r="L12" s="441">
        <f xml:space="preserve"> Time!L$120</f>
        <v>0</v>
      </c>
      <c r="M12" s="441">
        <f xml:space="preserve"> Time!M$120</f>
        <v>1</v>
      </c>
      <c r="N12" s="441">
        <f xml:space="preserve"> Time!N$120</f>
        <v>1</v>
      </c>
      <c r="O12" s="441">
        <f xml:space="preserve"> Time!O$120</f>
        <v>1</v>
      </c>
      <c r="P12" s="441">
        <f xml:space="preserve"> Time!P$120</f>
        <v>1</v>
      </c>
      <c r="Q12" s="441">
        <f xml:space="preserve"> Time!Q$120</f>
        <v>2</v>
      </c>
      <c r="R12" s="441">
        <f xml:space="preserve"> Time!R$120</f>
        <v>2</v>
      </c>
      <c r="S12" s="441">
        <f xml:space="preserve"> Time!S$120</f>
        <v>2</v>
      </c>
      <c r="T12" s="441">
        <f xml:space="preserve"> Time!T$120</f>
        <v>2</v>
      </c>
      <c r="U12" s="441">
        <f xml:space="preserve"> Time!U$120</f>
        <v>3</v>
      </c>
      <c r="V12" s="441">
        <f xml:space="preserve"> Time!V$120</f>
        <v>3</v>
      </c>
      <c r="W12" s="441">
        <f xml:space="preserve"> Time!W$120</f>
        <v>3</v>
      </c>
      <c r="X12" s="441">
        <f xml:space="preserve"> Time!X$120</f>
        <v>3</v>
      </c>
      <c r="Y12" s="441">
        <f xml:space="preserve"> Time!Y$120</f>
        <v>4</v>
      </c>
      <c r="Z12" s="441">
        <f xml:space="preserve"> Time!Z$120</f>
        <v>4</v>
      </c>
      <c r="AA12" s="441">
        <f xml:space="preserve"> Time!AA$120</f>
        <v>4</v>
      </c>
      <c r="AB12" s="441">
        <f xml:space="preserve"> Time!AB$120</f>
        <v>4</v>
      </c>
      <c r="AC12" s="441">
        <f xml:space="preserve"> Time!AC$120</f>
        <v>5</v>
      </c>
      <c r="AD12" s="441">
        <f xml:space="preserve"> Time!AD$120</f>
        <v>5</v>
      </c>
      <c r="AE12" s="441">
        <f xml:space="preserve"> Time!AE$120</f>
        <v>5</v>
      </c>
      <c r="AF12" s="441">
        <f xml:space="preserve"> Time!AF$120</f>
        <v>5</v>
      </c>
      <c r="AG12" s="441">
        <f xml:space="preserve"> Time!AG$120</f>
        <v>6</v>
      </c>
      <c r="AH12" s="441">
        <f xml:space="preserve"> Time!AH$120</f>
        <v>6</v>
      </c>
      <c r="AI12" s="441">
        <f xml:space="preserve"> Time!AI$120</f>
        <v>6</v>
      </c>
      <c r="AJ12" s="441">
        <f xml:space="preserve"> Time!AJ$120</f>
        <v>6</v>
      </c>
      <c r="AK12" s="441">
        <f xml:space="preserve"> Time!AK$120</f>
        <v>7</v>
      </c>
      <c r="AL12" s="441">
        <f xml:space="preserve"> Time!AL$120</f>
        <v>7</v>
      </c>
      <c r="AM12" s="441">
        <f xml:space="preserve"> Time!AM$120</f>
        <v>7</v>
      </c>
      <c r="AN12" s="441">
        <f xml:space="preserve"> Time!AN$120</f>
        <v>7</v>
      </c>
      <c r="AO12" s="441">
        <f xml:space="preserve"> Time!AO$120</f>
        <v>8</v>
      </c>
      <c r="AP12" s="441">
        <f xml:space="preserve"> Time!AP$120</f>
        <v>8</v>
      </c>
      <c r="AQ12" s="441">
        <f xml:space="preserve"> Time!AQ$120</f>
        <v>8</v>
      </c>
      <c r="AR12" s="441">
        <f xml:space="preserve"> Time!AR$120</f>
        <v>8</v>
      </c>
      <c r="AS12" s="441">
        <f xml:space="preserve"> Time!AS$120</f>
        <v>9</v>
      </c>
      <c r="AT12" s="441">
        <f xml:space="preserve"> Time!AT$120</f>
        <v>9</v>
      </c>
      <c r="AU12" s="441">
        <f xml:space="preserve"> Time!AU$120</f>
        <v>9</v>
      </c>
      <c r="AV12" s="441">
        <f xml:space="preserve"> Time!AV$120</f>
        <v>9</v>
      </c>
      <c r="AW12" s="441">
        <f xml:space="preserve"> Time!AW$120</f>
        <v>10</v>
      </c>
      <c r="AX12" s="441">
        <f xml:space="preserve"> Time!AX$120</f>
        <v>10</v>
      </c>
      <c r="AY12" s="441">
        <f xml:space="preserve"> Time!AY$120</f>
        <v>10</v>
      </c>
      <c r="AZ12" s="441">
        <f xml:space="preserve"> Time!AZ$120</f>
        <v>10</v>
      </c>
      <c r="BA12" s="441">
        <f xml:space="preserve"> Time!BA$120</f>
        <v>11</v>
      </c>
      <c r="BB12" s="441">
        <f xml:space="preserve"> Time!BB$120</f>
        <v>11</v>
      </c>
      <c r="BC12" s="441">
        <f xml:space="preserve"> Time!BC$120</f>
        <v>11</v>
      </c>
      <c r="BD12" s="441">
        <f xml:space="preserve"> Time!BD$120</f>
        <v>11</v>
      </c>
      <c r="BE12" s="441">
        <f xml:space="preserve"> Time!BE$120</f>
        <v>12</v>
      </c>
      <c r="BF12" s="441">
        <f xml:space="preserve"> Time!BF$120</f>
        <v>12</v>
      </c>
      <c r="BG12" s="441">
        <f xml:space="preserve"> Time!BG$120</f>
        <v>12</v>
      </c>
      <c r="BH12" s="441">
        <f xml:space="preserve"> Time!BH$120</f>
        <v>12</v>
      </c>
      <c r="BI12" s="441">
        <f xml:space="preserve"> Time!BI$120</f>
        <v>13</v>
      </c>
      <c r="BJ12" s="441">
        <f xml:space="preserve"> Time!BJ$120</f>
        <v>13</v>
      </c>
      <c r="BK12" s="441">
        <f xml:space="preserve"> Time!BK$120</f>
        <v>13</v>
      </c>
      <c r="BL12" s="441">
        <f xml:space="preserve"> Time!BL$120</f>
        <v>13</v>
      </c>
      <c r="BM12" s="441">
        <f xml:space="preserve"> Time!BM$120</f>
        <v>14</v>
      </c>
      <c r="BN12" s="441">
        <f xml:space="preserve"> Time!BN$120</f>
        <v>14</v>
      </c>
      <c r="BO12" s="441">
        <f xml:space="preserve"> Time!BO$120</f>
        <v>14</v>
      </c>
      <c r="BP12" s="441">
        <f xml:space="preserve"> Time!BP$120</f>
        <v>14</v>
      </c>
      <c r="BQ12" s="441">
        <f xml:space="preserve"> Time!BQ$120</f>
        <v>15</v>
      </c>
      <c r="BR12" s="441">
        <f xml:space="preserve"> Time!BR$120</f>
        <v>15</v>
      </c>
      <c r="BS12" s="441">
        <f xml:space="preserve"> Time!BS$120</f>
        <v>15</v>
      </c>
      <c r="BT12" s="441">
        <f xml:space="preserve"> Time!BT$120</f>
        <v>15</v>
      </c>
      <c r="BU12" s="441">
        <f xml:space="preserve"> Time!BU$120</f>
        <v>16</v>
      </c>
      <c r="BV12" s="441">
        <f xml:space="preserve"> Time!BV$120</f>
        <v>16</v>
      </c>
      <c r="BW12" s="441">
        <f xml:space="preserve"> Time!BW$120</f>
        <v>16</v>
      </c>
      <c r="BX12" s="441">
        <f xml:space="preserve"> Time!BX$120</f>
        <v>16</v>
      </c>
      <c r="BY12" s="441">
        <f xml:space="preserve"> Time!BY$120</f>
        <v>17</v>
      </c>
      <c r="BZ12" s="441">
        <f xml:space="preserve"> Time!BZ$120</f>
        <v>17</v>
      </c>
      <c r="CA12" s="441">
        <f xml:space="preserve"> Time!CA$120</f>
        <v>17</v>
      </c>
      <c r="CB12" s="441">
        <f xml:space="preserve"> Time!CB$120</f>
        <v>17</v>
      </c>
      <c r="CC12" s="441">
        <f xml:space="preserve"> Time!CC$120</f>
        <v>18</v>
      </c>
      <c r="CD12" s="441">
        <f xml:space="preserve"> Time!CD$120</f>
        <v>18</v>
      </c>
      <c r="CE12" s="441">
        <f xml:space="preserve"> Time!CE$120</f>
        <v>18</v>
      </c>
      <c r="CF12" s="441">
        <f xml:space="preserve"> Time!CF$120</f>
        <v>18</v>
      </c>
      <c r="CG12" s="441">
        <f xml:space="preserve"> Time!CG$120</f>
        <v>19</v>
      </c>
      <c r="CH12" s="441">
        <f xml:space="preserve"> Time!CH$120</f>
        <v>19</v>
      </c>
      <c r="CI12" s="441">
        <f xml:space="preserve"> Time!CI$120</f>
        <v>19</v>
      </c>
      <c r="CJ12" s="441">
        <f xml:space="preserve"> Time!CJ$120</f>
        <v>19</v>
      </c>
      <c r="CK12" s="441">
        <f xml:space="preserve"> Time!CK$120</f>
        <v>20</v>
      </c>
      <c r="CL12" s="441">
        <f xml:space="preserve"> Time!CL$120</f>
        <v>20</v>
      </c>
      <c r="CM12" s="441">
        <f xml:space="preserve"> Time!CM$120</f>
        <v>20</v>
      </c>
      <c r="CN12" s="441">
        <f xml:space="preserve"> Time!CN$120</f>
        <v>20</v>
      </c>
      <c r="CO12" s="441">
        <f xml:space="preserve"> Time!CO$120</f>
        <v>21</v>
      </c>
      <c r="CP12" s="441">
        <f xml:space="preserve"> Time!CP$120</f>
        <v>21</v>
      </c>
      <c r="CQ12" s="441">
        <f xml:space="preserve"> Time!CQ$120</f>
        <v>21</v>
      </c>
      <c r="CR12" s="441">
        <f xml:space="preserve"> Time!CR$120</f>
        <v>21</v>
      </c>
      <c r="CS12" s="441">
        <f xml:space="preserve"> Time!CS$120</f>
        <v>22</v>
      </c>
      <c r="CT12" s="441">
        <f xml:space="preserve"> Time!CT$120</f>
        <v>22</v>
      </c>
      <c r="CU12" s="441">
        <f xml:space="preserve"> Time!CU$120</f>
        <v>22</v>
      </c>
      <c r="CV12" s="441">
        <f xml:space="preserve"> Time!CV$120</f>
        <v>22</v>
      </c>
      <c r="CW12" s="441">
        <f xml:space="preserve"> Time!CW$120</f>
        <v>23</v>
      </c>
      <c r="CX12" s="441">
        <f xml:space="preserve"> Time!CX$120</f>
        <v>23</v>
      </c>
      <c r="CY12" s="441">
        <f xml:space="preserve"> Time!CY$120</f>
        <v>23</v>
      </c>
      <c r="CZ12" s="441">
        <f xml:space="preserve"> Time!CZ$120</f>
        <v>23</v>
      </c>
      <c r="DA12" s="441">
        <f xml:space="preserve"> Time!DA$120</f>
        <v>24</v>
      </c>
      <c r="DB12" s="441">
        <f xml:space="preserve"> Time!DB$120</f>
        <v>24</v>
      </c>
      <c r="DC12" s="441">
        <f xml:space="preserve"> Time!DC$120</f>
        <v>24</v>
      </c>
      <c r="DD12" s="441">
        <f xml:space="preserve"> Time!DD$120</f>
        <v>24</v>
      </c>
      <c r="DE12" s="441">
        <f xml:space="preserve"> Time!DE$120</f>
        <v>25</v>
      </c>
      <c r="DF12" s="441">
        <f xml:space="preserve"> Time!DF$120</f>
        <v>25</v>
      </c>
      <c r="DG12" s="441">
        <f xml:space="preserve"> Time!DG$120</f>
        <v>25</v>
      </c>
      <c r="DH12" s="441">
        <f xml:space="preserve"> Time!DH$120</f>
        <v>25</v>
      </c>
      <c r="DI12" s="441">
        <f xml:space="preserve"> Time!DI$120</f>
        <v>0</v>
      </c>
      <c r="DJ12" s="441">
        <f xml:space="preserve"> Time!DJ$120</f>
        <v>0</v>
      </c>
      <c r="DK12" s="441">
        <f xml:space="preserve"> Time!DK$120</f>
        <v>0</v>
      </c>
      <c r="DL12" s="441">
        <f xml:space="preserve"> Time!DL$120</f>
        <v>0</v>
      </c>
      <c r="DM12" s="441">
        <f xml:space="preserve"> Time!DM$120</f>
        <v>0</v>
      </c>
      <c r="DN12" s="441">
        <f xml:space="preserve"> Time!DN$120</f>
        <v>0</v>
      </c>
      <c r="DO12" s="441">
        <f xml:space="preserve"> Time!DO$120</f>
        <v>0</v>
      </c>
      <c r="DP12" s="441">
        <f xml:space="preserve"> Time!DP$120</f>
        <v>0</v>
      </c>
      <c r="DQ12" s="441">
        <f xml:space="preserve"> Time!DQ$120</f>
        <v>0</v>
      </c>
      <c r="DR12" s="441">
        <f xml:space="preserve"> Time!DR$120</f>
        <v>0</v>
      </c>
      <c r="DS12" s="441">
        <f xml:space="preserve"> Time!DS$120</f>
        <v>0</v>
      </c>
      <c r="DT12" s="441">
        <f xml:space="preserve"> Time!DT$120</f>
        <v>0</v>
      </c>
      <c r="DU12" s="441">
        <f xml:space="preserve"> Time!DU$120</f>
        <v>0</v>
      </c>
      <c r="DV12" s="441">
        <f xml:space="preserve"> Time!DV$120</f>
        <v>0</v>
      </c>
      <c r="DW12" s="441">
        <f xml:space="preserve"> Time!DW$120</f>
        <v>0</v>
      </c>
      <c r="DX12" s="441">
        <f xml:space="preserve"> Time!DX$120</f>
        <v>0</v>
      </c>
      <c r="DY12" s="441">
        <f xml:space="preserve"> Time!DY$120</f>
        <v>0</v>
      </c>
      <c r="DZ12" s="441">
        <f xml:space="preserve"> Time!DZ$120</f>
        <v>0</v>
      </c>
      <c r="EA12" s="441">
        <f xml:space="preserve"> Time!EA$120</f>
        <v>0</v>
      </c>
    </row>
    <row r="13" spans="1:131" s="446" customFormat="1" outlineLevel="2" x14ac:dyDescent="0.35">
      <c r="A13" s="192"/>
      <c r="B13" s="192"/>
      <c r="C13" s="193"/>
      <c r="D13" s="194"/>
      <c r="E13" s="441" t="str">
        <f xml:space="preserve"> Time!E$97</f>
        <v>Operating period flag</v>
      </c>
      <c r="F13" s="441">
        <f xml:space="preserve"> Time!F$97</f>
        <v>0</v>
      </c>
      <c r="G13" s="441" t="str">
        <f xml:space="preserve"> Time!G$97</f>
        <v>flag</v>
      </c>
      <c r="H13" s="441">
        <f xml:space="preserve"> Time!H$97</f>
        <v>100</v>
      </c>
      <c r="I13" s="441">
        <f xml:space="preserve"> Time!I$97</f>
        <v>0</v>
      </c>
      <c r="J13" s="441">
        <f xml:space="preserve"> Time!J$97</f>
        <v>0</v>
      </c>
      <c r="K13" s="441">
        <f xml:space="preserve"> Time!K$97</f>
        <v>0</v>
      </c>
      <c r="L13" s="441">
        <f xml:space="preserve"> Time!L$97</f>
        <v>0</v>
      </c>
      <c r="M13" s="441">
        <f xml:space="preserve"> Time!M$97</f>
        <v>1</v>
      </c>
      <c r="N13" s="441">
        <f xml:space="preserve"> Time!N$97</f>
        <v>1</v>
      </c>
      <c r="O13" s="441">
        <f xml:space="preserve"> Time!O$97</f>
        <v>1</v>
      </c>
      <c r="P13" s="441">
        <f xml:space="preserve"> Time!P$97</f>
        <v>1</v>
      </c>
      <c r="Q13" s="441">
        <f xml:space="preserve"> Time!Q$97</f>
        <v>1</v>
      </c>
      <c r="R13" s="441">
        <f xml:space="preserve"> Time!R$97</f>
        <v>1</v>
      </c>
      <c r="S13" s="441">
        <f xml:space="preserve"> Time!S$97</f>
        <v>1</v>
      </c>
      <c r="T13" s="441">
        <f xml:space="preserve"> Time!T$97</f>
        <v>1</v>
      </c>
      <c r="U13" s="441">
        <f xml:space="preserve"> Time!U$97</f>
        <v>1</v>
      </c>
      <c r="V13" s="441">
        <f xml:space="preserve"> Time!V$97</f>
        <v>1</v>
      </c>
      <c r="W13" s="441">
        <f xml:space="preserve"> Time!W$97</f>
        <v>1</v>
      </c>
      <c r="X13" s="441">
        <f xml:space="preserve"> Time!X$97</f>
        <v>1</v>
      </c>
      <c r="Y13" s="441">
        <f xml:space="preserve"> Time!Y$97</f>
        <v>1</v>
      </c>
      <c r="Z13" s="441">
        <f xml:space="preserve"> Time!Z$97</f>
        <v>1</v>
      </c>
      <c r="AA13" s="441">
        <f xml:space="preserve"> Time!AA$97</f>
        <v>1</v>
      </c>
      <c r="AB13" s="441">
        <f xml:space="preserve"> Time!AB$97</f>
        <v>1</v>
      </c>
      <c r="AC13" s="441">
        <f xml:space="preserve"> Time!AC$97</f>
        <v>1</v>
      </c>
      <c r="AD13" s="441">
        <f xml:space="preserve"> Time!AD$97</f>
        <v>1</v>
      </c>
      <c r="AE13" s="441">
        <f xml:space="preserve"> Time!AE$97</f>
        <v>1</v>
      </c>
      <c r="AF13" s="441">
        <f xml:space="preserve"> Time!AF$97</f>
        <v>1</v>
      </c>
      <c r="AG13" s="441">
        <f xml:space="preserve"> Time!AG$97</f>
        <v>1</v>
      </c>
      <c r="AH13" s="441">
        <f xml:space="preserve"> Time!AH$97</f>
        <v>1</v>
      </c>
      <c r="AI13" s="441">
        <f xml:space="preserve"> Time!AI$97</f>
        <v>1</v>
      </c>
      <c r="AJ13" s="441">
        <f xml:space="preserve"> Time!AJ$97</f>
        <v>1</v>
      </c>
      <c r="AK13" s="441">
        <f xml:space="preserve"> Time!AK$97</f>
        <v>1</v>
      </c>
      <c r="AL13" s="441">
        <f xml:space="preserve"> Time!AL$97</f>
        <v>1</v>
      </c>
      <c r="AM13" s="441">
        <f xml:space="preserve"> Time!AM$97</f>
        <v>1</v>
      </c>
      <c r="AN13" s="441">
        <f xml:space="preserve"> Time!AN$97</f>
        <v>1</v>
      </c>
      <c r="AO13" s="441">
        <f xml:space="preserve"> Time!AO$97</f>
        <v>1</v>
      </c>
      <c r="AP13" s="441">
        <f xml:space="preserve"> Time!AP$97</f>
        <v>1</v>
      </c>
      <c r="AQ13" s="441">
        <f xml:space="preserve"> Time!AQ$97</f>
        <v>1</v>
      </c>
      <c r="AR13" s="441">
        <f xml:space="preserve"> Time!AR$97</f>
        <v>1</v>
      </c>
      <c r="AS13" s="441">
        <f xml:space="preserve"> Time!AS$97</f>
        <v>1</v>
      </c>
      <c r="AT13" s="441">
        <f xml:space="preserve"> Time!AT$97</f>
        <v>1</v>
      </c>
      <c r="AU13" s="441">
        <f xml:space="preserve"> Time!AU$97</f>
        <v>1</v>
      </c>
      <c r="AV13" s="441">
        <f xml:space="preserve"> Time!AV$97</f>
        <v>1</v>
      </c>
      <c r="AW13" s="441">
        <f xml:space="preserve"> Time!AW$97</f>
        <v>1</v>
      </c>
      <c r="AX13" s="441">
        <f xml:space="preserve"> Time!AX$97</f>
        <v>1</v>
      </c>
      <c r="AY13" s="441">
        <f xml:space="preserve"> Time!AY$97</f>
        <v>1</v>
      </c>
      <c r="AZ13" s="441">
        <f xml:space="preserve"> Time!AZ$97</f>
        <v>1</v>
      </c>
      <c r="BA13" s="441">
        <f xml:space="preserve"> Time!BA$97</f>
        <v>1</v>
      </c>
      <c r="BB13" s="441">
        <f xml:space="preserve"> Time!BB$97</f>
        <v>1</v>
      </c>
      <c r="BC13" s="441">
        <f xml:space="preserve"> Time!BC$97</f>
        <v>1</v>
      </c>
      <c r="BD13" s="441">
        <f xml:space="preserve"> Time!BD$97</f>
        <v>1</v>
      </c>
      <c r="BE13" s="441">
        <f xml:space="preserve"> Time!BE$97</f>
        <v>1</v>
      </c>
      <c r="BF13" s="441">
        <f xml:space="preserve"> Time!BF$97</f>
        <v>1</v>
      </c>
      <c r="BG13" s="441">
        <f xml:space="preserve"> Time!BG$97</f>
        <v>1</v>
      </c>
      <c r="BH13" s="441">
        <f xml:space="preserve"> Time!BH$97</f>
        <v>1</v>
      </c>
      <c r="BI13" s="441">
        <f xml:space="preserve"> Time!BI$97</f>
        <v>1</v>
      </c>
      <c r="BJ13" s="441">
        <f xml:space="preserve"> Time!BJ$97</f>
        <v>1</v>
      </c>
      <c r="BK13" s="441">
        <f xml:space="preserve"> Time!BK$97</f>
        <v>1</v>
      </c>
      <c r="BL13" s="441">
        <f xml:space="preserve"> Time!BL$97</f>
        <v>1</v>
      </c>
      <c r="BM13" s="441">
        <f xml:space="preserve"> Time!BM$97</f>
        <v>1</v>
      </c>
      <c r="BN13" s="441">
        <f xml:space="preserve"> Time!BN$97</f>
        <v>1</v>
      </c>
      <c r="BO13" s="441">
        <f xml:space="preserve"> Time!BO$97</f>
        <v>1</v>
      </c>
      <c r="BP13" s="441">
        <f xml:space="preserve"> Time!BP$97</f>
        <v>1</v>
      </c>
      <c r="BQ13" s="441">
        <f xml:space="preserve"> Time!BQ$97</f>
        <v>1</v>
      </c>
      <c r="BR13" s="441">
        <f xml:space="preserve"> Time!BR$97</f>
        <v>1</v>
      </c>
      <c r="BS13" s="441">
        <f xml:space="preserve"> Time!BS$97</f>
        <v>1</v>
      </c>
      <c r="BT13" s="441">
        <f xml:space="preserve"> Time!BT$97</f>
        <v>1</v>
      </c>
      <c r="BU13" s="441">
        <f xml:space="preserve"> Time!BU$97</f>
        <v>1</v>
      </c>
      <c r="BV13" s="441">
        <f xml:space="preserve"> Time!BV$97</f>
        <v>1</v>
      </c>
      <c r="BW13" s="441">
        <f xml:space="preserve"> Time!BW$97</f>
        <v>1</v>
      </c>
      <c r="BX13" s="441">
        <f xml:space="preserve"> Time!BX$97</f>
        <v>1</v>
      </c>
      <c r="BY13" s="441">
        <f xml:space="preserve"> Time!BY$97</f>
        <v>1</v>
      </c>
      <c r="BZ13" s="441">
        <f xml:space="preserve"> Time!BZ$97</f>
        <v>1</v>
      </c>
      <c r="CA13" s="441">
        <f xml:space="preserve"> Time!CA$97</f>
        <v>1</v>
      </c>
      <c r="CB13" s="441">
        <f xml:space="preserve"> Time!CB$97</f>
        <v>1</v>
      </c>
      <c r="CC13" s="441">
        <f xml:space="preserve"> Time!CC$97</f>
        <v>1</v>
      </c>
      <c r="CD13" s="441">
        <f xml:space="preserve"> Time!CD$97</f>
        <v>1</v>
      </c>
      <c r="CE13" s="441">
        <f xml:space="preserve"> Time!CE$97</f>
        <v>1</v>
      </c>
      <c r="CF13" s="441">
        <f xml:space="preserve"> Time!CF$97</f>
        <v>1</v>
      </c>
      <c r="CG13" s="441">
        <f xml:space="preserve"> Time!CG$97</f>
        <v>1</v>
      </c>
      <c r="CH13" s="441">
        <f xml:space="preserve"> Time!CH$97</f>
        <v>1</v>
      </c>
      <c r="CI13" s="441">
        <f xml:space="preserve"> Time!CI$97</f>
        <v>1</v>
      </c>
      <c r="CJ13" s="441">
        <f xml:space="preserve"> Time!CJ$97</f>
        <v>1</v>
      </c>
      <c r="CK13" s="441">
        <f xml:space="preserve"> Time!CK$97</f>
        <v>1</v>
      </c>
      <c r="CL13" s="441">
        <f xml:space="preserve"> Time!CL$97</f>
        <v>1</v>
      </c>
      <c r="CM13" s="441">
        <f xml:space="preserve"> Time!CM$97</f>
        <v>1</v>
      </c>
      <c r="CN13" s="441">
        <f xml:space="preserve"> Time!CN$97</f>
        <v>1</v>
      </c>
      <c r="CO13" s="441">
        <f xml:space="preserve"> Time!CO$97</f>
        <v>1</v>
      </c>
      <c r="CP13" s="441">
        <f xml:space="preserve"> Time!CP$97</f>
        <v>1</v>
      </c>
      <c r="CQ13" s="441">
        <f xml:space="preserve"> Time!CQ$97</f>
        <v>1</v>
      </c>
      <c r="CR13" s="441">
        <f xml:space="preserve"> Time!CR$97</f>
        <v>1</v>
      </c>
      <c r="CS13" s="441">
        <f xml:space="preserve"> Time!CS$97</f>
        <v>1</v>
      </c>
      <c r="CT13" s="441">
        <f xml:space="preserve"> Time!CT$97</f>
        <v>1</v>
      </c>
      <c r="CU13" s="441">
        <f xml:space="preserve"> Time!CU$97</f>
        <v>1</v>
      </c>
      <c r="CV13" s="441">
        <f xml:space="preserve"> Time!CV$97</f>
        <v>1</v>
      </c>
      <c r="CW13" s="441">
        <f xml:space="preserve"> Time!CW$97</f>
        <v>1</v>
      </c>
      <c r="CX13" s="441">
        <f xml:space="preserve"> Time!CX$97</f>
        <v>1</v>
      </c>
      <c r="CY13" s="441">
        <f xml:space="preserve"> Time!CY$97</f>
        <v>1</v>
      </c>
      <c r="CZ13" s="441">
        <f xml:space="preserve"> Time!CZ$97</f>
        <v>1</v>
      </c>
      <c r="DA13" s="441">
        <f xml:space="preserve"> Time!DA$97</f>
        <v>1</v>
      </c>
      <c r="DB13" s="441">
        <f xml:space="preserve"> Time!DB$97</f>
        <v>1</v>
      </c>
      <c r="DC13" s="441">
        <f xml:space="preserve"> Time!DC$97</f>
        <v>1</v>
      </c>
      <c r="DD13" s="441">
        <f xml:space="preserve"> Time!DD$97</f>
        <v>1</v>
      </c>
      <c r="DE13" s="441">
        <f xml:space="preserve"> Time!DE$97</f>
        <v>1</v>
      </c>
      <c r="DF13" s="441">
        <f xml:space="preserve"> Time!DF$97</f>
        <v>1</v>
      </c>
      <c r="DG13" s="441">
        <f xml:space="preserve"> Time!DG$97</f>
        <v>1</v>
      </c>
      <c r="DH13" s="441">
        <f xml:space="preserve"> Time!DH$97</f>
        <v>1</v>
      </c>
      <c r="DI13" s="441">
        <f xml:space="preserve"> Time!DI$97</f>
        <v>0</v>
      </c>
      <c r="DJ13" s="441">
        <f xml:space="preserve"> Time!DJ$97</f>
        <v>0</v>
      </c>
      <c r="DK13" s="441">
        <f xml:space="preserve"> Time!DK$97</f>
        <v>0</v>
      </c>
      <c r="DL13" s="441">
        <f xml:space="preserve"> Time!DL$97</f>
        <v>0</v>
      </c>
      <c r="DM13" s="441">
        <f xml:space="preserve"> Time!DM$97</f>
        <v>0</v>
      </c>
      <c r="DN13" s="441">
        <f xml:space="preserve"> Time!DN$97</f>
        <v>0</v>
      </c>
      <c r="DO13" s="441">
        <f xml:space="preserve"> Time!DO$97</f>
        <v>0</v>
      </c>
      <c r="DP13" s="441">
        <f xml:space="preserve"> Time!DP$97</f>
        <v>0</v>
      </c>
      <c r="DQ13" s="441">
        <f xml:space="preserve"> Time!DQ$97</f>
        <v>0</v>
      </c>
      <c r="DR13" s="441">
        <f xml:space="preserve"> Time!DR$97</f>
        <v>0</v>
      </c>
      <c r="DS13" s="441">
        <f xml:space="preserve"> Time!DS$97</f>
        <v>0</v>
      </c>
      <c r="DT13" s="441">
        <f xml:space="preserve"> Time!DT$97</f>
        <v>0</v>
      </c>
      <c r="DU13" s="441">
        <f xml:space="preserve"> Time!DU$97</f>
        <v>0</v>
      </c>
      <c r="DV13" s="441">
        <f xml:space="preserve"> Time!DV$97</f>
        <v>0</v>
      </c>
      <c r="DW13" s="441">
        <f xml:space="preserve"> Time!DW$97</f>
        <v>0</v>
      </c>
      <c r="DX13" s="441">
        <f xml:space="preserve"> Time!DX$97</f>
        <v>0</v>
      </c>
      <c r="DY13" s="441">
        <f xml:space="preserve"> Time!DY$97</f>
        <v>0</v>
      </c>
      <c r="DZ13" s="441">
        <f xml:space="preserve"> Time!DZ$97</f>
        <v>0</v>
      </c>
      <c r="EA13" s="441">
        <f xml:space="preserve"> Time!EA$97</f>
        <v>0</v>
      </c>
    </row>
    <row r="14" spans="1:131" outlineLevel="2" x14ac:dyDescent="0.35">
      <c r="A14" s="192"/>
      <c r="B14" s="192"/>
      <c r="C14" s="193"/>
      <c r="D14" s="194"/>
      <c r="E14" s="190" t="s">
        <v>192</v>
      </c>
      <c r="F14" s="190"/>
      <c r="G14" s="190" t="s">
        <v>174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outlineLevel="1" x14ac:dyDescent="0.35"/>
    <row r="16" spans="1:131" outlineLevel="1" x14ac:dyDescent="0.35">
      <c r="B16" s="8" t="s">
        <v>175</v>
      </c>
    </row>
    <row r="17" spans="1:131" s="446" customFormat="1" outlineLevel="2" x14ac:dyDescent="0.35">
      <c r="A17" s="438"/>
      <c r="B17" s="438"/>
      <c r="C17" s="439"/>
      <c r="D17" s="274"/>
      <c r="E17" s="440" t="str">
        <f xml:space="preserve"> InpC!E$24</f>
        <v>Q1 seasonal adjustment</v>
      </c>
      <c r="F17" s="440">
        <f xml:space="preserve"> InpC!F$24</f>
        <v>0.33</v>
      </c>
      <c r="G17" s="440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6" customFormat="1" outlineLevel="2" x14ac:dyDescent="0.35">
      <c r="A18" s="438"/>
      <c r="B18" s="438"/>
      <c r="C18" s="439"/>
      <c r="D18" s="274"/>
      <c r="E18" s="440" t="str">
        <f xml:space="preserve"> InpC!E$25</f>
        <v>Q2 seasonal adjustment</v>
      </c>
      <c r="F18" s="440">
        <f xml:space="preserve"> InpC!F$25</f>
        <v>0.36</v>
      </c>
      <c r="G18" s="440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6" customFormat="1" outlineLevel="2" x14ac:dyDescent="0.35">
      <c r="A19" s="438"/>
      <c r="B19" s="438"/>
      <c r="C19" s="439"/>
      <c r="D19" s="274"/>
      <c r="E19" s="440" t="str">
        <f xml:space="preserve"> InpC!E$26</f>
        <v>Q3 seasonal adjustment</v>
      </c>
      <c r="F19" s="440">
        <f xml:space="preserve"> InpC!F$26</f>
        <v>0.15499999999999992</v>
      </c>
      <c r="G19" s="440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6" customFormat="1" outlineLevel="2" x14ac:dyDescent="0.35">
      <c r="A20" s="438"/>
      <c r="B20" s="438"/>
      <c r="C20" s="439"/>
      <c r="D20" s="274"/>
      <c r="E20" s="440" t="str">
        <f xml:space="preserve"> InpC!E$27</f>
        <v>Q4 seasonal adjustment</v>
      </c>
      <c r="F20" s="440">
        <f xml:space="preserve"> InpC!F$27</f>
        <v>0.155</v>
      </c>
      <c r="G20" s="440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6" customFormat="1" outlineLevel="2" x14ac:dyDescent="0.35">
      <c r="A21" s="192"/>
      <c r="B21" s="192"/>
      <c r="C21" s="193"/>
      <c r="D21" s="194"/>
      <c r="E21" s="449" t="str">
        <f xml:space="preserve"> Time!E$114</f>
        <v>Period number</v>
      </c>
      <c r="F21" s="449">
        <f xml:space="preserve"> Time!F$114</f>
        <v>0</v>
      </c>
      <c r="G21" s="449" t="str">
        <f xml:space="preserve"> Time!G$114</f>
        <v>counter</v>
      </c>
      <c r="H21" s="449">
        <f xml:space="preserve"> Time!H$114</f>
        <v>0</v>
      </c>
      <c r="I21" s="449">
        <f xml:space="preserve"> Time!I$114</f>
        <v>0</v>
      </c>
      <c r="J21" s="449">
        <f xml:space="preserve"> Time!J$114</f>
        <v>0</v>
      </c>
      <c r="K21" s="449">
        <f xml:space="preserve"> Time!K$114</f>
        <v>0</v>
      </c>
      <c r="L21" s="449">
        <f xml:space="preserve"> Time!L$114</f>
        <v>0</v>
      </c>
      <c r="M21" s="449">
        <f xml:space="preserve"> Time!M$114</f>
        <v>1</v>
      </c>
      <c r="N21" s="449">
        <f xml:space="preserve"> Time!N$114</f>
        <v>2</v>
      </c>
      <c r="O21" s="449">
        <f xml:space="preserve"> Time!O$114</f>
        <v>3</v>
      </c>
      <c r="P21" s="449">
        <f xml:space="preserve"> Time!P$114</f>
        <v>4</v>
      </c>
      <c r="Q21" s="449">
        <f xml:space="preserve"> Time!Q$114</f>
        <v>1</v>
      </c>
      <c r="R21" s="449">
        <f xml:space="preserve"> Time!R$114</f>
        <v>2</v>
      </c>
      <c r="S21" s="449">
        <f xml:space="preserve"> Time!S$114</f>
        <v>3</v>
      </c>
      <c r="T21" s="449">
        <f xml:space="preserve"> Time!T$114</f>
        <v>4</v>
      </c>
      <c r="U21" s="449">
        <f xml:space="preserve"> Time!U$114</f>
        <v>1</v>
      </c>
      <c r="V21" s="449">
        <f xml:space="preserve"> Time!V$114</f>
        <v>2</v>
      </c>
      <c r="W21" s="449">
        <f xml:space="preserve"> Time!W$114</f>
        <v>3</v>
      </c>
      <c r="X21" s="449">
        <f xml:space="preserve"> Time!X$114</f>
        <v>4</v>
      </c>
      <c r="Y21" s="449">
        <f xml:space="preserve"> Time!Y$114</f>
        <v>1</v>
      </c>
      <c r="Z21" s="449">
        <f xml:space="preserve"> Time!Z$114</f>
        <v>2</v>
      </c>
      <c r="AA21" s="449">
        <f xml:space="preserve"> Time!AA$114</f>
        <v>3</v>
      </c>
      <c r="AB21" s="449">
        <f xml:space="preserve"> Time!AB$114</f>
        <v>4</v>
      </c>
      <c r="AC21" s="449">
        <f xml:space="preserve"> Time!AC$114</f>
        <v>1</v>
      </c>
      <c r="AD21" s="449">
        <f xml:space="preserve"> Time!AD$114</f>
        <v>2</v>
      </c>
      <c r="AE21" s="449">
        <f xml:space="preserve"> Time!AE$114</f>
        <v>3</v>
      </c>
      <c r="AF21" s="449">
        <f xml:space="preserve"> Time!AF$114</f>
        <v>4</v>
      </c>
      <c r="AG21" s="449">
        <f xml:space="preserve"> Time!AG$114</f>
        <v>1</v>
      </c>
      <c r="AH21" s="449">
        <f xml:space="preserve"> Time!AH$114</f>
        <v>2</v>
      </c>
      <c r="AI21" s="449">
        <f xml:space="preserve"> Time!AI$114</f>
        <v>3</v>
      </c>
      <c r="AJ21" s="449">
        <f xml:space="preserve"> Time!AJ$114</f>
        <v>4</v>
      </c>
      <c r="AK21" s="449">
        <f xml:space="preserve"> Time!AK$114</f>
        <v>1</v>
      </c>
      <c r="AL21" s="449">
        <f xml:space="preserve"> Time!AL$114</f>
        <v>2</v>
      </c>
      <c r="AM21" s="449">
        <f xml:space="preserve"> Time!AM$114</f>
        <v>3</v>
      </c>
      <c r="AN21" s="449">
        <f xml:space="preserve"> Time!AN$114</f>
        <v>4</v>
      </c>
      <c r="AO21" s="449">
        <f xml:space="preserve"> Time!AO$114</f>
        <v>1</v>
      </c>
      <c r="AP21" s="449">
        <f xml:space="preserve"> Time!AP$114</f>
        <v>2</v>
      </c>
      <c r="AQ21" s="449">
        <f xml:space="preserve"> Time!AQ$114</f>
        <v>3</v>
      </c>
      <c r="AR21" s="449">
        <f xml:space="preserve"> Time!AR$114</f>
        <v>4</v>
      </c>
      <c r="AS21" s="449">
        <f xml:space="preserve"> Time!AS$114</f>
        <v>1</v>
      </c>
      <c r="AT21" s="449">
        <f xml:space="preserve"> Time!AT$114</f>
        <v>2</v>
      </c>
      <c r="AU21" s="449">
        <f xml:space="preserve"> Time!AU$114</f>
        <v>3</v>
      </c>
      <c r="AV21" s="449">
        <f xml:space="preserve"> Time!AV$114</f>
        <v>4</v>
      </c>
      <c r="AW21" s="449">
        <f xml:space="preserve"> Time!AW$114</f>
        <v>1</v>
      </c>
      <c r="AX21" s="449">
        <f xml:space="preserve"> Time!AX$114</f>
        <v>2</v>
      </c>
      <c r="AY21" s="449">
        <f xml:space="preserve"> Time!AY$114</f>
        <v>3</v>
      </c>
      <c r="AZ21" s="449">
        <f xml:space="preserve"> Time!AZ$114</f>
        <v>4</v>
      </c>
      <c r="BA21" s="449">
        <f xml:space="preserve"> Time!BA$114</f>
        <v>1</v>
      </c>
      <c r="BB21" s="449">
        <f xml:space="preserve"> Time!BB$114</f>
        <v>2</v>
      </c>
      <c r="BC21" s="449">
        <f xml:space="preserve"> Time!BC$114</f>
        <v>3</v>
      </c>
      <c r="BD21" s="449">
        <f xml:space="preserve"> Time!BD$114</f>
        <v>4</v>
      </c>
      <c r="BE21" s="449">
        <f xml:space="preserve"> Time!BE$114</f>
        <v>1</v>
      </c>
      <c r="BF21" s="449">
        <f xml:space="preserve"> Time!BF$114</f>
        <v>2</v>
      </c>
      <c r="BG21" s="449">
        <f xml:space="preserve"> Time!BG$114</f>
        <v>3</v>
      </c>
      <c r="BH21" s="449">
        <f xml:space="preserve"> Time!BH$114</f>
        <v>4</v>
      </c>
      <c r="BI21" s="449">
        <f xml:space="preserve"> Time!BI$114</f>
        <v>1</v>
      </c>
      <c r="BJ21" s="449">
        <f xml:space="preserve"> Time!BJ$114</f>
        <v>2</v>
      </c>
      <c r="BK21" s="449">
        <f xml:space="preserve"> Time!BK$114</f>
        <v>3</v>
      </c>
      <c r="BL21" s="449">
        <f xml:space="preserve"> Time!BL$114</f>
        <v>4</v>
      </c>
      <c r="BM21" s="449">
        <f xml:space="preserve"> Time!BM$114</f>
        <v>1</v>
      </c>
      <c r="BN21" s="449">
        <f xml:space="preserve"> Time!BN$114</f>
        <v>2</v>
      </c>
      <c r="BO21" s="449">
        <f xml:space="preserve"> Time!BO$114</f>
        <v>3</v>
      </c>
      <c r="BP21" s="449">
        <f xml:space="preserve"> Time!BP$114</f>
        <v>4</v>
      </c>
      <c r="BQ21" s="449">
        <f xml:space="preserve"> Time!BQ$114</f>
        <v>1</v>
      </c>
      <c r="BR21" s="449">
        <f xml:space="preserve"> Time!BR$114</f>
        <v>2</v>
      </c>
      <c r="BS21" s="449">
        <f xml:space="preserve"> Time!BS$114</f>
        <v>3</v>
      </c>
      <c r="BT21" s="449">
        <f xml:space="preserve"> Time!BT$114</f>
        <v>4</v>
      </c>
      <c r="BU21" s="449">
        <f xml:space="preserve"> Time!BU$114</f>
        <v>1</v>
      </c>
      <c r="BV21" s="449">
        <f xml:space="preserve"> Time!BV$114</f>
        <v>2</v>
      </c>
      <c r="BW21" s="449">
        <f xml:space="preserve"> Time!BW$114</f>
        <v>3</v>
      </c>
      <c r="BX21" s="449">
        <f xml:space="preserve"> Time!BX$114</f>
        <v>4</v>
      </c>
      <c r="BY21" s="449">
        <f xml:space="preserve"> Time!BY$114</f>
        <v>1</v>
      </c>
      <c r="BZ21" s="449">
        <f xml:space="preserve"> Time!BZ$114</f>
        <v>2</v>
      </c>
      <c r="CA21" s="449">
        <f xml:space="preserve"> Time!CA$114</f>
        <v>3</v>
      </c>
      <c r="CB21" s="449">
        <f xml:space="preserve"> Time!CB$114</f>
        <v>4</v>
      </c>
      <c r="CC21" s="449">
        <f xml:space="preserve"> Time!CC$114</f>
        <v>1</v>
      </c>
      <c r="CD21" s="449">
        <f xml:space="preserve"> Time!CD$114</f>
        <v>2</v>
      </c>
      <c r="CE21" s="449">
        <f xml:space="preserve"> Time!CE$114</f>
        <v>3</v>
      </c>
      <c r="CF21" s="449">
        <f xml:space="preserve"> Time!CF$114</f>
        <v>4</v>
      </c>
      <c r="CG21" s="449">
        <f xml:space="preserve"> Time!CG$114</f>
        <v>1</v>
      </c>
      <c r="CH21" s="449">
        <f xml:space="preserve"> Time!CH$114</f>
        <v>2</v>
      </c>
      <c r="CI21" s="449">
        <f xml:space="preserve"> Time!CI$114</f>
        <v>3</v>
      </c>
      <c r="CJ21" s="449">
        <f xml:space="preserve"> Time!CJ$114</f>
        <v>4</v>
      </c>
      <c r="CK21" s="449">
        <f xml:space="preserve"> Time!CK$114</f>
        <v>1</v>
      </c>
      <c r="CL21" s="449">
        <f xml:space="preserve"> Time!CL$114</f>
        <v>2</v>
      </c>
      <c r="CM21" s="449">
        <f xml:space="preserve"> Time!CM$114</f>
        <v>3</v>
      </c>
      <c r="CN21" s="449">
        <f xml:space="preserve"> Time!CN$114</f>
        <v>4</v>
      </c>
      <c r="CO21" s="449">
        <f xml:space="preserve"> Time!CO$114</f>
        <v>1</v>
      </c>
      <c r="CP21" s="449">
        <f xml:space="preserve"> Time!CP$114</f>
        <v>2</v>
      </c>
      <c r="CQ21" s="449">
        <f xml:space="preserve"> Time!CQ$114</f>
        <v>3</v>
      </c>
      <c r="CR21" s="449">
        <f xml:space="preserve"> Time!CR$114</f>
        <v>4</v>
      </c>
      <c r="CS21" s="449">
        <f xml:space="preserve"> Time!CS$114</f>
        <v>1</v>
      </c>
      <c r="CT21" s="449">
        <f xml:space="preserve"> Time!CT$114</f>
        <v>2</v>
      </c>
      <c r="CU21" s="449">
        <f xml:space="preserve"> Time!CU$114</f>
        <v>3</v>
      </c>
      <c r="CV21" s="449">
        <f xml:space="preserve"> Time!CV$114</f>
        <v>4</v>
      </c>
      <c r="CW21" s="449">
        <f xml:space="preserve"> Time!CW$114</f>
        <v>1</v>
      </c>
      <c r="CX21" s="449">
        <f xml:space="preserve"> Time!CX$114</f>
        <v>2</v>
      </c>
      <c r="CY21" s="449">
        <f xml:space="preserve"> Time!CY$114</f>
        <v>3</v>
      </c>
      <c r="CZ21" s="449">
        <f xml:space="preserve"> Time!CZ$114</f>
        <v>4</v>
      </c>
      <c r="DA21" s="449">
        <f xml:space="preserve"> Time!DA$114</f>
        <v>1</v>
      </c>
      <c r="DB21" s="449">
        <f xml:space="preserve"> Time!DB$114</f>
        <v>2</v>
      </c>
      <c r="DC21" s="449">
        <f xml:space="preserve"> Time!DC$114</f>
        <v>3</v>
      </c>
      <c r="DD21" s="449">
        <f xml:space="preserve"> Time!DD$114</f>
        <v>4</v>
      </c>
      <c r="DE21" s="449">
        <f xml:space="preserve"> Time!DE$114</f>
        <v>1</v>
      </c>
      <c r="DF21" s="449">
        <f xml:space="preserve"> Time!DF$114</f>
        <v>2</v>
      </c>
      <c r="DG21" s="449">
        <f xml:space="preserve"> Time!DG$114</f>
        <v>3</v>
      </c>
      <c r="DH21" s="449">
        <f xml:space="preserve"> Time!DH$114</f>
        <v>4</v>
      </c>
      <c r="DI21" s="449">
        <f xml:space="preserve"> Time!DI$114</f>
        <v>0</v>
      </c>
      <c r="DJ21" s="449">
        <f xml:space="preserve"> Time!DJ$114</f>
        <v>0</v>
      </c>
      <c r="DK21" s="449">
        <f xml:space="preserve"> Time!DK$114</f>
        <v>0</v>
      </c>
      <c r="DL21" s="449">
        <f xml:space="preserve"> Time!DL$114</f>
        <v>0</v>
      </c>
      <c r="DM21" s="449">
        <f xml:space="preserve"> Time!DM$114</f>
        <v>0</v>
      </c>
      <c r="DN21" s="449">
        <f xml:space="preserve"> Time!DN$114</f>
        <v>0</v>
      </c>
      <c r="DO21" s="449">
        <f xml:space="preserve"> Time!DO$114</f>
        <v>0</v>
      </c>
      <c r="DP21" s="449">
        <f xml:space="preserve"> Time!DP$114</f>
        <v>0</v>
      </c>
      <c r="DQ21" s="449">
        <f xml:space="preserve"> Time!DQ$114</f>
        <v>0</v>
      </c>
      <c r="DR21" s="449">
        <f xml:space="preserve"> Time!DR$114</f>
        <v>0</v>
      </c>
      <c r="DS21" s="449">
        <f xml:space="preserve"> Time!DS$114</f>
        <v>0</v>
      </c>
      <c r="DT21" s="449">
        <f xml:space="preserve"> Time!DT$114</f>
        <v>0</v>
      </c>
      <c r="DU21" s="449">
        <f xml:space="preserve"> Time!DU$114</f>
        <v>0</v>
      </c>
      <c r="DV21" s="449">
        <f xml:space="preserve"> Time!DV$114</f>
        <v>0</v>
      </c>
      <c r="DW21" s="449">
        <f xml:space="preserve"> Time!DW$114</f>
        <v>0</v>
      </c>
      <c r="DX21" s="449">
        <f xml:space="preserve"> Time!DX$114</f>
        <v>0</v>
      </c>
      <c r="DY21" s="449">
        <f xml:space="preserve"> Time!DY$114</f>
        <v>0</v>
      </c>
      <c r="DZ21" s="449">
        <f xml:space="preserve"> Time!DZ$114</f>
        <v>0</v>
      </c>
      <c r="EA21" s="449">
        <f xml:space="preserve"> Time!EA$114</f>
        <v>0</v>
      </c>
    </row>
    <row r="22" spans="1:131" s="446" customFormat="1" outlineLevel="2" x14ac:dyDescent="0.35">
      <c r="A22" s="192"/>
      <c r="B22" s="192"/>
      <c r="C22" s="193"/>
      <c r="D22" s="194"/>
      <c r="E22" s="441" t="str">
        <f xml:space="preserve"> Time!E$97</f>
        <v>Operating period flag</v>
      </c>
      <c r="F22" s="441">
        <f xml:space="preserve"> Time!F$97</f>
        <v>0</v>
      </c>
      <c r="G22" s="441" t="str">
        <f xml:space="preserve"> Time!G$97</f>
        <v>flag</v>
      </c>
      <c r="H22" s="441">
        <f xml:space="preserve"> Time!H$97</f>
        <v>100</v>
      </c>
      <c r="I22" s="441">
        <f xml:space="preserve"> Time!I$97</f>
        <v>0</v>
      </c>
      <c r="J22" s="441">
        <f xml:space="preserve"> Time!J$97</f>
        <v>0</v>
      </c>
      <c r="K22" s="441">
        <f xml:space="preserve"> Time!K$97</f>
        <v>0</v>
      </c>
      <c r="L22" s="441">
        <f xml:space="preserve"> Time!L$97</f>
        <v>0</v>
      </c>
      <c r="M22" s="441">
        <f xml:space="preserve"> Time!M$97</f>
        <v>1</v>
      </c>
      <c r="N22" s="441">
        <f xml:space="preserve"> Time!N$97</f>
        <v>1</v>
      </c>
      <c r="O22" s="441">
        <f xml:space="preserve"> Time!O$97</f>
        <v>1</v>
      </c>
      <c r="P22" s="441">
        <f xml:space="preserve"> Time!P$97</f>
        <v>1</v>
      </c>
      <c r="Q22" s="441">
        <f xml:space="preserve"> Time!Q$97</f>
        <v>1</v>
      </c>
      <c r="R22" s="441">
        <f xml:space="preserve"> Time!R$97</f>
        <v>1</v>
      </c>
      <c r="S22" s="441">
        <f xml:space="preserve"> Time!S$97</f>
        <v>1</v>
      </c>
      <c r="T22" s="441">
        <f xml:space="preserve"> Time!T$97</f>
        <v>1</v>
      </c>
      <c r="U22" s="441">
        <f xml:space="preserve"> Time!U$97</f>
        <v>1</v>
      </c>
      <c r="V22" s="441">
        <f xml:space="preserve"> Time!V$97</f>
        <v>1</v>
      </c>
      <c r="W22" s="441">
        <f xml:space="preserve"> Time!W$97</f>
        <v>1</v>
      </c>
      <c r="X22" s="441">
        <f xml:space="preserve"> Time!X$97</f>
        <v>1</v>
      </c>
      <c r="Y22" s="441">
        <f xml:space="preserve"> Time!Y$97</f>
        <v>1</v>
      </c>
      <c r="Z22" s="441">
        <f xml:space="preserve"> Time!Z$97</f>
        <v>1</v>
      </c>
      <c r="AA22" s="441">
        <f xml:space="preserve"> Time!AA$97</f>
        <v>1</v>
      </c>
      <c r="AB22" s="441">
        <f xml:space="preserve"> Time!AB$97</f>
        <v>1</v>
      </c>
      <c r="AC22" s="441">
        <f xml:space="preserve"> Time!AC$97</f>
        <v>1</v>
      </c>
      <c r="AD22" s="441">
        <f xml:space="preserve"> Time!AD$97</f>
        <v>1</v>
      </c>
      <c r="AE22" s="441">
        <f xml:space="preserve"> Time!AE$97</f>
        <v>1</v>
      </c>
      <c r="AF22" s="441">
        <f xml:space="preserve"> Time!AF$97</f>
        <v>1</v>
      </c>
      <c r="AG22" s="441">
        <f xml:space="preserve"> Time!AG$97</f>
        <v>1</v>
      </c>
      <c r="AH22" s="441">
        <f xml:space="preserve"> Time!AH$97</f>
        <v>1</v>
      </c>
      <c r="AI22" s="441">
        <f xml:space="preserve"> Time!AI$97</f>
        <v>1</v>
      </c>
      <c r="AJ22" s="441">
        <f xml:space="preserve"> Time!AJ$97</f>
        <v>1</v>
      </c>
      <c r="AK22" s="441">
        <f xml:space="preserve"> Time!AK$97</f>
        <v>1</v>
      </c>
      <c r="AL22" s="441">
        <f xml:space="preserve"> Time!AL$97</f>
        <v>1</v>
      </c>
      <c r="AM22" s="441">
        <f xml:space="preserve"> Time!AM$97</f>
        <v>1</v>
      </c>
      <c r="AN22" s="441">
        <f xml:space="preserve"> Time!AN$97</f>
        <v>1</v>
      </c>
      <c r="AO22" s="441">
        <f xml:space="preserve"> Time!AO$97</f>
        <v>1</v>
      </c>
      <c r="AP22" s="441">
        <f xml:space="preserve"> Time!AP$97</f>
        <v>1</v>
      </c>
      <c r="AQ22" s="441">
        <f xml:space="preserve"> Time!AQ$97</f>
        <v>1</v>
      </c>
      <c r="AR22" s="441">
        <f xml:space="preserve"> Time!AR$97</f>
        <v>1</v>
      </c>
      <c r="AS22" s="441">
        <f xml:space="preserve"> Time!AS$97</f>
        <v>1</v>
      </c>
      <c r="AT22" s="441">
        <f xml:space="preserve"> Time!AT$97</f>
        <v>1</v>
      </c>
      <c r="AU22" s="441">
        <f xml:space="preserve"> Time!AU$97</f>
        <v>1</v>
      </c>
      <c r="AV22" s="441">
        <f xml:space="preserve"> Time!AV$97</f>
        <v>1</v>
      </c>
      <c r="AW22" s="441">
        <f xml:space="preserve"> Time!AW$97</f>
        <v>1</v>
      </c>
      <c r="AX22" s="441">
        <f xml:space="preserve"> Time!AX$97</f>
        <v>1</v>
      </c>
      <c r="AY22" s="441">
        <f xml:space="preserve"> Time!AY$97</f>
        <v>1</v>
      </c>
      <c r="AZ22" s="441">
        <f xml:space="preserve"> Time!AZ$97</f>
        <v>1</v>
      </c>
      <c r="BA22" s="441">
        <f xml:space="preserve"> Time!BA$97</f>
        <v>1</v>
      </c>
      <c r="BB22" s="441">
        <f xml:space="preserve"> Time!BB$97</f>
        <v>1</v>
      </c>
      <c r="BC22" s="441">
        <f xml:space="preserve"> Time!BC$97</f>
        <v>1</v>
      </c>
      <c r="BD22" s="441">
        <f xml:space="preserve"> Time!BD$97</f>
        <v>1</v>
      </c>
      <c r="BE22" s="441">
        <f xml:space="preserve"> Time!BE$97</f>
        <v>1</v>
      </c>
      <c r="BF22" s="441">
        <f xml:space="preserve"> Time!BF$97</f>
        <v>1</v>
      </c>
      <c r="BG22" s="441">
        <f xml:space="preserve"> Time!BG$97</f>
        <v>1</v>
      </c>
      <c r="BH22" s="441">
        <f xml:space="preserve"> Time!BH$97</f>
        <v>1</v>
      </c>
      <c r="BI22" s="441">
        <f xml:space="preserve"> Time!BI$97</f>
        <v>1</v>
      </c>
      <c r="BJ22" s="441">
        <f xml:space="preserve"> Time!BJ$97</f>
        <v>1</v>
      </c>
      <c r="BK22" s="441">
        <f xml:space="preserve"> Time!BK$97</f>
        <v>1</v>
      </c>
      <c r="BL22" s="441">
        <f xml:space="preserve"> Time!BL$97</f>
        <v>1</v>
      </c>
      <c r="BM22" s="441">
        <f xml:space="preserve"> Time!BM$97</f>
        <v>1</v>
      </c>
      <c r="BN22" s="441">
        <f xml:space="preserve"> Time!BN$97</f>
        <v>1</v>
      </c>
      <c r="BO22" s="441">
        <f xml:space="preserve"> Time!BO$97</f>
        <v>1</v>
      </c>
      <c r="BP22" s="441">
        <f xml:space="preserve"> Time!BP$97</f>
        <v>1</v>
      </c>
      <c r="BQ22" s="441">
        <f xml:space="preserve"> Time!BQ$97</f>
        <v>1</v>
      </c>
      <c r="BR22" s="441">
        <f xml:space="preserve"> Time!BR$97</f>
        <v>1</v>
      </c>
      <c r="BS22" s="441">
        <f xml:space="preserve"> Time!BS$97</f>
        <v>1</v>
      </c>
      <c r="BT22" s="441">
        <f xml:space="preserve"> Time!BT$97</f>
        <v>1</v>
      </c>
      <c r="BU22" s="441">
        <f xml:space="preserve"> Time!BU$97</f>
        <v>1</v>
      </c>
      <c r="BV22" s="441">
        <f xml:space="preserve"> Time!BV$97</f>
        <v>1</v>
      </c>
      <c r="BW22" s="441">
        <f xml:space="preserve"> Time!BW$97</f>
        <v>1</v>
      </c>
      <c r="BX22" s="441">
        <f xml:space="preserve"> Time!BX$97</f>
        <v>1</v>
      </c>
      <c r="BY22" s="441">
        <f xml:space="preserve"> Time!BY$97</f>
        <v>1</v>
      </c>
      <c r="BZ22" s="441">
        <f xml:space="preserve"> Time!BZ$97</f>
        <v>1</v>
      </c>
      <c r="CA22" s="441">
        <f xml:space="preserve"> Time!CA$97</f>
        <v>1</v>
      </c>
      <c r="CB22" s="441">
        <f xml:space="preserve"> Time!CB$97</f>
        <v>1</v>
      </c>
      <c r="CC22" s="441">
        <f xml:space="preserve"> Time!CC$97</f>
        <v>1</v>
      </c>
      <c r="CD22" s="441">
        <f xml:space="preserve"> Time!CD$97</f>
        <v>1</v>
      </c>
      <c r="CE22" s="441">
        <f xml:space="preserve"> Time!CE$97</f>
        <v>1</v>
      </c>
      <c r="CF22" s="441">
        <f xml:space="preserve"> Time!CF$97</f>
        <v>1</v>
      </c>
      <c r="CG22" s="441">
        <f xml:space="preserve"> Time!CG$97</f>
        <v>1</v>
      </c>
      <c r="CH22" s="441">
        <f xml:space="preserve"> Time!CH$97</f>
        <v>1</v>
      </c>
      <c r="CI22" s="441">
        <f xml:space="preserve"> Time!CI$97</f>
        <v>1</v>
      </c>
      <c r="CJ22" s="441">
        <f xml:space="preserve"> Time!CJ$97</f>
        <v>1</v>
      </c>
      <c r="CK22" s="441">
        <f xml:space="preserve"> Time!CK$97</f>
        <v>1</v>
      </c>
      <c r="CL22" s="441">
        <f xml:space="preserve"> Time!CL$97</f>
        <v>1</v>
      </c>
      <c r="CM22" s="441">
        <f xml:space="preserve"> Time!CM$97</f>
        <v>1</v>
      </c>
      <c r="CN22" s="441">
        <f xml:space="preserve"> Time!CN$97</f>
        <v>1</v>
      </c>
      <c r="CO22" s="441">
        <f xml:space="preserve"> Time!CO$97</f>
        <v>1</v>
      </c>
      <c r="CP22" s="441">
        <f xml:space="preserve"> Time!CP$97</f>
        <v>1</v>
      </c>
      <c r="CQ22" s="441">
        <f xml:space="preserve"> Time!CQ$97</f>
        <v>1</v>
      </c>
      <c r="CR22" s="441">
        <f xml:space="preserve"> Time!CR$97</f>
        <v>1</v>
      </c>
      <c r="CS22" s="441">
        <f xml:space="preserve"> Time!CS$97</f>
        <v>1</v>
      </c>
      <c r="CT22" s="441">
        <f xml:space="preserve"> Time!CT$97</f>
        <v>1</v>
      </c>
      <c r="CU22" s="441">
        <f xml:space="preserve"> Time!CU$97</f>
        <v>1</v>
      </c>
      <c r="CV22" s="441">
        <f xml:space="preserve"> Time!CV$97</f>
        <v>1</v>
      </c>
      <c r="CW22" s="441">
        <f xml:space="preserve"> Time!CW$97</f>
        <v>1</v>
      </c>
      <c r="CX22" s="441">
        <f xml:space="preserve"> Time!CX$97</f>
        <v>1</v>
      </c>
      <c r="CY22" s="441">
        <f xml:space="preserve"> Time!CY$97</f>
        <v>1</v>
      </c>
      <c r="CZ22" s="441">
        <f xml:space="preserve"> Time!CZ$97</f>
        <v>1</v>
      </c>
      <c r="DA22" s="441">
        <f xml:space="preserve"> Time!DA$97</f>
        <v>1</v>
      </c>
      <c r="DB22" s="441">
        <f xml:space="preserve"> Time!DB$97</f>
        <v>1</v>
      </c>
      <c r="DC22" s="441">
        <f xml:space="preserve"> Time!DC$97</f>
        <v>1</v>
      </c>
      <c r="DD22" s="441">
        <f xml:space="preserve"> Time!DD$97</f>
        <v>1</v>
      </c>
      <c r="DE22" s="441">
        <f xml:space="preserve"> Time!DE$97</f>
        <v>1</v>
      </c>
      <c r="DF22" s="441">
        <f xml:space="preserve"> Time!DF$97</f>
        <v>1</v>
      </c>
      <c r="DG22" s="441">
        <f xml:space="preserve"> Time!DG$97</f>
        <v>1</v>
      </c>
      <c r="DH22" s="441">
        <f xml:space="preserve"> Time!DH$97</f>
        <v>1</v>
      </c>
      <c r="DI22" s="441">
        <f xml:space="preserve"> Time!DI$97</f>
        <v>0</v>
      </c>
      <c r="DJ22" s="441">
        <f xml:space="preserve"> Time!DJ$97</f>
        <v>0</v>
      </c>
      <c r="DK22" s="441">
        <f xml:space="preserve"> Time!DK$97</f>
        <v>0</v>
      </c>
      <c r="DL22" s="441">
        <f xml:space="preserve"> Time!DL$97</f>
        <v>0</v>
      </c>
      <c r="DM22" s="441">
        <f xml:space="preserve"> Time!DM$97</f>
        <v>0</v>
      </c>
      <c r="DN22" s="441">
        <f xml:space="preserve"> Time!DN$97</f>
        <v>0</v>
      </c>
      <c r="DO22" s="441">
        <f xml:space="preserve"> Time!DO$97</f>
        <v>0</v>
      </c>
      <c r="DP22" s="441">
        <f xml:space="preserve"> Time!DP$97</f>
        <v>0</v>
      </c>
      <c r="DQ22" s="441">
        <f xml:space="preserve"> Time!DQ$97</f>
        <v>0</v>
      </c>
      <c r="DR22" s="441">
        <f xml:space="preserve"> Time!DR$97</f>
        <v>0</v>
      </c>
      <c r="DS22" s="441">
        <f xml:space="preserve"> Time!DS$97</f>
        <v>0</v>
      </c>
      <c r="DT22" s="441">
        <f xml:space="preserve"> Time!DT$97</f>
        <v>0</v>
      </c>
      <c r="DU22" s="441">
        <f xml:space="preserve"> Time!DU$97</f>
        <v>0</v>
      </c>
      <c r="DV22" s="441">
        <f xml:space="preserve"> Time!DV$97</f>
        <v>0</v>
      </c>
      <c r="DW22" s="441">
        <f xml:space="preserve"> Time!DW$97</f>
        <v>0</v>
      </c>
      <c r="DX22" s="441">
        <f xml:space="preserve"> Time!DX$97</f>
        <v>0</v>
      </c>
      <c r="DY22" s="441">
        <f xml:space="preserve"> Time!DY$97</f>
        <v>0</v>
      </c>
      <c r="DZ22" s="441">
        <f xml:space="preserve"> Time!DZ$97</f>
        <v>0</v>
      </c>
      <c r="EA22" s="441">
        <f xml:space="preserve"> Time!EA$97</f>
        <v>0</v>
      </c>
    </row>
    <row r="23" spans="1:131" outlineLevel="2" x14ac:dyDescent="0.35">
      <c r="E23" s="7" t="s">
        <v>175</v>
      </c>
      <c r="G23" s="7" t="s">
        <v>174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outlineLevel="1" x14ac:dyDescent="0.35"/>
    <row r="25" spans="1:131" outlineLevel="1" x14ac:dyDescent="0.35">
      <c r="B25" s="8" t="s">
        <v>176</v>
      </c>
    </row>
    <row r="26" spans="1:131" s="446" customFormat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6" customFormat="1" outlineLevel="2" x14ac:dyDescent="0.35">
      <c r="A27" s="192"/>
      <c r="B27" s="192"/>
      <c r="C27" s="193"/>
      <c r="D27" s="194"/>
      <c r="E27" s="442" t="str">
        <f xml:space="preserve"> InpC!E$31</f>
        <v xml:space="preserve">Availability </v>
      </c>
      <c r="F27" s="442">
        <f xml:space="preserve"> InpC!F$31</f>
        <v>0.97</v>
      </c>
      <c r="G27" s="442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50" customFormat="1" outlineLevel="2" x14ac:dyDescent="0.35">
      <c r="A28" s="438"/>
      <c r="B28" s="438"/>
      <c r="C28" s="439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6" customFormat="1" outlineLevel="2" x14ac:dyDescent="0.35">
      <c r="A29" s="438"/>
      <c r="B29" s="438"/>
      <c r="C29" s="439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outlineLevel="2" x14ac:dyDescent="0.35">
      <c r="A30" s="443"/>
      <c r="B30" s="443"/>
      <c r="C30" s="444"/>
      <c r="D30" s="23"/>
      <c r="E30" s="21" t="s">
        <v>176</v>
      </c>
      <c r="F30" s="21"/>
      <c r="G30" s="21" t="s">
        <v>177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outlineLevel="1" x14ac:dyDescent="0.35"/>
    <row r="32" spans="1:131" outlineLevel="1" x14ac:dyDescent="0.35">
      <c r="B32" s="8" t="s">
        <v>178</v>
      </c>
    </row>
    <row r="33" spans="1:131" outlineLevel="2" x14ac:dyDescent="0.35">
      <c r="E33" s="428" t="str">
        <f xml:space="preserve"> InpC!E$33</f>
        <v>Power tariff</v>
      </c>
      <c r="F33" s="477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6" customFormat="1" outlineLevel="2" x14ac:dyDescent="0.35">
      <c r="A34" s="192"/>
      <c r="B34" s="192"/>
      <c r="C34" s="193"/>
      <c r="D34" s="194"/>
      <c r="E34" s="441" t="str">
        <f xml:space="preserve"> InpC!E$53</f>
        <v>GWh to kWh conversion</v>
      </c>
      <c r="F34" s="441">
        <f xml:space="preserve"> InpC!F$53</f>
        <v>1000000</v>
      </c>
      <c r="G34" s="441" t="str">
        <f xml:space="preserve"> InpC!G$53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6" customFormat="1" outlineLevel="2" x14ac:dyDescent="0.35">
      <c r="A35" s="192"/>
      <c r="B35" s="192"/>
      <c r="C35" s="193"/>
      <c r="D35" s="194"/>
      <c r="E35" s="148" t="str">
        <f xml:space="preserve"> InpC!E$54</f>
        <v>Units in a thousand</v>
      </c>
      <c r="F35" s="148">
        <f xml:space="preserve"> InpC!F$54</f>
        <v>1000</v>
      </c>
      <c r="G35" s="148" t="str">
        <f xml:space="preserve"> InpC!G$54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6" customFormat="1" outlineLevel="2" x14ac:dyDescent="0.35">
      <c r="A36" s="192"/>
      <c r="B36" s="192"/>
      <c r="C36" s="193"/>
      <c r="D36" s="194"/>
      <c r="E36" s="445" t="str">
        <f t="shared" ref="E36:AJ36" si="20" xml:space="preserve"> E$30</f>
        <v>Electricity generation</v>
      </c>
      <c r="F36" s="445">
        <f t="shared" si="20"/>
        <v>0</v>
      </c>
      <c r="G36" s="445" t="str">
        <f t="shared" si="20"/>
        <v>GWh</v>
      </c>
      <c r="H36" s="445">
        <f t="shared" si="20"/>
        <v>5713.995058778346</v>
      </c>
      <c r="I36" s="445">
        <f t="shared" si="20"/>
        <v>0</v>
      </c>
      <c r="J36" s="445">
        <f t="shared" si="20"/>
        <v>0</v>
      </c>
      <c r="K36" s="445">
        <f t="shared" si="20"/>
        <v>0</v>
      </c>
      <c r="L36" s="445">
        <f t="shared" si="20"/>
        <v>0</v>
      </c>
      <c r="M36" s="445">
        <f t="shared" si="20"/>
        <v>80.025000000000006</v>
      </c>
      <c r="N36" s="445">
        <f t="shared" si="20"/>
        <v>87.3</v>
      </c>
      <c r="O36" s="445">
        <f t="shared" si="20"/>
        <v>37.587499999999977</v>
      </c>
      <c r="P36" s="445">
        <f t="shared" si="20"/>
        <v>37.587499999999999</v>
      </c>
      <c r="Q36" s="445">
        <f t="shared" si="20"/>
        <v>79.626865671641809</v>
      </c>
      <c r="R36" s="445">
        <f t="shared" si="20"/>
        <v>86.865671641791053</v>
      </c>
      <c r="S36" s="445">
        <f t="shared" si="20"/>
        <v>37.400497512437795</v>
      </c>
      <c r="T36" s="445">
        <f t="shared" si="20"/>
        <v>37.400497512437816</v>
      </c>
      <c r="U36" s="445">
        <f t="shared" si="20"/>
        <v>79.23071211108639</v>
      </c>
      <c r="V36" s="445">
        <f t="shared" si="20"/>
        <v>86.433504121185138</v>
      </c>
      <c r="W36" s="445">
        <f t="shared" si="20"/>
        <v>37.214425385510253</v>
      </c>
      <c r="X36" s="445">
        <f t="shared" si="20"/>
        <v>37.214425385510275</v>
      </c>
      <c r="Y36" s="445">
        <f t="shared" si="20"/>
        <v>78.836529463767548</v>
      </c>
      <c r="Z36" s="445">
        <f t="shared" si="20"/>
        <v>86.003486687746417</v>
      </c>
      <c r="AA36" s="445">
        <f t="shared" si="20"/>
        <v>37.029278990557465</v>
      </c>
      <c r="AB36" s="445">
        <f t="shared" si="20"/>
        <v>37.029278990557486</v>
      </c>
      <c r="AC36" s="445">
        <f t="shared" si="20"/>
        <v>78.444307924146841</v>
      </c>
      <c r="AD36" s="445">
        <f t="shared" si="20"/>
        <v>85.575608644523825</v>
      </c>
      <c r="AE36" s="445">
        <f t="shared" si="20"/>
        <v>36.845053721947735</v>
      </c>
      <c r="AF36" s="445">
        <f t="shared" si="20"/>
        <v>36.845053721947757</v>
      </c>
      <c r="AG36" s="445">
        <f t="shared" si="20"/>
        <v>78.054037735469507</v>
      </c>
      <c r="AH36" s="445">
        <f t="shared" si="20"/>
        <v>85.149859347784911</v>
      </c>
      <c r="AI36" s="445">
        <f t="shared" si="20"/>
        <v>36.661744996962931</v>
      </c>
      <c r="AJ36" s="445">
        <f t="shared" si="20"/>
        <v>36.661744996962952</v>
      </c>
      <c r="AK36" s="445">
        <f t="shared" ref="AK36:BP36" si="21" xml:space="preserve"> AK$30</f>
        <v>77.66570918952192</v>
      </c>
      <c r="AL36" s="445">
        <f t="shared" si="21"/>
        <v>84.726228206751173</v>
      </c>
      <c r="AM36" s="445">
        <f t="shared" si="21"/>
        <v>36.479348255684513</v>
      </c>
      <c r="AN36" s="445">
        <f t="shared" si="21"/>
        <v>36.479348255684535</v>
      </c>
      <c r="AO36" s="445">
        <f t="shared" si="21"/>
        <v>77.279312626389967</v>
      </c>
      <c r="AP36" s="445">
        <f t="shared" si="21"/>
        <v>84.304704683334492</v>
      </c>
      <c r="AQ36" s="445">
        <f t="shared" si="21"/>
        <v>36.297858960880113</v>
      </c>
      <c r="AR36" s="445">
        <f t="shared" si="21"/>
        <v>36.297858960880134</v>
      </c>
      <c r="AS36" s="445">
        <f t="shared" si="21"/>
        <v>76.894838434218883</v>
      </c>
      <c r="AT36" s="445">
        <f t="shared" si="21"/>
        <v>83.885278291875139</v>
      </c>
      <c r="AU36" s="445">
        <f t="shared" si="21"/>
        <v>36.117272597890668</v>
      </c>
      <c r="AV36" s="445">
        <f t="shared" si="21"/>
        <v>36.117272597890683</v>
      </c>
      <c r="AW36" s="445">
        <f t="shared" si="21"/>
        <v>76.512277048974028</v>
      </c>
      <c r="AX36" s="445">
        <f t="shared" si="21"/>
        <v>83.46793859888075</v>
      </c>
      <c r="AY36" s="445">
        <f t="shared" si="21"/>
        <v>35.937584674518078</v>
      </c>
      <c r="AZ36" s="445">
        <f t="shared" si="21"/>
        <v>35.937584674518099</v>
      </c>
      <c r="BA36" s="445">
        <f t="shared" si="21"/>
        <v>76.13161895420302</v>
      </c>
      <c r="BB36" s="445">
        <f t="shared" si="21"/>
        <v>83.052675222766922</v>
      </c>
      <c r="BC36" s="445">
        <f t="shared" si="21"/>
        <v>35.758790720913517</v>
      </c>
      <c r="BD36" s="445">
        <f t="shared" si="21"/>
        <v>35.758790720913538</v>
      </c>
      <c r="BE36" s="445">
        <f t="shared" si="21"/>
        <v>75.752854680799032</v>
      </c>
      <c r="BF36" s="445">
        <f t="shared" si="21"/>
        <v>82.639477833598932</v>
      </c>
      <c r="BG36" s="445">
        <f t="shared" si="21"/>
        <v>35.580886289466186</v>
      </c>
      <c r="BH36" s="445">
        <f t="shared" si="21"/>
        <v>35.580886289466207</v>
      </c>
      <c r="BI36" s="445">
        <f t="shared" si="21"/>
        <v>75.375974806765228</v>
      </c>
      <c r="BJ36" s="445">
        <f t="shared" si="21"/>
        <v>82.228336152834785</v>
      </c>
      <c r="BK36" s="445">
        <f t="shared" si="21"/>
        <v>35.403866954692738</v>
      </c>
      <c r="BL36" s="445">
        <f t="shared" si="21"/>
        <v>35.403866954692759</v>
      </c>
      <c r="BM36" s="445">
        <f t="shared" si="21"/>
        <v>75.000969956980327</v>
      </c>
      <c r="BN36" s="445">
        <f t="shared" si="21"/>
        <v>81.819239953069442</v>
      </c>
      <c r="BO36" s="445">
        <f t="shared" si="21"/>
        <v>35.227728313127102</v>
      </c>
      <c r="BP36" s="445">
        <f t="shared" si="21"/>
        <v>35.227728313127123</v>
      </c>
      <c r="BQ36" s="445">
        <f t="shared" ref="BQ36:CV36" si="22" xml:space="preserve"> BQ$30</f>
        <v>74.627830802965519</v>
      </c>
      <c r="BR36" s="445">
        <f t="shared" si="22"/>
        <v>81.412179057780563</v>
      </c>
      <c r="BS36" s="445">
        <f t="shared" si="22"/>
        <v>35.052465983211057</v>
      </c>
      <c r="BT36" s="445">
        <f t="shared" si="22"/>
        <v>35.052465983211071</v>
      </c>
      <c r="BU36" s="445">
        <f t="shared" si="22"/>
        <v>74.256548062652271</v>
      </c>
      <c r="BV36" s="445">
        <f t="shared" si="22"/>
        <v>81.007143341075206</v>
      </c>
      <c r="BW36" s="445">
        <f t="shared" si="22"/>
        <v>34.878075605185138</v>
      </c>
      <c r="BX36" s="445">
        <f t="shared" si="22"/>
        <v>34.87807560518516</v>
      </c>
      <c r="BY36" s="445">
        <f t="shared" si="22"/>
        <v>73.887112500151517</v>
      </c>
      <c r="BZ36" s="445">
        <f t="shared" si="22"/>
        <v>80.604122727438011</v>
      </c>
      <c r="CA36" s="445">
        <f t="shared" si="22"/>
        <v>34.704552840980234</v>
      </c>
      <c r="CB36" s="445">
        <f t="shared" si="22"/>
        <v>34.704552840980256</v>
      </c>
      <c r="CC36" s="445">
        <f t="shared" si="22"/>
        <v>73.519514925523907</v>
      </c>
      <c r="CD36" s="445">
        <f t="shared" si="22"/>
        <v>80.203107191480626</v>
      </c>
      <c r="CE36" s="445">
        <f t="shared" si="22"/>
        <v>34.531893374109693</v>
      </c>
      <c r="CF36" s="445">
        <f t="shared" si="22"/>
        <v>34.531893374109714</v>
      </c>
      <c r="CG36" s="445">
        <f t="shared" si="22"/>
        <v>73.153746194551175</v>
      </c>
      <c r="CH36" s="445">
        <f t="shared" si="22"/>
        <v>79.80408675769219</v>
      </c>
      <c r="CI36" s="445">
        <f t="shared" si="22"/>
        <v>34.360092909561899</v>
      </c>
      <c r="CJ36" s="445">
        <f t="shared" si="22"/>
        <v>34.360092909561914</v>
      </c>
      <c r="CK36" s="445">
        <f t="shared" si="22"/>
        <v>72.789797208508645</v>
      </c>
      <c r="CL36" s="445">
        <f t="shared" si="22"/>
        <v>79.40705150019123</v>
      </c>
      <c r="CM36" s="445">
        <f t="shared" si="22"/>
        <v>34.189147173693428</v>
      </c>
      <c r="CN36" s="445">
        <f t="shared" si="22"/>
        <v>34.189147173693449</v>
      </c>
      <c r="CO36" s="445">
        <f t="shared" si="22"/>
        <v>72.427658913938942</v>
      </c>
      <c r="CP36" s="445">
        <f t="shared" si="22"/>
        <v>79.011991542478839</v>
      </c>
      <c r="CQ36" s="445">
        <f t="shared" si="22"/>
        <v>34.019051914122819</v>
      </c>
      <c r="CR36" s="445">
        <f t="shared" si="22"/>
        <v>34.019051914122834</v>
      </c>
      <c r="CS36" s="445">
        <f t="shared" si="22"/>
        <v>72.067322302426831</v>
      </c>
      <c r="CT36" s="445">
        <f t="shared" si="22"/>
        <v>78.618897057192896</v>
      </c>
      <c r="CU36" s="445">
        <f t="shared" si="22"/>
        <v>33.849802899624706</v>
      </c>
      <c r="CV36" s="445">
        <f t="shared" si="22"/>
        <v>33.84980289962472</v>
      </c>
      <c r="CW36" s="445">
        <f t="shared" ref="CW36:EA36" si="23" xml:space="preserve"> CW$30</f>
        <v>71.708778410374961</v>
      </c>
      <c r="CX36" s="445">
        <f t="shared" si="23"/>
        <v>78.227758265863599</v>
      </c>
      <c r="CY36" s="445">
        <f t="shared" si="23"/>
        <v>33.681395920024585</v>
      </c>
      <c r="CZ36" s="445">
        <f t="shared" si="23"/>
        <v>33.681395920024606</v>
      </c>
      <c r="DA36" s="445">
        <f t="shared" si="23"/>
        <v>71.352018318781077</v>
      </c>
      <c r="DB36" s="445">
        <f t="shared" si="23"/>
        <v>77.838565438670258</v>
      </c>
      <c r="DC36" s="445">
        <f t="shared" si="23"/>
        <v>33.513826786094121</v>
      </c>
      <c r="DD36" s="445">
        <f t="shared" si="23"/>
        <v>33.513826786094135</v>
      </c>
      <c r="DE36" s="445">
        <f t="shared" si="23"/>
        <v>70.997033153015991</v>
      </c>
      <c r="DF36" s="445">
        <f t="shared" si="23"/>
        <v>77.451308894199258</v>
      </c>
      <c r="DG36" s="445">
        <f t="shared" si="23"/>
        <v>33.347091329446883</v>
      </c>
      <c r="DH36" s="445">
        <f t="shared" si="23"/>
        <v>33.347091329446904</v>
      </c>
      <c r="DI36" s="445">
        <f t="shared" si="23"/>
        <v>0</v>
      </c>
      <c r="DJ36" s="445">
        <f t="shared" si="23"/>
        <v>0</v>
      </c>
      <c r="DK36" s="445">
        <f t="shared" si="23"/>
        <v>0</v>
      </c>
      <c r="DL36" s="445">
        <f t="shared" si="23"/>
        <v>0</v>
      </c>
      <c r="DM36" s="445">
        <f t="shared" si="23"/>
        <v>0</v>
      </c>
      <c r="DN36" s="445">
        <f t="shared" si="23"/>
        <v>0</v>
      </c>
      <c r="DO36" s="445">
        <f t="shared" si="23"/>
        <v>0</v>
      </c>
      <c r="DP36" s="445">
        <f t="shared" si="23"/>
        <v>0</v>
      </c>
      <c r="DQ36" s="445">
        <f t="shared" si="23"/>
        <v>0</v>
      </c>
      <c r="DR36" s="445">
        <f t="shared" si="23"/>
        <v>0</v>
      </c>
      <c r="DS36" s="445">
        <f t="shared" si="23"/>
        <v>0</v>
      </c>
      <c r="DT36" s="445">
        <f t="shared" si="23"/>
        <v>0</v>
      </c>
      <c r="DU36" s="445">
        <f t="shared" si="23"/>
        <v>0</v>
      </c>
      <c r="DV36" s="445">
        <f t="shared" si="23"/>
        <v>0</v>
      </c>
      <c r="DW36" s="445">
        <f t="shared" si="23"/>
        <v>0</v>
      </c>
      <c r="DX36" s="445">
        <f t="shared" si="23"/>
        <v>0</v>
      </c>
      <c r="DY36" s="445">
        <f t="shared" si="23"/>
        <v>0</v>
      </c>
      <c r="DZ36" s="445">
        <f t="shared" si="23"/>
        <v>0</v>
      </c>
      <c r="EA36" s="445">
        <f t="shared" si="23"/>
        <v>0</v>
      </c>
    </row>
    <row r="37" spans="1:131" s="446" customFormat="1" outlineLevel="2" x14ac:dyDescent="0.35">
      <c r="A37" s="192"/>
      <c r="B37" s="192"/>
      <c r="C37" s="193"/>
      <c r="D37" s="194"/>
      <c r="E37" s="441" t="str">
        <f xml:space="preserve"> Time!E$97</f>
        <v>Operating period flag</v>
      </c>
      <c r="F37" s="441">
        <f xml:space="preserve"> Time!F$97</f>
        <v>0</v>
      </c>
      <c r="G37" s="441" t="str">
        <f xml:space="preserve"> Time!G$97</f>
        <v>flag</v>
      </c>
      <c r="H37" s="441">
        <f xml:space="preserve"> Time!H$97</f>
        <v>100</v>
      </c>
      <c r="I37" s="441">
        <f xml:space="preserve"> Time!I$97</f>
        <v>0</v>
      </c>
      <c r="J37" s="441">
        <f xml:space="preserve"> Time!J$97</f>
        <v>0</v>
      </c>
      <c r="K37" s="441">
        <f xml:space="preserve"> Time!K$97</f>
        <v>0</v>
      </c>
      <c r="L37" s="441">
        <f xml:space="preserve"> Time!L$97</f>
        <v>0</v>
      </c>
      <c r="M37" s="441">
        <f xml:space="preserve"> Time!M$97</f>
        <v>1</v>
      </c>
      <c r="N37" s="441">
        <f xml:space="preserve"> Time!N$97</f>
        <v>1</v>
      </c>
      <c r="O37" s="441">
        <f xml:space="preserve"> Time!O$97</f>
        <v>1</v>
      </c>
      <c r="P37" s="441">
        <f xml:space="preserve"> Time!P$97</f>
        <v>1</v>
      </c>
      <c r="Q37" s="441">
        <f xml:space="preserve"> Time!Q$97</f>
        <v>1</v>
      </c>
      <c r="R37" s="441">
        <f xml:space="preserve"> Time!R$97</f>
        <v>1</v>
      </c>
      <c r="S37" s="441">
        <f xml:space="preserve"> Time!S$97</f>
        <v>1</v>
      </c>
      <c r="T37" s="441">
        <f xml:space="preserve"> Time!T$97</f>
        <v>1</v>
      </c>
      <c r="U37" s="441">
        <f xml:space="preserve"> Time!U$97</f>
        <v>1</v>
      </c>
      <c r="V37" s="441">
        <f xml:space="preserve"> Time!V$97</f>
        <v>1</v>
      </c>
      <c r="W37" s="441">
        <f xml:space="preserve"> Time!W$97</f>
        <v>1</v>
      </c>
      <c r="X37" s="441">
        <f xml:space="preserve"> Time!X$97</f>
        <v>1</v>
      </c>
      <c r="Y37" s="441">
        <f xml:space="preserve"> Time!Y$97</f>
        <v>1</v>
      </c>
      <c r="Z37" s="441">
        <f xml:space="preserve"> Time!Z$97</f>
        <v>1</v>
      </c>
      <c r="AA37" s="441">
        <f xml:space="preserve"> Time!AA$97</f>
        <v>1</v>
      </c>
      <c r="AB37" s="441">
        <f xml:space="preserve"> Time!AB$97</f>
        <v>1</v>
      </c>
      <c r="AC37" s="441">
        <f xml:space="preserve"> Time!AC$97</f>
        <v>1</v>
      </c>
      <c r="AD37" s="441">
        <f xml:space="preserve"> Time!AD$97</f>
        <v>1</v>
      </c>
      <c r="AE37" s="441">
        <f xml:space="preserve"> Time!AE$97</f>
        <v>1</v>
      </c>
      <c r="AF37" s="441">
        <f xml:space="preserve"> Time!AF$97</f>
        <v>1</v>
      </c>
      <c r="AG37" s="441">
        <f xml:space="preserve"> Time!AG$97</f>
        <v>1</v>
      </c>
      <c r="AH37" s="441">
        <f xml:space="preserve"> Time!AH$97</f>
        <v>1</v>
      </c>
      <c r="AI37" s="441">
        <f xml:space="preserve"> Time!AI$97</f>
        <v>1</v>
      </c>
      <c r="AJ37" s="441">
        <f xml:space="preserve"> Time!AJ$97</f>
        <v>1</v>
      </c>
      <c r="AK37" s="441">
        <f xml:space="preserve"> Time!AK$97</f>
        <v>1</v>
      </c>
      <c r="AL37" s="441">
        <f xml:space="preserve"> Time!AL$97</f>
        <v>1</v>
      </c>
      <c r="AM37" s="441">
        <f xml:space="preserve"> Time!AM$97</f>
        <v>1</v>
      </c>
      <c r="AN37" s="441">
        <f xml:space="preserve"> Time!AN$97</f>
        <v>1</v>
      </c>
      <c r="AO37" s="441">
        <f xml:space="preserve"> Time!AO$97</f>
        <v>1</v>
      </c>
      <c r="AP37" s="441">
        <f xml:space="preserve"> Time!AP$97</f>
        <v>1</v>
      </c>
      <c r="AQ37" s="441">
        <f xml:space="preserve"> Time!AQ$97</f>
        <v>1</v>
      </c>
      <c r="AR37" s="441">
        <f xml:space="preserve"> Time!AR$97</f>
        <v>1</v>
      </c>
      <c r="AS37" s="441">
        <f xml:space="preserve"> Time!AS$97</f>
        <v>1</v>
      </c>
      <c r="AT37" s="441">
        <f xml:space="preserve"> Time!AT$97</f>
        <v>1</v>
      </c>
      <c r="AU37" s="441">
        <f xml:space="preserve"> Time!AU$97</f>
        <v>1</v>
      </c>
      <c r="AV37" s="441">
        <f xml:space="preserve"> Time!AV$97</f>
        <v>1</v>
      </c>
      <c r="AW37" s="441">
        <f xml:space="preserve"> Time!AW$97</f>
        <v>1</v>
      </c>
      <c r="AX37" s="441">
        <f xml:space="preserve"> Time!AX$97</f>
        <v>1</v>
      </c>
      <c r="AY37" s="441">
        <f xml:space="preserve"> Time!AY$97</f>
        <v>1</v>
      </c>
      <c r="AZ37" s="441">
        <f xml:space="preserve"> Time!AZ$97</f>
        <v>1</v>
      </c>
      <c r="BA37" s="441">
        <f xml:space="preserve"> Time!BA$97</f>
        <v>1</v>
      </c>
      <c r="BB37" s="441">
        <f xml:space="preserve"> Time!BB$97</f>
        <v>1</v>
      </c>
      <c r="BC37" s="441">
        <f xml:space="preserve"> Time!BC$97</f>
        <v>1</v>
      </c>
      <c r="BD37" s="441">
        <f xml:space="preserve"> Time!BD$97</f>
        <v>1</v>
      </c>
      <c r="BE37" s="441">
        <f xml:space="preserve"> Time!BE$97</f>
        <v>1</v>
      </c>
      <c r="BF37" s="441">
        <f xml:space="preserve"> Time!BF$97</f>
        <v>1</v>
      </c>
      <c r="BG37" s="441">
        <f xml:space="preserve"> Time!BG$97</f>
        <v>1</v>
      </c>
      <c r="BH37" s="441">
        <f xml:space="preserve"> Time!BH$97</f>
        <v>1</v>
      </c>
      <c r="BI37" s="441">
        <f xml:space="preserve"> Time!BI$97</f>
        <v>1</v>
      </c>
      <c r="BJ37" s="441">
        <f xml:space="preserve"> Time!BJ$97</f>
        <v>1</v>
      </c>
      <c r="BK37" s="441">
        <f xml:space="preserve"> Time!BK$97</f>
        <v>1</v>
      </c>
      <c r="BL37" s="441">
        <f xml:space="preserve"> Time!BL$97</f>
        <v>1</v>
      </c>
      <c r="BM37" s="441">
        <f xml:space="preserve"> Time!BM$97</f>
        <v>1</v>
      </c>
      <c r="BN37" s="441">
        <f xml:space="preserve"> Time!BN$97</f>
        <v>1</v>
      </c>
      <c r="BO37" s="441">
        <f xml:space="preserve"> Time!BO$97</f>
        <v>1</v>
      </c>
      <c r="BP37" s="441">
        <f xml:space="preserve"> Time!BP$97</f>
        <v>1</v>
      </c>
      <c r="BQ37" s="441">
        <f xml:space="preserve"> Time!BQ$97</f>
        <v>1</v>
      </c>
      <c r="BR37" s="441">
        <f xml:space="preserve"> Time!BR$97</f>
        <v>1</v>
      </c>
      <c r="BS37" s="441">
        <f xml:space="preserve"> Time!BS$97</f>
        <v>1</v>
      </c>
      <c r="BT37" s="441">
        <f xml:space="preserve"> Time!BT$97</f>
        <v>1</v>
      </c>
      <c r="BU37" s="441">
        <f xml:space="preserve"> Time!BU$97</f>
        <v>1</v>
      </c>
      <c r="BV37" s="441">
        <f xml:space="preserve"> Time!BV$97</f>
        <v>1</v>
      </c>
      <c r="BW37" s="441">
        <f xml:space="preserve"> Time!BW$97</f>
        <v>1</v>
      </c>
      <c r="BX37" s="441">
        <f xml:space="preserve"> Time!BX$97</f>
        <v>1</v>
      </c>
      <c r="BY37" s="441">
        <f xml:space="preserve"> Time!BY$97</f>
        <v>1</v>
      </c>
      <c r="BZ37" s="441">
        <f xml:space="preserve"> Time!BZ$97</f>
        <v>1</v>
      </c>
      <c r="CA37" s="441">
        <f xml:space="preserve"> Time!CA$97</f>
        <v>1</v>
      </c>
      <c r="CB37" s="441">
        <f xml:space="preserve"> Time!CB$97</f>
        <v>1</v>
      </c>
      <c r="CC37" s="441">
        <f xml:space="preserve"> Time!CC$97</f>
        <v>1</v>
      </c>
      <c r="CD37" s="441">
        <f xml:space="preserve"> Time!CD$97</f>
        <v>1</v>
      </c>
      <c r="CE37" s="441">
        <f xml:space="preserve"> Time!CE$97</f>
        <v>1</v>
      </c>
      <c r="CF37" s="441">
        <f xml:space="preserve"> Time!CF$97</f>
        <v>1</v>
      </c>
      <c r="CG37" s="441">
        <f xml:space="preserve"> Time!CG$97</f>
        <v>1</v>
      </c>
      <c r="CH37" s="441">
        <f xml:space="preserve"> Time!CH$97</f>
        <v>1</v>
      </c>
      <c r="CI37" s="441">
        <f xml:space="preserve"> Time!CI$97</f>
        <v>1</v>
      </c>
      <c r="CJ37" s="441">
        <f xml:space="preserve"> Time!CJ$97</f>
        <v>1</v>
      </c>
      <c r="CK37" s="441">
        <f xml:space="preserve"> Time!CK$97</f>
        <v>1</v>
      </c>
      <c r="CL37" s="441">
        <f xml:space="preserve"> Time!CL$97</f>
        <v>1</v>
      </c>
      <c r="CM37" s="441">
        <f xml:space="preserve"> Time!CM$97</f>
        <v>1</v>
      </c>
      <c r="CN37" s="441">
        <f xml:space="preserve"> Time!CN$97</f>
        <v>1</v>
      </c>
      <c r="CO37" s="441">
        <f xml:space="preserve"> Time!CO$97</f>
        <v>1</v>
      </c>
      <c r="CP37" s="441">
        <f xml:space="preserve"> Time!CP$97</f>
        <v>1</v>
      </c>
      <c r="CQ37" s="441">
        <f xml:space="preserve"> Time!CQ$97</f>
        <v>1</v>
      </c>
      <c r="CR37" s="441">
        <f xml:space="preserve"> Time!CR$97</f>
        <v>1</v>
      </c>
      <c r="CS37" s="441">
        <f xml:space="preserve"> Time!CS$97</f>
        <v>1</v>
      </c>
      <c r="CT37" s="441">
        <f xml:space="preserve"> Time!CT$97</f>
        <v>1</v>
      </c>
      <c r="CU37" s="441">
        <f xml:space="preserve"> Time!CU$97</f>
        <v>1</v>
      </c>
      <c r="CV37" s="441">
        <f xml:space="preserve"> Time!CV$97</f>
        <v>1</v>
      </c>
      <c r="CW37" s="441">
        <f xml:space="preserve"> Time!CW$97</f>
        <v>1</v>
      </c>
      <c r="CX37" s="441">
        <f xml:space="preserve"> Time!CX$97</f>
        <v>1</v>
      </c>
      <c r="CY37" s="441">
        <f xml:space="preserve"> Time!CY$97</f>
        <v>1</v>
      </c>
      <c r="CZ37" s="441">
        <f xml:space="preserve"> Time!CZ$97</f>
        <v>1</v>
      </c>
      <c r="DA37" s="441">
        <f xml:space="preserve"> Time!DA$97</f>
        <v>1</v>
      </c>
      <c r="DB37" s="441">
        <f xml:space="preserve"> Time!DB$97</f>
        <v>1</v>
      </c>
      <c r="DC37" s="441">
        <f xml:space="preserve"> Time!DC$97</f>
        <v>1</v>
      </c>
      <c r="DD37" s="441">
        <f xml:space="preserve"> Time!DD$97</f>
        <v>1</v>
      </c>
      <c r="DE37" s="441">
        <f xml:space="preserve"> Time!DE$97</f>
        <v>1</v>
      </c>
      <c r="DF37" s="441">
        <f xml:space="preserve"> Time!DF$97</f>
        <v>1</v>
      </c>
      <c r="DG37" s="441">
        <f xml:space="preserve"> Time!DG$97</f>
        <v>1</v>
      </c>
      <c r="DH37" s="441">
        <f xml:space="preserve"> Time!DH$97</f>
        <v>1</v>
      </c>
      <c r="DI37" s="441">
        <f xml:space="preserve"> Time!DI$97</f>
        <v>0</v>
      </c>
      <c r="DJ37" s="441">
        <f xml:space="preserve"> Time!DJ$97</f>
        <v>0</v>
      </c>
      <c r="DK37" s="441">
        <f xml:space="preserve"> Time!DK$97</f>
        <v>0</v>
      </c>
      <c r="DL37" s="441">
        <f xml:space="preserve"> Time!DL$97</f>
        <v>0</v>
      </c>
      <c r="DM37" s="441">
        <f xml:space="preserve"> Time!DM$97</f>
        <v>0</v>
      </c>
      <c r="DN37" s="441">
        <f xml:space="preserve"> Time!DN$97</f>
        <v>0</v>
      </c>
      <c r="DO37" s="441">
        <f xml:space="preserve"> Time!DO$97</f>
        <v>0</v>
      </c>
      <c r="DP37" s="441">
        <f xml:space="preserve"> Time!DP$97</f>
        <v>0</v>
      </c>
      <c r="DQ37" s="441">
        <f xml:space="preserve"> Time!DQ$97</f>
        <v>0</v>
      </c>
      <c r="DR37" s="441">
        <f xml:space="preserve"> Time!DR$97</f>
        <v>0</v>
      </c>
      <c r="DS37" s="441">
        <f xml:space="preserve"> Time!DS$97</f>
        <v>0</v>
      </c>
      <c r="DT37" s="441">
        <f xml:space="preserve"> Time!DT$97</f>
        <v>0</v>
      </c>
      <c r="DU37" s="441">
        <f xml:space="preserve"> Time!DU$97</f>
        <v>0</v>
      </c>
      <c r="DV37" s="441">
        <f xml:space="preserve"> Time!DV$97</f>
        <v>0</v>
      </c>
      <c r="DW37" s="441">
        <f xml:space="preserve"> Time!DW$97</f>
        <v>0</v>
      </c>
      <c r="DX37" s="441">
        <f xml:space="preserve"> Time!DX$97</f>
        <v>0</v>
      </c>
      <c r="DY37" s="441">
        <f xml:space="preserve"> Time!DY$97</f>
        <v>0</v>
      </c>
      <c r="DZ37" s="441">
        <f xml:space="preserve"> Time!DZ$97</f>
        <v>0</v>
      </c>
      <c r="EA37" s="441">
        <f xml:space="preserve"> Time!EA$97</f>
        <v>0</v>
      </c>
    </row>
    <row r="38" spans="1:131" s="447" customFormat="1" outlineLevel="2" x14ac:dyDescent="0.35">
      <c r="A38" s="102"/>
      <c r="B38" s="102"/>
      <c r="C38" s="103"/>
      <c r="D38" s="104"/>
      <c r="E38" s="481" t="s">
        <v>178</v>
      </c>
      <c r="F38" s="481"/>
      <c r="G38" s="481" t="str">
        <f xml:space="preserve"> SMU</f>
        <v>$ 000s</v>
      </c>
      <c r="H38" s="481">
        <f xml:space="preserve"> SUM(J38:GJ38)</f>
        <v>371409.67882059288</v>
      </c>
      <c r="I38" s="481"/>
      <c r="J38" s="481">
        <f t="shared" ref="J38:AO38" si="24" xml:space="preserve"> $F33 * $F34 / $F35 * J36  * J37</f>
        <v>0</v>
      </c>
      <c r="K38" s="481">
        <f t="shared" si="24"/>
        <v>0</v>
      </c>
      <c r="L38" s="481">
        <f t="shared" si="24"/>
        <v>0</v>
      </c>
      <c r="M38" s="481">
        <f t="shared" si="24"/>
        <v>5201.625</v>
      </c>
      <c r="N38" s="481">
        <f t="shared" si="24"/>
        <v>5674.5</v>
      </c>
      <c r="O38" s="481">
        <f t="shared" si="24"/>
        <v>2443.1874999999986</v>
      </c>
      <c r="P38" s="481">
        <f t="shared" si="24"/>
        <v>2443.1875</v>
      </c>
      <c r="Q38" s="481">
        <f t="shared" si="24"/>
        <v>5175.7462686567178</v>
      </c>
      <c r="R38" s="481">
        <f t="shared" si="24"/>
        <v>5646.2686567164183</v>
      </c>
      <c r="S38" s="481">
        <f t="shared" si="24"/>
        <v>2431.0323383084565</v>
      </c>
      <c r="T38" s="481">
        <f t="shared" si="24"/>
        <v>2431.0323383084578</v>
      </c>
      <c r="U38" s="481">
        <f t="shared" si="24"/>
        <v>5149.9962872206152</v>
      </c>
      <c r="V38" s="481">
        <f t="shared" si="24"/>
        <v>5618.1777678770341</v>
      </c>
      <c r="W38" s="481">
        <f t="shared" si="24"/>
        <v>2418.9376500581666</v>
      </c>
      <c r="X38" s="481">
        <f t="shared" si="24"/>
        <v>2418.9376500581679</v>
      </c>
      <c r="Y38" s="481">
        <f t="shared" si="24"/>
        <v>5124.3744151448909</v>
      </c>
      <c r="Z38" s="481">
        <f t="shared" si="24"/>
        <v>5590.2266347035174</v>
      </c>
      <c r="AA38" s="481">
        <f t="shared" si="24"/>
        <v>2406.9031343862353</v>
      </c>
      <c r="AB38" s="481">
        <f t="shared" si="24"/>
        <v>2406.9031343862366</v>
      </c>
      <c r="AC38" s="481">
        <f t="shared" si="24"/>
        <v>5098.8800150695442</v>
      </c>
      <c r="AD38" s="481">
        <f t="shared" si="24"/>
        <v>5562.4145618940483</v>
      </c>
      <c r="AE38" s="481">
        <f t="shared" si="24"/>
        <v>2394.9284919266029</v>
      </c>
      <c r="AF38" s="481">
        <f t="shared" si="24"/>
        <v>2394.9284919266042</v>
      </c>
      <c r="AG38" s="481">
        <f t="shared" si="24"/>
        <v>5073.5124528055176</v>
      </c>
      <c r="AH38" s="481">
        <f t="shared" si="24"/>
        <v>5534.7408576060188</v>
      </c>
      <c r="AI38" s="481">
        <f t="shared" si="24"/>
        <v>2383.0134248025906</v>
      </c>
      <c r="AJ38" s="481">
        <f t="shared" si="24"/>
        <v>2383.013424802592</v>
      </c>
      <c r="AK38" s="481">
        <f t="shared" si="24"/>
        <v>5048.2710973189251</v>
      </c>
      <c r="AL38" s="481">
        <f t="shared" si="24"/>
        <v>5507.2048334388264</v>
      </c>
      <c r="AM38" s="481">
        <f t="shared" si="24"/>
        <v>2371.1576366194936</v>
      </c>
      <c r="AN38" s="481">
        <f t="shared" si="24"/>
        <v>2371.157636619495</v>
      </c>
      <c r="AO38" s="481">
        <f t="shared" si="24"/>
        <v>5023.1553207153474</v>
      </c>
      <c r="AP38" s="481">
        <f t="shared" ref="AP38:BU38" si="25" xml:space="preserve"> $F33 * $F34 / $F35 * AP36  * AP37</f>
        <v>5479.8058044167419</v>
      </c>
      <c r="AQ38" s="481">
        <f t="shared" si="25"/>
        <v>2359.3608324572074</v>
      </c>
      <c r="AR38" s="481">
        <f t="shared" si="25"/>
        <v>2359.3608324572087</v>
      </c>
      <c r="AS38" s="481">
        <f t="shared" si="25"/>
        <v>4998.1644982242278</v>
      </c>
      <c r="AT38" s="481">
        <f t="shared" si="25"/>
        <v>5452.5430889718837</v>
      </c>
      <c r="AU38" s="481">
        <f t="shared" si="25"/>
        <v>2347.6227188628936</v>
      </c>
      <c r="AV38" s="481">
        <f t="shared" si="25"/>
        <v>2347.6227188628945</v>
      </c>
      <c r="AW38" s="481">
        <f t="shared" si="25"/>
        <v>4973.298008183312</v>
      </c>
      <c r="AX38" s="481">
        <f t="shared" si="25"/>
        <v>5425.4160089272491</v>
      </c>
      <c r="AY38" s="481">
        <f t="shared" si="25"/>
        <v>2335.9430038436749</v>
      </c>
      <c r="AZ38" s="481">
        <f t="shared" si="25"/>
        <v>2335.9430038436763</v>
      </c>
      <c r="BA38" s="481">
        <f t="shared" si="25"/>
        <v>4948.5552320231964</v>
      </c>
      <c r="BB38" s="481">
        <f t="shared" si="25"/>
        <v>5398.42388947985</v>
      </c>
      <c r="BC38" s="481">
        <f t="shared" si="25"/>
        <v>2324.3213968593786</v>
      </c>
      <c r="BD38" s="481">
        <f t="shared" si="25"/>
        <v>2324.32139685938</v>
      </c>
      <c r="BE38" s="481">
        <f t="shared" si="25"/>
        <v>4923.935554251937</v>
      </c>
      <c r="BF38" s="481">
        <f t="shared" si="25"/>
        <v>5371.5660591839305</v>
      </c>
      <c r="BG38" s="481">
        <f t="shared" si="25"/>
        <v>2312.7576088153019</v>
      </c>
      <c r="BH38" s="481">
        <f t="shared" si="25"/>
        <v>2312.7576088153037</v>
      </c>
      <c r="BI38" s="481">
        <f t="shared" si="25"/>
        <v>4899.4383624397396</v>
      </c>
      <c r="BJ38" s="481">
        <f t="shared" si="25"/>
        <v>5344.8418499342606</v>
      </c>
      <c r="BK38" s="481">
        <f t="shared" si="25"/>
        <v>2301.2513520550278</v>
      </c>
      <c r="BL38" s="481">
        <f t="shared" si="25"/>
        <v>2301.2513520550292</v>
      </c>
      <c r="BM38" s="481">
        <f t="shared" si="25"/>
        <v>4875.063047203721</v>
      </c>
      <c r="BN38" s="481">
        <f t="shared" si="25"/>
        <v>5318.2505969495141</v>
      </c>
      <c r="BO38" s="481">
        <f t="shared" si="25"/>
        <v>2289.8023403532616</v>
      </c>
      <c r="BP38" s="481">
        <f t="shared" si="25"/>
        <v>2289.8023403532629</v>
      </c>
      <c r="BQ38" s="481">
        <f t="shared" si="25"/>
        <v>4850.8090021927592</v>
      </c>
      <c r="BR38" s="481">
        <f t="shared" si="25"/>
        <v>5291.7916387557361</v>
      </c>
      <c r="BS38" s="481">
        <f t="shared" si="25"/>
        <v>2278.4102889087189</v>
      </c>
      <c r="BT38" s="481">
        <f t="shared" si="25"/>
        <v>2278.4102889087198</v>
      </c>
      <c r="BU38" s="481">
        <f t="shared" si="25"/>
        <v>4826.675624072398</v>
      </c>
      <c r="BV38" s="481">
        <f t="shared" ref="BV38:DA38" si="26" xml:space="preserve"> $F33 * $F34 / $F35 * BV36  * BV37</f>
        <v>5265.4643171698881</v>
      </c>
      <c r="BW38" s="481">
        <f t="shared" si="26"/>
        <v>2267.074914337034</v>
      </c>
      <c r="BX38" s="481">
        <f t="shared" si="26"/>
        <v>2267.0749143370354</v>
      </c>
      <c r="BY38" s="481">
        <f t="shared" si="26"/>
        <v>4802.6623125098486</v>
      </c>
      <c r="BZ38" s="481">
        <f t="shared" si="26"/>
        <v>5239.2679772834708</v>
      </c>
      <c r="CA38" s="481">
        <f t="shared" si="26"/>
        <v>2255.7959346637153</v>
      </c>
      <c r="CB38" s="481">
        <f t="shared" si="26"/>
        <v>2255.7959346637167</v>
      </c>
      <c r="CC38" s="481">
        <f t="shared" si="26"/>
        <v>4778.7684701590542</v>
      </c>
      <c r="CD38" s="481">
        <f t="shared" si="26"/>
        <v>5213.2019674462408</v>
      </c>
      <c r="CE38" s="481">
        <f t="shared" si="26"/>
        <v>2244.5730693171299</v>
      </c>
      <c r="CF38" s="481">
        <f t="shared" si="26"/>
        <v>2244.5730693171313</v>
      </c>
      <c r="CG38" s="481">
        <f t="shared" si="26"/>
        <v>4754.9935026458261</v>
      </c>
      <c r="CH38" s="481">
        <f t="shared" si="26"/>
        <v>5187.2656392499921</v>
      </c>
      <c r="CI38" s="481">
        <f t="shared" si="26"/>
        <v>2233.4060391215235</v>
      </c>
      <c r="CJ38" s="481">
        <f t="shared" si="26"/>
        <v>2233.4060391215244</v>
      </c>
      <c r="CK38" s="481">
        <f t="shared" si="26"/>
        <v>4731.3368185530617</v>
      </c>
      <c r="CL38" s="481">
        <f t="shared" si="26"/>
        <v>5161.45834751243</v>
      </c>
      <c r="CM38" s="481">
        <f t="shared" si="26"/>
        <v>2222.2945662900729</v>
      </c>
      <c r="CN38" s="481">
        <f t="shared" si="26"/>
        <v>2222.2945662900743</v>
      </c>
      <c r="CO38" s="481">
        <f t="shared" si="26"/>
        <v>4707.7978294060313</v>
      </c>
      <c r="CP38" s="481">
        <f t="shared" si="26"/>
        <v>5135.7794502611241</v>
      </c>
      <c r="CQ38" s="481">
        <f t="shared" si="26"/>
        <v>2211.2383744179833</v>
      </c>
      <c r="CR38" s="481">
        <f t="shared" si="26"/>
        <v>2211.2383744179842</v>
      </c>
      <c r="CS38" s="481">
        <f t="shared" si="26"/>
        <v>4684.3759496577441</v>
      </c>
      <c r="CT38" s="481">
        <f t="shared" si="26"/>
        <v>5110.2283087175383</v>
      </c>
      <c r="CU38" s="481">
        <f t="shared" si="26"/>
        <v>2200.2371884756058</v>
      </c>
      <c r="CV38" s="481">
        <f t="shared" si="26"/>
        <v>2200.2371884756067</v>
      </c>
      <c r="CW38" s="481">
        <f t="shared" si="26"/>
        <v>4661.0705966743726</v>
      </c>
      <c r="CX38" s="481">
        <f t="shared" si="26"/>
        <v>5084.8042872811338</v>
      </c>
      <c r="CY38" s="481">
        <f t="shared" si="26"/>
        <v>2189.2907348015979</v>
      </c>
      <c r="CZ38" s="481">
        <f t="shared" si="26"/>
        <v>2189.2907348015992</v>
      </c>
      <c r="DA38" s="481">
        <f t="shared" si="26"/>
        <v>4637.8811907207701</v>
      </c>
      <c r="DB38" s="481">
        <f t="shared" ref="DB38:EA38" si="27" xml:space="preserve"> $F33 * $F34 / $F35 * DB36  * DB37</f>
        <v>5059.5067535135668</v>
      </c>
      <c r="DC38" s="481">
        <f t="shared" si="27"/>
        <v>2178.3987410961181</v>
      </c>
      <c r="DD38" s="481">
        <f t="shared" si="27"/>
        <v>2178.398741096119</v>
      </c>
      <c r="DE38" s="481">
        <f t="shared" si="27"/>
        <v>4614.8071549460392</v>
      </c>
      <c r="DF38" s="481">
        <f t="shared" si="27"/>
        <v>5034.3350781229519</v>
      </c>
      <c r="DG38" s="481">
        <f t="shared" si="27"/>
        <v>2167.5609364140473</v>
      </c>
      <c r="DH38" s="481">
        <f t="shared" si="27"/>
        <v>2167.5609364140487</v>
      </c>
      <c r="DI38" s="481">
        <f t="shared" si="27"/>
        <v>0</v>
      </c>
      <c r="DJ38" s="481">
        <f t="shared" si="27"/>
        <v>0</v>
      </c>
      <c r="DK38" s="481">
        <f t="shared" si="27"/>
        <v>0</v>
      </c>
      <c r="DL38" s="481">
        <f t="shared" si="27"/>
        <v>0</v>
      </c>
      <c r="DM38" s="481">
        <f t="shared" si="27"/>
        <v>0</v>
      </c>
      <c r="DN38" s="481">
        <f t="shared" si="27"/>
        <v>0</v>
      </c>
      <c r="DO38" s="481">
        <f t="shared" si="27"/>
        <v>0</v>
      </c>
      <c r="DP38" s="481">
        <f t="shared" si="27"/>
        <v>0</v>
      </c>
      <c r="DQ38" s="481">
        <f t="shared" si="27"/>
        <v>0</v>
      </c>
      <c r="DR38" s="481">
        <f t="shared" si="27"/>
        <v>0</v>
      </c>
      <c r="DS38" s="481">
        <f t="shared" si="27"/>
        <v>0</v>
      </c>
      <c r="DT38" s="481">
        <f t="shared" si="27"/>
        <v>0</v>
      </c>
      <c r="DU38" s="481">
        <f t="shared" si="27"/>
        <v>0</v>
      </c>
      <c r="DV38" s="481">
        <f t="shared" si="27"/>
        <v>0</v>
      </c>
      <c r="DW38" s="481">
        <f t="shared" si="27"/>
        <v>0</v>
      </c>
      <c r="DX38" s="481">
        <f t="shared" si="27"/>
        <v>0</v>
      </c>
      <c r="DY38" s="481">
        <f t="shared" si="27"/>
        <v>0</v>
      </c>
      <c r="DZ38" s="481">
        <f t="shared" si="27"/>
        <v>0</v>
      </c>
      <c r="EA38" s="481">
        <f t="shared" si="27"/>
        <v>0</v>
      </c>
    </row>
    <row r="39" spans="1:131" outlineLevel="2" x14ac:dyDescent="0.35"/>
    <row r="41" spans="1:131" x14ac:dyDescent="0.35">
      <c r="A41" s="8" t="s">
        <v>195</v>
      </c>
    </row>
    <row r="42" spans="1:131" outlineLevel="1" x14ac:dyDescent="0.35"/>
    <row r="43" spans="1:131" outlineLevel="1" x14ac:dyDescent="0.35">
      <c r="B43" s="8" t="s">
        <v>196</v>
      </c>
    </row>
    <row r="44" spans="1:131" outlineLevel="2" x14ac:dyDescent="0.35">
      <c r="E44" s="428" t="str">
        <f xml:space="preserve"> InpC!E$36</f>
        <v>Accounts receivable days</v>
      </c>
      <c r="F44" s="428">
        <f xml:space="preserve"> InpC!F$36</f>
        <v>60</v>
      </c>
      <c r="G44" s="428" t="str">
        <f xml:space="preserve"> InpC!G$36</f>
        <v>days</v>
      </c>
      <c r="H44" s="26"/>
    </row>
    <row r="45" spans="1:131" outlineLevel="2" x14ac:dyDescent="0.35">
      <c r="E45" s="445" t="str">
        <f t="shared" ref="E45:AJ45" si="28" xml:space="preserve"> E$38</f>
        <v>Electricity revenue</v>
      </c>
      <c r="F45" s="445">
        <f t="shared" si="28"/>
        <v>0</v>
      </c>
      <c r="G45" s="445" t="str">
        <f t="shared" si="28"/>
        <v>$ 000s</v>
      </c>
      <c r="H45" s="445">
        <f t="shared" si="28"/>
        <v>371409.67882059288</v>
      </c>
      <c r="I45" s="445">
        <f t="shared" si="28"/>
        <v>0</v>
      </c>
      <c r="J45" s="445">
        <f t="shared" si="28"/>
        <v>0</v>
      </c>
      <c r="K45" s="445">
        <f t="shared" si="28"/>
        <v>0</v>
      </c>
      <c r="L45" s="445">
        <f t="shared" si="28"/>
        <v>0</v>
      </c>
      <c r="M45" s="445">
        <f t="shared" si="28"/>
        <v>5201.625</v>
      </c>
      <c r="N45" s="445">
        <f t="shared" si="28"/>
        <v>5674.5</v>
      </c>
      <c r="O45" s="445">
        <f t="shared" si="28"/>
        <v>2443.1874999999986</v>
      </c>
      <c r="P45" s="445">
        <f t="shared" si="28"/>
        <v>2443.1875</v>
      </c>
      <c r="Q45" s="445">
        <f t="shared" si="28"/>
        <v>5175.7462686567178</v>
      </c>
      <c r="R45" s="445">
        <f t="shared" si="28"/>
        <v>5646.2686567164183</v>
      </c>
      <c r="S45" s="445">
        <f t="shared" si="28"/>
        <v>2431.0323383084565</v>
      </c>
      <c r="T45" s="445">
        <f t="shared" si="28"/>
        <v>2431.0323383084578</v>
      </c>
      <c r="U45" s="445">
        <f t="shared" si="28"/>
        <v>5149.9962872206152</v>
      </c>
      <c r="V45" s="445">
        <f t="shared" si="28"/>
        <v>5618.1777678770341</v>
      </c>
      <c r="W45" s="445">
        <f t="shared" si="28"/>
        <v>2418.9376500581666</v>
      </c>
      <c r="X45" s="445">
        <f t="shared" si="28"/>
        <v>2418.9376500581679</v>
      </c>
      <c r="Y45" s="445">
        <f t="shared" si="28"/>
        <v>5124.3744151448909</v>
      </c>
      <c r="Z45" s="445">
        <f t="shared" si="28"/>
        <v>5590.2266347035174</v>
      </c>
      <c r="AA45" s="445">
        <f t="shared" si="28"/>
        <v>2406.9031343862353</v>
      </c>
      <c r="AB45" s="445">
        <f t="shared" si="28"/>
        <v>2406.9031343862366</v>
      </c>
      <c r="AC45" s="445">
        <f t="shared" si="28"/>
        <v>5098.8800150695442</v>
      </c>
      <c r="AD45" s="445">
        <f t="shared" si="28"/>
        <v>5562.4145618940483</v>
      </c>
      <c r="AE45" s="445">
        <f t="shared" si="28"/>
        <v>2394.9284919266029</v>
      </c>
      <c r="AF45" s="445">
        <f t="shared" si="28"/>
        <v>2394.9284919266042</v>
      </c>
      <c r="AG45" s="445">
        <f t="shared" si="28"/>
        <v>5073.5124528055176</v>
      </c>
      <c r="AH45" s="445">
        <f t="shared" si="28"/>
        <v>5534.7408576060188</v>
      </c>
      <c r="AI45" s="445">
        <f t="shared" si="28"/>
        <v>2383.0134248025906</v>
      </c>
      <c r="AJ45" s="445">
        <f t="shared" si="28"/>
        <v>2383.013424802592</v>
      </c>
      <c r="AK45" s="445">
        <f t="shared" ref="AK45:BP45" si="29" xml:space="preserve"> AK$38</f>
        <v>5048.2710973189251</v>
      </c>
      <c r="AL45" s="445">
        <f t="shared" si="29"/>
        <v>5507.2048334388264</v>
      </c>
      <c r="AM45" s="445">
        <f t="shared" si="29"/>
        <v>2371.1576366194936</v>
      </c>
      <c r="AN45" s="445">
        <f t="shared" si="29"/>
        <v>2371.157636619495</v>
      </c>
      <c r="AO45" s="445">
        <f t="shared" si="29"/>
        <v>5023.1553207153474</v>
      </c>
      <c r="AP45" s="445">
        <f t="shared" si="29"/>
        <v>5479.8058044167419</v>
      </c>
      <c r="AQ45" s="445">
        <f t="shared" si="29"/>
        <v>2359.3608324572074</v>
      </c>
      <c r="AR45" s="445">
        <f t="shared" si="29"/>
        <v>2359.3608324572087</v>
      </c>
      <c r="AS45" s="445">
        <f t="shared" si="29"/>
        <v>4998.1644982242278</v>
      </c>
      <c r="AT45" s="445">
        <f t="shared" si="29"/>
        <v>5452.5430889718837</v>
      </c>
      <c r="AU45" s="445">
        <f t="shared" si="29"/>
        <v>2347.6227188628936</v>
      </c>
      <c r="AV45" s="445">
        <f t="shared" si="29"/>
        <v>2347.6227188628945</v>
      </c>
      <c r="AW45" s="445">
        <f t="shared" si="29"/>
        <v>4973.298008183312</v>
      </c>
      <c r="AX45" s="445">
        <f t="shared" si="29"/>
        <v>5425.4160089272491</v>
      </c>
      <c r="AY45" s="445">
        <f t="shared" si="29"/>
        <v>2335.9430038436749</v>
      </c>
      <c r="AZ45" s="445">
        <f t="shared" si="29"/>
        <v>2335.9430038436763</v>
      </c>
      <c r="BA45" s="445">
        <f t="shared" si="29"/>
        <v>4948.5552320231964</v>
      </c>
      <c r="BB45" s="445">
        <f t="shared" si="29"/>
        <v>5398.42388947985</v>
      </c>
      <c r="BC45" s="445">
        <f t="shared" si="29"/>
        <v>2324.3213968593786</v>
      </c>
      <c r="BD45" s="445">
        <f t="shared" si="29"/>
        <v>2324.32139685938</v>
      </c>
      <c r="BE45" s="445">
        <f t="shared" si="29"/>
        <v>4923.935554251937</v>
      </c>
      <c r="BF45" s="445">
        <f t="shared" si="29"/>
        <v>5371.5660591839305</v>
      </c>
      <c r="BG45" s="445">
        <f t="shared" si="29"/>
        <v>2312.7576088153019</v>
      </c>
      <c r="BH45" s="445">
        <f t="shared" si="29"/>
        <v>2312.7576088153037</v>
      </c>
      <c r="BI45" s="445">
        <f t="shared" si="29"/>
        <v>4899.4383624397396</v>
      </c>
      <c r="BJ45" s="445">
        <f t="shared" si="29"/>
        <v>5344.8418499342606</v>
      </c>
      <c r="BK45" s="445">
        <f t="shared" si="29"/>
        <v>2301.2513520550278</v>
      </c>
      <c r="BL45" s="445">
        <f t="shared" si="29"/>
        <v>2301.2513520550292</v>
      </c>
      <c r="BM45" s="445">
        <f t="shared" si="29"/>
        <v>4875.063047203721</v>
      </c>
      <c r="BN45" s="445">
        <f t="shared" si="29"/>
        <v>5318.2505969495141</v>
      </c>
      <c r="BO45" s="445">
        <f t="shared" si="29"/>
        <v>2289.8023403532616</v>
      </c>
      <c r="BP45" s="445">
        <f t="shared" si="29"/>
        <v>2289.8023403532629</v>
      </c>
      <c r="BQ45" s="445">
        <f t="shared" ref="BQ45:CV45" si="30" xml:space="preserve"> BQ$38</f>
        <v>4850.8090021927592</v>
      </c>
      <c r="BR45" s="445">
        <f t="shared" si="30"/>
        <v>5291.7916387557361</v>
      </c>
      <c r="BS45" s="445">
        <f t="shared" si="30"/>
        <v>2278.4102889087189</v>
      </c>
      <c r="BT45" s="445">
        <f t="shared" si="30"/>
        <v>2278.4102889087198</v>
      </c>
      <c r="BU45" s="445">
        <f t="shared" si="30"/>
        <v>4826.675624072398</v>
      </c>
      <c r="BV45" s="445">
        <f t="shared" si="30"/>
        <v>5265.4643171698881</v>
      </c>
      <c r="BW45" s="445">
        <f t="shared" si="30"/>
        <v>2267.074914337034</v>
      </c>
      <c r="BX45" s="445">
        <f t="shared" si="30"/>
        <v>2267.0749143370354</v>
      </c>
      <c r="BY45" s="445">
        <f t="shared" si="30"/>
        <v>4802.6623125098486</v>
      </c>
      <c r="BZ45" s="445">
        <f t="shared" si="30"/>
        <v>5239.2679772834708</v>
      </c>
      <c r="CA45" s="445">
        <f t="shared" si="30"/>
        <v>2255.7959346637153</v>
      </c>
      <c r="CB45" s="445">
        <f t="shared" si="30"/>
        <v>2255.7959346637167</v>
      </c>
      <c r="CC45" s="445">
        <f t="shared" si="30"/>
        <v>4778.7684701590542</v>
      </c>
      <c r="CD45" s="445">
        <f t="shared" si="30"/>
        <v>5213.2019674462408</v>
      </c>
      <c r="CE45" s="445">
        <f t="shared" si="30"/>
        <v>2244.5730693171299</v>
      </c>
      <c r="CF45" s="445">
        <f t="shared" si="30"/>
        <v>2244.5730693171313</v>
      </c>
      <c r="CG45" s="445">
        <f t="shared" si="30"/>
        <v>4754.9935026458261</v>
      </c>
      <c r="CH45" s="445">
        <f t="shared" si="30"/>
        <v>5187.2656392499921</v>
      </c>
      <c r="CI45" s="445">
        <f t="shared" si="30"/>
        <v>2233.4060391215235</v>
      </c>
      <c r="CJ45" s="445">
        <f t="shared" si="30"/>
        <v>2233.4060391215244</v>
      </c>
      <c r="CK45" s="445">
        <f t="shared" si="30"/>
        <v>4731.3368185530617</v>
      </c>
      <c r="CL45" s="445">
        <f t="shared" si="30"/>
        <v>5161.45834751243</v>
      </c>
      <c r="CM45" s="445">
        <f t="shared" si="30"/>
        <v>2222.2945662900729</v>
      </c>
      <c r="CN45" s="445">
        <f t="shared" si="30"/>
        <v>2222.2945662900743</v>
      </c>
      <c r="CO45" s="445">
        <f t="shared" si="30"/>
        <v>4707.7978294060313</v>
      </c>
      <c r="CP45" s="445">
        <f t="shared" si="30"/>
        <v>5135.7794502611241</v>
      </c>
      <c r="CQ45" s="445">
        <f t="shared" si="30"/>
        <v>2211.2383744179833</v>
      </c>
      <c r="CR45" s="445">
        <f t="shared" si="30"/>
        <v>2211.2383744179842</v>
      </c>
      <c r="CS45" s="445">
        <f t="shared" si="30"/>
        <v>4684.3759496577441</v>
      </c>
      <c r="CT45" s="445">
        <f t="shared" si="30"/>
        <v>5110.2283087175383</v>
      </c>
      <c r="CU45" s="445">
        <f t="shared" si="30"/>
        <v>2200.2371884756058</v>
      </c>
      <c r="CV45" s="445">
        <f t="shared" si="30"/>
        <v>2200.2371884756067</v>
      </c>
      <c r="CW45" s="445">
        <f t="shared" ref="CW45:EA45" si="31" xml:space="preserve"> CW$38</f>
        <v>4661.0705966743726</v>
      </c>
      <c r="CX45" s="445">
        <f t="shared" si="31"/>
        <v>5084.8042872811338</v>
      </c>
      <c r="CY45" s="445">
        <f t="shared" si="31"/>
        <v>2189.2907348015979</v>
      </c>
      <c r="CZ45" s="445">
        <f t="shared" si="31"/>
        <v>2189.2907348015992</v>
      </c>
      <c r="DA45" s="445">
        <f t="shared" si="31"/>
        <v>4637.8811907207701</v>
      </c>
      <c r="DB45" s="445">
        <f t="shared" si="31"/>
        <v>5059.5067535135668</v>
      </c>
      <c r="DC45" s="445">
        <f t="shared" si="31"/>
        <v>2178.3987410961181</v>
      </c>
      <c r="DD45" s="445">
        <f t="shared" si="31"/>
        <v>2178.398741096119</v>
      </c>
      <c r="DE45" s="445">
        <f t="shared" si="31"/>
        <v>4614.8071549460392</v>
      </c>
      <c r="DF45" s="445">
        <f t="shared" si="31"/>
        <v>5034.3350781229519</v>
      </c>
      <c r="DG45" s="445">
        <f t="shared" si="31"/>
        <v>2167.5609364140473</v>
      </c>
      <c r="DH45" s="445">
        <f t="shared" si="31"/>
        <v>2167.5609364140487</v>
      </c>
      <c r="DI45" s="445">
        <f t="shared" si="31"/>
        <v>0</v>
      </c>
      <c r="DJ45" s="445">
        <f t="shared" si="31"/>
        <v>0</v>
      </c>
      <c r="DK45" s="445">
        <f t="shared" si="31"/>
        <v>0</v>
      </c>
      <c r="DL45" s="445">
        <f t="shared" si="31"/>
        <v>0</v>
      </c>
      <c r="DM45" s="445">
        <f t="shared" si="31"/>
        <v>0</v>
      </c>
      <c r="DN45" s="445">
        <f t="shared" si="31"/>
        <v>0</v>
      </c>
      <c r="DO45" s="445">
        <f t="shared" si="31"/>
        <v>0</v>
      </c>
      <c r="DP45" s="445">
        <f t="shared" si="31"/>
        <v>0</v>
      </c>
      <c r="DQ45" s="445">
        <f t="shared" si="31"/>
        <v>0</v>
      </c>
      <c r="DR45" s="445">
        <f t="shared" si="31"/>
        <v>0</v>
      </c>
      <c r="DS45" s="445">
        <f t="shared" si="31"/>
        <v>0</v>
      </c>
      <c r="DT45" s="445">
        <f t="shared" si="31"/>
        <v>0</v>
      </c>
      <c r="DU45" s="445">
        <f t="shared" si="31"/>
        <v>0</v>
      </c>
      <c r="DV45" s="445">
        <f t="shared" si="31"/>
        <v>0</v>
      </c>
      <c r="DW45" s="445">
        <f t="shared" si="31"/>
        <v>0</v>
      </c>
      <c r="DX45" s="445">
        <f t="shared" si="31"/>
        <v>0</v>
      </c>
      <c r="DY45" s="445">
        <f t="shared" si="31"/>
        <v>0</v>
      </c>
      <c r="DZ45" s="445">
        <f t="shared" si="31"/>
        <v>0</v>
      </c>
      <c r="EA45" s="445">
        <f t="shared" si="31"/>
        <v>0</v>
      </c>
    </row>
    <row r="46" spans="1:13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outlineLevel="2" x14ac:dyDescent="0.35">
      <c r="E47" s="7" t="s">
        <v>196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outlineLevel="1" x14ac:dyDescent="0.35"/>
    <row r="49" spans="1:131" outlineLevel="1" x14ac:dyDescent="0.35">
      <c r="B49" s="8" t="s">
        <v>203</v>
      </c>
    </row>
    <row r="50" spans="1:131" outlineLevel="2" x14ac:dyDescent="0.35">
      <c r="E50" s="445" t="str">
        <f t="shared" ref="E50:BP50" si="36" xml:space="preserve"> E$38</f>
        <v>Electricity revenue</v>
      </c>
      <c r="F50" s="445">
        <f t="shared" si="36"/>
        <v>0</v>
      </c>
      <c r="G50" s="445" t="str">
        <f t="shared" si="36"/>
        <v>$ 000s</v>
      </c>
      <c r="H50" s="445">
        <f t="shared" si="36"/>
        <v>371409.67882059288</v>
      </c>
      <c r="I50" s="445">
        <f t="shared" si="36"/>
        <v>0</v>
      </c>
      <c r="J50" s="445">
        <f t="shared" si="36"/>
        <v>0</v>
      </c>
      <c r="K50" s="445">
        <f t="shared" si="36"/>
        <v>0</v>
      </c>
      <c r="L50" s="445">
        <f t="shared" si="36"/>
        <v>0</v>
      </c>
      <c r="M50" s="445">
        <f t="shared" si="36"/>
        <v>5201.625</v>
      </c>
      <c r="N50" s="445">
        <f t="shared" si="36"/>
        <v>5674.5</v>
      </c>
      <c r="O50" s="445">
        <f t="shared" si="36"/>
        <v>2443.1874999999986</v>
      </c>
      <c r="P50" s="445">
        <f t="shared" si="36"/>
        <v>2443.1875</v>
      </c>
      <c r="Q50" s="445">
        <f t="shared" si="36"/>
        <v>5175.7462686567178</v>
      </c>
      <c r="R50" s="445">
        <f t="shared" si="36"/>
        <v>5646.2686567164183</v>
      </c>
      <c r="S50" s="445">
        <f t="shared" si="36"/>
        <v>2431.0323383084565</v>
      </c>
      <c r="T50" s="445">
        <f t="shared" si="36"/>
        <v>2431.0323383084578</v>
      </c>
      <c r="U50" s="445">
        <f t="shared" si="36"/>
        <v>5149.9962872206152</v>
      </c>
      <c r="V50" s="445">
        <f t="shared" si="36"/>
        <v>5618.1777678770341</v>
      </c>
      <c r="W50" s="445">
        <f t="shared" si="36"/>
        <v>2418.9376500581666</v>
      </c>
      <c r="X50" s="445">
        <f t="shared" si="36"/>
        <v>2418.9376500581679</v>
      </c>
      <c r="Y50" s="445">
        <f t="shared" si="36"/>
        <v>5124.3744151448909</v>
      </c>
      <c r="Z50" s="445">
        <f t="shared" si="36"/>
        <v>5590.2266347035174</v>
      </c>
      <c r="AA50" s="445">
        <f t="shared" si="36"/>
        <v>2406.9031343862353</v>
      </c>
      <c r="AB50" s="445">
        <f t="shared" si="36"/>
        <v>2406.9031343862366</v>
      </c>
      <c r="AC50" s="445">
        <f t="shared" si="36"/>
        <v>5098.8800150695442</v>
      </c>
      <c r="AD50" s="445">
        <f t="shared" si="36"/>
        <v>5562.4145618940483</v>
      </c>
      <c r="AE50" s="445">
        <f t="shared" si="36"/>
        <v>2394.9284919266029</v>
      </c>
      <c r="AF50" s="445">
        <f t="shared" si="36"/>
        <v>2394.9284919266042</v>
      </c>
      <c r="AG50" s="445">
        <f t="shared" si="36"/>
        <v>5073.5124528055176</v>
      </c>
      <c r="AH50" s="445">
        <f t="shared" si="36"/>
        <v>5534.7408576060188</v>
      </c>
      <c r="AI50" s="445">
        <f t="shared" si="36"/>
        <v>2383.0134248025906</v>
      </c>
      <c r="AJ50" s="445">
        <f t="shared" si="36"/>
        <v>2383.013424802592</v>
      </c>
      <c r="AK50" s="445">
        <f t="shared" si="36"/>
        <v>5048.2710973189251</v>
      </c>
      <c r="AL50" s="445">
        <f t="shared" si="36"/>
        <v>5507.2048334388264</v>
      </c>
      <c r="AM50" s="445">
        <f t="shared" si="36"/>
        <v>2371.1576366194936</v>
      </c>
      <c r="AN50" s="445">
        <f t="shared" si="36"/>
        <v>2371.157636619495</v>
      </c>
      <c r="AO50" s="445">
        <f t="shared" si="36"/>
        <v>5023.1553207153474</v>
      </c>
      <c r="AP50" s="445">
        <f t="shared" si="36"/>
        <v>5479.8058044167419</v>
      </c>
      <c r="AQ50" s="445">
        <f t="shared" si="36"/>
        <v>2359.3608324572074</v>
      </c>
      <c r="AR50" s="445">
        <f t="shared" si="36"/>
        <v>2359.3608324572087</v>
      </c>
      <c r="AS50" s="445">
        <f t="shared" si="36"/>
        <v>4998.1644982242278</v>
      </c>
      <c r="AT50" s="445">
        <f t="shared" si="36"/>
        <v>5452.5430889718837</v>
      </c>
      <c r="AU50" s="445">
        <f t="shared" si="36"/>
        <v>2347.6227188628936</v>
      </c>
      <c r="AV50" s="445">
        <f t="shared" si="36"/>
        <v>2347.6227188628945</v>
      </c>
      <c r="AW50" s="445">
        <f t="shared" si="36"/>
        <v>4973.298008183312</v>
      </c>
      <c r="AX50" s="445">
        <f t="shared" si="36"/>
        <v>5425.4160089272491</v>
      </c>
      <c r="AY50" s="445">
        <f t="shared" si="36"/>
        <v>2335.9430038436749</v>
      </c>
      <c r="AZ50" s="445">
        <f t="shared" si="36"/>
        <v>2335.9430038436763</v>
      </c>
      <c r="BA50" s="445">
        <f t="shared" si="36"/>
        <v>4948.5552320231964</v>
      </c>
      <c r="BB50" s="445">
        <f t="shared" si="36"/>
        <v>5398.42388947985</v>
      </c>
      <c r="BC50" s="445">
        <f t="shared" si="36"/>
        <v>2324.3213968593786</v>
      </c>
      <c r="BD50" s="445">
        <f t="shared" si="36"/>
        <v>2324.32139685938</v>
      </c>
      <c r="BE50" s="445">
        <f t="shared" si="36"/>
        <v>4923.935554251937</v>
      </c>
      <c r="BF50" s="445">
        <f t="shared" si="36"/>
        <v>5371.5660591839305</v>
      </c>
      <c r="BG50" s="445">
        <f t="shared" si="36"/>
        <v>2312.7576088153019</v>
      </c>
      <c r="BH50" s="445">
        <f t="shared" si="36"/>
        <v>2312.7576088153037</v>
      </c>
      <c r="BI50" s="445">
        <f t="shared" si="36"/>
        <v>4899.4383624397396</v>
      </c>
      <c r="BJ50" s="445">
        <f t="shared" si="36"/>
        <v>5344.8418499342606</v>
      </c>
      <c r="BK50" s="445">
        <f t="shared" si="36"/>
        <v>2301.2513520550278</v>
      </c>
      <c r="BL50" s="445">
        <f t="shared" si="36"/>
        <v>2301.2513520550292</v>
      </c>
      <c r="BM50" s="445">
        <f t="shared" si="36"/>
        <v>4875.063047203721</v>
      </c>
      <c r="BN50" s="445">
        <f t="shared" si="36"/>
        <v>5318.2505969495141</v>
      </c>
      <c r="BO50" s="445">
        <f t="shared" si="36"/>
        <v>2289.8023403532616</v>
      </c>
      <c r="BP50" s="445">
        <f t="shared" si="36"/>
        <v>2289.8023403532629</v>
      </c>
      <c r="BQ50" s="445">
        <f t="shared" ref="BQ50:EA50" si="37" xml:space="preserve"> BQ$38</f>
        <v>4850.8090021927592</v>
      </c>
      <c r="BR50" s="445">
        <f t="shared" si="37"/>
        <v>5291.7916387557361</v>
      </c>
      <c r="BS50" s="445">
        <f t="shared" si="37"/>
        <v>2278.4102889087189</v>
      </c>
      <c r="BT50" s="445">
        <f t="shared" si="37"/>
        <v>2278.4102889087198</v>
      </c>
      <c r="BU50" s="445">
        <f t="shared" si="37"/>
        <v>4826.675624072398</v>
      </c>
      <c r="BV50" s="445">
        <f t="shared" si="37"/>
        <v>5265.4643171698881</v>
      </c>
      <c r="BW50" s="445">
        <f t="shared" si="37"/>
        <v>2267.074914337034</v>
      </c>
      <c r="BX50" s="445">
        <f t="shared" si="37"/>
        <v>2267.0749143370354</v>
      </c>
      <c r="BY50" s="445">
        <f t="shared" si="37"/>
        <v>4802.6623125098486</v>
      </c>
      <c r="BZ50" s="445">
        <f t="shared" si="37"/>
        <v>5239.2679772834708</v>
      </c>
      <c r="CA50" s="445">
        <f t="shared" si="37"/>
        <v>2255.7959346637153</v>
      </c>
      <c r="CB50" s="445">
        <f t="shared" si="37"/>
        <v>2255.7959346637167</v>
      </c>
      <c r="CC50" s="445">
        <f t="shared" si="37"/>
        <v>4778.7684701590542</v>
      </c>
      <c r="CD50" s="445">
        <f t="shared" si="37"/>
        <v>5213.2019674462408</v>
      </c>
      <c r="CE50" s="445">
        <f t="shared" si="37"/>
        <v>2244.5730693171299</v>
      </c>
      <c r="CF50" s="445">
        <f t="shared" si="37"/>
        <v>2244.5730693171313</v>
      </c>
      <c r="CG50" s="445">
        <f t="shared" si="37"/>
        <v>4754.9935026458261</v>
      </c>
      <c r="CH50" s="445">
        <f t="shared" si="37"/>
        <v>5187.2656392499921</v>
      </c>
      <c r="CI50" s="445">
        <f t="shared" si="37"/>
        <v>2233.4060391215235</v>
      </c>
      <c r="CJ50" s="445">
        <f t="shared" si="37"/>
        <v>2233.4060391215244</v>
      </c>
      <c r="CK50" s="445">
        <f t="shared" si="37"/>
        <v>4731.3368185530617</v>
      </c>
      <c r="CL50" s="445">
        <f t="shared" si="37"/>
        <v>5161.45834751243</v>
      </c>
      <c r="CM50" s="445">
        <f t="shared" si="37"/>
        <v>2222.2945662900729</v>
      </c>
      <c r="CN50" s="445">
        <f t="shared" si="37"/>
        <v>2222.2945662900743</v>
      </c>
      <c r="CO50" s="445">
        <f t="shared" si="37"/>
        <v>4707.7978294060313</v>
      </c>
      <c r="CP50" s="445">
        <f t="shared" si="37"/>
        <v>5135.7794502611241</v>
      </c>
      <c r="CQ50" s="445">
        <f t="shared" si="37"/>
        <v>2211.2383744179833</v>
      </c>
      <c r="CR50" s="445">
        <f t="shared" si="37"/>
        <v>2211.2383744179842</v>
      </c>
      <c r="CS50" s="445">
        <f t="shared" si="37"/>
        <v>4684.3759496577441</v>
      </c>
      <c r="CT50" s="445">
        <f t="shared" si="37"/>
        <v>5110.2283087175383</v>
      </c>
      <c r="CU50" s="445">
        <f t="shared" si="37"/>
        <v>2200.2371884756058</v>
      </c>
      <c r="CV50" s="445">
        <f t="shared" si="37"/>
        <v>2200.2371884756067</v>
      </c>
      <c r="CW50" s="445">
        <f t="shared" si="37"/>
        <v>4661.0705966743726</v>
      </c>
      <c r="CX50" s="445">
        <f t="shared" si="37"/>
        <v>5084.8042872811338</v>
      </c>
      <c r="CY50" s="445">
        <f t="shared" si="37"/>
        <v>2189.2907348015979</v>
      </c>
      <c r="CZ50" s="445">
        <f t="shared" si="37"/>
        <v>2189.2907348015992</v>
      </c>
      <c r="DA50" s="445">
        <f t="shared" si="37"/>
        <v>4637.8811907207701</v>
      </c>
      <c r="DB50" s="445">
        <f t="shared" si="37"/>
        <v>5059.5067535135668</v>
      </c>
      <c r="DC50" s="445">
        <f t="shared" si="37"/>
        <v>2178.3987410961181</v>
      </c>
      <c r="DD50" s="445">
        <f t="shared" si="37"/>
        <v>2178.398741096119</v>
      </c>
      <c r="DE50" s="445">
        <f t="shared" si="37"/>
        <v>4614.8071549460392</v>
      </c>
      <c r="DF50" s="445">
        <f t="shared" si="37"/>
        <v>5034.3350781229519</v>
      </c>
      <c r="DG50" s="445">
        <f t="shared" si="37"/>
        <v>2167.5609364140473</v>
      </c>
      <c r="DH50" s="445">
        <f t="shared" si="37"/>
        <v>2167.5609364140487</v>
      </c>
      <c r="DI50" s="445">
        <f t="shared" si="37"/>
        <v>0</v>
      </c>
      <c r="DJ50" s="445">
        <f t="shared" si="37"/>
        <v>0</v>
      </c>
      <c r="DK50" s="445">
        <f t="shared" si="37"/>
        <v>0</v>
      </c>
      <c r="DL50" s="445">
        <f t="shared" si="37"/>
        <v>0</v>
      </c>
      <c r="DM50" s="445">
        <f t="shared" si="37"/>
        <v>0</v>
      </c>
      <c r="DN50" s="445">
        <f t="shared" si="37"/>
        <v>0</v>
      </c>
      <c r="DO50" s="445">
        <f t="shared" si="37"/>
        <v>0</v>
      </c>
      <c r="DP50" s="445">
        <f t="shared" si="37"/>
        <v>0</v>
      </c>
      <c r="DQ50" s="445">
        <f t="shared" si="37"/>
        <v>0</v>
      </c>
      <c r="DR50" s="445">
        <f t="shared" si="37"/>
        <v>0</v>
      </c>
      <c r="DS50" s="445">
        <f t="shared" si="37"/>
        <v>0</v>
      </c>
      <c r="DT50" s="445">
        <f t="shared" si="37"/>
        <v>0</v>
      </c>
      <c r="DU50" s="445">
        <f t="shared" si="37"/>
        <v>0</v>
      </c>
      <c r="DV50" s="445">
        <f t="shared" si="37"/>
        <v>0</v>
      </c>
      <c r="DW50" s="445">
        <f t="shared" si="37"/>
        <v>0</v>
      </c>
      <c r="DX50" s="445">
        <f t="shared" si="37"/>
        <v>0</v>
      </c>
      <c r="DY50" s="445">
        <f t="shared" si="37"/>
        <v>0</v>
      </c>
      <c r="DZ50" s="445">
        <f t="shared" si="37"/>
        <v>0</v>
      </c>
      <c r="EA50" s="445">
        <f t="shared" si="37"/>
        <v>0</v>
      </c>
    </row>
    <row r="51" spans="1:131" outlineLevel="2" x14ac:dyDescent="0.35">
      <c r="D51" s="34" t="s">
        <v>212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outlineLevel="2" x14ac:dyDescent="0.35">
      <c r="D52" s="34" t="s">
        <v>213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outlineLevel="2" x14ac:dyDescent="0.35">
      <c r="A53" s="102"/>
      <c r="B53" s="102"/>
      <c r="C53" s="103"/>
      <c r="D53" s="104"/>
      <c r="E53" s="147" t="s">
        <v>203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outlineLevel="1" x14ac:dyDescent="0.35"/>
    <row r="55" spans="1:131" outlineLevel="1" x14ac:dyDescent="0.35">
      <c r="B55" s="8" t="s">
        <v>204</v>
      </c>
    </row>
    <row r="56" spans="1:131" outlineLevel="2" x14ac:dyDescent="0.35"/>
    <row r="57" spans="1:131" outlineLevel="2" x14ac:dyDescent="0.35">
      <c r="A57" s="171"/>
      <c r="B57" s="171"/>
      <c r="C57" s="172"/>
      <c r="D57" s="173"/>
      <c r="E57" s="435" t="str">
        <f xml:space="preserve"> InpC!E$41</f>
        <v>Accounts receivable - initial balance</v>
      </c>
      <c r="F57" s="435">
        <f xml:space="preserve"> InpC!F$41</f>
        <v>0</v>
      </c>
      <c r="G57" s="435" t="str">
        <f xml:space="preserve"> InpC!G$41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outlineLevel="2" x14ac:dyDescent="0.35">
      <c r="A58" s="8"/>
      <c r="B58" s="8"/>
      <c r="C58" s="13"/>
      <c r="D58" s="34"/>
      <c r="E58" s="441" t="str">
        <f xml:space="preserve"> Time!E$76</f>
        <v>Financial close date flag</v>
      </c>
      <c r="F58" s="441">
        <f xml:space="preserve"> Time!F$76</f>
        <v>0</v>
      </c>
      <c r="G58" s="441" t="str">
        <f xml:space="preserve"> Time!G$76</f>
        <v>flag</v>
      </c>
      <c r="H58" s="441">
        <f xml:space="preserve"> Time!H$76</f>
        <v>1</v>
      </c>
      <c r="I58" s="441">
        <f xml:space="preserve"> Time!I$76</f>
        <v>0</v>
      </c>
      <c r="J58" s="441">
        <f xml:space="preserve"> Time!J$76</f>
        <v>0</v>
      </c>
      <c r="K58" s="441">
        <f xml:space="preserve"> Time!K$76</f>
        <v>0</v>
      </c>
      <c r="L58" s="441">
        <f xml:space="preserve"> Time!L$76</f>
        <v>1</v>
      </c>
      <c r="M58" s="441">
        <f xml:space="preserve"> Time!M$76</f>
        <v>0</v>
      </c>
      <c r="N58" s="441">
        <f xml:space="preserve"> Time!N$76</f>
        <v>0</v>
      </c>
      <c r="O58" s="441">
        <f xml:space="preserve"> Time!O$76</f>
        <v>0</v>
      </c>
      <c r="P58" s="441">
        <f xml:space="preserve"> Time!P$76</f>
        <v>0</v>
      </c>
      <c r="Q58" s="441">
        <f xml:space="preserve"> Time!Q$76</f>
        <v>0</v>
      </c>
      <c r="R58" s="441">
        <f xml:space="preserve"> Time!R$76</f>
        <v>0</v>
      </c>
      <c r="S58" s="441">
        <f xml:space="preserve"> Time!S$76</f>
        <v>0</v>
      </c>
      <c r="T58" s="441">
        <f xml:space="preserve"> Time!T$76</f>
        <v>0</v>
      </c>
      <c r="U58" s="441">
        <f xml:space="preserve"> Time!U$76</f>
        <v>0</v>
      </c>
      <c r="V58" s="441">
        <f xml:space="preserve"> Time!V$76</f>
        <v>0</v>
      </c>
      <c r="W58" s="441">
        <f xml:space="preserve"> Time!W$76</f>
        <v>0</v>
      </c>
      <c r="X58" s="441">
        <f xml:space="preserve"> Time!X$76</f>
        <v>0</v>
      </c>
      <c r="Y58" s="441">
        <f xml:space="preserve"> Time!Y$76</f>
        <v>0</v>
      </c>
      <c r="Z58" s="441">
        <f xml:space="preserve"> Time!Z$76</f>
        <v>0</v>
      </c>
      <c r="AA58" s="441">
        <f xml:space="preserve"> Time!AA$76</f>
        <v>0</v>
      </c>
      <c r="AB58" s="441">
        <f xml:space="preserve"> Time!AB$76</f>
        <v>0</v>
      </c>
      <c r="AC58" s="441">
        <f xml:space="preserve"> Time!AC$76</f>
        <v>0</v>
      </c>
      <c r="AD58" s="441">
        <f xml:space="preserve"> Time!AD$76</f>
        <v>0</v>
      </c>
      <c r="AE58" s="441">
        <f xml:space="preserve"> Time!AE$76</f>
        <v>0</v>
      </c>
      <c r="AF58" s="441">
        <f xml:space="preserve"> Time!AF$76</f>
        <v>0</v>
      </c>
      <c r="AG58" s="441">
        <f xml:space="preserve"> Time!AG$76</f>
        <v>0</v>
      </c>
      <c r="AH58" s="441">
        <f xml:space="preserve"> Time!AH$76</f>
        <v>0</v>
      </c>
      <c r="AI58" s="441">
        <f xml:space="preserve"> Time!AI$76</f>
        <v>0</v>
      </c>
      <c r="AJ58" s="441">
        <f xml:space="preserve"> Time!AJ$76</f>
        <v>0</v>
      </c>
      <c r="AK58" s="441">
        <f xml:space="preserve"> Time!AK$76</f>
        <v>0</v>
      </c>
      <c r="AL58" s="441">
        <f xml:space="preserve"> Time!AL$76</f>
        <v>0</v>
      </c>
      <c r="AM58" s="441">
        <f xml:space="preserve"> Time!AM$76</f>
        <v>0</v>
      </c>
      <c r="AN58" s="441">
        <f xml:space="preserve"> Time!AN$76</f>
        <v>0</v>
      </c>
      <c r="AO58" s="441">
        <f xml:space="preserve"> Time!AO$76</f>
        <v>0</v>
      </c>
      <c r="AP58" s="441">
        <f xml:space="preserve"> Time!AP$76</f>
        <v>0</v>
      </c>
      <c r="AQ58" s="441">
        <f xml:space="preserve"> Time!AQ$76</f>
        <v>0</v>
      </c>
      <c r="AR58" s="441">
        <f xml:space="preserve"> Time!AR$76</f>
        <v>0</v>
      </c>
      <c r="AS58" s="441">
        <f xml:space="preserve"> Time!AS$76</f>
        <v>0</v>
      </c>
      <c r="AT58" s="441">
        <f xml:space="preserve"> Time!AT$76</f>
        <v>0</v>
      </c>
      <c r="AU58" s="441">
        <f xml:space="preserve"> Time!AU$76</f>
        <v>0</v>
      </c>
      <c r="AV58" s="441">
        <f xml:space="preserve"> Time!AV$76</f>
        <v>0</v>
      </c>
      <c r="AW58" s="441">
        <f xml:space="preserve"> Time!AW$76</f>
        <v>0</v>
      </c>
      <c r="AX58" s="441">
        <f xml:space="preserve"> Time!AX$76</f>
        <v>0</v>
      </c>
      <c r="AY58" s="441">
        <f xml:space="preserve"> Time!AY$76</f>
        <v>0</v>
      </c>
      <c r="AZ58" s="441">
        <f xml:space="preserve"> Time!AZ$76</f>
        <v>0</v>
      </c>
      <c r="BA58" s="441">
        <f xml:space="preserve"> Time!BA$76</f>
        <v>0</v>
      </c>
      <c r="BB58" s="441">
        <f xml:space="preserve"> Time!BB$76</f>
        <v>0</v>
      </c>
      <c r="BC58" s="441">
        <f xml:space="preserve"> Time!BC$76</f>
        <v>0</v>
      </c>
      <c r="BD58" s="441">
        <f xml:space="preserve"> Time!BD$76</f>
        <v>0</v>
      </c>
      <c r="BE58" s="441">
        <f xml:space="preserve"> Time!BE$76</f>
        <v>0</v>
      </c>
      <c r="BF58" s="441">
        <f xml:space="preserve"> Time!BF$76</f>
        <v>0</v>
      </c>
      <c r="BG58" s="441">
        <f xml:space="preserve"> Time!BG$76</f>
        <v>0</v>
      </c>
      <c r="BH58" s="441">
        <f xml:space="preserve"> Time!BH$76</f>
        <v>0</v>
      </c>
      <c r="BI58" s="441">
        <f xml:space="preserve"> Time!BI$76</f>
        <v>0</v>
      </c>
      <c r="BJ58" s="441">
        <f xml:space="preserve"> Time!BJ$76</f>
        <v>0</v>
      </c>
      <c r="BK58" s="441">
        <f xml:space="preserve"> Time!BK$76</f>
        <v>0</v>
      </c>
      <c r="BL58" s="441">
        <f xml:space="preserve"> Time!BL$76</f>
        <v>0</v>
      </c>
      <c r="BM58" s="441">
        <f xml:space="preserve"> Time!BM$76</f>
        <v>0</v>
      </c>
      <c r="BN58" s="441">
        <f xml:space="preserve"> Time!BN$76</f>
        <v>0</v>
      </c>
      <c r="BO58" s="441">
        <f xml:space="preserve"> Time!BO$76</f>
        <v>0</v>
      </c>
      <c r="BP58" s="441">
        <f xml:space="preserve"> Time!BP$76</f>
        <v>0</v>
      </c>
      <c r="BQ58" s="441">
        <f xml:space="preserve"> Time!BQ$76</f>
        <v>0</v>
      </c>
      <c r="BR58" s="441">
        <f xml:space="preserve"> Time!BR$76</f>
        <v>0</v>
      </c>
      <c r="BS58" s="441">
        <f xml:space="preserve"> Time!BS$76</f>
        <v>0</v>
      </c>
      <c r="BT58" s="441">
        <f xml:space="preserve"> Time!BT$76</f>
        <v>0</v>
      </c>
      <c r="BU58" s="441">
        <f xml:space="preserve"> Time!BU$76</f>
        <v>0</v>
      </c>
      <c r="BV58" s="441">
        <f xml:space="preserve"> Time!BV$76</f>
        <v>0</v>
      </c>
      <c r="BW58" s="441">
        <f xml:space="preserve"> Time!BW$76</f>
        <v>0</v>
      </c>
      <c r="BX58" s="441">
        <f xml:space="preserve"> Time!BX$76</f>
        <v>0</v>
      </c>
      <c r="BY58" s="441">
        <f xml:space="preserve"> Time!BY$76</f>
        <v>0</v>
      </c>
      <c r="BZ58" s="441">
        <f xml:space="preserve"> Time!BZ$76</f>
        <v>0</v>
      </c>
      <c r="CA58" s="441">
        <f xml:space="preserve"> Time!CA$76</f>
        <v>0</v>
      </c>
      <c r="CB58" s="441">
        <f xml:space="preserve"> Time!CB$76</f>
        <v>0</v>
      </c>
      <c r="CC58" s="441">
        <f xml:space="preserve"> Time!CC$76</f>
        <v>0</v>
      </c>
      <c r="CD58" s="441">
        <f xml:space="preserve"> Time!CD$76</f>
        <v>0</v>
      </c>
      <c r="CE58" s="441">
        <f xml:space="preserve"> Time!CE$76</f>
        <v>0</v>
      </c>
      <c r="CF58" s="441">
        <f xml:space="preserve"> Time!CF$76</f>
        <v>0</v>
      </c>
      <c r="CG58" s="441">
        <f xml:space="preserve"> Time!CG$76</f>
        <v>0</v>
      </c>
      <c r="CH58" s="441">
        <f xml:space="preserve"> Time!CH$76</f>
        <v>0</v>
      </c>
      <c r="CI58" s="441">
        <f xml:space="preserve"> Time!CI$76</f>
        <v>0</v>
      </c>
      <c r="CJ58" s="441">
        <f xml:space="preserve"> Time!CJ$76</f>
        <v>0</v>
      </c>
      <c r="CK58" s="441">
        <f xml:space="preserve"> Time!CK$76</f>
        <v>0</v>
      </c>
      <c r="CL58" s="441">
        <f xml:space="preserve"> Time!CL$76</f>
        <v>0</v>
      </c>
      <c r="CM58" s="441">
        <f xml:space="preserve"> Time!CM$76</f>
        <v>0</v>
      </c>
      <c r="CN58" s="441">
        <f xml:space="preserve"> Time!CN$76</f>
        <v>0</v>
      </c>
      <c r="CO58" s="441">
        <f xml:space="preserve"> Time!CO$76</f>
        <v>0</v>
      </c>
      <c r="CP58" s="441">
        <f xml:space="preserve"> Time!CP$76</f>
        <v>0</v>
      </c>
      <c r="CQ58" s="441">
        <f xml:space="preserve"> Time!CQ$76</f>
        <v>0</v>
      </c>
      <c r="CR58" s="441">
        <f xml:space="preserve"> Time!CR$76</f>
        <v>0</v>
      </c>
      <c r="CS58" s="441">
        <f xml:space="preserve"> Time!CS$76</f>
        <v>0</v>
      </c>
      <c r="CT58" s="441">
        <f xml:space="preserve"> Time!CT$76</f>
        <v>0</v>
      </c>
      <c r="CU58" s="441">
        <f xml:space="preserve"> Time!CU$76</f>
        <v>0</v>
      </c>
      <c r="CV58" s="441">
        <f xml:space="preserve"> Time!CV$76</f>
        <v>0</v>
      </c>
      <c r="CW58" s="441">
        <f xml:space="preserve"> Time!CW$76</f>
        <v>0</v>
      </c>
      <c r="CX58" s="441">
        <f xml:space="preserve"> Time!CX$76</f>
        <v>0</v>
      </c>
      <c r="CY58" s="441">
        <f xml:space="preserve"> Time!CY$76</f>
        <v>0</v>
      </c>
      <c r="CZ58" s="441">
        <f xml:space="preserve"> Time!CZ$76</f>
        <v>0</v>
      </c>
      <c r="DA58" s="441">
        <f xml:space="preserve"> Time!DA$76</f>
        <v>0</v>
      </c>
      <c r="DB58" s="441">
        <f xml:space="preserve"> Time!DB$76</f>
        <v>0</v>
      </c>
      <c r="DC58" s="441">
        <f xml:space="preserve"> Time!DC$76</f>
        <v>0</v>
      </c>
      <c r="DD58" s="441">
        <f xml:space="preserve"> Time!DD$76</f>
        <v>0</v>
      </c>
      <c r="DE58" s="441">
        <f xml:space="preserve"> Time!DE$76</f>
        <v>0</v>
      </c>
      <c r="DF58" s="441">
        <f xml:space="preserve"> Time!DF$76</f>
        <v>0</v>
      </c>
      <c r="DG58" s="441">
        <f xml:space="preserve"> Time!DG$76</f>
        <v>0</v>
      </c>
      <c r="DH58" s="441">
        <f xml:space="preserve"> Time!DH$76</f>
        <v>0</v>
      </c>
      <c r="DI58" s="441">
        <f xml:space="preserve"> Time!DI$76</f>
        <v>0</v>
      </c>
      <c r="DJ58" s="441">
        <f xml:space="preserve"> Time!DJ$76</f>
        <v>0</v>
      </c>
      <c r="DK58" s="441">
        <f xml:space="preserve"> Time!DK$76</f>
        <v>0</v>
      </c>
      <c r="DL58" s="441">
        <f xml:space="preserve"> Time!DL$76</f>
        <v>0</v>
      </c>
      <c r="DM58" s="441">
        <f xml:space="preserve"> Time!DM$76</f>
        <v>0</v>
      </c>
      <c r="DN58" s="441">
        <f xml:space="preserve"> Time!DN$76</f>
        <v>0</v>
      </c>
      <c r="DO58" s="441">
        <f xml:space="preserve"> Time!DO$76</f>
        <v>0</v>
      </c>
      <c r="DP58" s="441">
        <f xml:space="preserve"> Time!DP$76</f>
        <v>0</v>
      </c>
      <c r="DQ58" s="441">
        <f xml:space="preserve"> Time!DQ$76</f>
        <v>0</v>
      </c>
      <c r="DR58" s="441">
        <f xml:space="preserve"> Time!DR$76</f>
        <v>0</v>
      </c>
      <c r="DS58" s="441">
        <f xml:space="preserve"> Time!DS$76</f>
        <v>0</v>
      </c>
      <c r="DT58" s="441">
        <f xml:space="preserve"> Time!DT$76</f>
        <v>0</v>
      </c>
      <c r="DU58" s="441">
        <f xml:space="preserve"> Time!DU$76</f>
        <v>0</v>
      </c>
      <c r="DV58" s="441">
        <f xml:space="preserve"> Time!DV$76</f>
        <v>0</v>
      </c>
      <c r="DW58" s="441">
        <f xml:space="preserve"> Time!DW$76</f>
        <v>0</v>
      </c>
      <c r="DX58" s="441">
        <f xml:space="preserve"> Time!DX$76</f>
        <v>0</v>
      </c>
      <c r="DY58" s="441">
        <f xml:space="preserve"> Time!DY$76</f>
        <v>0</v>
      </c>
      <c r="DZ58" s="441">
        <f xml:space="preserve"> Time!DZ$76</f>
        <v>0</v>
      </c>
      <c r="EA58" s="441">
        <f xml:space="preserve"> Time!EA$76</f>
        <v>0</v>
      </c>
    </row>
    <row r="59" spans="1:13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outlineLevel="2" x14ac:dyDescent="0.35">
      <c r="E60" s="169" t="s">
        <v>207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outlineLevel="2" x14ac:dyDescent="0.35">
      <c r="E61" s="445" t="str">
        <f t="shared" ref="E61:BP61" si="54" xml:space="preserve"> E$38</f>
        <v>Electricity revenue</v>
      </c>
      <c r="F61" s="445">
        <f t="shared" si="54"/>
        <v>0</v>
      </c>
      <c r="G61" s="445" t="str">
        <f t="shared" si="54"/>
        <v>$ 000s</v>
      </c>
      <c r="H61" s="445">
        <f t="shared" si="54"/>
        <v>371409.67882059288</v>
      </c>
      <c r="I61" s="445">
        <f t="shared" si="54"/>
        <v>0</v>
      </c>
      <c r="J61" s="445">
        <f t="shared" si="54"/>
        <v>0</v>
      </c>
      <c r="K61" s="445">
        <f t="shared" si="54"/>
        <v>0</v>
      </c>
      <c r="L61" s="445">
        <f t="shared" si="54"/>
        <v>0</v>
      </c>
      <c r="M61" s="445">
        <f t="shared" si="54"/>
        <v>5201.625</v>
      </c>
      <c r="N61" s="445">
        <f t="shared" si="54"/>
        <v>5674.5</v>
      </c>
      <c r="O61" s="445">
        <f t="shared" si="54"/>
        <v>2443.1874999999986</v>
      </c>
      <c r="P61" s="445">
        <f t="shared" si="54"/>
        <v>2443.1875</v>
      </c>
      <c r="Q61" s="445">
        <f t="shared" si="54"/>
        <v>5175.7462686567178</v>
      </c>
      <c r="R61" s="445">
        <f t="shared" si="54"/>
        <v>5646.2686567164183</v>
      </c>
      <c r="S61" s="445">
        <f t="shared" si="54"/>
        <v>2431.0323383084565</v>
      </c>
      <c r="T61" s="445">
        <f t="shared" si="54"/>
        <v>2431.0323383084578</v>
      </c>
      <c r="U61" s="445">
        <f t="shared" si="54"/>
        <v>5149.9962872206152</v>
      </c>
      <c r="V61" s="445">
        <f t="shared" si="54"/>
        <v>5618.1777678770341</v>
      </c>
      <c r="W61" s="445">
        <f t="shared" si="54"/>
        <v>2418.9376500581666</v>
      </c>
      <c r="X61" s="445">
        <f t="shared" si="54"/>
        <v>2418.9376500581679</v>
      </c>
      <c r="Y61" s="445">
        <f t="shared" si="54"/>
        <v>5124.3744151448909</v>
      </c>
      <c r="Z61" s="445">
        <f t="shared" si="54"/>
        <v>5590.2266347035174</v>
      </c>
      <c r="AA61" s="445">
        <f t="shared" si="54"/>
        <v>2406.9031343862353</v>
      </c>
      <c r="AB61" s="445">
        <f t="shared" si="54"/>
        <v>2406.9031343862366</v>
      </c>
      <c r="AC61" s="445">
        <f t="shared" si="54"/>
        <v>5098.8800150695442</v>
      </c>
      <c r="AD61" s="445">
        <f t="shared" si="54"/>
        <v>5562.4145618940483</v>
      </c>
      <c r="AE61" s="445">
        <f t="shared" si="54"/>
        <v>2394.9284919266029</v>
      </c>
      <c r="AF61" s="445">
        <f t="shared" si="54"/>
        <v>2394.9284919266042</v>
      </c>
      <c r="AG61" s="445">
        <f t="shared" si="54"/>
        <v>5073.5124528055176</v>
      </c>
      <c r="AH61" s="445">
        <f t="shared" si="54"/>
        <v>5534.7408576060188</v>
      </c>
      <c r="AI61" s="445">
        <f t="shared" si="54"/>
        <v>2383.0134248025906</v>
      </c>
      <c r="AJ61" s="445">
        <f t="shared" si="54"/>
        <v>2383.013424802592</v>
      </c>
      <c r="AK61" s="445">
        <f t="shared" si="54"/>
        <v>5048.2710973189251</v>
      </c>
      <c r="AL61" s="445">
        <f t="shared" si="54"/>
        <v>5507.2048334388264</v>
      </c>
      <c r="AM61" s="445">
        <f t="shared" si="54"/>
        <v>2371.1576366194936</v>
      </c>
      <c r="AN61" s="445">
        <f t="shared" si="54"/>
        <v>2371.157636619495</v>
      </c>
      <c r="AO61" s="445">
        <f t="shared" si="54"/>
        <v>5023.1553207153474</v>
      </c>
      <c r="AP61" s="445">
        <f t="shared" si="54"/>
        <v>5479.8058044167419</v>
      </c>
      <c r="AQ61" s="445">
        <f t="shared" si="54"/>
        <v>2359.3608324572074</v>
      </c>
      <c r="AR61" s="445">
        <f t="shared" si="54"/>
        <v>2359.3608324572087</v>
      </c>
      <c r="AS61" s="445">
        <f t="shared" si="54"/>
        <v>4998.1644982242278</v>
      </c>
      <c r="AT61" s="445">
        <f t="shared" si="54"/>
        <v>5452.5430889718837</v>
      </c>
      <c r="AU61" s="445">
        <f t="shared" si="54"/>
        <v>2347.6227188628936</v>
      </c>
      <c r="AV61" s="445">
        <f t="shared" si="54"/>
        <v>2347.6227188628945</v>
      </c>
      <c r="AW61" s="445">
        <f t="shared" si="54"/>
        <v>4973.298008183312</v>
      </c>
      <c r="AX61" s="445">
        <f t="shared" si="54"/>
        <v>5425.4160089272491</v>
      </c>
      <c r="AY61" s="445">
        <f t="shared" si="54"/>
        <v>2335.9430038436749</v>
      </c>
      <c r="AZ61" s="445">
        <f t="shared" si="54"/>
        <v>2335.9430038436763</v>
      </c>
      <c r="BA61" s="445">
        <f t="shared" si="54"/>
        <v>4948.5552320231964</v>
      </c>
      <c r="BB61" s="445">
        <f t="shared" si="54"/>
        <v>5398.42388947985</v>
      </c>
      <c r="BC61" s="445">
        <f t="shared" si="54"/>
        <v>2324.3213968593786</v>
      </c>
      <c r="BD61" s="445">
        <f t="shared" si="54"/>
        <v>2324.32139685938</v>
      </c>
      <c r="BE61" s="445">
        <f t="shared" si="54"/>
        <v>4923.935554251937</v>
      </c>
      <c r="BF61" s="445">
        <f t="shared" si="54"/>
        <v>5371.5660591839305</v>
      </c>
      <c r="BG61" s="445">
        <f t="shared" si="54"/>
        <v>2312.7576088153019</v>
      </c>
      <c r="BH61" s="445">
        <f t="shared" si="54"/>
        <v>2312.7576088153037</v>
      </c>
      <c r="BI61" s="445">
        <f t="shared" si="54"/>
        <v>4899.4383624397396</v>
      </c>
      <c r="BJ61" s="445">
        <f t="shared" si="54"/>
        <v>5344.8418499342606</v>
      </c>
      <c r="BK61" s="445">
        <f t="shared" si="54"/>
        <v>2301.2513520550278</v>
      </c>
      <c r="BL61" s="445">
        <f t="shared" si="54"/>
        <v>2301.2513520550292</v>
      </c>
      <c r="BM61" s="445">
        <f t="shared" si="54"/>
        <v>4875.063047203721</v>
      </c>
      <c r="BN61" s="445">
        <f t="shared" si="54"/>
        <v>5318.2505969495141</v>
      </c>
      <c r="BO61" s="445">
        <f t="shared" si="54"/>
        <v>2289.8023403532616</v>
      </c>
      <c r="BP61" s="445">
        <f t="shared" si="54"/>
        <v>2289.8023403532629</v>
      </c>
      <c r="BQ61" s="445">
        <f t="shared" ref="BQ61:EA61" si="55" xml:space="preserve"> BQ$38</f>
        <v>4850.8090021927592</v>
      </c>
      <c r="BR61" s="445">
        <f t="shared" si="55"/>
        <v>5291.7916387557361</v>
      </c>
      <c r="BS61" s="445">
        <f t="shared" si="55"/>
        <v>2278.4102889087189</v>
      </c>
      <c r="BT61" s="445">
        <f t="shared" si="55"/>
        <v>2278.4102889087198</v>
      </c>
      <c r="BU61" s="445">
        <f t="shared" si="55"/>
        <v>4826.675624072398</v>
      </c>
      <c r="BV61" s="445">
        <f t="shared" si="55"/>
        <v>5265.4643171698881</v>
      </c>
      <c r="BW61" s="445">
        <f t="shared" si="55"/>
        <v>2267.074914337034</v>
      </c>
      <c r="BX61" s="445">
        <f t="shared" si="55"/>
        <v>2267.0749143370354</v>
      </c>
      <c r="BY61" s="445">
        <f t="shared" si="55"/>
        <v>4802.6623125098486</v>
      </c>
      <c r="BZ61" s="445">
        <f t="shared" si="55"/>
        <v>5239.2679772834708</v>
      </c>
      <c r="CA61" s="445">
        <f t="shared" si="55"/>
        <v>2255.7959346637153</v>
      </c>
      <c r="CB61" s="445">
        <f t="shared" si="55"/>
        <v>2255.7959346637167</v>
      </c>
      <c r="CC61" s="445">
        <f t="shared" si="55"/>
        <v>4778.7684701590542</v>
      </c>
      <c r="CD61" s="445">
        <f t="shared" si="55"/>
        <v>5213.2019674462408</v>
      </c>
      <c r="CE61" s="445">
        <f t="shared" si="55"/>
        <v>2244.5730693171299</v>
      </c>
      <c r="CF61" s="445">
        <f t="shared" si="55"/>
        <v>2244.5730693171313</v>
      </c>
      <c r="CG61" s="445">
        <f t="shared" si="55"/>
        <v>4754.9935026458261</v>
      </c>
      <c r="CH61" s="445">
        <f t="shared" si="55"/>
        <v>5187.2656392499921</v>
      </c>
      <c r="CI61" s="445">
        <f t="shared" si="55"/>
        <v>2233.4060391215235</v>
      </c>
      <c r="CJ61" s="445">
        <f t="shared" si="55"/>
        <v>2233.4060391215244</v>
      </c>
      <c r="CK61" s="445">
        <f t="shared" si="55"/>
        <v>4731.3368185530617</v>
      </c>
      <c r="CL61" s="445">
        <f t="shared" si="55"/>
        <v>5161.45834751243</v>
      </c>
      <c r="CM61" s="445">
        <f t="shared" si="55"/>
        <v>2222.2945662900729</v>
      </c>
      <c r="CN61" s="445">
        <f t="shared" si="55"/>
        <v>2222.2945662900743</v>
      </c>
      <c r="CO61" s="445">
        <f t="shared" si="55"/>
        <v>4707.7978294060313</v>
      </c>
      <c r="CP61" s="445">
        <f t="shared" si="55"/>
        <v>5135.7794502611241</v>
      </c>
      <c r="CQ61" s="445">
        <f t="shared" si="55"/>
        <v>2211.2383744179833</v>
      </c>
      <c r="CR61" s="445">
        <f t="shared" si="55"/>
        <v>2211.2383744179842</v>
      </c>
      <c r="CS61" s="445">
        <f t="shared" si="55"/>
        <v>4684.3759496577441</v>
      </c>
      <c r="CT61" s="445">
        <f t="shared" si="55"/>
        <v>5110.2283087175383</v>
      </c>
      <c r="CU61" s="445">
        <f t="shared" si="55"/>
        <v>2200.2371884756058</v>
      </c>
      <c r="CV61" s="445">
        <f t="shared" si="55"/>
        <v>2200.2371884756067</v>
      </c>
      <c r="CW61" s="445">
        <f t="shared" si="55"/>
        <v>4661.0705966743726</v>
      </c>
      <c r="CX61" s="445">
        <f t="shared" si="55"/>
        <v>5084.8042872811338</v>
      </c>
      <c r="CY61" s="445">
        <f t="shared" si="55"/>
        <v>2189.2907348015979</v>
      </c>
      <c r="CZ61" s="445">
        <f t="shared" si="55"/>
        <v>2189.2907348015992</v>
      </c>
      <c r="DA61" s="445">
        <f t="shared" si="55"/>
        <v>4637.8811907207701</v>
      </c>
      <c r="DB61" s="445">
        <f t="shared" si="55"/>
        <v>5059.5067535135668</v>
      </c>
      <c r="DC61" s="445">
        <f t="shared" si="55"/>
        <v>2178.3987410961181</v>
      </c>
      <c r="DD61" s="445">
        <f t="shared" si="55"/>
        <v>2178.398741096119</v>
      </c>
      <c r="DE61" s="445">
        <f t="shared" si="55"/>
        <v>4614.8071549460392</v>
      </c>
      <c r="DF61" s="445">
        <f t="shared" si="55"/>
        <v>5034.3350781229519</v>
      </c>
      <c r="DG61" s="445">
        <f t="shared" si="55"/>
        <v>2167.5609364140473</v>
      </c>
      <c r="DH61" s="445">
        <f t="shared" si="55"/>
        <v>2167.5609364140487</v>
      </c>
      <c r="DI61" s="445">
        <f t="shared" si="55"/>
        <v>0</v>
      </c>
      <c r="DJ61" s="445">
        <f t="shared" si="55"/>
        <v>0</v>
      </c>
      <c r="DK61" s="445">
        <f t="shared" si="55"/>
        <v>0</v>
      </c>
      <c r="DL61" s="445">
        <f t="shared" si="55"/>
        <v>0</v>
      </c>
      <c r="DM61" s="445">
        <f t="shared" si="55"/>
        <v>0</v>
      </c>
      <c r="DN61" s="445">
        <f t="shared" si="55"/>
        <v>0</v>
      </c>
      <c r="DO61" s="445">
        <f t="shared" si="55"/>
        <v>0</v>
      </c>
      <c r="DP61" s="445">
        <f t="shared" si="55"/>
        <v>0</v>
      </c>
      <c r="DQ61" s="445">
        <f t="shared" si="55"/>
        <v>0</v>
      </c>
      <c r="DR61" s="445">
        <f t="shared" si="55"/>
        <v>0</v>
      </c>
      <c r="DS61" s="445">
        <f t="shared" si="55"/>
        <v>0</v>
      </c>
      <c r="DT61" s="445">
        <f t="shared" si="55"/>
        <v>0</v>
      </c>
      <c r="DU61" s="445">
        <f t="shared" si="55"/>
        <v>0</v>
      </c>
      <c r="DV61" s="445">
        <f t="shared" si="55"/>
        <v>0</v>
      </c>
      <c r="DW61" s="445">
        <f t="shared" si="55"/>
        <v>0</v>
      </c>
      <c r="DX61" s="445">
        <f t="shared" si="55"/>
        <v>0</v>
      </c>
      <c r="DY61" s="445">
        <f t="shared" si="55"/>
        <v>0</v>
      </c>
      <c r="DZ61" s="445">
        <f t="shared" si="55"/>
        <v>0</v>
      </c>
      <c r="EA61" s="445">
        <f t="shared" si="55"/>
        <v>0</v>
      </c>
    </row>
    <row r="62" spans="1:131" s="112" customFormat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outlineLevel="2" x14ac:dyDescent="0.35">
      <c r="A63" s="429"/>
      <c r="B63" s="429"/>
      <c r="C63" s="430"/>
      <c r="D63" s="431"/>
      <c r="E63" s="432" t="s">
        <v>204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outlineLevel="2" x14ac:dyDescent="0.35"/>
    <row r="65" spans="1:131" outlineLevel="2" x14ac:dyDescent="0.35"/>
    <row r="67" spans="1:131" x14ac:dyDescent="0.35">
      <c r="A67" s="8" t="s">
        <v>208</v>
      </c>
    </row>
    <row r="68" spans="1:131" outlineLevel="1" x14ac:dyDescent="0.35"/>
    <row r="69" spans="1:131" outlineLevel="1" x14ac:dyDescent="0.35">
      <c r="B69" s="8" t="s">
        <v>206</v>
      </c>
    </row>
    <row r="70" spans="1:131" outlineLevel="2" x14ac:dyDescent="0.35">
      <c r="E70" s="428" t="str">
        <f xml:space="preserve"> InpC!E$36</f>
        <v>Accounts receivable days</v>
      </c>
      <c r="F70" s="428">
        <f xml:space="preserve"> InpC!F$36</f>
        <v>60</v>
      </c>
      <c r="G70" s="428" t="str">
        <f xml:space="preserve"> InpC!G$36</f>
        <v>days</v>
      </c>
      <c r="H70" s="26"/>
    </row>
    <row r="71" spans="1:131" outlineLevel="2" x14ac:dyDescent="0.35">
      <c r="E71" s="445" t="str">
        <f t="shared" ref="E71:BP71" si="64" xml:space="preserve"> E$38</f>
        <v>Electricity revenue</v>
      </c>
      <c r="F71" s="445">
        <f t="shared" si="64"/>
        <v>0</v>
      </c>
      <c r="G71" s="445" t="str">
        <f t="shared" si="64"/>
        <v>$ 000s</v>
      </c>
      <c r="H71" s="445">
        <f t="shared" si="64"/>
        <v>371409.67882059288</v>
      </c>
      <c r="I71" s="445">
        <f t="shared" si="64"/>
        <v>0</v>
      </c>
      <c r="J71" s="445">
        <f t="shared" si="64"/>
        <v>0</v>
      </c>
      <c r="K71" s="445">
        <f t="shared" si="64"/>
        <v>0</v>
      </c>
      <c r="L71" s="445">
        <f t="shared" si="64"/>
        <v>0</v>
      </c>
      <c r="M71" s="445">
        <f t="shared" si="64"/>
        <v>5201.625</v>
      </c>
      <c r="N71" s="445">
        <f t="shared" si="64"/>
        <v>5674.5</v>
      </c>
      <c r="O71" s="445">
        <f t="shared" si="64"/>
        <v>2443.1874999999986</v>
      </c>
      <c r="P71" s="445">
        <f t="shared" si="64"/>
        <v>2443.1875</v>
      </c>
      <c r="Q71" s="445">
        <f t="shared" si="64"/>
        <v>5175.7462686567178</v>
      </c>
      <c r="R71" s="445">
        <f t="shared" si="64"/>
        <v>5646.2686567164183</v>
      </c>
      <c r="S71" s="445">
        <f t="shared" si="64"/>
        <v>2431.0323383084565</v>
      </c>
      <c r="T71" s="445">
        <f t="shared" si="64"/>
        <v>2431.0323383084578</v>
      </c>
      <c r="U71" s="445">
        <f t="shared" si="64"/>
        <v>5149.9962872206152</v>
      </c>
      <c r="V71" s="445">
        <f t="shared" si="64"/>
        <v>5618.1777678770341</v>
      </c>
      <c r="W71" s="445">
        <f t="shared" si="64"/>
        <v>2418.9376500581666</v>
      </c>
      <c r="X71" s="445">
        <f t="shared" si="64"/>
        <v>2418.9376500581679</v>
      </c>
      <c r="Y71" s="445">
        <f t="shared" si="64"/>
        <v>5124.3744151448909</v>
      </c>
      <c r="Z71" s="445">
        <f t="shared" si="64"/>
        <v>5590.2266347035174</v>
      </c>
      <c r="AA71" s="445">
        <f t="shared" si="64"/>
        <v>2406.9031343862353</v>
      </c>
      <c r="AB71" s="445">
        <f t="shared" si="64"/>
        <v>2406.9031343862366</v>
      </c>
      <c r="AC71" s="445">
        <f t="shared" si="64"/>
        <v>5098.8800150695442</v>
      </c>
      <c r="AD71" s="445">
        <f t="shared" si="64"/>
        <v>5562.4145618940483</v>
      </c>
      <c r="AE71" s="445">
        <f t="shared" si="64"/>
        <v>2394.9284919266029</v>
      </c>
      <c r="AF71" s="445">
        <f t="shared" si="64"/>
        <v>2394.9284919266042</v>
      </c>
      <c r="AG71" s="445">
        <f t="shared" si="64"/>
        <v>5073.5124528055176</v>
      </c>
      <c r="AH71" s="445">
        <f t="shared" si="64"/>
        <v>5534.7408576060188</v>
      </c>
      <c r="AI71" s="445">
        <f t="shared" si="64"/>
        <v>2383.0134248025906</v>
      </c>
      <c r="AJ71" s="445">
        <f t="shared" si="64"/>
        <v>2383.013424802592</v>
      </c>
      <c r="AK71" s="445">
        <f t="shared" si="64"/>
        <v>5048.2710973189251</v>
      </c>
      <c r="AL71" s="445">
        <f t="shared" si="64"/>
        <v>5507.2048334388264</v>
      </c>
      <c r="AM71" s="445">
        <f t="shared" si="64"/>
        <v>2371.1576366194936</v>
      </c>
      <c r="AN71" s="445">
        <f t="shared" si="64"/>
        <v>2371.157636619495</v>
      </c>
      <c r="AO71" s="445">
        <f t="shared" si="64"/>
        <v>5023.1553207153474</v>
      </c>
      <c r="AP71" s="445">
        <f t="shared" si="64"/>
        <v>5479.8058044167419</v>
      </c>
      <c r="AQ71" s="445">
        <f t="shared" si="64"/>
        <v>2359.3608324572074</v>
      </c>
      <c r="AR71" s="445">
        <f t="shared" si="64"/>
        <v>2359.3608324572087</v>
      </c>
      <c r="AS71" s="445">
        <f t="shared" si="64"/>
        <v>4998.1644982242278</v>
      </c>
      <c r="AT71" s="445">
        <f t="shared" si="64"/>
        <v>5452.5430889718837</v>
      </c>
      <c r="AU71" s="445">
        <f t="shared" si="64"/>
        <v>2347.6227188628936</v>
      </c>
      <c r="AV71" s="445">
        <f t="shared" si="64"/>
        <v>2347.6227188628945</v>
      </c>
      <c r="AW71" s="445">
        <f t="shared" si="64"/>
        <v>4973.298008183312</v>
      </c>
      <c r="AX71" s="445">
        <f t="shared" si="64"/>
        <v>5425.4160089272491</v>
      </c>
      <c r="AY71" s="445">
        <f t="shared" si="64"/>
        <v>2335.9430038436749</v>
      </c>
      <c r="AZ71" s="445">
        <f t="shared" si="64"/>
        <v>2335.9430038436763</v>
      </c>
      <c r="BA71" s="445">
        <f t="shared" si="64"/>
        <v>4948.5552320231964</v>
      </c>
      <c r="BB71" s="445">
        <f t="shared" si="64"/>
        <v>5398.42388947985</v>
      </c>
      <c r="BC71" s="445">
        <f t="shared" si="64"/>
        <v>2324.3213968593786</v>
      </c>
      <c r="BD71" s="445">
        <f t="shared" si="64"/>
        <v>2324.32139685938</v>
      </c>
      <c r="BE71" s="445">
        <f t="shared" si="64"/>
        <v>4923.935554251937</v>
      </c>
      <c r="BF71" s="445">
        <f t="shared" si="64"/>
        <v>5371.5660591839305</v>
      </c>
      <c r="BG71" s="445">
        <f t="shared" si="64"/>
        <v>2312.7576088153019</v>
      </c>
      <c r="BH71" s="445">
        <f t="shared" si="64"/>
        <v>2312.7576088153037</v>
      </c>
      <c r="BI71" s="445">
        <f t="shared" si="64"/>
        <v>4899.4383624397396</v>
      </c>
      <c r="BJ71" s="445">
        <f t="shared" si="64"/>
        <v>5344.8418499342606</v>
      </c>
      <c r="BK71" s="445">
        <f t="shared" si="64"/>
        <v>2301.2513520550278</v>
      </c>
      <c r="BL71" s="445">
        <f t="shared" si="64"/>
        <v>2301.2513520550292</v>
      </c>
      <c r="BM71" s="445">
        <f t="shared" si="64"/>
        <v>4875.063047203721</v>
      </c>
      <c r="BN71" s="445">
        <f t="shared" si="64"/>
        <v>5318.2505969495141</v>
      </c>
      <c r="BO71" s="445">
        <f t="shared" si="64"/>
        <v>2289.8023403532616</v>
      </c>
      <c r="BP71" s="445">
        <f t="shared" si="64"/>
        <v>2289.8023403532629</v>
      </c>
      <c r="BQ71" s="445">
        <f t="shared" ref="BQ71:EA71" si="65" xml:space="preserve"> BQ$38</f>
        <v>4850.8090021927592</v>
      </c>
      <c r="BR71" s="445">
        <f t="shared" si="65"/>
        <v>5291.7916387557361</v>
      </c>
      <c r="BS71" s="445">
        <f t="shared" si="65"/>
        <v>2278.4102889087189</v>
      </c>
      <c r="BT71" s="445">
        <f t="shared" si="65"/>
        <v>2278.4102889087198</v>
      </c>
      <c r="BU71" s="445">
        <f t="shared" si="65"/>
        <v>4826.675624072398</v>
      </c>
      <c r="BV71" s="445">
        <f t="shared" si="65"/>
        <v>5265.4643171698881</v>
      </c>
      <c r="BW71" s="445">
        <f t="shared" si="65"/>
        <v>2267.074914337034</v>
      </c>
      <c r="BX71" s="445">
        <f t="shared" si="65"/>
        <v>2267.0749143370354</v>
      </c>
      <c r="BY71" s="445">
        <f t="shared" si="65"/>
        <v>4802.6623125098486</v>
      </c>
      <c r="BZ71" s="445">
        <f t="shared" si="65"/>
        <v>5239.2679772834708</v>
      </c>
      <c r="CA71" s="445">
        <f t="shared" si="65"/>
        <v>2255.7959346637153</v>
      </c>
      <c r="CB71" s="445">
        <f t="shared" si="65"/>
        <v>2255.7959346637167</v>
      </c>
      <c r="CC71" s="445">
        <f t="shared" si="65"/>
        <v>4778.7684701590542</v>
      </c>
      <c r="CD71" s="445">
        <f t="shared" si="65"/>
        <v>5213.2019674462408</v>
      </c>
      <c r="CE71" s="445">
        <f t="shared" si="65"/>
        <v>2244.5730693171299</v>
      </c>
      <c r="CF71" s="445">
        <f t="shared" si="65"/>
        <v>2244.5730693171313</v>
      </c>
      <c r="CG71" s="445">
        <f t="shared" si="65"/>
        <v>4754.9935026458261</v>
      </c>
      <c r="CH71" s="445">
        <f t="shared" si="65"/>
        <v>5187.2656392499921</v>
      </c>
      <c r="CI71" s="445">
        <f t="shared" si="65"/>
        <v>2233.4060391215235</v>
      </c>
      <c r="CJ71" s="445">
        <f t="shared" si="65"/>
        <v>2233.4060391215244</v>
      </c>
      <c r="CK71" s="445">
        <f t="shared" si="65"/>
        <v>4731.3368185530617</v>
      </c>
      <c r="CL71" s="445">
        <f t="shared" si="65"/>
        <v>5161.45834751243</v>
      </c>
      <c r="CM71" s="445">
        <f t="shared" si="65"/>
        <v>2222.2945662900729</v>
      </c>
      <c r="CN71" s="445">
        <f t="shared" si="65"/>
        <v>2222.2945662900743</v>
      </c>
      <c r="CO71" s="445">
        <f t="shared" si="65"/>
        <v>4707.7978294060313</v>
      </c>
      <c r="CP71" s="445">
        <f t="shared" si="65"/>
        <v>5135.7794502611241</v>
      </c>
      <c r="CQ71" s="445">
        <f t="shared" si="65"/>
        <v>2211.2383744179833</v>
      </c>
      <c r="CR71" s="445">
        <f t="shared" si="65"/>
        <v>2211.2383744179842</v>
      </c>
      <c r="CS71" s="445">
        <f t="shared" si="65"/>
        <v>4684.3759496577441</v>
      </c>
      <c r="CT71" s="445">
        <f t="shared" si="65"/>
        <v>5110.2283087175383</v>
      </c>
      <c r="CU71" s="445">
        <f t="shared" si="65"/>
        <v>2200.2371884756058</v>
      </c>
      <c r="CV71" s="445">
        <f t="shared" si="65"/>
        <v>2200.2371884756067</v>
      </c>
      <c r="CW71" s="445">
        <f t="shared" si="65"/>
        <v>4661.0705966743726</v>
      </c>
      <c r="CX71" s="445">
        <f t="shared" si="65"/>
        <v>5084.8042872811338</v>
      </c>
      <c r="CY71" s="445">
        <f t="shared" si="65"/>
        <v>2189.2907348015979</v>
      </c>
      <c r="CZ71" s="445">
        <f t="shared" si="65"/>
        <v>2189.2907348015992</v>
      </c>
      <c r="DA71" s="445">
        <f t="shared" si="65"/>
        <v>4637.8811907207701</v>
      </c>
      <c r="DB71" s="445">
        <f t="shared" si="65"/>
        <v>5059.5067535135668</v>
      </c>
      <c r="DC71" s="445">
        <f t="shared" si="65"/>
        <v>2178.3987410961181</v>
      </c>
      <c r="DD71" s="445">
        <f t="shared" si="65"/>
        <v>2178.398741096119</v>
      </c>
      <c r="DE71" s="445">
        <f t="shared" si="65"/>
        <v>4614.8071549460392</v>
      </c>
      <c r="DF71" s="445">
        <f t="shared" si="65"/>
        <v>5034.3350781229519</v>
      </c>
      <c r="DG71" s="445">
        <f t="shared" si="65"/>
        <v>2167.5609364140473</v>
      </c>
      <c r="DH71" s="445">
        <f t="shared" si="65"/>
        <v>2167.5609364140487</v>
      </c>
      <c r="DI71" s="445">
        <f t="shared" si="65"/>
        <v>0</v>
      </c>
      <c r="DJ71" s="445">
        <f t="shared" si="65"/>
        <v>0</v>
      </c>
      <c r="DK71" s="445">
        <f t="shared" si="65"/>
        <v>0</v>
      </c>
      <c r="DL71" s="445">
        <f t="shared" si="65"/>
        <v>0</v>
      </c>
      <c r="DM71" s="445">
        <f t="shared" si="65"/>
        <v>0</v>
      </c>
      <c r="DN71" s="445">
        <f t="shared" si="65"/>
        <v>0</v>
      </c>
      <c r="DO71" s="445">
        <f t="shared" si="65"/>
        <v>0</v>
      </c>
      <c r="DP71" s="445">
        <f t="shared" si="65"/>
        <v>0</v>
      </c>
      <c r="DQ71" s="445">
        <f t="shared" si="65"/>
        <v>0</v>
      </c>
      <c r="DR71" s="445">
        <f t="shared" si="65"/>
        <v>0</v>
      </c>
      <c r="DS71" s="445">
        <f t="shared" si="65"/>
        <v>0</v>
      </c>
      <c r="DT71" s="445">
        <f t="shared" si="65"/>
        <v>0</v>
      </c>
      <c r="DU71" s="445">
        <f t="shared" si="65"/>
        <v>0</v>
      </c>
      <c r="DV71" s="445">
        <f t="shared" si="65"/>
        <v>0</v>
      </c>
      <c r="DW71" s="445">
        <f t="shared" si="65"/>
        <v>0</v>
      </c>
      <c r="DX71" s="445">
        <f t="shared" si="65"/>
        <v>0</v>
      </c>
      <c r="DY71" s="445">
        <f t="shared" si="65"/>
        <v>0</v>
      </c>
      <c r="DZ71" s="445">
        <f t="shared" si="65"/>
        <v>0</v>
      </c>
      <c r="EA71" s="445">
        <f t="shared" si="65"/>
        <v>0</v>
      </c>
    </row>
    <row r="72" spans="1:13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outlineLevel="2" x14ac:dyDescent="0.35">
      <c r="E73" s="7" t="s">
        <v>205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outlineLevel="1" x14ac:dyDescent="0.35"/>
    <row r="75" spans="1:131" outlineLevel="1" x14ac:dyDescent="0.35">
      <c r="B75" s="8" t="s">
        <v>203</v>
      </c>
    </row>
    <row r="76" spans="1:13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outlineLevel="2" x14ac:dyDescent="0.35">
      <c r="E78" s="7" t="s">
        <v>203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outlineLevel="2" x14ac:dyDescent="0.35"/>
    <row r="80" spans="1:131" outlineLevel="2" x14ac:dyDescent="0.35">
      <c r="A80" s="171"/>
      <c r="B80" s="171"/>
      <c r="C80" s="172"/>
      <c r="D80" s="173"/>
      <c r="E80" s="435" t="str">
        <f xml:space="preserve"> InpC!E$41</f>
        <v>Accounts receivable - initial balance</v>
      </c>
      <c r="F80" s="435">
        <f xml:space="preserve"> InpC!F$41</f>
        <v>0</v>
      </c>
      <c r="G80" s="435" t="str">
        <f xml:space="preserve"> InpC!G$41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outlineLevel="2" x14ac:dyDescent="0.35">
      <c r="A81" s="8"/>
      <c r="B81" s="8"/>
      <c r="C81" s="13"/>
      <c r="D81" s="34"/>
      <c r="E81" s="441" t="str">
        <f xml:space="preserve"> Time!E$76</f>
        <v>Financial close date flag</v>
      </c>
      <c r="F81" s="441">
        <f xml:space="preserve"> Time!F$76</f>
        <v>0</v>
      </c>
      <c r="G81" s="441" t="str">
        <f xml:space="preserve"> Time!G$76</f>
        <v>flag</v>
      </c>
      <c r="H81" s="441">
        <f xml:space="preserve"> Time!H$76</f>
        <v>1</v>
      </c>
      <c r="I81" s="441">
        <f xml:space="preserve"> Time!I$76</f>
        <v>0</v>
      </c>
      <c r="J81" s="441">
        <f xml:space="preserve"> Time!J$76</f>
        <v>0</v>
      </c>
      <c r="K81" s="441">
        <f xml:space="preserve"> Time!K$76</f>
        <v>0</v>
      </c>
      <c r="L81" s="441">
        <f xml:space="preserve"> Time!L$76</f>
        <v>1</v>
      </c>
      <c r="M81" s="441">
        <f xml:space="preserve"> Time!M$76</f>
        <v>0</v>
      </c>
      <c r="N81" s="441">
        <f xml:space="preserve"> Time!N$76</f>
        <v>0</v>
      </c>
      <c r="O81" s="441">
        <f xml:space="preserve"> Time!O$76</f>
        <v>0</v>
      </c>
      <c r="P81" s="441">
        <f xml:space="preserve"> Time!P$76</f>
        <v>0</v>
      </c>
      <c r="Q81" s="441">
        <f xml:space="preserve"> Time!Q$76</f>
        <v>0</v>
      </c>
      <c r="R81" s="441">
        <f xml:space="preserve"> Time!R$76</f>
        <v>0</v>
      </c>
      <c r="S81" s="441">
        <f xml:space="preserve"> Time!S$76</f>
        <v>0</v>
      </c>
      <c r="T81" s="441">
        <f xml:space="preserve"> Time!T$76</f>
        <v>0</v>
      </c>
      <c r="U81" s="441">
        <f xml:space="preserve"> Time!U$76</f>
        <v>0</v>
      </c>
      <c r="V81" s="441">
        <f xml:space="preserve"> Time!V$76</f>
        <v>0</v>
      </c>
      <c r="W81" s="441">
        <f xml:space="preserve"> Time!W$76</f>
        <v>0</v>
      </c>
      <c r="X81" s="441">
        <f xml:space="preserve"> Time!X$76</f>
        <v>0</v>
      </c>
      <c r="Y81" s="441">
        <f xml:space="preserve"> Time!Y$76</f>
        <v>0</v>
      </c>
      <c r="Z81" s="441">
        <f xml:space="preserve"> Time!Z$76</f>
        <v>0</v>
      </c>
      <c r="AA81" s="441">
        <f xml:space="preserve"> Time!AA$76</f>
        <v>0</v>
      </c>
      <c r="AB81" s="441">
        <f xml:space="preserve"> Time!AB$76</f>
        <v>0</v>
      </c>
      <c r="AC81" s="441">
        <f xml:space="preserve"> Time!AC$76</f>
        <v>0</v>
      </c>
      <c r="AD81" s="441">
        <f xml:space="preserve"> Time!AD$76</f>
        <v>0</v>
      </c>
      <c r="AE81" s="441">
        <f xml:space="preserve"> Time!AE$76</f>
        <v>0</v>
      </c>
      <c r="AF81" s="441">
        <f xml:space="preserve"> Time!AF$76</f>
        <v>0</v>
      </c>
      <c r="AG81" s="441">
        <f xml:space="preserve"> Time!AG$76</f>
        <v>0</v>
      </c>
      <c r="AH81" s="441">
        <f xml:space="preserve"> Time!AH$76</f>
        <v>0</v>
      </c>
      <c r="AI81" s="441">
        <f xml:space="preserve"> Time!AI$76</f>
        <v>0</v>
      </c>
      <c r="AJ81" s="441">
        <f xml:space="preserve"> Time!AJ$76</f>
        <v>0</v>
      </c>
      <c r="AK81" s="441">
        <f xml:space="preserve"> Time!AK$76</f>
        <v>0</v>
      </c>
      <c r="AL81" s="441">
        <f xml:space="preserve"> Time!AL$76</f>
        <v>0</v>
      </c>
      <c r="AM81" s="441">
        <f xml:space="preserve"> Time!AM$76</f>
        <v>0</v>
      </c>
      <c r="AN81" s="441">
        <f xml:space="preserve"> Time!AN$76</f>
        <v>0</v>
      </c>
      <c r="AO81" s="441">
        <f xml:space="preserve"> Time!AO$76</f>
        <v>0</v>
      </c>
      <c r="AP81" s="441">
        <f xml:space="preserve"> Time!AP$76</f>
        <v>0</v>
      </c>
      <c r="AQ81" s="441">
        <f xml:space="preserve"> Time!AQ$76</f>
        <v>0</v>
      </c>
      <c r="AR81" s="441">
        <f xml:space="preserve"> Time!AR$76</f>
        <v>0</v>
      </c>
      <c r="AS81" s="441">
        <f xml:space="preserve"> Time!AS$76</f>
        <v>0</v>
      </c>
      <c r="AT81" s="441">
        <f xml:space="preserve"> Time!AT$76</f>
        <v>0</v>
      </c>
      <c r="AU81" s="441">
        <f xml:space="preserve"> Time!AU$76</f>
        <v>0</v>
      </c>
      <c r="AV81" s="441">
        <f xml:space="preserve"> Time!AV$76</f>
        <v>0</v>
      </c>
      <c r="AW81" s="441">
        <f xml:space="preserve"> Time!AW$76</f>
        <v>0</v>
      </c>
      <c r="AX81" s="441">
        <f xml:space="preserve"> Time!AX$76</f>
        <v>0</v>
      </c>
      <c r="AY81" s="441">
        <f xml:space="preserve"> Time!AY$76</f>
        <v>0</v>
      </c>
      <c r="AZ81" s="441">
        <f xml:space="preserve"> Time!AZ$76</f>
        <v>0</v>
      </c>
      <c r="BA81" s="441">
        <f xml:space="preserve"> Time!BA$76</f>
        <v>0</v>
      </c>
      <c r="BB81" s="441">
        <f xml:space="preserve"> Time!BB$76</f>
        <v>0</v>
      </c>
      <c r="BC81" s="441">
        <f xml:space="preserve"> Time!BC$76</f>
        <v>0</v>
      </c>
      <c r="BD81" s="441">
        <f xml:space="preserve"> Time!BD$76</f>
        <v>0</v>
      </c>
      <c r="BE81" s="441">
        <f xml:space="preserve"> Time!BE$76</f>
        <v>0</v>
      </c>
      <c r="BF81" s="441">
        <f xml:space="preserve"> Time!BF$76</f>
        <v>0</v>
      </c>
      <c r="BG81" s="441">
        <f xml:space="preserve"> Time!BG$76</f>
        <v>0</v>
      </c>
      <c r="BH81" s="441">
        <f xml:space="preserve"> Time!BH$76</f>
        <v>0</v>
      </c>
      <c r="BI81" s="441">
        <f xml:space="preserve"> Time!BI$76</f>
        <v>0</v>
      </c>
      <c r="BJ81" s="441">
        <f xml:space="preserve"> Time!BJ$76</f>
        <v>0</v>
      </c>
      <c r="BK81" s="441">
        <f xml:space="preserve"> Time!BK$76</f>
        <v>0</v>
      </c>
      <c r="BL81" s="441">
        <f xml:space="preserve"> Time!BL$76</f>
        <v>0</v>
      </c>
      <c r="BM81" s="441">
        <f xml:space="preserve"> Time!BM$76</f>
        <v>0</v>
      </c>
      <c r="BN81" s="441">
        <f xml:space="preserve"> Time!BN$76</f>
        <v>0</v>
      </c>
      <c r="BO81" s="441">
        <f xml:space="preserve"> Time!BO$76</f>
        <v>0</v>
      </c>
      <c r="BP81" s="441">
        <f xml:space="preserve"> Time!BP$76</f>
        <v>0</v>
      </c>
      <c r="BQ81" s="441">
        <f xml:space="preserve"> Time!BQ$76</f>
        <v>0</v>
      </c>
      <c r="BR81" s="441">
        <f xml:space="preserve"> Time!BR$76</f>
        <v>0</v>
      </c>
      <c r="BS81" s="441">
        <f xml:space="preserve"> Time!BS$76</f>
        <v>0</v>
      </c>
      <c r="BT81" s="441">
        <f xml:space="preserve"> Time!BT$76</f>
        <v>0</v>
      </c>
      <c r="BU81" s="441">
        <f xml:space="preserve"> Time!BU$76</f>
        <v>0</v>
      </c>
      <c r="BV81" s="441">
        <f xml:space="preserve"> Time!BV$76</f>
        <v>0</v>
      </c>
      <c r="BW81" s="441">
        <f xml:space="preserve"> Time!BW$76</f>
        <v>0</v>
      </c>
      <c r="BX81" s="441">
        <f xml:space="preserve"> Time!BX$76</f>
        <v>0</v>
      </c>
      <c r="BY81" s="441">
        <f xml:space="preserve"> Time!BY$76</f>
        <v>0</v>
      </c>
      <c r="BZ81" s="441">
        <f xml:space="preserve"> Time!BZ$76</f>
        <v>0</v>
      </c>
      <c r="CA81" s="441">
        <f xml:space="preserve"> Time!CA$76</f>
        <v>0</v>
      </c>
      <c r="CB81" s="441">
        <f xml:space="preserve"> Time!CB$76</f>
        <v>0</v>
      </c>
      <c r="CC81" s="441">
        <f xml:space="preserve"> Time!CC$76</f>
        <v>0</v>
      </c>
      <c r="CD81" s="441">
        <f xml:space="preserve"> Time!CD$76</f>
        <v>0</v>
      </c>
      <c r="CE81" s="441">
        <f xml:space="preserve"> Time!CE$76</f>
        <v>0</v>
      </c>
      <c r="CF81" s="441">
        <f xml:space="preserve"> Time!CF$76</f>
        <v>0</v>
      </c>
      <c r="CG81" s="441">
        <f xml:space="preserve"> Time!CG$76</f>
        <v>0</v>
      </c>
      <c r="CH81" s="441">
        <f xml:space="preserve"> Time!CH$76</f>
        <v>0</v>
      </c>
      <c r="CI81" s="441">
        <f xml:space="preserve"> Time!CI$76</f>
        <v>0</v>
      </c>
      <c r="CJ81" s="441">
        <f xml:space="preserve"> Time!CJ$76</f>
        <v>0</v>
      </c>
      <c r="CK81" s="441">
        <f xml:space="preserve"> Time!CK$76</f>
        <v>0</v>
      </c>
      <c r="CL81" s="441">
        <f xml:space="preserve"> Time!CL$76</f>
        <v>0</v>
      </c>
      <c r="CM81" s="441">
        <f xml:space="preserve"> Time!CM$76</f>
        <v>0</v>
      </c>
      <c r="CN81" s="441">
        <f xml:space="preserve"> Time!CN$76</f>
        <v>0</v>
      </c>
      <c r="CO81" s="441">
        <f xml:space="preserve"> Time!CO$76</f>
        <v>0</v>
      </c>
      <c r="CP81" s="441">
        <f xml:space="preserve"> Time!CP$76</f>
        <v>0</v>
      </c>
      <c r="CQ81" s="441">
        <f xml:space="preserve"> Time!CQ$76</f>
        <v>0</v>
      </c>
      <c r="CR81" s="441">
        <f xml:space="preserve"> Time!CR$76</f>
        <v>0</v>
      </c>
      <c r="CS81" s="441">
        <f xml:space="preserve"> Time!CS$76</f>
        <v>0</v>
      </c>
      <c r="CT81" s="441">
        <f xml:space="preserve"> Time!CT$76</f>
        <v>0</v>
      </c>
      <c r="CU81" s="441">
        <f xml:space="preserve"> Time!CU$76</f>
        <v>0</v>
      </c>
      <c r="CV81" s="441">
        <f xml:space="preserve"> Time!CV$76</f>
        <v>0</v>
      </c>
      <c r="CW81" s="441">
        <f xml:space="preserve"> Time!CW$76</f>
        <v>0</v>
      </c>
      <c r="CX81" s="441">
        <f xml:space="preserve"> Time!CX$76</f>
        <v>0</v>
      </c>
      <c r="CY81" s="441">
        <f xml:space="preserve"> Time!CY$76</f>
        <v>0</v>
      </c>
      <c r="CZ81" s="441">
        <f xml:space="preserve"> Time!CZ$76</f>
        <v>0</v>
      </c>
      <c r="DA81" s="441">
        <f xml:space="preserve"> Time!DA$76</f>
        <v>0</v>
      </c>
      <c r="DB81" s="441">
        <f xml:space="preserve"> Time!DB$76</f>
        <v>0</v>
      </c>
      <c r="DC81" s="441">
        <f xml:space="preserve"> Time!DC$76</f>
        <v>0</v>
      </c>
      <c r="DD81" s="441">
        <f xml:space="preserve"> Time!DD$76</f>
        <v>0</v>
      </c>
      <c r="DE81" s="441">
        <f xml:space="preserve"> Time!DE$76</f>
        <v>0</v>
      </c>
      <c r="DF81" s="441">
        <f xml:space="preserve"> Time!DF$76</f>
        <v>0</v>
      </c>
      <c r="DG81" s="441">
        <f xml:space="preserve"> Time!DG$76</f>
        <v>0</v>
      </c>
      <c r="DH81" s="441">
        <f xml:space="preserve"> Time!DH$76</f>
        <v>0</v>
      </c>
      <c r="DI81" s="441">
        <f xml:space="preserve"> Time!DI$76</f>
        <v>0</v>
      </c>
      <c r="DJ81" s="441">
        <f xml:space="preserve"> Time!DJ$76</f>
        <v>0</v>
      </c>
      <c r="DK81" s="441">
        <f xml:space="preserve"> Time!DK$76</f>
        <v>0</v>
      </c>
      <c r="DL81" s="441">
        <f xml:space="preserve"> Time!DL$76</f>
        <v>0</v>
      </c>
      <c r="DM81" s="441">
        <f xml:space="preserve"> Time!DM$76</f>
        <v>0</v>
      </c>
      <c r="DN81" s="441">
        <f xml:space="preserve"> Time!DN$76</f>
        <v>0</v>
      </c>
      <c r="DO81" s="441">
        <f xml:space="preserve"> Time!DO$76</f>
        <v>0</v>
      </c>
      <c r="DP81" s="441">
        <f xml:space="preserve"> Time!DP$76</f>
        <v>0</v>
      </c>
      <c r="DQ81" s="441">
        <f xml:space="preserve"> Time!DQ$76</f>
        <v>0</v>
      </c>
      <c r="DR81" s="441">
        <f xml:space="preserve"> Time!DR$76</f>
        <v>0</v>
      </c>
      <c r="DS81" s="441">
        <f xml:space="preserve"> Time!DS$76</f>
        <v>0</v>
      </c>
      <c r="DT81" s="441">
        <f xml:space="preserve"> Time!DT$76</f>
        <v>0</v>
      </c>
      <c r="DU81" s="441">
        <f xml:space="preserve"> Time!DU$76</f>
        <v>0</v>
      </c>
      <c r="DV81" s="441">
        <f xml:space="preserve"> Time!DV$76</f>
        <v>0</v>
      </c>
      <c r="DW81" s="441">
        <f xml:space="preserve"> Time!DW$76</f>
        <v>0</v>
      </c>
      <c r="DX81" s="441">
        <f xml:space="preserve"> Time!DX$76</f>
        <v>0</v>
      </c>
      <c r="DY81" s="441">
        <f xml:space="preserve"> Time!DY$76</f>
        <v>0</v>
      </c>
      <c r="DZ81" s="441">
        <f xml:space="preserve"> Time!DZ$76</f>
        <v>0</v>
      </c>
      <c r="EA81" s="441">
        <f xml:space="preserve"> Time!EA$76</f>
        <v>0</v>
      </c>
    </row>
    <row r="82" spans="1:13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outlineLevel="2" x14ac:dyDescent="0.35">
      <c r="E83" s="169" t="s">
        <v>199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outlineLevel="2" x14ac:dyDescent="0.35">
      <c r="E84" s="445" t="str">
        <f t="shared" ref="E84:BP84" si="84" xml:space="preserve"> E$38</f>
        <v>Electricity revenue</v>
      </c>
      <c r="F84" s="445">
        <f t="shared" si="84"/>
        <v>0</v>
      </c>
      <c r="G84" s="445" t="str">
        <f t="shared" si="84"/>
        <v>$ 000s</v>
      </c>
      <c r="H84" s="445">
        <f t="shared" si="84"/>
        <v>371409.67882059288</v>
      </c>
      <c r="I84" s="445">
        <f t="shared" si="84"/>
        <v>0</v>
      </c>
      <c r="J84" s="445">
        <f t="shared" si="84"/>
        <v>0</v>
      </c>
      <c r="K84" s="445">
        <f t="shared" si="84"/>
        <v>0</v>
      </c>
      <c r="L84" s="445">
        <f t="shared" si="84"/>
        <v>0</v>
      </c>
      <c r="M84" s="445">
        <f t="shared" si="84"/>
        <v>5201.625</v>
      </c>
      <c r="N84" s="445">
        <f t="shared" si="84"/>
        <v>5674.5</v>
      </c>
      <c r="O84" s="445">
        <f t="shared" si="84"/>
        <v>2443.1874999999986</v>
      </c>
      <c r="P84" s="445">
        <f t="shared" si="84"/>
        <v>2443.1875</v>
      </c>
      <c r="Q84" s="445">
        <f t="shared" si="84"/>
        <v>5175.7462686567178</v>
      </c>
      <c r="R84" s="445">
        <f t="shared" si="84"/>
        <v>5646.2686567164183</v>
      </c>
      <c r="S84" s="445">
        <f t="shared" si="84"/>
        <v>2431.0323383084565</v>
      </c>
      <c r="T84" s="445">
        <f t="shared" si="84"/>
        <v>2431.0323383084578</v>
      </c>
      <c r="U84" s="445">
        <f t="shared" si="84"/>
        <v>5149.9962872206152</v>
      </c>
      <c r="V84" s="445">
        <f t="shared" si="84"/>
        <v>5618.1777678770341</v>
      </c>
      <c r="W84" s="445">
        <f t="shared" si="84"/>
        <v>2418.9376500581666</v>
      </c>
      <c r="X84" s="445">
        <f t="shared" si="84"/>
        <v>2418.9376500581679</v>
      </c>
      <c r="Y84" s="445">
        <f t="shared" si="84"/>
        <v>5124.3744151448909</v>
      </c>
      <c r="Z84" s="445">
        <f t="shared" si="84"/>
        <v>5590.2266347035174</v>
      </c>
      <c r="AA84" s="445">
        <f t="shared" si="84"/>
        <v>2406.9031343862353</v>
      </c>
      <c r="AB84" s="445">
        <f t="shared" si="84"/>
        <v>2406.9031343862366</v>
      </c>
      <c r="AC84" s="445">
        <f t="shared" si="84"/>
        <v>5098.8800150695442</v>
      </c>
      <c r="AD84" s="445">
        <f t="shared" si="84"/>
        <v>5562.4145618940483</v>
      </c>
      <c r="AE84" s="445">
        <f t="shared" si="84"/>
        <v>2394.9284919266029</v>
      </c>
      <c r="AF84" s="445">
        <f t="shared" si="84"/>
        <v>2394.9284919266042</v>
      </c>
      <c r="AG84" s="445">
        <f t="shared" si="84"/>
        <v>5073.5124528055176</v>
      </c>
      <c r="AH84" s="445">
        <f t="shared" si="84"/>
        <v>5534.7408576060188</v>
      </c>
      <c r="AI84" s="445">
        <f t="shared" si="84"/>
        <v>2383.0134248025906</v>
      </c>
      <c r="AJ84" s="445">
        <f t="shared" si="84"/>
        <v>2383.013424802592</v>
      </c>
      <c r="AK84" s="445">
        <f t="shared" si="84"/>
        <v>5048.2710973189251</v>
      </c>
      <c r="AL84" s="445">
        <f t="shared" si="84"/>
        <v>5507.2048334388264</v>
      </c>
      <c r="AM84" s="445">
        <f t="shared" si="84"/>
        <v>2371.1576366194936</v>
      </c>
      <c r="AN84" s="445">
        <f t="shared" si="84"/>
        <v>2371.157636619495</v>
      </c>
      <c r="AO84" s="445">
        <f t="shared" si="84"/>
        <v>5023.1553207153474</v>
      </c>
      <c r="AP84" s="445">
        <f t="shared" si="84"/>
        <v>5479.8058044167419</v>
      </c>
      <c r="AQ84" s="445">
        <f t="shared" si="84"/>
        <v>2359.3608324572074</v>
      </c>
      <c r="AR84" s="445">
        <f t="shared" si="84"/>
        <v>2359.3608324572087</v>
      </c>
      <c r="AS84" s="445">
        <f t="shared" si="84"/>
        <v>4998.1644982242278</v>
      </c>
      <c r="AT84" s="445">
        <f t="shared" si="84"/>
        <v>5452.5430889718837</v>
      </c>
      <c r="AU84" s="445">
        <f t="shared" si="84"/>
        <v>2347.6227188628936</v>
      </c>
      <c r="AV84" s="445">
        <f t="shared" si="84"/>
        <v>2347.6227188628945</v>
      </c>
      <c r="AW84" s="445">
        <f t="shared" si="84"/>
        <v>4973.298008183312</v>
      </c>
      <c r="AX84" s="445">
        <f t="shared" si="84"/>
        <v>5425.4160089272491</v>
      </c>
      <c r="AY84" s="445">
        <f t="shared" si="84"/>
        <v>2335.9430038436749</v>
      </c>
      <c r="AZ84" s="445">
        <f t="shared" si="84"/>
        <v>2335.9430038436763</v>
      </c>
      <c r="BA84" s="445">
        <f t="shared" si="84"/>
        <v>4948.5552320231964</v>
      </c>
      <c r="BB84" s="445">
        <f t="shared" si="84"/>
        <v>5398.42388947985</v>
      </c>
      <c r="BC84" s="445">
        <f t="shared" si="84"/>
        <v>2324.3213968593786</v>
      </c>
      <c r="BD84" s="445">
        <f t="shared" si="84"/>
        <v>2324.32139685938</v>
      </c>
      <c r="BE84" s="445">
        <f t="shared" si="84"/>
        <v>4923.935554251937</v>
      </c>
      <c r="BF84" s="445">
        <f t="shared" si="84"/>
        <v>5371.5660591839305</v>
      </c>
      <c r="BG84" s="445">
        <f t="shared" si="84"/>
        <v>2312.7576088153019</v>
      </c>
      <c r="BH84" s="445">
        <f t="shared" si="84"/>
        <v>2312.7576088153037</v>
      </c>
      <c r="BI84" s="445">
        <f t="shared" si="84"/>
        <v>4899.4383624397396</v>
      </c>
      <c r="BJ84" s="445">
        <f t="shared" si="84"/>
        <v>5344.8418499342606</v>
      </c>
      <c r="BK84" s="445">
        <f t="shared" si="84"/>
        <v>2301.2513520550278</v>
      </c>
      <c r="BL84" s="445">
        <f t="shared" si="84"/>
        <v>2301.2513520550292</v>
      </c>
      <c r="BM84" s="445">
        <f t="shared" si="84"/>
        <v>4875.063047203721</v>
      </c>
      <c r="BN84" s="445">
        <f t="shared" si="84"/>
        <v>5318.2505969495141</v>
      </c>
      <c r="BO84" s="445">
        <f t="shared" si="84"/>
        <v>2289.8023403532616</v>
      </c>
      <c r="BP84" s="445">
        <f t="shared" si="84"/>
        <v>2289.8023403532629</v>
      </c>
      <c r="BQ84" s="445">
        <f t="shared" ref="BQ84:EA84" si="85" xml:space="preserve"> BQ$38</f>
        <v>4850.8090021927592</v>
      </c>
      <c r="BR84" s="445">
        <f t="shared" si="85"/>
        <v>5291.7916387557361</v>
      </c>
      <c r="BS84" s="445">
        <f t="shared" si="85"/>
        <v>2278.4102889087189</v>
      </c>
      <c r="BT84" s="445">
        <f t="shared" si="85"/>
        <v>2278.4102889087198</v>
      </c>
      <c r="BU84" s="445">
        <f t="shared" si="85"/>
        <v>4826.675624072398</v>
      </c>
      <c r="BV84" s="445">
        <f t="shared" si="85"/>
        <v>5265.4643171698881</v>
      </c>
      <c r="BW84" s="445">
        <f t="shared" si="85"/>
        <v>2267.074914337034</v>
      </c>
      <c r="BX84" s="445">
        <f t="shared" si="85"/>
        <v>2267.0749143370354</v>
      </c>
      <c r="BY84" s="445">
        <f t="shared" si="85"/>
        <v>4802.6623125098486</v>
      </c>
      <c r="BZ84" s="445">
        <f t="shared" si="85"/>
        <v>5239.2679772834708</v>
      </c>
      <c r="CA84" s="445">
        <f t="shared" si="85"/>
        <v>2255.7959346637153</v>
      </c>
      <c r="CB84" s="445">
        <f t="shared" si="85"/>
        <v>2255.7959346637167</v>
      </c>
      <c r="CC84" s="445">
        <f t="shared" si="85"/>
        <v>4778.7684701590542</v>
      </c>
      <c r="CD84" s="445">
        <f t="shared" si="85"/>
        <v>5213.2019674462408</v>
      </c>
      <c r="CE84" s="445">
        <f t="shared" si="85"/>
        <v>2244.5730693171299</v>
      </c>
      <c r="CF84" s="445">
        <f t="shared" si="85"/>
        <v>2244.5730693171313</v>
      </c>
      <c r="CG84" s="445">
        <f t="shared" si="85"/>
        <v>4754.9935026458261</v>
      </c>
      <c r="CH84" s="445">
        <f t="shared" si="85"/>
        <v>5187.2656392499921</v>
      </c>
      <c r="CI84" s="445">
        <f t="shared" si="85"/>
        <v>2233.4060391215235</v>
      </c>
      <c r="CJ84" s="445">
        <f t="shared" si="85"/>
        <v>2233.4060391215244</v>
      </c>
      <c r="CK84" s="445">
        <f t="shared" si="85"/>
        <v>4731.3368185530617</v>
      </c>
      <c r="CL84" s="445">
        <f t="shared" si="85"/>
        <v>5161.45834751243</v>
      </c>
      <c r="CM84" s="445">
        <f t="shared" si="85"/>
        <v>2222.2945662900729</v>
      </c>
      <c r="CN84" s="445">
        <f t="shared" si="85"/>
        <v>2222.2945662900743</v>
      </c>
      <c r="CO84" s="445">
        <f t="shared" si="85"/>
        <v>4707.7978294060313</v>
      </c>
      <c r="CP84" s="445">
        <f t="shared" si="85"/>
        <v>5135.7794502611241</v>
      </c>
      <c r="CQ84" s="445">
        <f t="shared" si="85"/>
        <v>2211.2383744179833</v>
      </c>
      <c r="CR84" s="445">
        <f t="shared" si="85"/>
        <v>2211.2383744179842</v>
      </c>
      <c r="CS84" s="445">
        <f t="shared" si="85"/>
        <v>4684.3759496577441</v>
      </c>
      <c r="CT84" s="445">
        <f t="shared" si="85"/>
        <v>5110.2283087175383</v>
      </c>
      <c r="CU84" s="445">
        <f t="shared" si="85"/>
        <v>2200.2371884756058</v>
      </c>
      <c r="CV84" s="445">
        <f t="shared" si="85"/>
        <v>2200.2371884756067</v>
      </c>
      <c r="CW84" s="445">
        <f t="shared" si="85"/>
        <v>4661.0705966743726</v>
      </c>
      <c r="CX84" s="445">
        <f t="shared" si="85"/>
        <v>5084.8042872811338</v>
      </c>
      <c r="CY84" s="445">
        <f t="shared" si="85"/>
        <v>2189.2907348015979</v>
      </c>
      <c r="CZ84" s="445">
        <f t="shared" si="85"/>
        <v>2189.2907348015992</v>
      </c>
      <c r="DA84" s="445">
        <f t="shared" si="85"/>
        <v>4637.8811907207701</v>
      </c>
      <c r="DB84" s="445">
        <f t="shared" si="85"/>
        <v>5059.5067535135668</v>
      </c>
      <c r="DC84" s="445">
        <f t="shared" si="85"/>
        <v>2178.3987410961181</v>
      </c>
      <c r="DD84" s="445">
        <f t="shared" si="85"/>
        <v>2178.398741096119</v>
      </c>
      <c r="DE84" s="445">
        <f t="shared" si="85"/>
        <v>4614.8071549460392</v>
      </c>
      <c r="DF84" s="445">
        <f t="shared" si="85"/>
        <v>5034.3350781229519</v>
      </c>
      <c r="DG84" s="445">
        <f t="shared" si="85"/>
        <v>2167.5609364140473</v>
      </c>
      <c r="DH84" s="445">
        <f t="shared" si="85"/>
        <v>2167.5609364140487</v>
      </c>
      <c r="DI84" s="445">
        <f t="shared" si="85"/>
        <v>0</v>
      </c>
      <c r="DJ84" s="445">
        <f t="shared" si="85"/>
        <v>0</v>
      </c>
      <c r="DK84" s="445">
        <f t="shared" si="85"/>
        <v>0</v>
      </c>
      <c r="DL84" s="445">
        <f t="shared" si="85"/>
        <v>0</v>
      </c>
      <c r="DM84" s="445">
        <f t="shared" si="85"/>
        <v>0</v>
      </c>
      <c r="DN84" s="445">
        <f t="shared" si="85"/>
        <v>0</v>
      </c>
      <c r="DO84" s="445">
        <f t="shared" si="85"/>
        <v>0</v>
      </c>
      <c r="DP84" s="445">
        <f t="shared" si="85"/>
        <v>0</v>
      </c>
      <c r="DQ84" s="445">
        <f t="shared" si="85"/>
        <v>0</v>
      </c>
      <c r="DR84" s="445">
        <f t="shared" si="85"/>
        <v>0</v>
      </c>
      <c r="DS84" s="445">
        <f t="shared" si="85"/>
        <v>0</v>
      </c>
      <c r="DT84" s="445">
        <f t="shared" si="85"/>
        <v>0</v>
      </c>
      <c r="DU84" s="445">
        <f t="shared" si="85"/>
        <v>0</v>
      </c>
      <c r="DV84" s="445">
        <f t="shared" si="85"/>
        <v>0</v>
      </c>
      <c r="DW84" s="445">
        <f t="shared" si="85"/>
        <v>0</v>
      </c>
      <c r="DX84" s="445">
        <f t="shared" si="85"/>
        <v>0</v>
      </c>
      <c r="DY84" s="445">
        <f t="shared" si="85"/>
        <v>0</v>
      </c>
      <c r="DZ84" s="445">
        <f t="shared" si="85"/>
        <v>0</v>
      </c>
      <c r="EA84" s="445">
        <f t="shared" si="85"/>
        <v>0</v>
      </c>
    </row>
    <row r="85" spans="1:131" s="112" customFormat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outlineLevel="2" x14ac:dyDescent="0.35">
      <c r="A86" s="176"/>
      <c r="B86" s="176"/>
      <c r="C86" s="177"/>
      <c r="D86" s="178"/>
      <c r="E86" s="179" t="s">
        <v>200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outlineLevel="2" x14ac:dyDescent="0.35"/>
    <row r="88" spans="1:131" outlineLevel="2" x14ac:dyDescent="0.35"/>
    <row r="90" spans="1:131" x14ac:dyDescent="0.35">
      <c r="A90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E3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165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InpC!E$39</f>
        <v xml:space="preserve">Retained earnings - initial balance </v>
      </c>
      <c r="F10" s="435">
        <f xml:space="preserve"> InpC!F$39</f>
        <v>0</v>
      </c>
      <c r="G10" s="435" t="str">
        <f xml:space="preserve"> InpC!G$39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163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5201.625</v>
      </c>
      <c r="O13" s="169">
        <f t="shared" si="0"/>
        <v>10876.125</v>
      </c>
      <c r="P13" s="169">
        <f t="shared" si="0"/>
        <v>13319.312499999998</v>
      </c>
      <c r="Q13" s="169">
        <f t="shared" si="0"/>
        <v>15762.499999999998</v>
      </c>
      <c r="R13" s="169">
        <f t="shared" si="0"/>
        <v>20938.246268656716</v>
      </c>
      <c r="S13" s="169">
        <f t="shared" si="0"/>
        <v>26584.514925373136</v>
      </c>
      <c r="T13" s="169">
        <f t="shared" si="0"/>
        <v>29015.547263681594</v>
      </c>
      <c r="U13" s="169">
        <f t="shared" si="0"/>
        <v>31446.579601990052</v>
      </c>
      <c r="V13" s="169">
        <f t="shared" si="0"/>
        <v>36596.575889210668</v>
      </c>
      <c r="W13" s="169">
        <f t="shared" si="0"/>
        <v>42214.753657087698</v>
      </c>
      <c r="X13" s="169">
        <f t="shared" si="0"/>
        <v>44633.691307145862</v>
      </c>
      <c r="Y13" s="169">
        <f t="shared" si="0"/>
        <v>47052.628957204033</v>
      </c>
      <c r="Z13" s="169">
        <f t="shared" si="0"/>
        <v>52177.003372348925</v>
      </c>
      <c r="AA13" s="169">
        <f t="shared" si="0"/>
        <v>57767.230007052443</v>
      </c>
      <c r="AB13" s="169">
        <f t="shared" si="0"/>
        <v>60174.13314143868</v>
      </c>
      <c r="AC13" s="169">
        <f t="shared" si="0"/>
        <v>62581.036275824918</v>
      </c>
      <c r="AD13" s="169">
        <f t="shared" si="0"/>
        <v>67679.916290894456</v>
      </c>
      <c r="AE13" s="169">
        <f t="shared" si="0"/>
        <v>73242.330852788509</v>
      </c>
      <c r="AF13" s="169">
        <f t="shared" si="0"/>
        <v>75637.259344715116</v>
      </c>
      <c r="AG13" s="169">
        <f t="shared" si="0"/>
        <v>78032.187836641722</v>
      </c>
      <c r="AH13" s="169">
        <f t="shared" si="0"/>
        <v>83105.700289447239</v>
      </c>
      <c r="AI13" s="169">
        <f t="shared" si="0"/>
        <v>88640.441147053265</v>
      </c>
      <c r="AJ13" s="169">
        <f t="shared" si="0"/>
        <v>91023.454571855851</v>
      </c>
      <c r="AK13" s="169">
        <f t="shared" si="0"/>
        <v>93406.467996658437</v>
      </c>
      <c r="AL13" s="169">
        <f t="shared" si="0"/>
        <v>98454.739093977361</v>
      </c>
      <c r="AM13" s="169">
        <f t="shared" si="0"/>
        <v>103961.94392741619</v>
      </c>
      <c r="AN13" s="169">
        <f t="shared" si="0"/>
        <v>106333.10156403568</v>
      </c>
      <c r="AO13" s="169">
        <f t="shared" si="0"/>
        <v>108704.25920065517</v>
      </c>
      <c r="AP13" s="169">
        <f t="shared" si="0"/>
        <v>113727.41452137052</v>
      </c>
      <c r="AQ13" s="169">
        <f t="shared" si="0"/>
        <v>119207.22032578726</v>
      </c>
      <c r="AR13" s="169">
        <f t="shared" si="0"/>
        <v>121566.58115824447</v>
      </c>
      <c r="AS13" s="169">
        <f t="shared" si="0"/>
        <v>123925.94199070169</v>
      </c>
      <c r="AT13" s="169">
        <f t="shared" si="0"/>
        <v>128924.10648892591</v>
      </c>
      <c r="AU13" s="169">
        <f t="shared" si="0"/>
        <v>134376.6495778978</v>
      </c>
      <c r="AV13" s="169">
        <f t="shared" si="0"/>
        <v>136724.2722967607</v>
      </c>
      <c r="AW13" s="169">
        <f t="shared" si="0"/>
        <v>139071.8950156236</v>
      </c>
      <c r="AX13" s="169">
        <f t="shared" si="0"/>
        <v>144045.1930238069</v>
      </c>
      <c r="AY13" s="169">
        <f t="shared" si="0"/>
        <v>149470.60903273415</v>
      </c>
      <c r="AZ13" s="169">
        <f t="shared" si="0"/>
        <v>151806.55203657784</v>
      </c>
      <c r="BA13" s="169">
        <f t="shared" si="0"/>
        <v>154142.49504042152</v>
      </c>
      <c r="BB13" s="169">
        <f t="shared" si="0"/>
        <v>159091.05027244473</v>
      </c>
      <c r="BC13" s="169">
        <f t="shared" si="0"/>
        <v>164489.47416192459</v>
      </c>
      <c r="BD13" s="169">
        <f t="shared" si="0"/>
        <v>166813.79555878398</v>
      </c>
      <c r="BE13" s="169">
        <f t="shared" si="0"/>
        <v>169138.11695564337</v>
      </c>
      <c r="BF13" s="169">
        <f t="shared" si="0"/>
        <v>174062.05250989532</v>
      </c>
      <c r="BG13" s="169">
        <f t="shared" si="0"/>
        <v>179433.61856907926</v>
      </c>
      <c r="BH13" s="169">
        <f t="shared" si="0"/>
        <v>181746.37617789456</v>
      </c>
      <c r="BI13" s="169">
        <f t="shared" si="0"/>
        <v>184059.13378670986</v>
      </c>
      <c r="BJ13" s="169">
        <f t="shared" si="0"/>
        <v>188958.57214914961</v>
      </c>
      <c r="BK13" s="169">
        <f t="shared" si="0"/>
        <v>194303.41399908386</v>
      </c>
      <c r="BL13" s="169">
        <f t="shared" si="0"/>
        <v>196604.66535113889</v>
      </c>
      <c r="BM13" s="169">
        <f t="shared" si="0"/>
        <v>198905.91670319391</v>
      </c>
      <c r="BN13" s="169">
        <f t="shared" si="0"/>
        <v>203780.97975039764</v>
      </c>
      <c r="BO13" s="169">
        <f t="shared" si="0"/>
        <v>209099.23034734715</v>
      </c>
      <c r="BP13" s="169">
        <f t="shared" si="0"/>
        <v>211389.03268770041</v>
      </c>
      <c r="BQ13" s="169">
        <f t="shared" si="0"/>
        <v>213678.83502805367</v>
      </c>
      <c r="BR13" s="169">
        <f t="shared" si="0"/>
        <v>218529.64403024642</v>
      </c>
      <c r="BS13" s="169">
        <f t="shared" si="0"/>
        <v>223821.43566900215</v>
      </c>
      <c r="BT13" s="169">
        <f t="shared" si="0"/>
        <v>226099.84595791087</v>
      </c>
      <c r="BU13" s="169">
        <f t="shared" si="0"/>
        <v>228378.2562468196</v>
      </c>
      <c r="BV13" s="169">
        <f t="shared" ref="BV13:EA13" si="1">BU16</f>
        <v>233204.931870892</v>
      </c>
      <c r="BW13" s="169">
        <f t="shared" si="1"/>
        <v>238470.39618806189</v>
      </c>
      <c r="BX13" s="169">
        <f t="shared" si="1"/>
        <v>240737.47110239894</v>
      </c>
      <c r="BY13" s="169">
        <f t="shared" si="1"/>
        <v>243004.54601673599</v>
      </c>
      <c r="BZ13" s="169">
        <f t="shared" si="1"/>
        <v>247807.20832924583</v>
      </c>
      <c r="CA13" s="169">
        <f t="shared" si="1"/>
        <v>253046.47630652931</v>
      </c>
      <c r="CB13" s="169">
        <f t="shared" si="1"/>
        <v>255302.27224119302</v>
      </c>
      <c r="CC13" s="169">
        <f t="shared" si="1"/>
        <v>257558.06817585672</v>
      </c>
      <c r="CD13" s="169">
        <f t="shared" si="1"/>
        <v>262336.83664601576</v>
      </c>
      <c r="CE13" s="169">
        <f t="shared" si="1"/>
        <v>267550.03861346201</v>
      </c>
      <c r="CF13" s="169">
        <f t="shared" si="1"/>
        <v>269794.61168277916</v>
      </c>
      <c r="CG13" s="169">
        <f t="shared" si="1"/>
        <v>272039.18475209631</v>
      </c>
      <c r="CH13" s="169">
        <f t="shared" si="1"/>
        <v>276794.17825474212</v>
      </c>
      <c r="CI13" s="169">
        <f t="shared" si="1"/>
        <v>281981.44389399211</v>
      </c>
      <c r="CJ13" s="169">
        <f t="shared" si="1"/>
        <v>284214.84993311361</v>
      </c>
      <c r="CK13" s="169">
        <f t="shared" si="1"/>
        <v>286448.25597223511</v>
      </c>
      <c r="CL13" s="169">
        <f t="shared" si="1"/>
        <v>291179.59279078816</v>
      </c>
      <c r="CM13" s="169">
        <f t="shared" si="1"/>
        <v>296341.05113830057</v>
      </c>
      <c r="CN13" s="169">
        <f t="shared" si="1"/>
        <v>298563.34570459061</v>
      </c>
      <c r="CO13" s="169">
        <f t="shared" si="1"/>
        <v>300785.64027088066</v>
      </c>
      <c r="CP13" s="169">
        <f t="shared" si="1"/>
        <v>305493.4381002867</v>
      </c>
      <c r="CQ13" s="169">
        <f t="shared" si="1"/>
        <v>310629.21755054785</v>
      </c>
      <c r="CR13" s="169">
        <f t="shared" si="1"/>
        <v>312840.45592496585</v>
      </c>
      <c r="CS13" s="169">
        <f t="shared" si="1"/>
        <v>315051.69429938385</v>
      </c>
      <c r="CT13" s="169">
        <f t="shared" si="1"/>
        <v>319736.0702490416</v>
      </c>
      <c r="CU13" s="169">
        <f t="shared" si="1"/>
        <v>324846.29855775915</v>
      </c>
      <c r="CV13" s="169">
        <f t="shared" si="1"/>
        <v>327046.53574623476</v>
      </c>
      <c r="CW13" s="169">
        <f t="shared" si="1"/>
        <v>329246.77293471037</v>
      </c>
      <c r="CX13" s="169">
        <f t="shared" si="1"/>
        <v>333907.84353138477</v>
      </c>
      <c r="CY13" s="169">
        <f t="shared" si="1"/>
        <v>338992.64781866589</v>
      </c>
      <c r="CZ13" s="169">
        <f t="shared" si="1"/>
        <v>341181.93855346751</v>
      </c>
      <c r="DA13" s="169">
        <f t="shared" si="1"/>
        <v>343371.22928826913</v>
      </c>
      <c r="DB13" s="169">
        <f t="shared" si="1"/>
        <v>348009.1104789899</v>
      </c>
      <c r="DC13" s="169">
        <f t="shared" si="1"/>
        <v>353068.61723250349</v>
      </c>
      <c r="DD13" s="169">
        <f t="shared" si="1"/>
        <v>355247.01597359963</v>
      </c>
      <c r="DE13" s="169">
        <f t="shared" si="1"/>
        <v>357425.41471469577</v>
      </c>
      <c r="DF13" s="169">
        <f t="shared" si="1"/>
        <v>362040.2218696418</v>
      </c>
      <c r="DG13" s="169">
        <f t="shared" si="1"/>
        <v>367074.55694776477</v>
      </c>
      <c r="DH13" s="169">
        <f t="shared" si="1"/>
        <v>369242.11788417882</v>
      </c>
      <c r="DI13" s="169">
        <f t="shared" si="1"/>
        <v>371409.67882059288</v>
      </c>
      <c r="DJ13" s="169">
        <f t="shared" si="1"/>
        <v>371409.67882059288</v>
      </c>
      <c r="DK13" s="169">
        <f t="shared" si="1"/>
        <v>371409.67882059288</v>
      </c>
      <c r="DL13" s="169">
        <f t="shared" si="1"/>
        <v>371409.67882059288</v>
      </c>
      <c r="DM13" s="169">
        <f t="shared" si="1"/>
        <v>371409.67882059288</v>
      </c>
      <c r="DN13" s="169">
        <f t="shared" si="1"/>
        <v>371409.67882059288</v>
      </c>
      <c r="DO13" s="169">
        <f t="shared" si="1"/>
        <v>371409.67882059288</v>
      </c>
      <c r="DP13" s="169">
        <f t="shared" si="1"/>
        <v>371409.67882059288</v>
      </c>
      <c r="DQ13" s="169">
        <f t="shared" si="1"/>
        <v>371409.67882059288</v>
      </c>
      <c r="DR13" s="169">
        <f t="shared" si="1"/>
        <v>371409.67882059288</v>
      </c>
      <c r="DS13" s="169">
        <f t="shared" si="1"/>
        <v>371409.67882059288</v>
      </c>
      <c r="DT13" s="169">
        <f t="shared" si="1"/>
        <v>371409.67882059288</v>
      </c>
      <c r="DU13" s="169">
        <f t="shared" si="1"/>
        <v>371409.67882059288</v>
      </c>
      <c r="DV13" s="169">
        <f t="shared" si="1"/>
        <v>371409.67882059288</v>
      </c>
      <c r="DW13" s="169">
        <f t="shared" si="1"/>
        <v>371409.67882059288</v>
      </c>
      <c r="DX13" s="169">
        <f t="shared" si="1"/>
        <v>371409.67882059288</v>
      </c>
      <c r="DY13" s="169">
        <f t="shared" si="1"/>
        <v>371409.67882059288</v>
      </c>
      <c r="DZ13" s="169">
        <f t="shared" si="1"/>
        <v>371409.67882059288</v>
      </c>
      <c r="EA13" s="169">
        <f t="shared" si="1"/>
        <v>371409.67882059288</v>
      </c>
    </row>
    <row r="14" spans="1:131" s="112" customFormat="1" hidden="1" outlineLevel="1" x14ac:dyDescent="0.35">
      <c r="A14" s="8"/>
      <c r="B14" s="8"/>
      <c r="C14" s="13"/>
      <c r="D14" s="34"/>
      <c r="E14" s="428" t="str">
        <f xml:space="preserve"> 'FS Qtr'!E$22</f>
        <v>Profit after tax</v>
      </c>
      <c r="F14" s="428">
        <f xml:space="preserve"> 'FS Qtr'!F$22</f>
        <v>0</v>
      </c>
      <c r="G14" s="428" t="str">
        <f xml:space="preserve"> 'FS Qtr'!G$22</f>
        <v>$ 000s</v>
      </c>
      <c r="H14" s="428">
        <f xml:space="preserve"> 'FS Qtr'!H$22</f>
        <v>371409.67882059288</v>
      </c>
      <c r="I14" s="428">
        <f xml:space="preserve"> 'FS Qtr'!I$22</f>
        <v>0</v>
      </c>
      <c r="J14" s="428">
        <f xml:space="preserve"> 'FS Qtr'!J$22</f>
        <v>0</v>
      </c>
      <c r="K14" s="428">
        <f xml:space="preserve"> 'FS Qtr'!K$22</f>
        <v>0</v>
      </c>
      <c r="L14" s="428">
        <f xml:space="preserve"> 'FS Qtr'!L$22</f>
        <v>0</v>
      </c>
      <c r="M14" s="428">
        <f xml:space="preserve"> 'FS Qtr'!M$22</f>
        <v>5201.625</v>
      </c>
      <c r="N14" s="428">
        <f xml:space="preserve"> 'FS Qtr'!N$22</f>
        <v>5674.5</v>
      </c>
      <c r="O14" s="428">
        <f xml:space="preserve"> 'FS Qtr'!O$22</f>
        <v>2443.1874999999986</v>
      </c>
      <c r="P14" s="428">
        <f xml:space="preserve"> 'FS Qtr'!P$22</f>
        <v>2443.1875</v>
      </c>
      <c r="Q14" s="428">
        <f xml:space="preserve"> 'FS Qtr'!Q$22</f>
        <v>5175.7462686567178</v>
      </c>
      <c r="R14" s="428">
        <f xml:space="preserve"> 'FS Qtr'!R$22</f>
        <v>5646.2686567164183</v>
      </c>
      <c r="S14" s="428">
        <f xml:space="preserve"> 'FS Qtr'!S$22</f>
        <v>2431.0323383084565</v>
      </c>
      <c r="T14" s="428">
        <f xml:space="preserve"> 'FS Qtr'!T$22</f>
        <v>2431.0323383084578</v>
      </c>
      <c r="U14" s="428">
        <f xml:space="preserve"> 'FS Qtr'!U$22</f>
        <v>5149.9962872206152</v>
      </c>
      <c r="V14" s="428">
        <f xml:space="preserve"> 'FS Qtr'!V$22</f>
        <v>5618.1777678770341</v>
      </c>
      <c r="W14" s="428">
        <f xml:space="preserve"> 'FS Qtr'!W$22</f>
        <v>2418.9376500581666</v>
      </c>
      <c r="X14" s="428">
        <f xml:space="preserve"> 'FS Qtr'!X$22</f>
        <v>2418.9376500581679</v>
      </c>
      <c r="Y14" s="428">
        <f xml:space="preserve"> 'FS Qtr'!Y$22</f>
        <v>5124.3744151448909</v>
      </c>
      <c r="Z14" s="428">
        <f xml:space="preserve"> 'FS Qtr'!Z$22</f>
        <v>5590.2266347035174</v>
      </c>
      <c r="AA14" s="428">
        <f xml:space="preserve"> 'FS Qtr'!AA$22</f>
        <v>2406.9031343862353</v>
      </c>
      <c r="AB14" s="428">
        <f xml:space="preserve"> 'FS Qtr'!AB$22</f>
        <v>2406.9031343862366</v>
      </c>
      <c r="AC14" s="428">
        <f xml:space="preserve"> 'FS Qtr'!AC$22</f>
        <v>5098.8800150695442</v>
      </c>
      <c r="AD14" s="428">
        <f xml:space="preserve"> 'FS Qtr'!AD$22</f>
        <v>5562.4145618940483</v>
      </c>
      <c r="AE14" s="428">
        <f xml:space="preserve"> 'FS Qtr'!AE$22</f>
        <v>2394.9284919266029</v>
      </c>
      <c r="AF14" s="428">
        <f xml:space="preserve"> 'FS Qtr'!AF$22</f>
        <v>2394.9284919266042</v>
      </c>
      <c r="AG14" s="428">
        <f xml:space="preserve"> 'FS Qtr'!AG$22</f>
        <v>5073.5124528055176</v>
      </c>
      <c r="AH14" s="428">
        <f xml:space="preserve"> 'FS Qtr'!AH$22</f>
        <v>5534.7408576060188</v>
      </c>
      <c r="AI14" s="428">
        <f xml:space="preserve"> 'FS Qtr'!AI$22</f>
        <v>2383.0134248025906</v>
      </c>
      <c r="AJ14" s="428">
        <f xml:space="preserve"> 'FS Qtr'!AJ$22</f>
        <v>2383.013424802592</v>
      </c>
      <c r="AK14" s="428">
        <f xml:space="preserve"> 'FS Qtr'!AK$22</f>
        <v>5048.2710973189251</v>
      </c>
      <c r="AL14" s="428">
        <f xml:space="preserve"> 'FS Qtr'!AL$22</f>
        <v>5507.2048334388264</v>
      </c>
      <c r="AM14" s="428">
        <f xml:space="preserve"> 'FS Qtr'!AM$22</f>
        <v>2371.1576366194936</v>
      </c>
      <c r="AN14" s="428">
        <f xml:space="preserve"> 'FS Qtr'!AN$22</f>
        <v>2371.157636619495</v>
      </c>
      <c r="AO14" s="428">
        <f xml:space="preserve"> 'FS Qtr'!AO$22</f>
        <v>5023.1553207153474</v>
      </c>
      <c r="AP14" s="428">
        <f xml:space="preserve"> 'FS Qtr'!AP$22</f>
        <v>5479.8058044167419</v>
      </c>
      <c r="AQ14" s="428">
        <f xml:space="preserve"> 'FS Qtr'!AQ$22</f>
        <v>2359.3608324572074</v>
      </c>
      <c r="AR14" s="428">
        <f xml:space="preserve"> 'FS Qtr'!AR$22</f>
        <v>2359.3608324572087</v>
      </c>
      <c r="AS14" s="428">
        <f xml:space="preserve"> 'FS Qtr'!AS$22</f>
        <v>4998.1644982242278</v>
      </c>
      <c r="AT14" s="428">
        <f xml:space="preserve"> 'FS Qtr'!AT$22</f>
        <v>5452.5430889718837</v>
      </c>
      <c r="AU14" s="428">
        <f xml:space="preserve"> 'FS Qtr'!AU$22</f>
        <v>2347.6227188628936</v>
      </c>
      <c r="AV14" s="428">
        <f xml:space="preserve"> 'FS Qtr'!AV$22</f>
        <v>2347.6227188628945</v>
      </c>
      <c r="AW14" s="428">
        <f xml:space="preserve"> 'FS Qtr'!AW$22</f>
        <v>4973.298008183312</v>
      </c>
      <c r="AX14" s="428">
        <f xml:space="preserve"> 'FS Qtr'!AX$22</f>
        <v>5425.4160089272491</v>
      </c>
      <c r="AY14" s="428">
        <f xml:space="preserve"> 'FS Qtr'!AY$22</f>
        <v>2335.9430038436749</v>
      </c>
      <c r="AZ14" s="428">
        <f xml:space="preserve"> 'FS Qtr'!AZ$22</f>
        <v>2335.9430038436763</v>
      </c>
      <c r="BA14" s="428">
        <f xml:space="preserve"> 'FS Qtr'!BA$22</f>
        <v>4948.5552320231964</v>
      </c>
      <c r="BB14" s="428">
        <f xml:space="preserve"> 'FS Qtr'!BB$22</f>
        <v>5398.42388947985</v>
      </c>
      <c r="BC14" s="428">
        <f xml:space="preserve"> 'FS Qtr'!BC$22</f>
        <v>2324.3213968593786</v>
      </c>
      <c r="BD14" s="428">
        <f xml:space="preserve"> 'FS Qtr'!BD$22</f>
        <v>2324.32139685938</v>
      </c>
      <c r="BE14" s="428">
        <f xml:space="preserve"> 'FS Qtr'!BE$22</f>
        <v>4923.935554251937</v>
      </c>
      <c r="BF14" s="428">
        <f xml:space="preserve"> 'FS Qtr'!BF$22</f>
        <v>5371.5660591839305</v>
      </c>
      <c r="BG14" s="428">
        <f xml:space="preserve"> 'FS Qtr'!BG$22</f>
        <v>2312.7576088153019</v>
      </c>
      <c r="BH14" s="428">
        <f xml:space="preserve"> 'FS Qtr'!BH$22</f>
        <v>2312.7576088153037</v>
      </c>
      <c r="BI14" s="428">
        <f xml:space="preserve"> 'FS Qtr'!BI$22</f>
        <v>4899.4383624397396</v>
      </c>
      <c r="BJ14" s="428">
        <f xml:space="preserve"> 'FS Qtr'!BJ$22</f>
        <v>5344.8418499342606</v>
      </c>
      <c r="BK14" s="428">
        <f xml:space="preserve"> 'FS Qtr'!BK$22</f>
        <v>2301.2513520550278</v>
      </c>
      <c r="BL14" s="428">
        <f xml:space="preserve"> 'FS Qtr'!BL$22</f>
        <v>2301.2513520550292</v>
      </c>
      <c r="BM14" s="428">
        <f xml:space="preserve"> 'FS Qtr'!BM$22</f>
        <v>4875.063047203721</v>
      </c>
      <c r="BN14" s="428">
        <f xml:space="preserve"> 'FS Qtr'!BN$22</f>
        <v>5318.2505969495141</v>
      </c>
      <c r="BO14" s="428">
        <f xml:space="preserve"> 'FS Qtr'!BO$22</f>
        <v>2289.8023403532616</v>
      </c>
      <c r="BP14" s="428">
        <f xml:space="preserve"> 'FS Qtr'!BP$22</f>
        <v>2289.8023403532629</v>
      </c>
      <c r="BQ14" s="428">
        <f xml:space="preserve"> 'FS Qtr'!BQ$22</f>
        <v>4850.8090021927592</v>
      </c>
      <c r="BR14" s="428">
        <f xml:space="preserve"> 'FS Qtr'!BR$22</f>
        <v>5291.7916387557361</v>
      </c>
      <c r="BS14" s="428">
        <f xml:space="preserve"> 'FS Qtr'!BS$22</f>
        <v>2278.4102889087189</v>
      </c>
      <c r="BT14" s="428">
        <f xml:space="preserve"> 'FS Qtr'!BT$22</f>
        <v>2278.4102889087198</v>
      </c>
      <c r="BU14" s="428">
        <f xml:space="preserve"> 'FS Qtr'!BU$22</f>
        <v>4826.675624072398</v>
      </c>
      <c r="BV14" s="428">
        <f xml:space="preserve"> 'FS Qtr'!BV$22</f>
        <v>5265.4643171698881</v>
      </c>
      <c r="BW14" s="428">
        <f xml:space="preserve"> 'FS Qtr'!BW$22</f>
        <v>2267.074914337034</v>
      </c>
      <c r="BX14" s="428">
        <f xml:space="preserve"> 'FS Qtr'!BX$22</f>
        <v>2267.0749143370354</v>
      </c>
      <c r="BY14" s="428">
        <f xml:space="preserve"> 'FS Qtr'!BY$22</f>
        <v>4802.6623125098486</v>
      </c>
      <c r="BZ14" s="428">
        <f xml:space="preserve"> 'FS Qtr'!BZ$22</f>
        <v>5239.2679772834708</v>
      </c>
      <c r="CA14" s="428">
        <f xml:space="preserve"> 'FS Qtr'!CA$22</f>
        <v>2255.7959346637153</v>
      </c>
      <c r="CB14" s="428">
        <f xml:space="preserve"> 'FS Qtr'!CB$22</f>
        <v>2255.7959346637167</v>
      </c>
      <c r="CC14" s="428">
        <f xml:space="preserve"> 'FS Qtr'!CC$22</f>
        <v>4778.7684701590542</v>
      </c>
      <c r="CD14" s="428">
        <f xml:space="preserve"> 'FS Qtr'!CD$22</f>
        <v>5213.2019674462408</v>
      </c>
      <c r="CE14" s="428">
        <f xml:space="preserve"> 'FS Qtr'!CE$22</f>
        <v>2244.5730693171299</v>
      </c>
      <c r="CF14" s="428">
        <f xml:space="preserve"> 'FS Qtr'!CF$22</f>
        <v>2244.5730693171313</v>
      </c>
      <c r="CG14" s="428">
        <f xml:space="preserve"> 'FS Qtr'!CG$22</f>
        <v>4754.9935026458261</v>
      </c>
      <c r="CH14" s="428">
        <f xml:space="preserve"> 'FS Qtr'!CH$22</f>
        <v>5187.2656392499921</v>
      </c>
      <c r="CI14" s="428">
        <f xml:space="preserve"> 'FS Qtr'!CI$22</f>
        <v>2233.4060391215235</v>
      </c>
      <c r="CJ14" s="428">
        <f xml:space="preserve"> 'FS Qtr'!CJ$22</f>
        <v>2233.4060391215244</v>
      </c>
      <c r="CK14" s="428">
        <f xml:space="preserve"> 'FS Qtr'!CK$22</f>
        <v>4731.3368185530617</v>
      </c>
      <c r="CL14" s="428">
        <f xml:space="preserve"> 'FS Qtr'!CL$22</f>
        <v>5161.45834751243</v>
      </c>
      <c r="CM14" s="428">
        <f xml:space="preserve"> 'FS Qtr'!CM$22</f>
        <v>2222.2945662900729</v>
      </c>
      <c r="CN14" s="428">
        <f xml:space="preserve"> 'FS Qtr'!CN$22</f>
        <v>2222.2945662900743</v>
      </c>
      <c r="CO14" s="428">
        <f xml:space="preserve"> 'FS Qtr'!CO$22</f>
        <v>4707.7978294060313</v>
      </c>
      <c r="CP14" s="428">
        <f xml:space="preserve"> 'FS Qtr'!CP$22</f>
        <v>5135.7794502611241</v>
      </c>
      <c r="CQ14" s="428">
        <f xml:space="preserve"> 'FS Qtr'!CQ$22</f>
        <v>2211.2383744179833</v>
      </c>
      <c r="CR14" s="428">
        <f xml:space="preserve"> 'FS Qtr'!CR$22</f>
        <v>2211.2383744179842</v>
      </c>
      <c r="CS14" s="428">
        <f xml:space="preserve"> 'FS Qtr'!CS$22</f>
        <v>4684.3759496577441</v>
      </c>
      <c r="CT14" s="428">
        <f xml:space="preserve"> 'FS Qtr'!CT$22</f>
        <v>5110.2283087175383</v>
      </c>
      <c r="CU14" s="428">
        <f xml:space="preserve"> 'FS Qtr'!CU$22</f>
        <v>2200.2371884756058</v>
      </c>
      <c r="CV14" s="428">
        <f xml:space="preserve"> 'FS Qtr'!CV$22</f>
        <v>2200.2371884756067</v>
      </c>
      <c r="CW14" s="428">
        <f xml:space="preserve"> 'FS Qtr'!CW$22</f>
        <v>4661.0705966743726</v>
      </c>
      <c r="CX14" s="428">
        <f xml:space="preserve"> 'FS Qtr'!CX$22</f>
        <v>5084.8042872811338</v>
      </c>
      <c r="CY14" s="428">
        <f xml:space="preserve"> 'FS Qtr'!CY$22</f>
        <v>2189.2907348015979</v>
      </c>
      <c r="CZ14" s="428">
        <f xml:space="preserve"> 'FS Qtr'!CZ$22</f>
        <v>2189.2907348015992</v>
      </c>
      <c r="DA14" s="428">
        <f xml:space="preserve"> 'FS Qtr'!DA$22</f>
        <v>4637.8811907207701</v>
      </c>
      <c r="DB14" s="428">
        <f xml:space="preserve"> 'FS Qtr'!DB$22</f>
        <v>5059.5067535135668</v>
      </c>
      <c r="DC14" s="428">
        <f xml:space="preserve"> 'FS Qtr'!DC$22</f>
        <v>2178.3987410961181</v>
      </c>
      <c r="DD14" s="428">
        <f xml:space="preserve"> 'FS Qtr'!DD$22</f>
        <v>2178.398741096119</v>
      </c>
      <c r="DE14" s="428">
        <f xml:space="preserve"> 'FS Qtr'!DE$22</f>
        <v>4614.8071549460392</v>
      </c>
      <c r="DF14" s="428">
        <f xml:space="preserve"> 'FS Qtr'!DF$22</f>
        <v>5034.3350781229519</v>
      </c>
      <c r="DG14" s="428">
        <f xml:space="preserve"> 'FS Qtr'!DG$22</f>
        <v>2167.5609364140473</v>
      </c>
      <c r="DH14" s="428">
        <f xml:space="preserve"> 'FS Qtr'!DH$22</f>
        <v>2167.5609364140487</v>
      </c>
      <c r="DI14" s="428">
        <f xml:space="preserve"> 'FS Qtr'!DI$22</f>
        <v>0</v>
      </c>
      <c r="DJ14" s="428">
        <f xml:space="preserve"> 'FS Qtr'!DJ$22</f>
        <v>0</v>
      </c>
      <c r="DK14" s="428">
        <f xml:space="preserve"> 'FS Qtr'!DK$22</f>
        <v>0</v>
      </c>
      <c r="DL14" s="428">
        <f xml:space="preserve"> 'FS Qtr'!DL$22</f>
        <v>0</v>
      </c>
      <c r="DM14" s="428">
        <f xml:space="preserve"> 'FS Qtr'!DM$22</f>
        <v>0</v>
      </c>
      <c r="DN14" s="428">
        <f xml:space="preserve"> 'FS Qtr'!DN$22</f>
        <v>0</v>
      </c>
      <c r="DO14" s="428">
        <f xml:space="preserve"> 'FS Qtr'!DO$22</f>
        <v>0</v>
      </c>
      <c r="DP14" s="428">
        <f xml:space="preserve"> 'FS Qtr'!DP$22</f>
        <v>0</v>
      </c>
      <c r="DQ14" s="428">
        <f xml:space="preserve"> 'FS Qtr'!DQ$22</f>
        <v>0</v>
      </c>
      <c r="DR14" s="428">
        <f xml:space="preserve"> 'FS Qtr'!DR$22</f>
        <v>0</v>
      </c>
      <c r="DS14" s="428">
        <f xml:space="preserve"> 'FS Qtr'!DS$22</f>
        <v>0</v>
      </c>
      <c r="DT14" s="428">
        <f xml:space="preserve"> 'FS Qtr'!DT$22</f>
        <v>0</v>
      </c>
      <c r="DU14" s="428">
        <f xml:space="preserve"> 'FS Qtr'!DU$22</f>
        <v>0</v>
      </c>
      <c r="DV14" s="428">
        <f xml:space="preserve"> 'FS Qtr'!DV$22</f>
        <v>0</v>
      </c>
      <c r="DW14" s="428">
        <f xml:space="preserve"> 'FS Qtr'!DW$22</f>
        <v>0</v>
      </c>
      <c r="DX14" s="428">
        <f xml:space="preserve"> 'FS Qtr'!DX$22</f>
        <v>0</v>
      </c>
      <c r="DY14" s="428">
        <f xml:space="preserve"> 'FS Qtr'!DY$22</f>
        <v>0</v>
      </c>
      <c r="DZ14" s="428">
        <f xml:space="preserve"> 'FS Qtr'!DZ$22</f>
        <v>0</v>
      </c>
      <c r="EA14" s="428">
        <f xml:space="preserve"> 'FS Qtr'!EA$22</f>
        <v>0</v>
      </c>
    </row>
    <row r="15" spans="1:131" hidden="1" outlineLevel="1" x14ac:dyDescent="0.35">
      <c r="E15" s="170" t="s">
        <v>168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7" customFormat="1" hidden="1" outlineLevel="1" x14ac:dyDescent="0.35">
      <c r="A16" s="429"/>
      <c r="B16" s="429"/>
      <c r="C16" s="430"/>
      <c r="D16" s="431"/>
      <c r="E16" s="432" t="s">
        <v>164</v>
      </c>
      <c r="F16" s="432"/>
      <c r="G16" s="432" t="str">
        <f xml:space="preserve"> SMU</f>
        <v>$ 000s</v>
      </c>
      <c r="H16" s="432"/>
      <c r="I16" s="433"/>
      <c r="J16" s="432">
        <f t="shared" ref="J16:BU16" si="2" xml:space="preserve"> IF( J11 = 1, $F10, J13 + J14 - J15)</f>
        <v>0</v>
      </c>
      <c r="K16" s="432">
        <f t="shared" si="2"/>
        <v>0</v>
      </c>
      <c r="L16" s="432">
        <f t="shared" si="2"/>
        <v>0</v>
      </c>
      <c r="M16" s="432">
        <f t="shared" si="2"/>
        <v>5201.625</v>
      </c>
      <c r="N16" s="432">
        <f t="shared" si="2"/>
        <v>10876.125</v>
      </c>
      <c r="O16" s="432">
        <f t="shared" si="2"/>
        <v>13319.312499999998</v>
      </c>
      <c r="P16" s="432">
        <f t="shared" si="2"/>
        <v>15762.499999999998</v>
      </c>
      <c r="Q16" s="432">
        <f t="shared" si="2"/>
        <v>20938.246268656716</v>
      </c>
      <c r="R16" s="432">
        <f t="shared" si="2"/>
        <v>26584.514925373136</v>
      </c>
      <c r="S16" s="432">
        <f t="shared" si="2"/>
        <v>29015.547263681594</v>
      </c>
      <c r="T16" s="432">
        <f t="shared" si="2"/>
        <v>31446.579601990052</v>
      </c>
      <c r="U16" s="432">
        <f t="shared" si="2"/>
        <v>36596.575889210668</v>
      </c>
      <c r="V16" s="432">
        <f t="shared" si="2"/>
        <v>42214.753657087698</v>
      </c>
      <c r="W16" s="432">
        <f t="shared" si="2"/>
        <v>44633.691307145862</v>
      </c>
      <c r="X16" s="432">
        <f t="shared" si="2"/>
        <v>47052.628957204033</v>
      </c>
      <c r="Y16" s="432">
        <f t="shared" si="2"/>
        <v>52177.003372348925</v>
      </c>
      <c r="Z16" s="432">
        <f t="shared" si="2"/>
        <v>57767.230007052443</v>
      </c>
      <c r="AA16" s="432">
        <f t="shared" si="2"/>
        <v>60174.13314143868</v>
      </c>
      <c r="AB16" s="432">
        <f t="shared" si="2"/>
        <v>62581.036275824918</v>
      </c>
      <c r="AC16" s="432">
        <f t="shared" si="2"/>
        <v>67679.916290894456</v>
      </c>
      <c r="AD16" s="432">
        <f t="shared" si="2"/>
        <v>73242.330852788509</v>
      </c>
      <c r="AE16" s="432">
        <f t="shared" si="2"/>
        <v>75637.259344715116</v>
      </c>
      <c r="AF16" s="432">
        <f t="shared" si="2"/>
        <v>78032.187836641722</v>
      </c>
      <c r="AG16" s="432">
        <f t="shared" si="2"/>
        <v>83105.700289447239</v>
      </c>
      <c r="AH16" s="432">
        <f t="shared" si="2"/>
        <v>88640.441147053265</v>
      </c>
      <c r="AI16" s="432">
        <f t="shared" si="2"/>
        <v>91023.454571855851</v>
      </c>
      <c r="AJ16" s="432">
        <f t="shared" si="2"/>
        <v>93406.467996658437</v>
      </c>
      <c r="AK16" s="432">
        <f t="shared" si="2"/>
        <v>98454.739093977361</v>
      </c>
      <c r="AL16" s="432">
        <f t="shared" si="2"/>
        <v>103961.94392741619</v>
      </c>
      <c r="AM16" s="432">
        <f t="shared" si="2"/>
        <v>106333.10156403568</v>
      </c>
      <c r="AN16" s="432">
        <f t="shared" si="2"/>
        <v>108704.25920065517</v>
      </c>
      <c r="AO16" s="432">
        <f t="shared" si="2"/>
        <v>113727.41452137052</v>
      </c>
      <c r="AP16" s="432">
        <f t="shared" si="2"/>
        <v>119207.22032578726</v>
      </c>
      <c r="AQ16" s="432">
        <f t="shared" si="2"/>
        <v>121566.58115824447</v>
      </c>
      <c r="AR16" s="432">
        <f t="shared" si="2"/>
        <v>123925.94199070169</v>
      </c>
      <c r="AS16" s="432">
        <f t="shared" si="2"/>
        <v>128924.10648892591</v>
      </c>
      <c r="AT16" s="432">
        <f t="shared" si="2"/>
        <v>134376.6495778978</v>
      </c>
      <c r="AU16" s="432">
        <f t="shared" si="2"/>
        <v>136724.2722967607</v>
      </c>
      <c r="AV16" s="432">
        <f t="shared" si="2"/>
        <v>139071.8950156236</v>
      </c>
      <c r="AW16" s="432">
        <f t="shared" si="2"/>
        <v>144045.1930238069</v>
      </c>
      <c r="AX16" s="432">
        <f t="shared" si="2"/>
        <v>149470.60903273415</v>
      </c>
      <c r="AY16" s="432">
        <f t="shared" si="2"/>
        <v>151806.55203657784</v>
      </c>
      <c r="AZ16" s="432">
        <f t="shared" si="2"/>
        <v>154142.49504042152</v>
      </c>
      <c r="BA16" s="432">
        <f t="shared" si="2"/>
        <v>159091.05027244473</v>
      </c>
      <c r="BB16" s="432">
        <f t="shared" si="2"/>
        <v>164489.47416192459</v>
      </c>
      <c r="BC16" s="432">
        <f t="shared" si="2"/>
        <v>166813.79555878398</v>
      </c>
      <c r="BD16" s="432">
        <f t="shared" si="2"/>
        <v>169138.11695564337</v>
      </c>
      <c r="BE16" s="432">
        <f t="shared" si="2"/>
        <v>174062.05250989532</v>
      </c>
      <c r="BF16" s="432">
        <f t="shared" si="2"/>
        <v>179433.61856907926</v>
      </c>
      <c r="BG16" s="432">
        <f t="shared" si="2"/>
        <v>181746.37617789456</v>
      </c>
      <c r="BH16" s="432">
        <f t="shared" si="2"/>
        <v>184059.13378670986</v>
      </c>
      <c r="BI16" s="432">
        <f t="shared" si="2"/>
        <v>188958.57214914961</v>
      </c>
      <c r="BJ16" s="432">
        <f t="shared" si="2"/>
        <v>194303.41399908386</v>
      </c>
      <c r="BK16" s="432">
        <f t="shared" si="2"/>
        <v>196604.66535113889</v>
      </c>
      <c r="BL16" s="432">
        <f t="shared" si="2"/>
        <v>198905.91670319391</v>
      </c>
      <c r="BM16" s="432">
        <f t="shared" si="2"/>
        <v>203780.97975039764</v>
      </c>
      <c r="BN16" s="432">
        <f t="shared" si="2"/>
        <v>209099.23034734715</v>
      </c>
      <c r="BO16" s="432">
        <f t="shared" si="2"/>
        <v>211389.03268770041</v>
      </c>
      <c r="BP16" s="432">
        <f t="shared" si="2"/>
        <v>213678.83502805367</v>
      </c>
      <c r="BQ16" s="432">
        <f t="shared" si="2"/>
        <v>218529.64403024642</v>
      </c>
      <c r="BR16" s="432">
        <f t="shared" si="2"/>
        <v>223821.43566900215</v>
      </c>
      <c r="BS16" s="432">
        <f t="shared" si="2"/>
        <v>226099.84595791087</v>
      </c>
      <c r="BT16" s="432">
        <f t="shared" si="2"/>
        <v>228378.2562468196</v>
      </c>
      <c r="BU16" s="432">
        <f t="shared" si="2"/>
        <v>233204.931870892</v>
      </c>
      <c r="BV16" s="432">
        <f t="shared" ref="BV16:EA16" si="3" xml:space="preserve"> IF( BV11 = 1, $F10, BV13 + BV14 - BV15)</f>
        <v>238470.39618806189</v>
      </c>
      <c r="BW16" s="432">
        <f t="shared" si="3"/>
        <v>240737.47110239894</v>
      </c>
      <c r="BX16" s="432">
        <f t="shared" si="3"/>
        <v>243004.54601673599</v>
      </c>
      <c r="BY16" s="432">
        <f t="shared" si="3"/>
        <v>247807.20832924583</v>
      </c>
      <c r="BZ16" s="432">
        <f t="shared" si="3"/>
        <v>253046.47630652931</v>
      </c>
      <c r="CA16" s="432">
        <f t="shared" si="3"/>
        <v>255302.27224119302</v>
      </c>
      <c r="CB16" s="432">
        <f t="shared" si="3"/>
        <v>257558.06817585672</v>
      </c>
      <c r="CC16" s="432">
        <f t="shared" si="3"/>
        <v>262336.83664601576</v>
      </c>
      <c r="CD16" s="432">
        <f t="shared" si="3"/>
        <v>267550.03861346201</v>
      </c>
      <c r="CE16" s="432">
        <f t="shared" si="3"/>
        <v>269794.61168277916</v>
      </c>
      <c r="CF16" s="432">
        <f t="shared" si="3"/>
        <v>272039.18475209631</v>
      </c>
      <c r="CG16" s="432">
        <f t="shared" si="3"/>
        <v>276794.17825474212</v>
      </c>
      <c r="CH16" s="432">
        <f t="shared" si="3"/>
        <v>281981.44389399211</v>
      </c>
      <c r="CI16" s="432">
        <f t="shared" si="3"/>
        <v>284214.84993311361</v>
      </c>
      <c r="CJ16" s="432">
        <f t="shared" si="3"/>
        <v>286448.25597223511</v>
      </c>
      <c r="CK16" s="432">
        <f t="shared" si="3"/>
        <v>291179.59279078816</v>
      </c>
      <c r="CL16" s="432">
        <f t="shared" si="3"/>
        <v>296341.05113830057</v>
      </c>
      <c r="CM16" s="432">
        <f t="shared" si="3"/>
        <v>298563.34570459061</v>
      </c>
      <c r="CN16" s="432">
        <f t="shared" si="3"/>
        <v>300785.64027088066</v>
      </c>
      <c r="CO16" s="432">
        <f t="shared" si="3"/>
        <v>305493.4381002867</v>
      </c>
      <c r="CP16" s="432">
        <f t="shared" si="3"/>
        <v>310629.21755054785</v>
      </c>
      <c r="CQ16" s="432">
        <f t="shared" si="3"/>
        <v>312840.45592496585</v>
      </c>
      <c r="CR16" s="432">
        <f t="shared" si="3"/>
        <v>315051.69429938385</v>
      </c>
      <c r="CS16" s="432">
        <f t="shared" si="3"/>
        <v>319736.0702490416</v>
      </c>
      <c r="CT16" s="432">
        <f t="shared" si="3"/>
        <v>324846.29855775915</v>
      </c>
      <c r="CU16" s="432">
        <f t="shared" si="3"/>
        <v>327046.53574623476</v>
      </c>
      <c r="CV16" s="432">
        <f t="shared" si="3"/>
        <v>329246.77293471037</v>
      </c>
      <c r="CW16" s="432">
        <f t="shared" si="3"/>
        <v>333907.84353138477</v>
      </c>
      <c r="CX16" s="432">
        <f t="shared" si="3"/>
        <v>338992.64781866589</v>
      </c>
      <c r="CY16" s="432">
        <f t="shared" si="3"/>
        <v>341181.93855346751</v>
      </c>
      <c r="CZ16" s="432">
        <f t="shared" si="3"/>
        <v>343371.22928826913</v>
      </c>
      <c r="DA16" s="432">
        <f t="shared" si="3"/>
        <v>348009.1104789899</v>
      </c>
      <c r="DB16" s="432">
        <f t="shared" si="3"/>
        <v>353068.61723250349</v>
      </c>
      <c r="DC16" s="432">
        <f t="shared" si="3"/>
        <v>355247.01597359963</v>
      </c>
      <c r="DD16" s="432">
        <f t="shared" si="3"/>
        <v>357425.41471469577</v>
      </c>
      <c r="DE16" s="432">
        <f t="shared" si="3"/>
        <v>362040.2218696418</v>
      </c>
      <c r="DF16" s="432">
        <f t="shared" si="3"/>
        <v>367074.55694776477</v>
      </c>
      <c r="DG16" s="432">
        <f t="shared" si="3"/>
        <v>369242.11788417882</v>
      </c>
      <c r="DH16" s="432">
        <f t="shared" si="3"/>
        <v>371409.67882059288</v>
      </c>
      <c r="DI16" s="432">
        <f t="shared" si="3"/>
        <v>371409.67882059288</v>
      </c>
      <c r="DJ16" s="432">
        <f t="shared" si="3"/>
        <v>371409.67882059288</v>
      </c>
      <c r="DK16" s="432">
        <f t="shared" si="3"/>
        <v>371409.67882059288</v>
      </c>
      <c r="DL16" s="432">
        <f t="shared" si="3"/>
        <v>371409.67882059288</v>
      </c>
      <c r="DM16" s="432">
        <f t="shared" si="3"/>
        <v>371409.67882059288</v>
      </c>
      <c r="DN16" s="432">
        <f t="shared" si="3"/>
        <v>371409.67882059288</v>
      </c>
      <c r="DO16" s="432">
        <f t="shared" si="3"/>
        <v>371409.67882059288</v>
      </c>
      <c r="DP16" s="432">
        <f t="shared" si="3"/>
        <v>371409.67882059288</v>
      </c>
      <c r="DQ16" s="432">
        <f t="shared" si="3"/>
        <v>371409.67882059288</v>
      </c>
      <c r="DR16" s="432">
        <f t="shared" si="3"/>
        <v>371409.67882059288</v>
      </c>
      <c r="DS16" s="432">
        <f t="shared" si="3"/>
        <v>371409.67882059288</v>
      </c>
      <c r="DT16" s="432">
        <f t="shared" si="3"/>
        <v>371409.67882059288</v>
      </c>
      <c r="DU16" s="432">
        <f t="shared" si="3"/>
        <v>371409.67882059288</v>
      </c>
      <c r="DV16" s="432">
        <f t="shared" si="3"/>
        <v>371409.67882059288</v>
      </c>
      <c r="DW16" s="432">
        <f t="shared" si="3"/>
        <v>371409.67882059288</v>
      </c>
      <c r="DX16" s="432">
        <f t="shared" si="3"/>
        <v>371409.67882059288</v>
      </c>
      <c r="DY16" s="432">
        <f t="shared" si="3"/>
        <v>371409.67882059288</v>
      </c>
      <c r="DZ16" s="432">
        <f t="shared" si="3"/>
        <v>371409.67882059288</v>
      </c>
      <c r="EA16" s="432">
        <f t="shared" si="3"/>
        <v>371409.67882059288</v>
      </c>
    </row>
    <row r="17" spans="1:131" hidden="1" outlineLevel="1" x14ac:dyDescent="0.35"/>
    <row r="19" spans="1:131" collapsed="1" x14ac:dyDescent="0.35">
      <c r="A19" s="8" t="s">
        <v>167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5" t="str">
        <f xml:space="preserve"> InpC!E$40</f>
        <v>Retained cash - initial balance</v>
      </c>
      <c r="F21" s="435">
        <f xml:space="preserve"> InpC!F$40</f>
        <v>0</v>
      </c>
      <c r="G21" s="435" t="str">
        <f xml:space="preserve"> InpC!G$40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170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1771.9821428571431</v>
      </c>
      <c r="O24" s="169">
        <f t="shared" si="4"/>
        <v>7175.364130434783</v>
      </c>
      <c r="P24" s="169">
        <f t="shared" si="4"/>
        <v>11725.929347826088</v>
      </c>
      <c r="Q24" s="169">
        <f t="shared" si="4"/>
        <v>14133.708333333334</v>
      </c>
      <c r="R24" s="169">
        <f t="shared" si="4"/>
        <v>17525.66631130064</v>
      </c>
      <c r="S24" s="169">
        <f t="shared" si="4"/>
        <v>22902.165801427647</v>
      </c>
      <c r="T24" s="169">
        <f t="shared" si="4"/>
        <v>27430.091390871734</v>
      </c>
      <c r="U24" s="169">
        <f t="shared" si="4"/>
        <v>29825.89137645108</v>
      </c>
      <c r="V24" s="169">
        <f t="shared" si="4"/>
        <v>33200.973941592682</v>
      </c>
      <c r="W24" s="169">
        <f t="shared" si="4"/>
        <v>38550.724678037463</v>
      </c>
      <c r="X24" s="169">
        <f t="shared" si="4"/>
        <v>43056.123274499238</v>
      </c>
      <c r="Y24" s="169">
        <f t="shared" si="4"/>
        <v>45457.725012110735</v>
      </c>
      <c r="Z24" s="169">
        <f t="shared" si="4"/>
        <v>48798.294966758884</v>
      </c>
      <c r="AA24" s="169">
        <f t="shared" si="4"/>
        <v>54121.430027897972</v>
      </c>
      <c r="AB24" s="169">
        <f t="shared" si="4"/>
        <v>58604.413705969389</v>
      </c>
      <c r="AC24" s="169">
        <f t="shared" si="4"/>
        <v>60976.434186234088</v>
      </c>
      <c r="AD24" s="169">
        <f t="shared" si="4"/>
        <v>64318.017379859593</v>
      </c>
      <c r="AE24" s="169">
        <f t="shared" si="4"/>
        <v>69614.669181988036</v>
      </c>
      <c r="AF24" s="169">
        <f t="shared" si="4"/>
        <v>74075.349458676021</v>
      </c>
      <c r="AG24" s="169">
        <f t="shared" si="4"/>
        <v>76435.568842023975</v>
      </c>
      <c r="AH24" s="169">
        <f t="shared" si="4"/>
        <v>79760.527243641394</v>
      </c>
      <c r="AI24" s="169">
        <f t="shared" si="4"/>
        <v>85030.827544266707</v>
      </c>
      <c r="AJ24" s="169">
        <f t="shared" si="4"/>
        <v>89469.315381767185</v>
      </c>
      <c r="AK24" s="169">
        <f t="shared" si="4"/>
        <v>91817.792380123356</v>
      </c>
      <c r="AL24" s="169">
        <f t="shared" si="4"/>
        <v>95126.208700140691</v>
      </c>
      <c r="AM24" s="169">
        <f t="shared" si="4"/>
        <v>100370.28860126041</v>
      </c>
      <c r="AN24" s="169">
        <f t="shared" si="4"/>
        <v>104786.69440971861</v>
      </c>
      <c r="AO24" s="169">
        <f t="shared" si="4"/>
        <v>107140.85856112583</v>
      </c>
      <c r="AP24" s="169">
        <f t="shared" ref="AP24:BU24" si="5">AO27</f>
        <v>110415.44398023952</v>
      </c>
      <c r="AQ24" s="169">
        <f t="shared" si="5"/>
        <v>115633.43393160243</v>
      </c>
      <c r="AR24" s="169">
        <f t="shared" si="5"/>
        <v>120027.86757185933</v>
      </c>
      <c r="AS24" s="169">
        <f t="shared" si="5"/>
        <v>122353.03476906354</v>
      </c>
      <c r="AT24" s="169">
        <f t="shared" si="5"/>
        <v>125628.61341317366</v>
      </c>
      <c r="AU24" s="169">
        <f t="shared" si="5"/>
        <v>130820.64321552482</v>
      </c>
      <c r="AV24" s="169">
        <f t="shared" si="5"/>
        <v>135193.21400185011</v>
      </c>
      <c r="AW24" s="169">
        <f t="shared" si="5"/>
        <v>137506.81320304831</v>
      </c>
      <c r="AX24" s="169">
        <f t="shared" si="5"/>
        <v>140766.09543599372</v>
      </c>
      <c r="AY24" s="169">
        <f t="shared" si="5"/>
        <v>145932.29424430331</v>
      </c>
      <c r="AZ24" s="169">
        <f t="shared" si="5"/>
        <v>150283.11094711453</v>
      </c>
      <c r="BA24" s="169">
        <f t="shared" si="5"/>
        <v>152585.1997045257</v>
      </c>
      <c r="BB24" s="169">
        <f t="shared" si="5"/>
        <v>155828.26660297884</v>
      </c>
      <c r="BC24" s="169">
        <f t="shared" si="5"/>
        <v>160968.76292965506</v>
      </c>
      <c r="BD24" s="169">
        <f t="shared" si="5"/>
        <v>165297.93377822344</v>
      </c>
      <c r="BE24" s="169">
        <f t="shared" si="5"/>
        <v>167605.59735331842</v>
      </c>
      <c r="BF24" s="169">
        <f t="shared" si="5"/>
        <v>170815.50159500382</v>
      </c>
      <c r="BG24" s="169">
        <f t="shared" si="5"/>
        <v>175930.42331308962</v>
      </c>
      <c r="BH24" s="169">
        <f t="shared" si="5"/>
        <v>180238.05599823227</v>
      </c>
      <c r="BI24" s="169">
        <f t="shared" si="5"/>
        <v>182517.29538083286</v>
      </c>
      <c r="BJ24" s="169">
        <f t="shared" si="5"/>
        <v>185728.17322885952</v>
      </c>
      <c r="BK24" s="169">
        <f t="shared" si="5"/>
        <v>190817.64757521354</v>
      </c>
      <c r="BL24" s="169">
        <f t="shared" si="5"/>
        <v>195103.84925197242</v>
      </c>
      <c r="BM24" s="169">
        <f t="shared" si="5"/>
        <v>197371.74913515709</v>
      </c>
      <c r="BN24" s="169">
        <f t="shared" si="5"/>
        <v>200566.65246652692</v>
      </c>
      <c r="BO24" s="169">
        <f t="shared" si="5"/>
        <v>205630.80604498865</v>
      </c>
      <c r="BP24" s="169">
        <f t="shared" si="5"/>
        <v>209895.68333529599</v>
      </c>
      <c r="BQ24" s="169">
        <f t="shared" si="5"/>
        <v>212152.30013448471</v>
      </c>
      <c r="BR24" s="169">
        <f t="shared" si="5"/>
        <v>215331.30842440494</v>
      </c>
      <c r="BS24" s="169">
        <f t="shared" si="5"/>
        <v>220370.26720894396</v>
      </c>
      <c r="BT24" s="169">
        <f t="shared" si="5"/>
        <v>224613.92620427464</v>
      </c>
      <c r="BU24" s="169">
        <f t="shared" si="5"/>
        <v>226876.00770468186</v>
      </c>
      <c r="BV24" s="169">
        <f t="shared" ref="BV24:DA24" si="6">BU27</f>
        <v>230022.5083824925</v>
      </c>
      <c r="BW24" s="169">
        <f t="shared" si="6"/>
        <v>235036.39772034227</v>
      </c>
      <c r="BX24" s="169">
        <f t="shared" si="6"/>
        <v>239258.9439843529</v>
      </c>
      <c r="BY24" s="169">
        <f t="shared" si="6"/>
        <v>241493.16274051112</v>
      </c>
      <c r="BZ24" s="169">
        <f t="shared" si="6"/>
        <v>244640.61779352487</v>
      </c>
      <c r="CA24" s="169">
        <f t="shared" si="6"/>
        <v>249629.56240830076</v>
      </c>
      <c r="CB24" s="169">
        <f t="shared" si="6"/>
        <v>253831.10097945563</v>
      </c>
      <c r="CC24" s="169">
        <f t="shared" si="6"/>
        <v>256054.20421941407</v>
      </c>
      <c r="CD24" s="169">
        <f t="shared" si="6"/>
        <v>259186.00029206456</v>
      </c>
      <c r="CE24" s="169">
        <f t="shared" si="6"/>
        <v>264150.12428686646</v>
      </c>
      <c r="CF24" s="169">
        <f t="shared" si="6"/>
        <v>268330.75968105037</v>
      </c>
      <c r="CG24" s="169">
        <f t="shared" si="6"/>
        <v>270542.80270588462</v>
      </c>
      <c r="CH24" s="169">
        <f t="shared" si="6"/>
        <v>273659.01770354679</v>
      </c>
      <c r="CI24" s="169">
        <f t="shared" si="6"/>
        <v>278598.44456404616</v>
      </c>
      <c r="CJ24" s="169">
        <f t="shared" si="6"/>
        <v>282758.2807771645</v>
      </c>
      <c r="CK24" s="169">
        <f t="shared" si="6"/>
        <v>284975.68056182505</v>
      </c>
      <c r="CL24" s="169">
        <f t="shared" si="6"/>
        <v>288060.03005328041</v>
      </c>
      <c r="CM24" s="169">
        <f t="shared" si="6"/>
        <v>292974.88265079225</v>
      </c>
      <c r="CN24" s="169">
        <f t="shared" si="6"/>
        <v>297114.02316135779</v>
      </c>
      <c r="CO24" s="169">
        <f t="shared" si="6"/>
        <v>299304.11056002049</v>
      </c>
      <c r="CP24" s="169">
        <f t="shared" si="6"/>
        <v>302389.39557540347</v>
      </c>
      <c r="CQ24" s="169">
        <f t="shared" si="6"/>
        <v>307279.79616994259</v>
      </c>
      <c r="CR24" s="169">
        <f t="shared" si="6"/>
        <v>311398.3439416496</v>
      </c>
      <c r="CS24" s="169">
        <f t="shared" si="6"/>
        <v>313577.53538310499</v>
      </c>
      <c r="CT24" s="169">
        <f t="shared" si="6"/>
        <v>316647.47072179453</v>
      </c>
      <c r="CU24" s="169">
        <f t="shared" si="6"/>
        <v>321513.54096511705</v>
      </c>
      <c r="CV24" s="169">
        <f t="shared" si="6"/>
        <v>325611.59844940261</v>
      </c>
      <c r="CW24" s="169">
        <f t="shared" si="6"/>
        <v>327779.94814239308</v>
      </c>
      <c r="CX24" s="169">
        <f t="shared" si="6"/>
        <v>330834.61017093988</v>
      </c>
      <c r="CY24" s="169">
        <f t="shared" si="6"/>
        <v>335676.47110956925</v>
      </c>
      <c r="CZ24" s="169">
        <f t="shared" si="6"/>
        <v>339754.14024816186</v>
      </c>
      <c r="DA24" s="169">
        <f t="shared" si="6"/>
        <v>341927.74089169636</v>
      </c>
      <c r="DB24" s="169">
        <f t="shared" ref="DB24:EA24" si="7">DA27</f>
        <v>344951.16683675617</v>
      </c>
      <c r="DC24" s="169">
        <f t="shared" si="7"/>
        <v>349768.93891499436</v>
      </c>
      <c r="DD24" s="169">
        <f t="shared" si="7"/>
        <v>353826.32114244968</v>
      </c>
      <c r="DE24" s="169">
        <f t="shared" si="7"/>
        <v>355973.14888729801</v>
      </c>
      <c r="DF24" s="169">
        <f t="shared" si="7"/>
        <v>358997.49187736935</v>
      </c>
      <c r="DG24" s="169">
        <f t="shared" si="7"/>
        <v>363791.29494029295</v>
      </c>
      <c r="DH24" s="169">
        <f t="shared" si="7"/>
        <v>367828.49118651717</v>
      </c>
      <c r="DI24" s="169">
        <f t="shared" si="7"/>
        <v>369964.63819631655</v>
      </c>
      <c r="DJ24" s="169">
        <f t="shared" si="7"/>
        <v>371409.67882059258</v>
      </c>
      <c r="DK24" s="169">
        <f t="shared" si="7"/>
        <v>371409.67882059258</v>
      </c>
      <c r="DL24" s="169">
        <f t="shared" si="7"/>
        <v>371409.67882059258</v>
      </c>
      <c r="DM24" s="169">
        <f t="shared" si="7"/>
        <v>371409.67882059258</v>
      </c>
      <c r="DN24" s="169">
        <f t="shared" si="7"/>
        <v>371409.67882059258</v>
      </c>
      <c r="DO24" s="169">
        <f t="shared" si="7"/>
        <v>371409.67882059258</v>
      </c>
      <c r="DP24" s="169">
        <f t="shared" si="7"/>
        <v>371409.67882059258</v>
      </c>
      <c r="DQ24" s="169">
        <f t="shared" si="7"/>
        <v>371409.67882059258</v>
      </c>
      <c r="DR24" s="169">
        <f t="shared" si="7"/>
        <v>371409.67882059258</v>
      </c>
      <c r="DS24" s="169">
        <f t="shared" si="7"/>
        <v>371409.67882059258</v>
      </c>
      <c r="DT24" s="169">
        <f t="shared" si="7"/>
        <v>371409.67882059258</v>
      </c>
      <c r="DU24" s="169">
        <f t="shared" si="7"/>
        <v>371409.67882059258</v>
      </c>
      <c r="DV24" s="169">
        <f t="shared" si="7"/>
        <v>371409.67882059258</v>
      </c>
      <c r="DW24" s="169">
        <f t="shared" si="7"/>
        <v>371409.67882059258</v>
      </c>
      <c r="DX24" s="169">
        <f t="shared" si="7"/>
        <v>371409.67882059258</v>
      </c>
      <c r="DY24" s="169">
        <f t="shared" si="7"/>
        <v>371409.67882059258</v>
      </c>
      <c r="DZ24" s="169">
        <f t="shared" si="7"/>
        <v>371409.67882059258</v>
      </c>
      <c r="EA24" s="169">
        <f t="shared" si="7"/>
        <v>371409.67882059258</v>
      </c>
    </row>
    <row r="25" spans="1:131" s="112" customFormat="1" hidden="1" outlineLevel="1" x14ac:dyDescent="0.35">
      <c r="A25" s="8"/>
      <c r="B25" s="8"/>
      <c r="C25" s="13"/>
      <c r="D25" s="34"/>
      <c r="E25" s="428" t="str">
        <f xml:space="preserve"> 'FS Qtr'!E$50</f>
        <v>Cash flow available for dividends</v>
      </c>
      <c r="F25" s="428">
        <f xml:space="preserve"> 'FS Qtr'!F$50</f>
        <v>0</v>
      </c>
      <c r="G25" s="428" t="str">
        <f xml:space="preserve"> 'FS Qtr'!G$50</f>
        <v>$ 000s</v>
      </c>
      <c r="H25" s="428">
        <f xml:space="preserve"> 'FS Qtr'!H$50</f>
        <v>371409.67882059258</v>
      </c>
      <c r="I25" s="428">
        <f xml:space="preserve"> 'FS Qtr'!I$50</f>
        <v>0</v>
      </c>
      <c r="J25" s="428">
        <f xml:space="preserve"> 'FS Qtr'!J$50</f>
        <v>0</v>
      </c>
      <c r="K25" s="428">
        <f xml:space="preserve"> 'FS Qtr'!K$50</f>
        <v>0</v>
      </c>
      <c r="L25" s="428">
        <f xml:space="preserve"> 'FS Qtr'!L$50</f>
        <v>0</v>
      </c>
      <c r="M25" s="428">
        <f xml:space="preserve"> 'FS Qtr'!M$50</f>
        <v>1771.9821428571431</v>
      </c>
      <c r="N25" s="428">
        <f xml:space="preserve"> 'FS Qtr'!N$50</f>
        <v>5403.3819875776398</v>
      </c>
      <c r="O25" s="428">
        <f xml:space="preserve"> 'FS Qtr'!O$50</f>
        <v>4550.565217391304</v>
      </c>
      <c r="P25" s="428">
        <f xml:space="preserve"> 'FS Qtr'!P$50</f>
        <v>2407.7789855072456</v>
      </c>
      <c r="Q25" s="428">
        <f xml:space="preserve"> 'FS Qtr'!Q$50</f>
        <v>3391.9579779673063</v>
      </c>
      <c r="R25" s="428">
        <f xml:space="preserve"> 'FS Qtr'!R$50</f>
        <v>5376.4994901270056</v>
      </c>
      <c r="S25" s="428">
        <f xml:space="preserve"> 'FS Qtr'!S$50</f>
        <v>4527.9255894440848</v>
      </c>
      <c r="T25" s="428">
        <f xml:space="preserve"> 'FS Qtr'!T$50</f>
        <v>2395.7999855793478</v>
      </c>
      <c r="U25" s="428">
        <f xml:space="preserve"> 'FS Qtr'!U$50</f>
        <v>3375.0825651415989</v>
      </c>
      <c r="V25" s="428">
        <f xml:space="preserve"> 'FS Qtr'!V$50</f>
        <v>5349.7507364447829</v>
      </c>
      <c r="W25" s="428">
        <f xml:space="preserve"> 'FS Qtr'!W$50</f>
        <v>4505.398596461775</v>
      </c>
      <c r="X25" s="428">
        <f xml:space="preserve"> 'FS Qtr'!X$50</f>
        <v>2401.6017376115014</v>
      </c>
      <c r="Y25" s="428">
        <f xml:space="preserve"> 'FS Qtr'!Y$50</f>
        <v>3340.5699546481505</v>
      </c>
      <c r="Z25" s="428">
        <f xml:space="preserve"> 'FS Qtr'!Z$50</f>
        <v>5323.1350611390862</v>
      </c>
      <c r="AA25" s="428">
        <f xml:space="preserve"> 'FS Qtr'!AA$50</f>
        <v>4482.9836780714195</v>
      </c>
      <c r="AB25" s="428">
        <f xml:space="preserve"> 'FS Qtr'!AB$50</f>
        <v>2372.0204802646958</v>
      </c>
      <c r="AC25" s="428">
        <f xml:space="preserve"> 'FS Qtr'!AC$50</f>
        <v>3341.5831936255045</v>
      </c>
      <c r="AD25" s="428">
        <f xml:space="preserve"> 'FS Qtr'!AD$50</f>
        <v>5296.6518021284464</v>
      </c>
      <c r="AE25" s="428">
        <f xml:space="preserve"> 'FS Qtr'!AE$50</f>
        <v>4460.68027668798</v>
      </c>
      <c r="AF25" s="428">
        <f xml:space="preserve"> 'FS Qtr'!AF$50</f>
        <v>2360.2193833479569</v>
      </c>
      <c r="AG25" s="428">
        <f xml:space="preserve"> 'FS Qtr'!AG$50</f>
        <v>3324.9584016174181</v>
      </c>
      <c r="AH25" s="428">
        <f xml:space="preserve"> 'FS Qtr'!AH$50</f>
        <v>5270.3003006253202</v>
      </c>
      <c r="AI25" s="428">
        <f xml:space="preserve"> 'FS Qtr'!AI$50</f>
        <v>4438.4878375004791</v>
      </c>
      <c r="AJ25" s="428">
        <f xml:space="preserve"> 'FS Qtr'!AJ$50</f>
        <v>2348.4769983561764</v>
      </c>
      <c r="AK25" s="428">
        <f xml:space="preserve"> 'FS Qtr'!AK$50</f>
        <v>3308.4163200173325</v>
      </c>
      <c r="AL25" s="428">
        <f xml:space="preserve"> 'FS Qtr'!AL$50</f>
        <v>5244.0799011197232</v>
      </c>
      <c r="AM25" s="428">
        <f xml:space="preserve"> 'FS Qtr'!AM$50</f>
        <v>4416.4058084581884</v>
      </c>
      <c r="AN25" s="428">
        <f xml:space="preserve"> 'FS Qtr'!AN$50</f>
        <v>2354.1641514072189</v>
      </c>
      <c r="AO25" s="428">
        <f xml:space="preserve"> 'FS Qtr'!AO$50</f>
        <v>3274.5854191136864</v>
      </c>
      <c r="AP25" s="428">
        <f xml:space="preserve"> 'FS Qtr'!AP$50</f>
        <v>5217.989951362908</v>
      </c>
      <c r="AQ25" s="428">
        <f xml:space="preserve"> 'FS Qtr'!AQ$50</f>
        <v>4394.4336402569043</v>
      </c>
      <c r="AR25" s="428">
        <f xml:space="preserve"> 'FS Qtr'!AR$50</f>
        <v>2325.1671972042041</v>
      </c>
      <c r="AS25" s="428">
        <f xml:space="preserve"> 'FS Qtr'!AS$50</f>
        <v>3275.5786441101286</v>
      </c>
      <c r="AT25" s="428">
        <f xml:space="preserve"> 'FS Qtr'!AT$50</f>
        <v>5192.029802351155</v>
      </c>
      <c r="AU25" s="428">
        <f xml:space="preserve"> 'FS Qtr'!AU$50</f>
        <v>4372.5707863252783</v>
      </c>
      <c r="AV25" s="428">
        <f xml:space="preserve"> 'FS Qtr'!AV$50</f>
        <v>2313.5992011982144</v>
      </c>
      <c r="AW25" s="428">
        <f xml:space="preserve"> 'FS Qtr'!AW$50</f>
        <v>3259.2822329454025</v>
      </c>
      <c r="AX25" s="428">
        <f xml:space="preserve"> 'FS Qtr'!AX$50</f>
        <v>5166.1988083096076</v>
      </c>
      <c r="AY25" s="428">
        <f xml:space="preserve"> 'FS Qtr'!AY$50</f>
        <v>4350.8167028112239</v>
      </c>
      <c r="AZ25" s="428">
        <f xml:space="preserve"> 'FS Qtr'!AZ$50</f>
        <v>2302.0887574111575</v>
      </c>
      <c r="BA25" s="428">
        <f xml:space="preserve"> 'FS Qtr'!BA$50</f>
        <v>3243.0668984531367</v>
      </c>
      <c r="BB25" s="428">
        <f xml:space="preserve"> 'FS Qtr'!BB$50</f>
        <v>5140.4963266762261</v>
      </c>
      <c r="BC25" s="428">
        <f xml:space="preserve"> 'FS Qtr'!BC$50</f>
        <v>4329.170848568383</v>
      </c>
      <c r="BD25" s="428">
        <f xml:space="preserve"> 'FS Qtr'!BD$50</f>
        <v>2307.6635750949786</v>
      </c>
      <c r="BE25" s="428">
        <f xml:space="preserve"> 'FS Qtr'!BE$50</f>
        <v>3209.9042416854159</v>
      </c>
      <c r="BF25" s="428">
        <f xml:space="preserve"> 'FS Qtr'!BF$50</f>
        <v>5114.9217180857977</v>
      </c>
      <c r="BG25" s="428">
        <f xml:space="preserve"> 'FS Qtr'!BG$50</f>
        <v>4307.6326851426684</v>
      </c>
      <c r="BH25" s="428">
        <f xml:space="preserve"> 'FS Qtr'!BH$50</f>
        <v>2279.2393826005882</v>
      </c>
      <c r="BI25" s="428">
        <f xml:space="preserve"> 'FS Qtr'!BI$50</f>
        <v>3210.8778480266706</v>
      </c>
      <c r="BJ25" s="428">
        <f xml:space="preserve"> 'FS Qtr'!BJ$50</f>
        <v>5089.474346354029</v>
      </c>
      <c r="BK25" s="428">
        <f xml:space="preserve"> 'FS Qtr'!BK$50</f>
        <v>4286.2016767588739</v>
      </c>
      <c r="BL25" s="428">
        <f xml:space="preserve"> 'FS Qtr'!BL$50</f>
        <v>2267.8998831846657</v>
      </c>
      <c r="BM25" s="428">
        <f xml:space="preserve"> 'FS Qtr'!BM$50</f>
        <v>3194.9033313698219</v>
      </c>
      <c r="BN25" s="428">
        <f xml:space="preserve"> 'FS Qtr'!BN$50</f>
        <v>5064.1535784617208</v>
      </c>
      <c r="BO25" s="428">
        <f xml:space="preserve"> 'FS Qtr'!BO$50</f>
        <v>4264.8772903073386</v>
      </c>
      <c r="BP25" s="428">
        <f xml:space="preserve"> 'FS Qtr'!BP$50</f>
        <v>2256.6167991887223</v>
      </c>
      <c r="BQ25" s="428">
        <f xml:space="preserve"> 'FS Qtr'!BQ$50</f>
        <v>3179.0082899202216</v>
      </c>
      <c r="BR25" s="428">
        <f xml:space="preserve"> 'FS Qtr'!BR$50</f>
        <v>5038.958784539027</v>
      </c>
      <c r="BS25" s="428">
        <f xml:space="preserve"> 'FS Qtr'!BS$50</f>
        <v>4243.6589953306866</v>
      </c>
      <c r="BT25" s="428">
        <f xml:space="preserve"> 'FS Qtr'!BT$50</f>
        <v>2262.0815004072233</v>
      </c>
      <c r="BU25" s="428">
        <f xml:space="preserve"> 'FS Qtr'!BU$50</f>
        <v>3146.5006778106322</v>
      </c>
      <c r="BV25" s="428">
        <f xml:space="preserve"> 'FS Qtr'!BV$50</f>
        <v>5013.8893378497796</v>
      </c>
      <c r="BW25" s="428">
        <f xml:space="preserve"> 'FS Qtr'!BW$50</f>
        <v>4222.5462640106343</v>
      </c>
      <c r="BX25" s="428">
        <f xml:space="preserve"> 'FS Qtr'!BX$50</f>
        <v>2234.2187561582364</v>
      </c>
      <c r="BY25" s="428">
        <f xml:space="preserve"> 'FS Qtr'!BY$50</f>
        <v>3147.4550530137594</v>
      </c>
      <c r="BZ25" s="428">
        <f xml:space="preserve"> 'FS Qtr'!BZ$50</f>
        <v>4988.944614775899</v>
      </c>
      <c r="CA25" s="428">
        <f xml:space="preserve"> 'FS Qtr'!CA$50</f>
        <v>4201.5385711548606</v>
      </c>
      <c r="CB25" s="428">
        <f xml:space="preserve"> 'FS Qtr'!CB$50</f>
        <v>2223.1032399584446</v>
      </c>
      <c r="CC25" s="428">
        <f xml:space="preserve"> 'FS Qtr'!CC$50</f>
        <v>3131.7960726505071</v>
      </c>
      <c r="CD25" s="428">
        <f xml:space="preserve"> 'FS Qtr'!CD$50</f>
        <v>4964.123994801892</v>
      </c>
      <c r="CE25" s="428">
        <f xml:space="preserve"> 'FS Qtr'!CE$50</f>
        <v>4180.6353941839425</v>
      </c>
      <c r="CF25" s="428">
        <f xml:space="preserve"> 'FS Qtr'!CF$50</f>
        <v>2212.0430248342732</v>
      </c>
      <c r="CG25" s="428">
        <f xml:space="preserve"> 'FS Qtr'!CG$50</f>
        <v>3116.2149976621968</v>
      </c>
      <c r="CH25" s="428">
        <f xml:space="preserve"> 'FS Qtr'!CH$50</f>
        <v>4939.4268604993958</v>
      </c>
      <c r="CI25" s="428">
        <f xml:space="preserve"> 'FS Qtr'!CI$50</f>
        <v>4159.8362131183512</v>
      </c>
      <c r="CJ25" s="428">
        <f xml:space="preserve"> 'FS Qtr'!CJ$50</f>
        <v>2217.3997846605475</v>
      </c>
      <c r="CK25" s="428">
        <f xml:space="preserve"> 'FS Qtr'!CK$50</f>
        <v>3084.3494914553448</v>
      </c>
      <c r="CL25" s="428">
        <f xml:space="preserve"> 'FS Qtr'!CL$50</f>
        <v>4914.8525975118364</v>
      </c>
      <c r="CM25" s="428">
        <f xml:space="preserve"> 'FS Qtr'!CM$50</f>
        <v>4139.140510565524</v>
      </c>
      <c r="CN25" s="428">
        <f xml:space="preserve"> 'FS Qtr'!CN$50</f>
        <v>2190.0873986626812</v>
      </c>
      <c r="CO25" s="428">
        <f xml:space="preserve"> 'FS Qtr'!CO$50</f>
        <v>3085.2850153829831</v>
      </c>
      <c r="CP25" s="428">
        <f xml:space="preserve"> 'FS Qtr'!CP$50</f>
        <v>4890.40059453914</v>
      </c>
      <c r="CQ25" s="428">
        <f xml:space="preserve"> 'FS Qtr'!CQ$50</f>
        <v>4118.547771706988</v>
      </c>
      <c r="CR25" s="428">
        <f xml:space="preserve"> 'FS Qtr'!CR$50</f>
        <v>2179.1914414554049</v>
      </c>
      <c r="CS25" s="428">
        <f xml:space="preserve"> 'FS Qtr'!CS$50</f>
        <v>3069.9353386895355</v>
      </c>
      <c r="CT25" s="428">
        <f xml:space="preserve"> 'FS Qtr'!CT$50</f>
        <v>4866.0702433225306</v>
      </c>
      <c r="CU25" s="428">
        <f xml:space="preserve"> 'FS Qtr'!CU$50</f>
        <v>4098.0574842855613</v>
      </c>
      <c r="CV25" s="428">
        <f xml:space="preserve"> 'FS Qtr'!CV$50</f>
        <v>2168.3496929904522</v>
      </c>
      <c r="CW25" s="428">
        <f xml:space="preserve"> 'FS Qtr'!CW$50</f>
        <v>3054.6620285468025</v>
      </c>
      <c r="CX25" s="428">
        <f xml:space="preserve"> 'FS Qtr'!CX$50</f>
        <v>4841.8609386293838</v>
      </c>
      <c r="CY25" s="428">
        <f xml:space="preserve"> 'FS Qtr'!CY$50</f>
        <v>4077.6691385925992</v>
      </c>
      <c r="CZ25" s="428">
        <f xml:space="preserve"> 'FS Qtr'!CZ$50</f>
        <v>2173.6006435345062</v>
      </c>
      <c r="DA25" s="428">
        <f xml:space="preserve"> 'FS Qtr'!DA$50</f>
        <v>3023.4259450597783</v>
      </c>
      <c r="DB25" s="428">
        <f xml:space="preserve"> 'FS Qtr'!DB$50</f>
        <v>4817.772078238193</v>
      </c>
      <c r="DC25" s="428">
        <f xml:space="preserve"> 'FS Qtr'!DC$50</f>
        <v>4057.3822274553245</v>
      </c>
      <c r="DD25" s="428">
        <f xml:space="preserve"> 'FS Qtr'!DD$50</f>
        <v>2146.8277448483486</v>
      </c>
      <c r="DE25" s="428">
        <f xml:space="preserve"> 'FS Qtr'!DE$50</f>
        <v>3024.3429900713381</v>
      </c>
      <c r="DF25" s="428">
        <f xml:space="preserve"> 'FS Qtr'!DF$50</f>
        <v>4793.8030629235755</v>
      </c>
      <c r="DG25" s="428">
        <f xml:space="preserve"> 'FS Qtr'!DG$50</f>
        <v>4037.1962462242027</v>
      </c>
      <c r="DH25" s="428">
        <f xml:space="preserve"> 'FS Qtr'!DH$50</f>
        <v>2136.1470097993515</v>
      </c>
      <c r="DI25" s="428">
        <f xml:space="preserve"> 'FS Qtr'!DI$50</f>
        <v>1445.0406242760323</v>
      </c>
      <c r="DJ25" s="428">
        <f xml:space="preserve"> 'FS Qtr'!DJ$50</f>
        <v>0</v>
      </c>
      <c r="DK25" s="428">
        <f xml:space="preserve"> 'FS Qtr'!DK$50</f>
        <v>0</v>
      </c>
      <c r="DL25" s="428">
        <f xml:space="preserve"> 'FS Qtr'!DL$50</f>
        <v>0</v>
      </c>
      <c r="DM25" s="428">
        <f xml:space="preserve"> 'FS Qtr'!DM$50</f>
        <v>0</v>
      </c>
      <c r="DN25" s="428">
        <f xml:space="preserve"> 'FS Qtr'!DN$50</f>
        <v>0</v>
      </c>
      <c r="DO25" s="428">
        <f xml:space="preserve"> 'FS Qtr'!DO$50</f>
        <v>0</v>
      </c>
      <c r="DP25" s="428">
        <f xml:space="preserve"> 'FS Qtr'!DP$50</f>
        <v>0</v>
      </c>
      <c r="DQ25" s="428">
        <f xml:space="preserve"> 'FS Qtr'!DQ$50</f>
        <v>0</v>
      </c>
      <c r="DR25" s="428">
        <f xml:space="preserve"> 'FS Qtr'!DR$50</f>
        <v>0</v>
      </c>
      <c r="DS25" s="428">
        <f xml:space="preserve"> 'FS Qtr'!DS$50</f>
        <v>0</v>
      </c>
      <c r="DT25" s="428">
        <f xml:space="preserve"> 'FS Qtr'!DT$50</f>
        <v>0</v>
      </c>
      <c r="DU25" s="428">
        <f xml:space="preserve"> 'FS Qtr'!DU$50</f>
        <v>0</v>
      </c>
      <c r="DV25" s="428">
        <f xml:space="preserve"> 'FS Qtr'!DV$50</f>
        <v>0</v>
      </c>
      <c r="DW25" s="428">
        <f xml:space="preserve"> 'FS Qtr'!DW$50</f>
        <v>0</v>
      </c>
      <c r="DX25" s="428">
        <f xml:space="preserve"> 'FS Qtr'!DX$50</f>
        <v>0</v>
      </c>
      <c r="DY25" s="428">
        <f xml:space="preserve"> 'FS Qtr'!DY$50</f>
        <v>0</v>
      </c>
      <c r="DZ25" s="428">
        <f xml:space="preserve"> 'FS Qtr'!DZ$50</f>
        <v>0</v>
      </c>
      <c r="EA25" s="428">
        <f xml:space="preserve"> 'FS Qtr'!EA$50</f>
        <v>0</v>
      </c>
    </row>
    <row r="26" spans="1:131" hidden="1" outlineLevel="1" x14ac:dyDescent="0.35">
      <c r="A26" s="424"/>
      <c r="B26" s="424"/>
      <c r="C26" s="425"/>
      <c r="D26" s="426"/>
      <c r="E26" s="170" t="s">
        <v>168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7" customFormat="1" hidden="1" outlineLevel="1" x14ac:dyDescent="0.35">
      <c r="A27" s="429"/>
      <c r="B27" s="429"/>
      <c r="C27" s="430"/>
      <c r="D27" s="431"/>
      <c r="E27" s="432" t="s">
        <v>169</v>
      </c>
      <c r="F27" s="432"/>
      <c r="G27" s="432" t="str">
        <f xml:space="preserve"> SMU</f>
        <v>$ 000s</v>
      </c>
      <c r="H27" s="432"/>
      <c r="I27" s="433"/>
      <c r="J27" s="432">
        <f t="shared" ref="J27:AO27" si="8" xml:space="preserve"> IF( J22 = 1, $F21, J24 + J25 - J26)</f>
        <v>0</v>
      </c>
      <c r="K27" s="432">
        <f t="shared" si="8"/>
        <v>0</v>
      </c>
      <c r="L27" s="432">
        <f t="shared" si="8"/>
        <v>0</v>
      </c>
      <c r="M27" s="432">
        <f t="shared" si="8"/>
        <v>1771.9821428571431</v>
      </c>
      <c r="N27" s="432">
        <f t="shared" si="8"/>
        <v>7175.364130434783</v>
      </c>
      <c r="O27" s="432">
        <f t="shared" si="8"/>
        <v>11725.929347826088</v>
      </c>
      <c r="P27" s="432">
        <f t="shared" si="8"/>
        <v>14133.708333333334</v>
      </c>
      <c r="Q27" s="432">
        <f t="shared" si="8"/>
        <v>17525.66631130064</v>
      </c>
      <c r="R27" s="432">
        <f t="shared" si="8"/>
        <v>22902.165801427647</v>
      </c>
      <c r="S27" s="432">
        <f t="shared" si="8"/>
        <v>27430.091390871734</v>
      </c>
      <c r="T27" s="432">
        <f t="shared" si="8"/>
        <v>29825.89137645108</v>
      </c>
      <c r="U27" s="432">
        <f t="shared" si="8"/>
        <v>33200.973941592682</v>
      </c>
      <c r="V27" s="432">
        <f t="shared" si="8"/>
        <v>38550.724678037463</v>
      </c>
      <c r="W27" s="432">
        <f t="shared" si="8"/>
        <v>43056.123274499238</v>
      </c>
      <c r="X27" s="432">
        <f t="shared" si="8"/>
        <v>45457.725012110735</v>
      </c>
      <c r="Y27" s="432">
        <f t="shared" si="8"/>
        <v>48798.294966758884</v>
      </c>
      <c r="Z27" s="432">
        <f t="shared" si="8"/>
        <v>54121.430027897972</v>
      </c>
      <c r="AA27" s="432">
        <f t="shared" si="8"/>
        <v>58604.413705969389</v>
      </c>
      <c r="AB27" s="432">
        <f t="shared" si="8"/>
        <v>60976.434186234088</v>
      </c>
      <c r="AC27" s="432">
        <f t="shared" si="8"/>
        <v>64318.017379859593</v>
      </c>
      <c r="AD27" s="432">
        <f t="shared" si="8"/>
        <v>69614.669181988036</v>
      </c>
      <c r="AE27" s="432">
        <f t="shared" si="8"/>
        <v>74075.349458676021</v>
      </c>
      <c r="AF27" s="432">
        <f t="shared" si="8"/>
        <v>76435.568842023975</v>
      </c>
      <c r="AG27" s="432">
        <f t="shared" si="8"/>
        <v>79760.527243641394</v>
      </c>
      <c r="AH27" s="432">
        <f t="shared" si="8"/>
        <v>85030.827544266707</v>
      </c>
      <c r="AI27" s="432">
        <f t="shared" si="8"/>
        <v>89469.315381767185</v>
      </c>
      <c r="AJ27" s="432">
        <f t="shared" si="8"/>
        <v>91817.792380123356</v>
      </c>
      <c r="AK27" s="432">
        <f t="shared" si="8"/>
        <v>95126.208700140691</v>
      </c>
      <c r="AL27" s="432">
        <f t="shared" si="8"/>
        <v>100370.28860126041</v>
      </c>
      <c r="AM27" s="432">
        <f t="shared" si="8"/>
        <v>104786.69440971861</v>
      </c>
      <c r="AN27" s="432">
        <f t="shared" si="8"/>
        <v>107140.85856112583</v>
      </c>
      <c r="AO27" s="432">
        <f t="shared" si="8"/>
        <v>110415.44398023952</v>
      </c>
      <c r="AP27" s="432">
        <f t="shared" ref="AP27:BU27" si="9" xml:space="preserve"> IF( AP22 = 1, $F21, AP24 + AP25 - AP26)</f>
        <v>115633.43393160243</v>
      </c>
      <c r="AQ27" s="432">
        <f t="shared" si="9"/>
        <v>120027.86757185933</v>
      </c>
      <c r="AR27" s="432">
        <f t="shared" si="9"/>
        <v>122353.03476906354</v>
      </c>
      <c r="AS27" s="432">
        <f t="shared" si="9"/>
        <v>125628.61341317366</v>
      </c>
      <c r="AT27" s="432">
        <f t="shared" si="9"/>
        <v>130820.64321552482</v>
      </c>
      <c r="AU27" s="432">
        <f t="shared" si="9"/>
        <v>135193.21400185011</v>
      </c>
      <c r="AV27" s="432">
        <f t="shared" si="9"/>
        <v>137506.81320304831</v>
      </c>
      <c r="AW27" s="432">
        <f t="shared" si="9"/>
        <v>140766.09543599372</v>
      </c>
      <c r="AX27" s="432">
        <f t="shared" si="9"/>
        <v>145932.29424430331</v>
      </c>
      <c r="AY27" s="432">
        <f t="shared" si="9"/>
        <v>150283.11094711453</v>
      </c>
      <c r="AZ27" s="432">
        <f t="shared" si="9"/>
        <v>152585.1997045257</v>
      </c>
      <c r="BA27" s="432">
        <f t="shared" si="9"/>
        <v>155828.26660297884</v>
      </c>
      <c r="BB27" s="432">
        <f t="shared" si="9"/>
        <v>160968.76292965506</v>
      </c>
      <c r="BC27" s="432">
        <f t="shared" si="9"/>
        <v>165297.93377822344</v>
      </c>
      <c r="BD27" s="432">
        <f t="shared" si="9"/>
        <v>167605.59735331842</v>
      </c>
      <c r="BE27" s="432">
        <f t="shared" si="9"/>
        <v>170815.50159500382</v>
      </c>
      <c r="BF27" s="432">
        <f t="shared" si="9"/>
        <v>175930.42331308962</v>
      </c>
      <c r="BG27" s="432">
        <f t="shared" si="9"/>
        <v>180238.05599823227</v>
      </c>
      <c r="BH27" s="432">
        <f t="shared" si="9"/>
        <v>182517.29538083286</v>
      </c>
      <c r="BI27" s="432">
        <f t="shared" si="9"/>
        <v>185728.17322885952</v>
      </c>
      <c r="BJ27" s="432">
        <f t="shared" si="9"/>
        <v>190817.64757521354</v>
      </c>
      <c r="BK27" s="432">
        <f t="shared" si="9"/>
        <v>195103.84925197242</v>
      </c>
      <c r="BL27" s="432">
        <f t="shared" si="9"/>
        <v>197371.74913515709</v>
      </c>
      <c r="BM27" s="432">
        <f t="shared" si="9"/>
        <v>200566.65246652692</v>
      </c>
      <c r="BN27" s="432">
        <f t="shared" si="9"/>
        <v>205630.80604498865</v>
      </c>
      <c r="BO27" s="432">
        <f t="shared" si="9"/>
        <v>209895.68333529599</v>
      </c>
      <c r="BP27" s="432">
        <f t="shared" si="9"/>
        <v>212152.30013448471</v>
      </c>
      <c r="BQ27" s="432">
        <f t="shared" si="9"/>
        <v>215331.30842440494</v>
      </c>
      <c r="BR27" s="432">
        <f t="shared" si="9"/>
        <v>220370.26720894396</v>
      </c>
      <c r="BS27" s="432">
        <f t="shared" si="9"/>
        <v>224613.92620427464</v>
      </c>
      <c r="BT27" s="432">
        <f t="shared" si="9"/>
        <v>226876.00770468186</v>
      </c>
      <c r="BU27" s="432">
        <f t="shared" si="9"/>
        <v>230022.5083824925</v>
      </c>
      <c r="BV27" s="432">
        <f t="shared" ref="BV27:DA27" si="10" xml:space="preserve"> IF( BV22 = 1, $F21, BV24 + BV25 - BV26)</f>
        <v>235036.39772034227</v>
      </c>
      <c r="BW27" s="432">
        <f t="shared" si="10"/>
        <v>239258.9439843529</v>
      </c>
      <c r="BX27" s="432">
        <f t="shared" si="10"/>
        <v>241493.16274051112</v>
      </c>
      <c r="BY27" s="432">
        <f t="shared" si="10"/>
        <v>244640.61779352487</v>
      </c>
      <c r="BZ27" s="432">
        <f t="shared" si="10"/>
        <v>249629.56240830076</v>
      </c>
      <c r="CA27" s="432">
        <f t="shared" si="10"/>
        <v>253831.10097945563</v>
      </c>
      <c r="CB27" s="432">
        <f t="shared" si="10"/>
        <v>256054.20421941407</v>
      </c>
      <c r="CC27" s="432">
        <f t="shared" si="10"/>
        <v>259186.00029206456</v>
      </c>
      <c r="CD27" s="432">
        <f t="shared" si="10"/>
        <v>264150.12428686646</v>
      </c>
      <c r="CE27" s="432">
        <f t="shared" si="10"/>
        <v>268330.75968105037</v>
      </c>
      <c r="CF27" s="432">
        <f t="shared" si="10"/>
        <v>270542.80270588462</v>
      </c>
      <c r="CG27" s="432">
        <f t="shared" si="10"/>
        <v>273659.01770354679</v>
      </c>
      <c r="CH27" s="432">
        <f t="shared" si="10"/>
        <v>278598.44456404616</v>
      </c>
      <c r="CI27" s="432">
        <f t="shared" si="10"/>
        <v>282758.2807771645</v>
      </c>
      <c r="CJ27" s="432">
        <f t="shared" si="10"/>
        <v>284975.68056182505</v>
      </c>
      <c r="CK27" s="432">
        <f t="shared" si="10"/>
        <v>288060.03005328041</v>
      </c>
      <c r="CL27" s="432">
        <f t="shared" si="10"/>
        <v>292974.88265079225</v>
      </c>
      <c r="CM27" s="432">
        <f t="shared" si="10"/>
        <v>297114.02316135779</v>
      </c>
      <c r="CN27" s="432">
        <f t="shared" si="10"/>
        <v>299304.11056002049</v>
      </c>
      <c r="CO27" s="432">
        <f t="shared" si="10"/>
        <v>302389.39557540347</v>
      </c>
      <c r="CP27" s="432">
        <f t="shared" si="10"/>
        <v>307279.79616994259</v>
      </c>
      <c r="CQ27" s="432">
        <f t="shared" si="10"/>
        <v>311398.3439416496</v>
      </c>
      <c r="CR27" s="432">
        <f t="shared" si="10"/>
        <v>313577.53538310499</v>
      </c>
      <c r="CS27" s="432">
        <f t="shared" si="10"/>
        <v>316647.47072179453</v>
      </c>
      <c r="CT27" s="432">
        <f t="shared" si="10"/>
        <v>321513.54096511705</v>
      </c>
      <c r="CU27" s="432">
        <f t="shared" si="10"/>
        <v>325611.59844940261</v>
      </c>
      <c r="CV27" s="432">
        <f t="shared" si="10"/>
        <v>327779.94814239308</v>
      </c>
      <c r="CW27" s="432">
        <f t="shared" si="10"/>
        <v>330834.61017093988</v>
      </c>
      <c r="CX27" s="432">
        <f t="shared" si="10"/>
        <v>335676.47110956925</v>
      </c>
      <c r="CY27" s="432">
        <f t="shared" si="10"/>
        <v>339754.14024816186</v>
      </c>
      <c r="CZ27" s="432">
        <f t="shared" si="10"/>
        <v>341927.74089169636</v>
      </c>
      <c r="DA27" s="432">
        <f t="shared" si="10"/>
        <v>344951.16683675617</v>
      </c>
      <c r="DB27" s="432">
        <f t="shared" ref="DB27:EA27" si="11" xml:space="preserve"> IF( DB22 = 1, $F21, DB24 + DB25 - DB26)</f>
        <v>349768.93891499436</v>
      </c>
      <c r="DC27" s="432">
        <f t="shared" si="11"/>
        <v>353826.32114244968</v>
      </c>
      <c r="DD27" s="432">
        <f t="shared" si="11"/>
        <v>355973.14888729801</v>
      </c>
      <c r="DE27" s="432">
        <f t="shared" si="11"/>
        <v>358997.49187736935</v>
      </c>
      <c r="DF27" s="432">
        <f t="shared" si="11"/>
        <v>363791.29494029295</v>
      </c>
      <c r="DG27" s="432">
        <f t="shared" si="11"/>
        <v>367828.49118651717</v>
      </c>
      <c r="DH27" s="432">
        <f t="shared" si="11"/>
        <v>369964.63819631655</v>
      </c>
      <c r="DI27" s="432">
        <f t="shared" si="11"/>
        <v>371409.67882059258</v>
      </c>
      <c r="DJ27" s="432">
        <f t="shared" si="11"/>
        <v>371409.67882059258</v>
      </c>
      <c r="DK27" s="432">
        <f t="shared" si="11"/>
        <v>371409.67882059258</v>
      </c>
      <c r="DL27" s="432">
        <f t="shared" si="11"/>
        <v>371409.67882059258</v>
      </c>
      <c r="DM27" s="432">
        <f t="shared" si="11"/>
        <v>371409.67882059258</v>
      </c>
      <c r="DN27" s="432">
        <f t="shared" si="11"/>
        <v>371409.67882059258</v>
      </c>
      <c r="DO27" s="432">
        <f t="shared" si="11"/>
        <v>371409.67882059258</v>
      </c>
      <c r="DP27" s="432">
        <f t="shared" si="11"/>
        <v>371409.67882059258</v>
      </c>
      <c r="DQ27" s="432">
        <f t="shared" si="11"/>
        <v>371409.67882059258</v>
      </c>
      <c r="DR27" s="432">
        <f t="shared" si="11"/>
        <v>371409.67882059258</v>
      </c>
      <c r="DS27" s="432">
        <f t="shared" si="11"/>
        <v>371409.67882059258</v>
      </c>
      <c r="DT27" s="432">
        <f t="shared" si="11"/>
        <v>371409.67882059258</v>
      </c>
      <c r="DU27" s="432">
        <f t="shared" si="11"/>
        <v>371409.67882059258</v>
      </c>
      <c r="DV27" s="432">
        <f t="shared" si="11"/>
        <v>371409.67882059258</v>
      </c>
      <c r="DW27" s="432">
        <f t="shared" si="11"/>
        <v>371409.67882059258</v>
      </c>
      <c r="DX27" s="432">
        <f t="shared" si="11"/>
        <v>371409.67882059258</v>
      </c>
      <c r="DY27" s="432">
        <f t="shared" si="11"/>
        <v>371409.67882059258</v>
      </c>
      <c r="DZ27" s="432">
        <f t="shared" si="11"/>
        <v>371409.67882059258</v>
      </c>
      <c r="EA27" s="432">
        <f t="shared" si="11"/>
        <v>371409.67882059258</v>
      </c>
    </row>
    <row r="28" spans="1:131" hidden="1" outlineLevel="1" x14ac:dyDescent="0.35"/>
    <row r="29" spans="1:131" hidden="1" outlineLevel="1" x14ac:dyDescent="0.35"/>
    <row r="30" spans="1:131" s="112" customFormat="1" hidden="1" outlineLevel="1" x14ac:dyDescent="0.35">
      <c r="A30" s="8"/>
      <c r="B30" s="8"/>
      <c r="C30" s="13"/>
      <c r="D30" s="34"/>
      <c r="E30" s="428" t="str">
        <f xml:space="preserve"> 'FS Qtr'!E$50</f>
        <v>Cash flow available for dividends</v>
      </c>
      <c r="F30" s="428">
        <f xml:space="preserve"> 'FS Qtr'!F$50</f>
        <v>0</v>
      </c>
      <c r="G30" s="428" t="str">
        <f xml:space="preserve"> 'FS Qtr'!G$50</f>
        <v>$ 000s</v>
      </c>
      <c r="H30" s="428">
        <f xml:space="preserve"> 'FS Qtr'!H$50</f>
        <v>371409.67882059258</v>
      </c>
      <c r="I30" s="428">
        <f xml:space="preserve"> 'FS Qtr'!I$50</f>
        <v>0</v>
      </c>
      <c r="J30" s="428">
        <f xml:space="preserve"> 'FS Qtr'!J$50</f>
        <v>0</v>
      </c>
      <c r="K30" s="428">
        <f xml:space="preserve"> 'FS Qtr'!K$50</f>
        <v>0</v>
      </c>
      <c r="L30" s="428">
        <f xml:space="preserve"> 'FS Qtr'!L$50</f>
        <v>0</v>
      </c>
      <c r="M30" s="428">
        <f xml:space="preserve"> 'FS Qtr'!M$50</f>
        <v>1771.9821428571431</v>
      </c>
      <c r="N30" s="428">
        <f xml:space="preserve"> 'FS Qtr'!N$50</f>
        <v>5403.3819875776398</v>
      </c>
      <c r="O30" s="428">
        <f xml:space="preserve"> 'FS Qtr'!O$50</f>
        <v>4550.565217391304</v>
      </c>
      <c r="P30" s="428">
        <f xml:space="preserve"> 'FS Qtr'!P$50</f>
        <v>2407.7789855072456</v>
      </c>
      <c r="Q30" s="428">
        <f xml:space="preserve"> 'FS Qtr'!Q$50</f>
        <v>3391.9579779673063</v>
      </c>
      <c r="R30" s="428">
        <f xml:space="preserve"> 'FS Qtr'!R$50</f>
        <v>5376.4994901270056</v>
      </c>
      <c r="S30" s="428">
        <f xml:space="preserve"> 'FS Qtr'!S$50</f>
        <v>4527.9255894440848</v>
      </c>
      <c r="T30" s="428">
        <f xml:space="preserve"> 'FS Qtr'!T$50</f>
        <v>2395.7999855793478</v>
      </c>
      <c r="U30" s="428">
        <f xml:space="preserve"> 'FS Qtr'!U$50</f>
        <v>3375.0825651415989</v>
      </c>
      <c r="V30" s="428">
        <f xml:space="preserve"> 'FS Qtr'!V$50</f>
        <v>5349.7507364447829</v>
      </c>
      <c r="W30" s="428">
        <f xml:space="preserve"> 'FS Qtr'!W$50</f>
        <v>4505.398596461775</v>
      </c>
      <c r="X30" s="428">
        <f xml:space="preserve"> 'FS Qtr'!X$50</f>
        <v>2401.6017376115014</v>
      </c>
      <c r="Y30" s="428">
        <f xml:space="preserve"> 'FS Qtr'!Y$50</f>
        <v>3340.5699546481505</v>
      </c>
      <c r="Z30" s="428">
        <f xml:space="preserve"> 'FS Qtr'!Z$50</f>
        <v>5323.1350611390862</v>
      </c>
      <c r="AA30" s="428">
        <f xml:space="preserve"> 'FS Qtr'!AA$50</f>
        <v>4482.9836780714195</v>
      </c>
      <c r="AB30" s="428">
        <f xml:space="preserve"> 'FS Qtr'!AB$50</f>
        <v>2372.0204802646958</v>
      </c>
      <c r="AC30" s="428">
        <f xml:space="preserve"> 'FS Qtr'!AC$50</f>
        <v>3341.5831936255045</v>
      </c>
      <c r="AD30" s="428">
        <f xml:space="preserve"> 'FS Qtr'!AD$50</f>
        <v>5296.6518021284464</v>
      </c>
      <c r="AE30" s="428">
        <f xml:space="preserve"> 'FS Qtr'!AE$50</f>
        <v>4460.68027668798</v>
      </c>
      <c r="AF30" s="428">
        <f xml:space="preserve"> 'FS Qtr'!AF$50</f>
        <v>2360.2193833479569</v>
      </c>
      <c r="AG30" s="428">
        <f xml:space="preserve"> 'FS Qtr'!AG$50</f>
        <v>3324.9584016174181</v>
      </c>
      <c r="AH30" s="428">
        <f xml:space="preserve"> 'FS Qtr'!AH$50</f>
        <v>5270.3003006253202</v>
      </c>
      <c r="AI30" s="428">
        <f xml:space="preserve"> 'FS Qtr'!AI$50</f>
        <v>4438.4878375004791</v>
      </c>
      <c r="AJ30" s="428">
        <f xml:space="preserve"> 'FS Qtr'!AJ$50</f>
        <v>2348.4769983561764</v>
      </c>
      <c r="AK30" s="428">
        <f xml:space="preserve"> 'FS Qtr'!AK$50</f>
        <v>3308.4163200173325</v>
      </c>
      <c r="AL30" s="428">
        <f xml:space="preserve"> 'FS Qtr'!AL$50</f>
        <v>5244.0799011197232</v>
      </c>
      <c r="AM30" s="428">
        <f xml:space="preserve"> 'FS Qtr'!AM$50</f>
        <v>4416.4058084581884</v>
      </c>
      <c r="AN30" s="428">
        <f xml:space="preserve"> 'FS Qtr'!AN$50</f>
        <v>2354.1641514072189</v>
      </c>
      <c r="AO30" s="428">
        <f xml:space="preserve"> 'FS Qtr'!AO$50</f>
        <v>3274.5854191136864</v>
      </c>
      <c r="AP30" s="428">
        <f xml:space="preserve"> 'FS Qtr'!AP$50</f>
        <v>5217.989951362908</v>
      </c>
      <c r="AQ30" s="428">
        <f xml:space="preserve"> 'FS Qtr'!AQ$50</f>
        <v>4394.4336402569043</v>
      </c>
      <c r="AR30" s="428">
        <f xml:space="preserve"> 'FS Qtr'!AR$50</f>
        <v>2325.1671972042041</v>
      </c>
      <c r="AS30" s="428">
        <f xml:space="preserve"> 'FS Qtr'!AS$50</f>
        <v>3275.5786441101286</v>
      </c>
      <c r="AT30" s="428">
        <f xml:space="preserve"> 'FS Qtr'!AT$50</f>
        <v>5192.029802351155</v>
      </c>
      <c r="AU30" s="428">
        <f xml:space="preserve"> 'FS Qtr'!AU$50</f>
        <v>4372.5707863252783</v>
      </c>
      <c r="AV30" s="428">
        <f xml:space="preserve"> 'FS Qtr'!AV$50</f>
        <v>2313.5992011982144</v>
      </c>
      <c r="AW30" s="428">
        <f xml:space="preserve"> 'FS Qtr'!AW$50</f>
        <v>3259.2822329454025</v>
      </c>
      <c r="AX30" s="428">
        <f xml:space="preserve"> 'FS Qtr'!AX$50</f>
        <v>5166.1988083096076</v>
      </c>
      <c r="AY30" s="428">
        <f xml:space="preserve"> 'FS Qtr'!AY$50</f>
        <v>4350.8167028112239</v>
      </c>
      <c r="AZ30" s="428">
        <f xml:space="preserve"> 'FS Qtr'!AZ$50</f>
        <v>2302.0887574111575</v>
      </c>
      <c r="BA30" s="428">
        <f xml:space="preserve"> 'FS Qtr'!BA$50</f>
        <v>3243.0668984531367</v>
      </c>
      <c r="BB30" s="428">
        <f xml:space="preserve"> 'FS Qtr'!BB$50</f>
        <v>5140.4963266762261</v>
      </c>
      <c r="BC30" s="428">
        <f xml:space="preserve"> 'FS Qtr'!BC$50</f>
        <v>4329.170848568383</v>
      </c>
      <c r="BD30" s="428">
        <f xml:space="preserve"> 'FS Qtr'!BD$50</f>
        <v>2307.6635750949786</v>
      </c>
      <c r="BE30" s="428">
        <f xml:space="preserve"> 'FS Qtr'!BE$50</f>
        <v>3209.9042416854159</v>
      </c>
      <c r="BF30" s="428">
        <f xml:space="preserve"> 'FS Qtr'!BF$50</f>
        <v>5114.9217180857977</v>
      </c>
      <c r="BG30" s="428">
        <f xml:space="preserve"> 'FS Qtr'!BG$50</f>
        <v>4307.6326851426684</v>
      </c>
      <c r="BH30" s="428">
        <f xml:space="preserve"> 'FS Qtr'!BH$50</f>
        <v>2279.2393826005882</v>
      </c>
      <c r="BI30" s="428">
        <f xml:space="preserve"> 'FS Qtr'!BI$50</f>
        <v>3210.8778480266706</v>
      </c>
      <c r="BJ30" s="428">
        <f xml:space="preserve"> 'FS Qtr'!BJ$50</f>
        <v>5089.474346354029</v>
      </c>
      <c r="BK30" s="428">
        <f xml:space="preserve"> 'FS Qtr'!BK$50</f>
        <v>4286.2016767588739</v>
      </c>
      <c r="BL30" s="428">
        <f xml:space="preserve"> 'FS Qtr'!BL$50</f>
        <v>2267.8998831846657</v>
      </c>
      <c r="BM30" s="428">
        <f xml:space="preserve"> 'FS Qtr'!BM$50</f>
        <v>3194.9033313698219</v>
      </c>
      <c r="BN30" s="428">
        <f xml:space="preserve"> 'FS Qtr'!BN$50</f>
        <v>5064.1535784617208</v>
      </c>
      <c r="BO30" s="428">
        <f xml:space="preserve"> 'FS Qtr'!BO$50</f>
        <v>4264.8772903073386</v>
      </c>
      <c r="BP30" s="428">
        <f xml:space="preserve"> 'FS Qtr'!BP$50</f>
        <v>2256.6167991887223</v>
      </c>
      <c r="BQ30" s="428">
        <f xml:space="preserve"> 'FS Qtr'!BQ$50</f>
        <v>3179.0082899202216</v>
      </c>
      <c r="BR30" s="428">
        <f xml:space="preserve"> 'FS Qtr'!BR$50</f>
        <v>5038.958784539027</v>
      </c>
      <c r="BS30" s="428">
        <f xml:space="preserve"> 'FS Qtr'!BS$50</f>
        <v>4243.6589953306866</v>
      </c>
      <c r="BT30" s="428">
        <f xml:space="preserve"> 'FS Qtr'!BT$50</f>
        <v>2262.0815004072233</v>
      </c>
      <c r="BU30" s="428">
        <f xml:space="preserve"> 'FS Qtr'!BU$50</f>
        <v>3146.5006778106322</v>
      </c>
      <c r="BV30" s="428">
        <f xml:space="preserve"> 'FS Qtr'!BV$50</f>
        <v>5013.8893378497796</v>
      </c>
      <c r="BW30" s="428">
        <f xml:space="preserve"> 'FS Qtr'!BW$50</f>
        <v>4222.5462640106343</v>
      </c>
      <c r="BX30" s="428">
        <f xml:space="preserve"> 'FS Qtr'!BX$50</f>
        <v>2234.2187561582364</v>
      </c>
      <c r="BY30" s="428">
        <f xml:space="preserve"> 'FS Qtr'!BY$50</f>
        <v>3147.4550530137594</v>
      </c>
      <c r="BZ30" s="428">
        <f xml:space="preserve"> 'FS Qtr'!BZ$50</f>
        <v>4988.944614775899</v>
      </c>
      <c r="CA30" s="428">
        <f xml:space="preserve"> 'FS Qtr'!CA$50</f>
        <v>4201.5385711548606</v>
      </c>
      <c r="CB30" s="428">
        <f xml:space="preserve"> 'FS Qtr'!CB$50</f>
        <v>2223.1032399584446</v>
      </c>
      <c r="CC30" s="428">
        <f xml:space="preserve"> 'FS Qtr'!CC$50</f>
        <v>3131.7960726505071</v>
      </c>
      <c r="CD30" s="428">
        <f xml:space="preserve"> 'FS Qtr'!CD$50</f>
        <v>4964.123994801892</v>
      </c>
      <c r="CE30" s="428">
        <f xml:space="preserve"> 'FS Qtr'!CE$50</f>
        <v>4180.6353941839425</v>
      </c>
      <c r="CF30" s="428">
        <f xml:space="preserve"> 'FS Qtr'!CF$50</f>
        <v>2212.0430248342732</v>
      </c>
      <c r="CG30" s="428">
        <f xml:space="preserve"> 'FS Qtr'!CG$50</f>
        <v>3116.2149976621968</v>
      </c>
      <c r="CH30" s="428">
        <f xml:space="preserve"> 'FS Qtr'!CH$50</f>
        <v>4939.4268604993958</v>
      </c>
      <c r="CI30" s="428">
        <f xml:space="preserve"> 'FS Qtr'!CI$50</f>
        <v>4159.8362131183512</v>
      </c>
      <c r="CJ30" s="428">
        <f xml:space="preserve"> 'FS Qtr'!CJ$50</f>
        <v>2217.3997846605475</v>
      </c>
      <c r="CK30" s="428">
        <f xml:space="preserve"> 'FS Qtr'!CK$50</f>
        <v>3084.3494914553448</v>
      </c>
      <c r="CL30" s="428">
        <f xml:space="preserve"> 'FS Qtr'!CL$50</f>
        <v>4914.8525975118364</v>
      </c>
      <c r="CM30" s="428">
        <f xml:space="preserve"> 'FS Qtr'!CM$50</f>
        <v>4139.140510565524</v>
      </c>
      <c r="CN30" s="428">
        <f xml:space="preserve"> 'FS Qtr'!CN$50</f>
        <v>2190.0873986626812</v>
      </c>
      <c r="CO30" s="428">
        <f xml:space="preserve"> 'FS Qtr'!CO$50</f>
        <v>3085.2850153829831</v>
      </c>
      <c r="CP30" s="428">
        <f xml:space="preserve"> 'FS Qtr'!CP$50</f>
        <v>4890.40059453914</v>
      </c>
      <c r="CQ30" s="428">
        <f xml:space="preserve"> 'FS Qtr'!CQ$50</f>
        <v>4118.547771706988</v>
      </c>
      <c r="CR30" s="428">
        <f xml:space="preserve"> 'FS Qtr'!CR$50</f>
        <v>2179.1914414554049</v>
      </c>
      <c r="CS30" s="428">
        <f xml:space="preserve"> 'FS Qtr'!CS$50</f>
        <v>3069.9353386895355</v>
      </c>
      <c r="CT30" s="428">
        <f xml:space="preserve"> 'FS Qtr'!CT$50</f>
        <v>4866.0702433225306</v>
      </c>
      <c r="CU30" s="428">
        <f xml:space="preserve"> 'FS Qtr'!CU$50</f>
        <v>4098.0574842855613</v>
      </c>
      <c r="CV30" s="428">
        <f xml:space="preserve"> 'FS Qtr'!CV$50</f>
        <v>2168.3496929904522</v>
      </c>
      <c r="CW30" s="428">
        <f xml:space="preserve"> 'FS Qtr'!CW$50</f>
        <v>3054.6620285468025</v>
      </c>
      <c r="CX30" s="428">
        <f xml:space="preserve"> 'FS Qtr'!CX$50</f>
        <v>4841.8609386293838</v>
      </c>
      <c r="CY30" s="428">
        <f xml:space="preserve"> 'FS Qtr'!CY$50</f>
        <v>4077.6691385925992</v>
      </c>
      <c r="CZ30" s="428">
        <f xml:space="preserve"> 'FS Qtr'!CZ$50</f>
        <v>2173.6006435345062</v>
      </c>
      <c r="DA30" s="428">
        <f xml:space="preserve"> 'FS Qtr'!DA$50</f>
        <v>3023.4259450597783</v>
      </c>
      <c r="DB30" s="428">
        <f xml:space="preserve"> 'FS Qtr'!DB$50</f>
        <v>4817.772078238193</v>
      </c>
      <c r="DC30" s="428">
        <f xml:space="preserve"> 'FS Qtr'!DC$50</f>
        <v>4057.3822274553245</v>
      </c>
      <c r="DD30" s="428">
        <f xml:space="preserve"> 'FS Qtr'!DD$50</f>
        <v>2146.8277448483486</v>
      </c>
      <c r="DE30" s="428">
        <f xml:space="preserve"> 'FS Qtr'!DE$50</f>
        <v>3024.3429900713381</v>
      </c>
      <c r="DF30" s="428">
        <f xml:space="preserve"> 'FS Qtr'!DF$50</f>
        <v>4793.8030629235755</v>
      </c>
      <c r="DG30" s="428">
        <f xml:space="preserve"> 'FS Qtr'!DG$50</f>
        <v>4037.1962462242027</v>
      </c>
      <c r="DH30" s="428">
        <f xml:space="preserve"> 'FS Qtr'!DH$50</f>
        <v>2136.1470097993515</v>
      </c>
      <c r="DI30" s="428">
        <f xml:space="preserve"> 'FS Qtr'!DI$50</f>
        <v>1445.0406242760323</v>
      </c>
      <c r="DJ30" s="428">
        <f xml:space="preserve"> 'FS Qtr'!DJ$50</f>
        <v>0</v>
      </c>
      <c r="DK30" s="428">
        <f xml:space="preserve"> 'FS Qtr'!DK$50</f>
        <v>0</v>
      </c>
      <c r="DL30" s="428">
        <f xml:space="preserve"> 'FS Qtr'!DL$50</f>
        <v>0</v>
      </c>
      <c r="DM30" s="428">
        <f xml:space="preserve"> 'FS Qtr'!DM$50</f>
        <v>0</v>
      </c>
      <c r="DN30" s="428">
        <f xml:space="preserve"> 'FS Qtr'!DN$50</f>
        <v>0</v>
      </c>
      <c r="DO30" s="428">
        <f xml:space="preserve"> 'FS Qtr'!DO$50</f>
        <v>0</v>
      </c>
      <c r="DP30" s="428">
        <f xml:space="preserve"> 'FS Qtr'!DP$50</f>
        <v>0</v>
      </c>
      <c r="DQ30" s="428">
        <f xml:space="preserve"> 'FS Qtr'!DQ$50</f>
        <v>0</v>
      </c>
      <c r="DR30" s="428">
        <f xml:space="preserve"> 'FS Qtr'!DR$50</f>
        <v>0</v>
      </c>
      <c r="DS30" s="428">
        <f xml:space="preserve"> 'FS Qtr'!DS$50</f>
        <v>0</v>
      </c>
      <c r="DT30" s="428">
        <f xml:space="preserve"> 'FS Qtr'!DT$50</f>
        <v>0</v>
      </c>
      <c r="DU30" s="428">
        <f xml:space="preserve"> 'FS Qtr'!DU$50</f>
        <v>0</v>
      </c>
      <c r="DV30" s="428">
        <f xml:space="preserve"> 'FS Qtr'!DV$50</f>
        <v>0</v>
      </c>
      <c r="DW30" s="428">
        <f xml:space="preserve"> 'FS Qtr'!DW$50</f>
        <v>0</v>
      </c>
      <c r="DX30" s="428">
        <f xml:space="preserve"> 'FS Qtr'!DX$50</f>
        <v>0</v>
      </c>
      <c r="DY30" s="428">
        <f xml:space="preserve"> 'FS Qtr'!DY$50</f>
        <v>0</v>
      </c>
      <c r="DZ30" s="428">
        <f xml:space="preserve"> 'FS Qtr'!DZ$50</f>
        <v>0</v>
      </c>
      <c r="EA30" s="428">
        <f xml:space="preserve"> 'FS Qtr'!EA$50</f>
        <v>0</v>
      </c>
    </row>
    <row r="31" spans="1:131" hidden="1" outlineLevel="1" x14ac:dyDescent="0.35">
      <c r="E31" s="147" t="s">
        <v>214</v>
      </c>
      <c r="F31" s="147">
        <f xml:space="preserve"> SUM(J30:EA30)</f>
        <v>371409.67882059258</v>
      </c>
      <c r="G31" s="147" t="str">
        <f xml:space="preserve"> SMU</f>
        <v>$ 000s</v>
      </c>
    </row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112" customFormat="1" outlineLevel="1" x14ac:dyDescent="0.35">
      <c r="A9" s="160"/>
      <c r="B9" s="160"/>
      <c r="C9" s="161"/>
      <c r="D9" s="164"/>
      <c r="E9" s="482" t="str">
        <f xml:space="preserve"> Ops!E$38</f>
        <v>Electricity revenue</v>
      </c>
      <c r="F9" s="482">
        <f xml:space="preserve"> Ops!F$38</f>
        <v>0</v>
      </c>
      <c r="G9" s="482" t="str">
        <f xml:space="preserve"> Ops!G$38</f>
        <v>$ 000s</v>
      </c>
      <c r="H9" s="482">
        <f xml:space="preserve"> Ops!H$38</f>
        <v>371409.67882059288</v>
      </c>
      <c r="I9" s="482">
        <f xml:space="preserve"> Ops!I$38</f>
        <v>0</v>
      </c>
      <c r="J9" s="482">
        <f xml:space="preserve"> Ops!J$38</f>
        <v>0</v>
      </c>
      <c r="K9" s="482">
        <f xml:space="preserve"> Ops!K$38</f>
        <v>0</v>
      </c>
      <c r="L9" s="482">
        <f xml:space="preserve"> Ops!L$38</f>
        <v>0</v>
      </c>
      <c r="M9" s="482">
        <f xml:space="preserve"> Ops!M$38</f>
        <v>5201.625</v>
      </c>
      <c r="N9" s="482">
        <f xml:space="preserve"> Ops!N$38</f>
        <v>5674.5</v>
      </c>
      <c r="O9" s="482">
        <f xml:space="preserve"> Ops!O$38</f>
        <v>2443.1874999999986</v>
      </c>
      <c r="P9" s="482">
        <f xml:space="preserve"> Ops!P$38</f>
        <v>2443.1875</v>
      </c>
      <c r="Q9" s="482">
        <f xml:space="preserve"> Ops!Q$38</f>
        <v>5175.7462686567178</v>
      </c>
      <c r="R9" s="482">
        <f xml:space="preserve"> Ops!R$38</f>
        <v>5646.2686567164183</v>
      </c>
      <c r="S9" s="482">
        <f xml:space="preserve"> Ops!S$38</f>
        <v>2431.0323383084565</v>
      </c>
      <c r="T9" s="482">
        <f xml:space="preserve"> Ops!T$38</f>
        <v>2431.0323383084578</v>
      </c>
      <c r="U9" s="482">
        <f xml:space="preserve"> Ops!U$38</f>
        <v>5149.9962872206152</v>
      </c>
      <c r="V9" s="482">
        <f xml:space="preserve"> Ops!V$38</f>
        <v>5618.1777678770341</v>
      </c>
      <c r="W9" s="482">
        <f xml:space="preserve"> Ops!W$38</f>
        <v>2418.9376500581666</v>
      </c>
      <c r="X9" s="482">
        <f xml:space="preserve"> Ops!X$38</f>
        <v>2418.9376500581679</v>
      </c>
      <c r="Y9" s="482">
        <f xml:space="preserve"> Ops!Y$38</f>
        <v>5124.3744151448909</v>
      </c>
      <c r="Z9" s="482">
        <f xml:space="preserve"> Ops!Z$38</f>
        <v>5590.2266347035174</v>
      </c>
      <c r="AA9" s="482">
        <f xml:space="preserve"> Ops!AA$38</f>
        <v>2406.9031343862353</v>
      </c>
      <c r="AB9" s="482">
        <f xml:space="preserve"> Ops!AB$38</f>
        <v>2406.9031343862366</v>
      </c>
      <c r="AC9" s="482">
        <f xml:space="preserve"> Ops!AC$38</f>
        <v>5098.8800150695442</v>
      </c>
      <c r="AD9" s="482">
        <f xml:space="preserve"> Ops!AD$38</f>
        <v>5562.4145618940483</v>
      </c>
      <c r="AE9" s="482">
        <f xml:space="preserve"> Ops!AE$38</f>
        <v>2394.9284919266029</v>
      </c>
      <c r="AF9" s="482">
        <f xml:space="preserve"> Ops!AF$38</f>
        <v>2394.9284919266042</v>
      </c>
      <c r="AG9" s="482">
        <f xml:space="preserve"> Ops!AG$38</f>
        <v>5073.5124528055176</v>
      </c>
      <c r="AH9" s="482">
        <f xml:space="preserve"> Ops!AH$38</f>
        <v>5534.7408576060188</v>
      </c>
      <c r="AI9" s="482">
        <f xml:space="preserve"> Ops!AI$38</f>
        <v>2383.0134248025906</v>
      </c>
      <c r="AJ9" s="482">
        <f xml:space="preserve"> Ops!AJ$38</f>
        <v>2383.013424802592</v>
      </c>
      <c r="AK9" s="482">
        <f xml:space="preserve"> Ops!AK$38</f>
        <v>5048.2710973189251</v>
      </c>
      <c r="AL9" s="482">
        <f xml:space="preserve"> Ops!AL$38</f>
        <v>5507.2048334388264</v>
      </c>
      <c r="AM9" s="482">
        <f xml:space="preserve"> Ops!AM$38</f>
        <v>2371.1576366194936</v>
      </c>
      <c r="AN9" s="482">
        <f xml:space="preserve"> Ops!AN$38</f>
        <v>2371.157636619495</v>
      </c>
      <c r="AO9" s="482">
        <f xml:space="preserve"> Ops!AO$38</f>
        <v>5023.1553207153474</v>
      </c>
      <c r="AP9" s="482">
        <f xml:space="preserve"> Ops!AP$38</f>
        <v>5479.8058044167419</v>
      </c>
      <c r="AQ9" s="482">
        <f xml:space="preserve"> Ops!AQ$38</f>
        <v>2359.3608324572074</v>
      </c>
      <c r="AR9" s="482">
        <f xml:space="preserve"> Ops!AR$38</f>
        <v>2359.3608324572087</v>
      </c>
      <c r="AS9" s="482">
        <f xml:space="preserve"> Ops!AS$38</f>
        <v>4998.1644982242278</v>
      </c>
      <c r="AT9" s="482">
        <f xml:space="preserve"> Ops!AT$38</f>
        <v>5452.5430889718837</v>
      </c>
      <c r="AU9" s="482">
        <f xml:space="preserve"> Ops!AU$38</f>
        <v>2347.6227188628936</v>
      </c>
      <c r="AV9" s="482">
        <f xml:space="preserve"> Ops!AV$38</f>
        <v>2347.6227188628945</v>
      </c>
      <c r="AW9" s="482">
        <f xml:space="preserve"> Ops!AW$38</f>
        <v>4973.298008183312</v>
      </c>
      <c r="AX9" s="482">
        <f xml:space="preserve"> Ops!AX$38</f>
        <v>5425.4160089272491</v>
      </c>
      <c r="AY9" s="482">
        <f xml:space="preserve"> Ops!AY$38</f>
        <v>2335.9430038436749</v>
      </c>
      <c r="AZ9" s="482">
        <f xml:space="preserve"> Ops!AZ$38</f>
        <v>2335.9430038436763</v>
      </c>
      <c r="BA9" s="482">
        <f xml:space="preserve"> Ops!BA$38</f>
        <v>4948.5552320231964</v>
      </c>
      <c r="BB9" s="482">
        <f xml:space="preserve"> Ops!BB$38</f>
        <v>5398.42388947985</v>
      </c>
      <c r="BC9" s="482">
        <f xml:space="preserve"> Ops!BC$38</f>
        <v>2324.3213968593786</v>
      </c>
      <c r="BD9" s="482">
        <f xml:space="preserve"> Ops!BD$38</f>
        <v>2324.32139685938</v>
      </c>
      <c r="BE9" s="482">
        <f xml:space="preserve"> Ops!BE$38</f>
        <v>4923.935554251937</v>
      </c>
      <c r="BF9" s="482">
        <f xml:space="preserve"> Ops!BF$38</f>
        <v>5371.5660591839305</v>
      </c>
      <c r="BG9" s="482">
        <f xml:space="preserve"> Ops!BG$38</f>
        <v>2312.7576088153019</v>
      </c>
      <c r="BH9" s="482">
        <f xml:space="preserve"> Ops!BH$38</f>
        <v>2312.7576088153037</v>
      </c>
      <c r="BI9" s="482">
        <f xml:space="preserve"> Ops!BI$38</f>
        <v>4899.4383624397396</v>
      </c>
      <c r="BJ9" s="482">
        <f xml:space="preserve"> Ops!BJ$38</f>
        <v>5344.8418499342606</v>
      </c>
      <c r="BK9" s="482">
        <f xml:space="preserve"> Ops!BK$38</f>
        <v>2301.2513520550278</v>
      </c>
      <c r="BL9" s="482">
        <f xml:space="preserve"> Ops!BL$38</f>
        <v>2301.2513520550292</v>
      </c>
      <c r="BM9" s="482">
        <f xml:space="preserve"> Ops!BM$38</f>
        <v>4875.063047203721</v>
      </c>
      <c r="BN9" s="482">
        <f xml:space="preserve"> Ops!BN$38</f>
        <v>5318.2505969495141</v>
      </c>
      <c r="BO9" s="482">
        <f xml:space="preserve"> Ops!BO$38</f>
        <v>2289.8023403532616</v>
      </c>
      <c r="BP9" s="482">
        <f xml:space="preserve"> Ops!BP$38</f>
        <v>2289.8023403532629</v>
      </c>
      <c r="BQ9" s="482">
        <f xml:space="preserve"> Ops!BQ$38</f>
        <v>4850.8090021927592</v>
      </c>
      <c r="BR9" s="482">
        <f xml:space="preserve"> Ops!BR$38</f>
        <v>5291.7916387557361</v>
      </c>
      <c r="BS9" s="482">
        <f xml:space="preserve"> Ops!BS$38</f>
        <v>2278.4102889087189</v>
      </c>
      <c r="BT9" s="482">
        <f xml:space="preserve"> Ops!BT$38</f>
        <v>2278.4102889087198</v>
      </c>
      <c r="BU9" s="482">
        <f xml:space="preserve"> Ops!BU$38</f>
        <v>4826.675624072398</v>
      </c>
      <c r="BV9" s="482">
        <f xml:space="preserve"> Ops!BV$38</f>
        <v>5265.4643171698881</v>
      </c>
      <c r="BW9" s="482">
        <f xml:space="preserve"> Ops!BW$38</f>
        <v>2267.074914337034</v>
      </c>
      <c r="BX9" s="482">
        <f xml:space="preserve"> Ops!BX$38</f>
        <v>2267.0749143370354</v>
      </c>
      <c r="BY9" s="482">
        <f xml:space="preserve"> Ops!BY$38</f>
        <v>4802.6623125098486</v>
      </c>
      <c r="BZ9" s="482">
        <f xml:space="preserve"> Ops!BZ$38</f>
        <v>5239.2679772834708</v>
      </c>
      <c r="CA9" s="482">
        <f xml:space="preserve"> Ops!CA$38</f>
        <v>2255.7959346637153</v>
      </c>
      <c r="CB9" s="482">
        <f xml:space="preserve"> Ops!CB$38</f>
        <v>2255.7959346637167</v>
      </c>
      <c r="CC9" s="482">
        <f xml:space="preserve"> Ops!CC$38</f>
        <v>4778.7684701590542</v>
      </c>
      <c r="CD9" s="482">
        <f xml:space="preserve"> Ops!CD$38</f>
        <v>5213.2019674462408</v>
      </c>
      <c r="CE9" s="482">
        <f xml:space="preserve"> Ops!CE$38</f>
        <v>2244.5730693171299</v>
      </c>
      <c r="CF9" s="482">
        <f xml:space="preserve"> Ops!CF$38</f>
        <v>2244.5730693171313</v>
      </c>
      <c r="CG9" s="482">
        <f xml:space="preserve"> Ops!CG$38</f>
        <v>4754.9935026458261</v>
      </c>
      <c r="CH9" s="482">
        <f xml:space="preserve"> Ops!CH$38</f>
        <v>5187.2656392499921</v>
      </c>
      <c r="CI9" s="482">
        <f xml:space="preserve"> Ops!CI$38</f>
        <v>2233.4060391215235</v>
      </c>
      <c r="CJ9" s="482">
        <f xml:space="preserve"> Ops!CJ$38</f>
        <v>2233.4060391215244</v>
      </c>
      <c r="CK9" s="482">
        <f xml:space="preserve"> Ops!CK$38</f>
        <v>4731.3368185530617</v>
      </c>
      <c r="CL9" s="482">
        <f xml:space="preserve"> Ops!CL$38</f>
        <v>5161.45834751243</v>
      </c>
      <c r="CM9" s="482">
        <f xml:space="preserve"> Ops!CM$38</f>
        <v>2222.2945662900729</v>
      </c>
      <c r="CN9" s="482">
        <f xml:space="preserve"> Ops!CN$38</f>
        <v>2222.2945662900743</v>
      </c>
      <c r="CO9" s="482">
        <f xml:space="preserve"> Ops!CO$38</f>
        <v>4707.7978294060313</v>
      </c>
      <c r="CP9" s="482">
        <f xml:space="preserve"> Ops!CP$38</f>
        <v>5135.7794502611241</v>
      </c>
      <c r="CQ9" s="482">
        <f xml:space="preserve"> Ops!CQ$38</f>
        <v>2211.2383744179833</v>
      </c>
      <c r="CR9" s="482">
        <f xml:space="preserve"> Ops!CR$38</f>
        <v>2211.2383744179842</v>
      </c>
      <c r="CS9" s="482">
        <f xml:space="preserve"> Ops!CS$38</f>
        <v>4684.3759496577441</v>
      </c>
      <c r="CT9" s="482">
        <f xml:space="preserve"> Ops!CT$38</f>
        <v>5110.2283087175383</v>
      </c>
      <c r="CU9" s="482">
        <f xml:space="preserve"> Ops!CU$38</f>
        <v>2200.2371884756058</v>
      </c>
      <c r="CV9" s="482">
        <f xml:space="preserve"> Ops!CV$38</f>
        <v>2200.2371884756067</v>
      </c>
      <c r="CW9" s="482">
        <f xml:space="preserve"> Ops!CW$38</f>
        <v>4661.0705966743726</v>
      </c>
      <c r="CX9" s="482">
        <f xml:space="preserve"> Ops!CX$38</f>
        <v>5084.8042872811338</v>
      </c>
      <c r="CY9" s="482">
        <f xml:space="preserve"> Ops!CY$38</f>
        <v>2189.2907348015979</v>
      </c>
      <c r="CZ9" s="482">
        <f xml:space="preserve"> Ops!CZ$38</f>
        <v>2189.2907348015992</v>
      </c>
      <c r="DA9" s="482">
        <f xml:space="preserve"> Ops!DA$38</f>
        <v>4637.8811907207701</v>
      </c>
      <c r="DB9" s="482">
        <f xml:space="preserve"> Ops!DB$38</f>
        <v>5059.5067535135668</v>
      </c>
      <c r="DC9" s="482">
        <f xml:space="preserve"> Ops!DC$38</f>
        <v>2178.3987410961181</v>
      </c>
      <c r="DD9" s="482">
        <f xml:space="preserve"> Ops!DD$38</f>
        <v>2178.398741096119</v>
      </c>
      <c r="DE9" s="482">
        <f xml:space="preserve"> Ops!DE$38</f>
        <v>4614.8071549460392</v>
      </c>
      <c r="DF9" s="482">
        <f xml:space="preserve"> Ops!DF$38</f>
        <v>5034.3350781229519</v>
      </c>
      <c r="DG9" s="482">
        <f xml:space="preserve"> Ops!DG$38</f>
        <v>2167.5609364140473</v>
      </c>
      <c r="DH9" s="482">
        <f xml:space="preserve"> Ops!DH$38</f>
        <v>2167.5609364140487</v>
      </c>
      <c r="DI9" s="482">
        <f xml:space="preserve"> Ops!DI$38</f>
        <v>0</v>
      </c>
      <c r="DJ9" s="482">
        <f xml:space="preserve"> Ops!DJ$38</f>
        <v>0</v>
      </c>
      <c r="DK9" s="482">
        <f xml:space="preserve"> Ops!DK$38</f>
        <v>0</v>
      </c>
      <c r="DL9" s="482">
        <f xml:space="preserve"> Ops!DL$38</f>
        <v>0</v>
      </c>
      <c r="DM9" s="482">
        <f xml:space="preserve"> Ops!DM$38</f>
        <v>0</v>
      </c>
      <c r="DN9" s="482">
        <f xml:space="preserve"> Ops!DN$38</f>
        <v>0</v>
      </c>
      <c r="DO9" s="482">
        <f xml:space="preserve"> Ops!DO$38</f>
        <v>0</v>
      </c>
      <c r="DP9" s="482">
        <f xml:space="preserve"> Ops!DP$38</f>
        <v>0</v>
      </c>
      <c r="DQ9" s="482">
        <f xml:space="preserve"> Ops!DQ$38</f>
        <v>0</v>
      </c>
      <c r="DR9" s="482">
        <f xml:space="preserve"> Ops!DR$38</f>
        <v>0</v>
      </c>
      <c r="DS9" s="482">
        <f xml:space="preserve"> Ops!DS$38</f>
        <v>0</v>
      </c>
      <c r="DT9" s="482">
        <f xml:space="preserve"> Ops!DT$38</f>
        <v>0</v>
      </c>
      <c r="DU9" s="482">
        <f xml:space="preserve"> Ops!DU$38</f>
        <v>0</v>
      </c>
      <c r="DV9" s="482">
        <f xml:space="preserve"> Ops!DV$38</f>
        <v>0</v>
      </c>
      <c r="DW9" s="482">
        <f xml:space="preserve"> Ops!DW$38</f>
        <v>0</v>
      </c>
      <c r="DX9" s="482">
        <f xml:space="preserve"> Ops!DX$38</f>
        <v>0</v>
      </c>
      <c r="DY9" s="482">
        <f xml:space="preserve"> Ops!DY$38</f>
        <v>0</v>
      </c>
      <c r="DZ9" s="482">
        <f xml:space="preserve"> Ops!DZ$38</f>
        <v>0</v>
      </c>
      <c r="EA9" s="482">
        <f xml:space="preserve"> Ops!EA$38</f>
        <v>0</v>
      </c>
    </row>
    <row r="10" spans="1:131" outlineLevel="1" x14ac:dyDescent="0.35">
      <c r="A10" s="160"/>
      <c r="D10" s="164"/>
      <c r="E10" s="341" t="s">
        <v>129</v>
      </c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1"/>
      <c r="DA10" s="341"/>
      <c r="DB10" s="341"/>
      <c r="DC10" s="341"/>
      <c r="DD10" s="341"/>
      <c r="DE10" s="341"/>
      <c r="DF10" s="341"/>
      <c r="DG10" s="341"/>
      <c r="DH10" s="341"/>
      <c r="DI10" s="341"/>
      <c r="DJ10" s="341"/>
      <c r="DK10" s="341"/>
      <c r="DL10" s="341"/>
      <c r="DM10" s="341"/>
      <c r="DN10" s="341"/>
      <c r="DO10" s="341"/>
      <c r="DP10" s="341"/>
      <c r="DQ10" s="341"/>
      <c r="DR10" s="341"/>
      <c r="DS10" s="341"/>
      <c r="DT10" s="341"/>
      <c r="DU10" s="341"/>
      <c r="DV10" s="341"/>
      <c r="DW10" s="341"/>
      <c r="DX10" s="341"/>
      <c r="DY10" s="341"/>
      <c r="DZ10" s="341"/>
      <c r="EA10" s="341"/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371409.67882059288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5201.625</v>
      </c>
      <c r="N11" s="188">
        <f t="shared" si="0"/>
        <v>5674.5</v>
      </c>
      <c r="O11" s="188">
        <f t="shared" si="0"/>
        <v>2443.1874999999986</v>
      </c>
      <c r="P11" s="188">
        <f t="shared" si="0"/>
        <v>2443.1875</v>
      </c>
      <c r="Q11" s="188">
        <f t="shared" si="0"/>
        <v>5175.7462686567178</v>
      </c>
      <c r="R11" s="188">
        <f t="shared" si="0"/>
        <v>5646.2686567164183</v>
      </c>
      <c r="S11" s="188">
        <f t="shared" si="0"/>
        <v>2431.0323383084565</v>
      </c>
      <c r="T11" s="188">
        <f t="shared" si="0"/>
        <v>2431.0323383084578</v>
      </c>
      <c r="U11" s="188">
        <f t="shared" si="0"/>
        <v>5149.9962872206152</v>
      </c>
      <c r="V11" s="188">
        <f t="shared" si="0"/>
        <v>5618.1777678770341</v>
      </c>
      <c r="W11" s="188">
        <f t="shared" si="0"/>
        <v>2418.9376500581666</v>
      </c>
      <c r="X11" s="188">
        <f t="shared" si="0"/>
        <v>2418.9376500581679</v>
      </c>
      <c r="Y11" s="188">
        <f t="shared" si="0"/>
        <v>5124.3744151448909</v>
      </c>
      <c r="Z11" s="188">
        <f t="shared" si="0"/>
        <v>5590.2266347035174</v>
      </c>
      <c r="AA11" s="188">
        <f t="shared" si="0"/>
        <v>2406.9031343862353</v>
      </c>
      <c r="AB11" s="188">
        <f t="shared" si="0"/>
        <v>2406.9031343862366</v>
      </c>
      <c r="AC11" s="188">
        <f t="shared" si="0"/>
        <v>5098.8800150695442</v>
      </c>
      <c r="AD11" s="188">
        <f t="shared" si="0"/>
        <v>5562.4145618940483</v>
      </c>
      <c r="AE11" s="188">
        <f t="shared" si="0"/>
        <v>2394.9284919266029</v>
      </c>
      <c r="AF11" s="188">
        <f t="shared" si="0"/>
        <v>2394.9284919266042</v>
      </c>
      <c r="AG11" s="188">
        <f t="shared" si="0"/>
        <v>5073.5124528055176</v>
      </c>
      <c r="AH11" s="188">
        <f t="shared" si="0"/>
        <v>5534.7408576060188</v>
      </c>
      <c r="AI11" s="188">
        <f t="shared" si="0"/>
        <v>2383.0134248025906</v>
      </c>
      <c r="AJ11" s="188">
        <f t="shared" si="0"/>
        <v>2383.013424802592</v>
      </c>
      <c r="AK11" s="188">
        <f t="shared" si="0"/>
        <v>5048.2710973189251</v>
      </c>
      <c r="AL11" s="188">
        <f t="shared" si="0"/>
        <v>5507.2048334388264</v>
      </c>
      <c r="AM11" s="188">
        <f t="shared" si="0"/>
        <v>2371.1576366194936</v>
      </c>
      <c r="AN11" s="188">
        <f t="shared" si="0"/>
        <v>2371.157636619495</v>
      </c>
      <c r="AO11" s="188">
        <f t="shared" si="0"/>
        <v>5023.1553207153474</v>
      </c>
      <c r="AP11" s="188">
        <f t="shared" ref="AP11:BU11" si="1">SUM(AP9:AP10)</f>
        <v>5479.8058044167419</v>
      </c>
      <c r="AQ11" s="188">
        <f t="shared" si="1"/>
        <v>2359.3608324572074</v>
      </c>
      <c r="AR11" s="188">
        <f t="shared" si="1"/>
        <v>2359.3608324572087</v>
      </c>
      <c r="AS11" s="188">
        <f t="shared" si="1"/>
        <v>4998.1644982242278</v>
      </c>
      <c r="AT11" s="188">
        <f t="shared" si="1"/>
        <v>5452.5430889718837</v>
      </c>
      <c r="AU11" s="188">
        <f t="shared" si="1"/>
        <v>2347.6227188628936</v>
      </c>
      <c r="AV11" s="188">
        <f t="shared" si="1"/>
        <v>2347.6227188628945</v>
      </c>
      <c r="AW11" s="188">
        <f t="shared" si="1"/>
        <v>4973.298008183312</v>
      </c>
      <c r="AX11" s="188">
        <f t="shared" si="1"/>
        <v>5425.4160089272491</v>
      </c>
      <c r="AY11" s="188">
        <f t="shared" si="1"/>
        <v>2335.9430038436749</v>
      </c>
      <c r="AZ11" s="188">
        <f t="shared" si="1"/>
        <v>2335.9430038436763</v>
      </c>
      <c r="BA11" s="188">
        <f t="shared" si="1"/>
        <v>4948.5552320231964</v>
      </c>
      <c r="BB11" s="188">
        <f t="shared" si="1"/>
        <v>5398.42388947985</v>
      </c>
      <c r="BC11" s="188">
        <f t="shared" si="1"/>
        <v>2324.3213968593786</v>
      </c>
      <c r="BD11" s="188">
        <f t="shared" si="1"/>
        <v>2324.32139685938</v>
      </c>
      <c r="BE11" s="188">
        <f t="shared" si="1"/>
        <v>4923.935554251937</v>
      </c>
      <c r="BF11" s="188">
        <f t="shared" si="1"/>
        <v>5371.5660591839305</v>
      </c>
      <c r="BG11" s="188">
        <f t="shared" si="1"/>
        <v>2312.7576088153019</v>
      </c>
      <c r="BH11" s="188">
        <f t="shared" si="1"/>
        <v>2312.7576088153037</v>
      </c>
      <c r="BI11" s="188">
        <f t="shared" si="1"/>
        <v>4899.4383624397396</v>
      </c>
      <c r="BJ11" s="188">
        <f t="shared" si="1"/>
        <v>5344.8418499342606</v>
      </c>
      <c r="BK11" s="188">
        <f t="shared" si="1"/>
        <v>2301.2513520550278</v>
      </c>
      <c r="BL11" s="188">
        <f t="shared" si="1"/>
        <v>2301.2513520550292</v>
      </c>
      <c r="BM11" s="188">
        <f t="shared" si="1"/>
        <v>4875.063047203721</v>
      </c>
      <c r="BN11" s="188">
        <f t="shared" si="1"/>
        <v>5318.2505969495141</v>
      </c>
      <c r="BO11" s="188">
        <f t="shared" si="1"/>
        <v>2289.8023403532616</v>
      </c>
      <c r="BP11" s="188">
        <f t="shared" si="1"/>
        <v>2289.8023403532629</v>
      </c>
      <c r="BQ11" s="188">
        <f t="shared" si="1"/>
        <v>4850.8090021927592</v>
      </c>
      <c r="BR11" s="188">
        <f t="shared" si="1"/>
        <v>5291.7916387557361</v>
      </c>
      <c r="BS11" s="188">
        <f t="shared" si="1"/>
        <v>2278.4102889087189</v>
      </c>
      <c r="BT11" s="188">
        <f t="shared" si="1"/>
        <v>2278.4102889087198</v>
      </c>
      <c r="BU11" s="188">
        <f t="shared" si="1"/>
        <v>4826.675624072398</v>
      </c>
      <c r="BV11" s="188">
        <f t="shared" ref="BV11:DA11" si="2">SUM(BV9:BV10)</f>
        <v>5265.4643171698881</v>
      </c>
      <c r="BW11" s="188">
        <f t="shared" si="2"/>
        <v>2267.074914337034</v>
      </c>
      <c r="BX11" s="188">
        <f t="shared" si="2"/>
        <v>2267.0749143370354</v>
      </c>
      <c r="BY11" s="188">
        <f t="shared" si="2"/>
        <v>4802.6623125098486</v>
      </c>
      <c r="BZ11" s="188">
        <f t="shared" si="2"/>
        <v>5239.2679772834708</v>
      </c>
      <c r="CA11" s="188">
        <f t="shared" si="2"/>
        <v>2255.7959346637153</v>
      </c>
      <c r="CB11" s="188">
        <f t="shared" si="2"/>
        <v>2255.7959346637167</v>
      </c>
      <c r="CC11" s="188">
        <f t="shared" si="2"/>
        <v>4778.7684701590542</v>
      </c>
      <c r="CD11" s="188">
        <f t="shared" si="2"/>
        <v>5213.2019674462408</v>
      </c>
      <c r="CE11" s="188">
        <f t="shared" si="2"/>
        <v>2244.5730693171299</v>
      </c>
      <c r="CF11" s="188">
        <f t="shared" si="2"/>
        <v>2244.5730693171313</v>
      </c>
      <c r="CG11" s="188">
        <f t="shared" si="2"/>
        <v>4754.9935026458261</v>
      </c>
      <c r="CH11" s="188">
        <f t="shared" si="2"/>
        <v>5187.2656392499921</v>
      </c>
      <c r="CI11" s="188">
        <f t="shared" si="2"/>
        <v>2233.4060391215235</v>
      </c>
      <c r="CJ11" s="188">
        <f t="shared" si="2"/>
        <v>2233.4060391215244</v>
      </c>
      <c r="CK11" s="188">
        <f t="shared" si="2"/>
        <v>4731.3368185530617</v>
      </c>
      <c r="CL11" s="188">
        <f t="shared" si="2"/>
        <v>5161.45834751243</v>
      </c>
      <c r="CM11" s="188">
        <f t="shared" si="2"/>
        <v>2222.2945662900729</v>
      </c>
      <c r="CN11" s="188">
        <f t="shared" si="2"/>
        <v>2222.2945662900743</v>
      </c>
      <c r="CO11" s="188">
        <f t="shared" si="2"/>
        <v>4707.7978294060313</v>
      </c>
      <c r="CP11" s="188">
        <f t="shared" si="2"/>
        <v>5135.7794502611241</v>
      </c>
      <c r="CQ11" s="188">
        <f t="shared" si="2"/>
        <v>2211.2383744179833</v>
      </c>
      <c r="CR11" s="188">
        <f t="shared" si="2"/>
        <v>2211.2383744179842</v>
      </c>
      <c r="CS11" s="188">
        <f t="shared" si="2"/>
        <v>4684.3759496577441</v>
      </c>
      <c r="CT11" s="188">
        <f t="shared" si="2"/>
        <v>5110.2283087175383</v>
      </c>
      <c r="CU11" s="188">
        <f t="shared" si="2"/>
        <v>2200.2371884756058</v>
      </c>
      <c r="CV11" s="188">
        <f t="shared" si="2"/>
        <v>2200.2371884756067</v>
      </c>
      <c r="CW11" s="188">
        <f t="shared" si="2"/>
        <v>4661.0705966743726</v>
      </c>
      <c r="CX11" s="188">
        <f t="shared" si="2"/>
        <v>5084.8042872811338</v>
      </c>
      <c r="CY11" s="188">
        <f t="shared" si="2"/>
        <v>2189.2907348015979</v>
      </c>
      <c r="CZ11" s="188">
        <f t="shared" si="2"/>
        <v>2189.2907348015992</v>
      </c>
      <c r="DA11" s="188">
        <f t="shared" si="2"/>
        <v>4637.8811907207701</v>
      </c>
      <c r="DB11" s="188">
        <f t="shared" ref="DB11:EA11" si="3">SUM(DB9:DB10)</f>
        <v>5059.5067535135668</v>
      </c>
      <c r="DC11" s="188">
        <f t="shared" si="3"/>
        <v>2178.3987410961181</v>
      </c>
      <c r="DD11" s="188">
        <f t="shared" si="3"/>
        <v>2178.398741096119</v>
      </c>
      <c r="DE11" s="188">
        <f t="shared" si="3"/>
        <v>4614.8071549460392</v>
      </c>
      <c r="DF11" s="188">
        <f t="shared" si="3"/>
        <v>5034.3350781229519</v>
      </c>
      <c r="DG11" s="188">
        <f t="shared" si="3"/>
        <v>2167.5609364140473</v>
      </c>
      <c r="DH11" s="188">
        <f t="shared" si="3"/>
        <v>2167.5609364140487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371409.67882059288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5201.625</v>
      </c>
      <c r="N14" s="163">
        <f t="shared" si="4"/>
        <v>5674.5</v>
      </c>
      <c r="O14" s="163">
        <f t="shared" si="4"/>
        <v>2443.1874999999986</v>
      </c>
      <c r="P14" s="163">
        <f t="shared" si="4"/>
        <v>2443.1875</v>
      </c>
      <c r="Q14" s="163">
        <f t="shared" si="4"/>
        <v>5175.7462686567178</v>
      </c>
      <c r="R14" s="163">
        <f t="shared" si="4"/>
        <v>5646.2686567164183</v>
      </c>
      <c r="S14" s="163">
        <f t="shared" si="4"/>
        <v>2431.0323383084565</v>
      </c>
      <c r="T14" s="163">
        <f t="shared" si="4"/>
        <v>2431.0323383084578</v>
      </c>
      <c r="U14" s="163">
        <f t="shared" si="4"/>
        <v>5149.9962872206152</v>
      </c>
      <c r="V14" s="163">
        <f t="shared" si="4"/>
        <v>5618.1777678770341</v>
      </c>
      <c r="W14" s="163">
        <f t="shared" si="4"/>
        <v>2418.9376500581666</v>
      </c>
      <c r="X14" s="163">
        <f t="shared" si="4"/>
        <v>2418.9376500581679</v>
      </c>
      <c r="Y14" s="163">
        <f t="shared" si="4"/>
        <v>5124.3744151448909</v>
      </c>
      <c r="Z14" s="163">
        <f t="shared" si="4"/>
        <v>5590.2266347035174</v>
      </c>
      <c r="AA14" s="163">
        <f t="shared" si="4"/>
        <v>2406.9031343862353</v>
      </c>
      <c r="AB14" s="163">
        <f t="shared" si="4"/>
        <v>2406.9031343862366</v>
      </c>
      <c r="AC14" s="163">
        <f t="shared" si="4"/>
        <v>5098.8800150695442</v>
      </c>
      <c r="AD14" s="163">
        <f t="shared" si="4"/>
        <v>5562.4145618940483</v>
      </c>
      <c r="AE14" s="163">
        <f t="shared" si="4"/>
        <v>2394.9284919266029</v>
      </c>
      <c r="AF14" s="163">
        <f t="shared" si="4"/>
        <v>2394.9284919266042</v>
      </c>
      <c r="AG14" s="163">
        <f t="shared" si="4"/>
        <v>5073.5124528055176</v>
      </c>
      <c r="AH14" s="163">
        <f t="shared" si="4"/>
        <v>5534.7408576060188</v>
      </c>
      <c r="AI14" s="163">
        <f t="shared" si="4"/>
        <v>2383.0134248025906</v>
      </c>
      <c r="AJ14" s="163">
        <f t="shared" si="4"/>
        <v>2383.013424802592</v>
      </c>
      <c r="AK14" s="163">
        <f t="shared" si="4"/>
        <v>5048.2710973189251</v>
      </c>
      <c r="AL14" s="163">
        <f t="shared" si="4"/>
        <v>5507.2048334388264</v>
      </c>
      <c r="AM14" s="163">
        <f t="shared" si="4"/>
        <v>2371.1576366194936</v>
      </c>
      <c r="AN14" s="163">
        <f t="shared" si="4"/>
        <v>2371.157636619495</v>
      </c>
      <c r="AO14" s="163">
        <f t="shared" si="4"/>
        <v>5023.1553207153474</v>
      </c>
      <c r="AP14" s="163">
        <f t="shared" ref="AP14:BU14" si="5" xml:space="preserve"> AP11 + SUM(AP13:AP13)</f>
        <v>5479.8058044167419</v>
      </c>
      <c r="AQ14" s="163">
        <f t="shared" si="5"/>
        <v>2359.3608324572074</v>
      </c>
      <c r="AR14" s="163">
        <f t="shared" si="5"/>
        <v>2359.3608324572087</v>
      </c>
      <c r="AS14" s="163">
        <f t="shared" si="5"/>
        <v>4998.1644982242278</v>
      </c>
      <c r="AT14" s="163">
        <f t="shared" si="5"/>
        <v>5452.5430889718837</v>
      </c>
      <c r="AU14" s="163">
        <f t="shared" si="5"/>
        <v>2347.6227188628936</v>
      </c>
      <c r="AV14" s="163">
        <f t="shared" si="5"/>
        <v>2347.6227188628945</v>
      </c>
      <c r="AW14" s="163">
        <f t="shared" si="5"/>
        <v>4973.298008183312</v>
      </c>
      <c r="AX14" s="163">
        <f t="shared" si="5"/>
        <v>5425.4160089272491</v>
      </c>
      <c r="AY14" s="163">
        <f t="shared" si="5"/>
        <v>2335.9430038436749</v>
      </c>
      <c r="AZ14" s="163">
        <f t="shared" si="5"/>
        <v>2335.9430038436763</v>
      </c>
      <c r="BA14" s="163">
        <f t="shared" si="5"/>
        <v>4948.5552320231964</v>
      </c>
      <c r="BB14" s="163">
        <f t="shared" si="5"/>
        <v>5398.42388947985</v>
      </c>
      <c r="BC14" s="163">
        <f t="shared" si="5"/>
        <v>2324.3213968593786</v>
      </c>
      <c r="BD14" s="163">
        <f t="shared" si="5"/>
        <v>2324.32139685938</v>
      </c>
      <c r="BE14" s="163">
        <f t="shared" si="5"/>
        <v>4923.935554251937</v>
      </c>
      <c r="BF14" s="163">
        <f t="shared" si="5"/>
        <v>5371.5660591839305</v>
      </c>
      <c r="BG14" s="163">
        <f t="shared" si="5"/>
        <v>2312.7576088153019</v>
      </c>
      <c r="BH14" s="163">
        <f t="shared" si="5"/>
        <v>2312.7576088153037</v>
      </c>
      <c r="BI14" s="163">
        <f t="shared" si="5"/>
        <v>4899.4383624397396</v>
      </c>
      <c r="BJ14" s="163">
        <f t="shared" si="5"/>
        <v>5344.8418499342606</v>
      </c>
      <c r="BK14" s="163">
        <f t="shared" si="5"/>
        <v>2301.2513520550278</v>
      </c>
      <c r="BL14" s="163">
        <f t="shared" si="5"/>
        <v>2301.2513520550292</v>
      </c>
      <c r="BM14" s="163">
        <f t="shared" si="5"/>
        <v>4875.063047203721</v>
      </c>
      <c r="BN14" s="163">
        <f t="shared" si="5"/>
        <v>5318.2505969495141</v>
      </c>
      <c r="BO14" s="163">
        <f t="shared" si="5"/>
        <v>2289.8023403532616</v>
      </c>
      <c r="BP14" s="163">
        <f t="shared" si="5"/>
        <v>2289.8023403532629</v>
      </c>
      <c r="BQ14" s="163">
        <f t="shared" si="5"/>
        <v>4850.8090021927592</v>
      </c>
      <c r="BR14" s="163">
        <f t="shared" si="5"/>
        <v>5291.7916387557361</v>
      </c>
      <c r="BS14" s="163">
        <f t="shared" si="5"/>
        <v>2278.4102889087189</v>
      </c>
      <c r="BT14" s="163">
        <f t="shared" si="5"/>
        <v>2278.4102889087198</v>
      </c>
      <c r="BU14" s="163">
        <f t="shared" si="5"/>
        <v>4826.675624072398</v>
      </c>
      <c r="BV14" s="163">
        <f t="shared" ref="BV14:DA14" si="6" xml:space="preserve"> BV11 + SUM(BV13:BV13)</f>
        <v>5265.4643171698881</v>
      </c>
      <c r="BW14" s="163">
        <f t="shared" si="6"/>
        <v>2267.074914337034</v>
      </c>
      <c r="BX14" s="163">
        <f t="shared" si="6"/>
        <v>2267.0749143370354</v>
      </c>
      <c r="BY14" s="163">
        <f t="shared" si="6"/>
        <v>4802.6623125098486</v>
      </c>
      <c r="BZ14" s="163">
        <f t="shared" si="6"/>
        <v>5239.2679772834708</v>
      </c>
      <c r="CA14" s="163">
        <f t="shared" si="6"/>
        <v>2255.7959346637153</v>
      </c>
      <c r="CB14" s="163">
        <f t="shared" si="6"/>
        <v>2255.7959346637167</v>
      </c>
      <c r="CC14" s="163">
        <f t="shared" si="6"/>
        <v>4778.7684701590542</v>
      </c>
      <c r="CD14" s="163">
        <f t="shared" si="6"/>
        <v>5213.2019674462408</v>
      </c>
      <c r="CE14" s="163">
        <f t="shared" si="6"/>
        <v>2244.5730693171299</v>
      </c>
      <c r="CF14" s="163">
        <f t="shared" si="6"/>
        <v>2244.5730693171313</v>
      </c>
      <c r="CG14" s="163">
        <f t="shared" si="6"/>
        <v>4754.9935026458261</v>
      </c>
      <c r="CH14" s="163">
        <f t="shared" si="6"/>
        <v>5187.2656392499921</v>
      </c>
      <c r="CI14" s="163">
        <f t="shared" si="6"/>
        <v>2233.4060391215235</v>
      </c>
      <c r="CJ14" s="163">
        <f t="shared" si="6"/>
        <v>2233.4060391215244</v>
      </c>
      <c r="CK14" s="163">
        <f t="shared" si="6"/>
        <v>4731.3368185530617</v>
      </c>
      <c r="CL14" s="163">
        <f t="shared" si="6"/>
        <v>5161.45834751243</v>
      </c>
      <c r="CM14" s="163">
        <f t="shared" si="6"/>
        <v>2222.2945662900729</v>
      </c>
      <c r="CN14" s="163">
        <f t="shared" si="6"/>
        <v>2222.2945662900743</v>
      </c>
      <c r="CO14" s="163">
        <f t="shared" si="6"/>
        <v>4707.7978294060313</v>
      </c>
      <c r="CP14" s="163">
        <f t="shared" si="6"/>
        <v>5135.7794502611241</v>
      </c>
      <c r="CQ14" s="163">
        <f t="shared" si="6"/>
        <v>2211.2383744179833</v>
      </c>
      <c r="CR14" s="163">
        <f t="shared" si="6"/>
        <v>2211.2383744179842</v>
      </c>
      <c r="CS14" s="163">
        <f t="shared" si="6"/>
        <v>4684.3759496577441</v>
      </c>
      <c r="CT14" s="163">
        <f t="shared" si="6"/>
        <v>5110.2283087175383</v>
      </c>
      <c r="CU14" s="163">
        <f t="shared" si="6"/>
        <v>2200.2371884756058</v>
      </c>
      <c r="CV14" s="163">
        <f t="shared" si="6"/>
        <v>2200.2371884756067</v>
      </c>
      <c r="CW14" s="163">
        <f t="shared" si="6"/>
        <v>4661.0705966743726</v>
      </c>
      <c r="CX14" s="163">
        <f t="shared" si="6"/>
        <v>5084.8042872811338</v>
      </c>
      <c r="CY14" s="163">
        <f t="shared" si="6"/>
        <v>2189.2907348015979</v>
      </c>
      <c r="CZ14" s="163">
        <f t="shared" si="6"/>
        <v>2189.2907348015992</v>
      </c>
      <c r="DA14" s="163">
        <f t="shared" si="6"/>
        <v>4637.8811907207701</v>
      </c>
      <c r="DB14" s="163">
        <f t="shared" ref="DB14:EA14" si="7" xml:space="preserve"> DB11 + SUM(DB13:DB13)</f>
        <v>5059.5067535135668</v>
      </c>
      <c r="DC14" s="163">
        <f t="shared" si="7"/>
        <v>2178.3987410961181</v>
      </c>
      <c r="DD14" s="163">
        <f t="shared" si="7"/>
        <v>2178.398741096119</v>
      </c>
      <c r="DE14" s="163">
        <f t="shared" si="7"/>
        <v>4614.8071549460392</v>
      </c>
      <c r="DF14" s="163">
        <f t="shared" si="7"/>
        <v>5034.3350781229519</v>
      </c>
      <c r="DG14" s="163">
        <f t="shared" si="7"/>
        <v>2167.5609364140473</v>
      </c>
      <c r="DH14" s="163">
        <f t="shared" si="7"/>
        <v>2167.5609364140487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130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131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132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371409.67882059288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5201.625</v>
      </c>
      <c r="N19" s="163">
        <f t="shared" si="8"/>
        <v>5674.5</v>
      </c>
      <c r="O19" s="163">
        <f t="shared" si="8"/>
        <v>2443.1874999999986</v>
      </c>
      <c r="P19" s="163">
        <f t="shared" si="8"/>
        <v>2443.1875</v>
      </c>
      <c r="Q19" s="163">
        <f t="shared" si="8"/>
        <v>5175.7462686567178</v>
      </c>
      <c r="R19" s="163">
        <f t="shared" si="8"/>
        <v>5646.2686567164183</v>
      </c>
      <c r="S19" s="163">
        <f t="shared" si="8"/>
        <v>2431.0323383084565</v>
      </c>
      <c r="T19" s="163">
        <f t="shared" si="8"/>
        <v>2431.0323383084578</v>
      </c>
      <c r="U19" s="163">
        <f t="shared" si="8"/>
        <v>5149.9962872206152</v>
      </c>
      <c r="V19" s="163">
        <f t="shared" si="8"/>
        <v>5618.1777678770341</v>
      </c>
      <c r="W19" s="163">
        <f t="shared" si="8"/>
        <v>2418.9376500581666</v>
      </c>
      <c r="X19" s="163">
        <f t="shared" si="8"/>
        <v>2418.9376500581679</v>
      </c>
      <c r="Y19" s="163">
        <f t="shared" si="8"/>
        <v>5124.3744151448909</v>
      </c>
      <c r="Z19" s="163">
        <f t="shared" si="8"/>
        <v>5590.2266347035174</v>
      </c>
      <c r="AA19" s="163">
        <f t="shared" si="8"/>
        <v>2406.9031343862353</v>
      </c>
      <c r="AB19" s="163">
        <f t="shared" si="8"/>
        <v>2406.9031343862366</v>
      </c>
      <c r="AC19" s="163">
        <f t="shared" si="8"/>
        <v>5098.8800150695442</v>
      </c>
      <c r="AD19" s="163">
        <f t="shared" si="8"/>
        <v>5562.4145618940483</v>
      </c>
      <c r="AE19" s="163">
        <f t="shared" si="8"/>
        <v>2394.9284919266029</v>
      </c>
      <c r="AF19" s="163">
        <f t="shared" si="8"/>
        <v>2394.9284919266042</v>
      </c>
      <c r="AG19" s="163">
        <f t="shared" si="8"/>
        <v>5073.5124528055176</v>
      </c>
      <c r="AH19" s="163">
        <f t="shared" si="8"/>
        <v>5534.7408576060188</v>
      </c>
      <c r="AI19" s="163">
        <f t="shared" si="8"/>
        <v>2383.0134248025906</v>
      </c>
      <c r="AJ19" s="163">
        <f t="shared" si="8"/>
        <v>2383.013424802592</v>
      </c>
      <c r="AK19" s="163">
        <f t="shared" si="8"/>
        <v>5048.2710973189251</v>
      </c>
      <c r="AL19" s="163">
        <f t="shared" si="8"/>
        <v>5507.2048334388264</v>
      </c>
      <c r="AM19" s="163">
        <f t="shared" si="8"/>
        <v>2371.1576366194936</v>
      </c>
      <c r="AN19" s="163">
        <f t="shared" si="8"/>
        <v>2371.157636619495</v>
      </c>
      <c r="AO19" s="163">
        <f t="shared" si="8"/>
        <v>5023.1553207153474</v>
      </c>
      <c r="AP19" s="163">
        <f t="shared" ref="AP19:BU19" si="9" xml:space="preserve"> AP14 + SUM(AP16:AP18)</f>
        <v>5479.8058044167419</v>
      </c>
      <c r="AQ19" s="163">
        <f t="shared" si="9"/>
        <v>2359.3608324572074</v>
      </c>
      <c r="AR19" s="163">
        <f t="shared" si="9"/>
        <v>2359.3608324572087</v>
      </c>
      <c r="AS19" s="163">
        <f t="shared" si="9"/>
        <v>4998.1644982242278</v>
      </c>
      <c r="AT19" s="163">
        <f t="shared" si="9"/>
        <v>5452.5430889718837</v>
      </c>
      <c r="AU19" s="163">
        <f t="shared" si="9"/>
        <v>2347.6227188628936</v>
      </c>
      <c r="AV19" s="163">
        <f t="shared" si="9"/>
        <v>2347.6227188628945</v>
      </c>
      <c r="AW19" s="163">
        <f t="shared" si="9"/>
        <v>4973.298008183312</v>
      </c>
      <c r="AX19" s="163">
        <f t="shared" si="9"/>
        <v>5425.4160089272491</v>
      </c>
      <c r="AY19" s="163">
        <f t="shared" si="9"/>
        <v>2335.9430038436749</v>
      </c>
      <c r="AZ19" s="163">
        <f t="shared" si="9"/>
        <v>2335.9430038436763</v>
      </c>
      <c r="BA19" s="163">
        <f t="shared" si="9"/>
        <v>4948.5552320231964</v>
      </c>
      <c r="BB19" s="163">
        <f t="shared" si="9"/>
        <v>5398.42388947985</v>
      </c>
      <c r="BC19" s="163">
        <f t="shared" si="9"/>
        <v>2324.3213968593786</v>
      </c>
      <c r="BD19" s="163">
        <f t="shared" si="9"/>
        <v>2324.32139685938</v>
      </c>
      <c r="BE19" s="163">
        <f t="shared" si="9"/>
        <v>4923.935554251937</v>
      </c>
      <c r="BF19" s="163">
        <f t="shared" si="9"/>
        <v>5371.5660591839305</v>
      </c>
      <c r="BG19" s="163">
        <f t="shared" si="9"/>
        <v>2312.7576088153019</v>
      </c>
      <c r="BH19" s="163">
        <f t="shared" si="9"/>
        <v>2312.7576088153037</v>
      </c>
      <c r="BI19" s="163">
        <f t="shared" si="9"/>
        <v>4899.4383624397396</v>
      </c>
      <c r="BJ19" s="163">
        <f t="shared" si="9"/>
        <v>5344.8418499342606</v>
      </c>
      <c r="BK19" s="163">
        <f t="shared" si="9"/>
        <v>2301.2513520550278</v>
      </c>
      <c r="BL19" s="163">
        <f t="shared" si="9"/>
        <v>2301.2513520550292</v>
      </c>
      <c r="BM19" s="163">
        <f t="shared" si="9"/>
        <v>4875.063047203721</v>
      </c>
      <c r="BN19" s="163">
        <f t="shared" si="9"/>
        <v>5318.2505969495141</v>
      </c>
      <c r="BO19" s="163">
        <f t="shared" si="9"/>
        <v>2289.8023403532616</v>
      </c>
      <c r="BP19" s="163">
        <f t="shared" si="9"/>
        <v>2289.8023403532629</v>
      </c>
      <c r="BQ19" s="163">
        <f t="shared" si="9"/>
        <v>4850.8090021927592</v>
      </c>
      <c r="BR19" s="163">
        <f t="shared" si="9"/>
        <v>5291.7916387557361</v>
      </c>
      <c r="BS19" s="163">
        <f t="shared" si="9"/>
        <v>2278.4102889087189</v>
      </c>
      <c r="BT19" s="163">
        <f t="shared" si="9"/>
        <v>2278.4102889087198</v>
      </c>
      <c r="BU19" s="163">
        <f t="shared" si="9"/>
        <v>4826.675624072398</v>
      </c>
      <c r="BV19" s="163">
        <f t="shared" ref="BV19:DA19" si="10" xml:space="preserve"> BV14 + SUM(BV16:BV18)</f>
        <v>5265.4643171698881</v>
      </c>
      <c r="BW19" s="163">
        <f t="shared" si="10"/>
        <v>2267.074914337034</v>
      </c>
      <c r="BX19" s="163">
        <f t="shared" si="10"/>
        <v>2267.0749143370354</v>
      </c>
      <c r="BY19" s="163">
        <f t="shared" si="10"/>
        <v>4802.6623125098486</v>
      </c>
      <c r="BZ19" s="163">
        <f t="shared" si="10"/>
        <v>5239.2679772834708</v>
      </c>
      <c r="CA19" s="163">
        <f t="shared" si="10"/>
        <v>2255.7959346637153</v>
      </c>
      <c r="CB19" s="163">
        <f t="shared" si="10"/>
        <v>2255.7959346637167</v>
      </c>
      <c r="CC19" s="163">
        <f t="shared" si="10"/>
        <v>4778.7684701590542</v>
      </c>
      <c r="CD19" s="163">
        <f t="shared" si="10"/>
        <v>5213.2019674462408</v>
      </c>
      <c r="CE19" s="163">
        <f t="shared" si="10"/>
        <v>2244.5730693171299</v>
      </c>
      <c r="CF19" s="163">
        <f t="shared" si="10"/>
        <v>2244.5730693171313</v>
      </c>
      <c r="CG19" s="163">
        <f t="shared" si="10"/>
        <v>4754.9935026458261</v>
      </c>
      <c r="CH19" s="163">
        <f t="shared" si="10"/>
        <v>5187.2656392499921</v>
      </c>
      <c r="CI19" s="163">
        <f t="shared" si="10"/>
        <v>2233.4060391215235</v>
      </c>
      <c r="CJ19" s="163">
        <f t="shared" si="10"/>
        <v>2233.4060391215244</v>
      </c>
      <c r="CK19" s="163">
        <f t="shared" si="10"/>
        <v>4731.3368185530617</v>
      </c>
      <c r="CL19" s="163">
        <f t="shared" si="10"/>
        <v>5161.45834751243</v>
      </c>
      <c r="CM19" s="163">
        <f t="shared" si="10"/>
        <v>2222.2945662900729</v>
      </c>
      <c r="CN19" s="163">
        <f t="shared" si="10"/>
        <v>2222.2945662900743</v>
      </c>
      <c r="CO19" s="163">
        <f t="shared" si="10"/>
        <v>4707.7978294060313</v>
      </c>
      <c r="CP19" s="163">
        <f t="shared" si="10"/>
        <v>5135.7794502611241</v>
      </c>
      <c r="CQ19" s="163">
        <f t="shared" si="10"/>
        <v>2211.2383744179833</v>
      </c>
      <c r="CR19" s="163">
        <f t="shared" si="10"/>
        <v>2211.2383744179842</v>
      </c>
      <c r="CS19" s="163">
        <f t="shared" si="10"/>
        <v>4684.3759496577441</v>
      </c>
      <c r="CT19" s="163">
        <f t="shared" si="10"/>
        <v>5110.2283087175383</v>
      </c>
      <c r="CU19" s="163">
        <f t="shared" si="10"/>
        <v>2200.2371884756058</v>
      </c>
      <c r="CV19" s="163">
        <f t="shared" si="10"/>
        <v>2200.2371884756067</v>
      </c>
      <c r="CW19" s="163">
        <f t="shared" si="10"/>
        <v>4661.0705966743726</v>
      </c>
      <c r="CX19" s="163">
        <f t="shared" si="10"/>
        <v>5084.8042872811338</v>
      </c>
      <c r="CY19" s="163">
        <f t="shared" si="10"/>
        <v>2189.2907348015979</v>
      </c>
      <c r="CZ19" s="163">
        <f t="shared" si="10"/>
        <v>2189.2907348015992</v>
      </c>
      <c r="DA19" s="163">
        <f t="shared" si="10"/>
        <v>4637.8811907207701</v>
      </c>
      <c r="DB19" s="163">
        <f t="shared" ref="DB19:EA19" si="11" xml:space="preserve"> DB14 + SUM(DB16:DB18)</f>
        <v>5059.5067535135668</v>
      </c>
      <c r="DC19" s="163">
        <f t="shared" si="11"/>
        <v>2178.3987410961181</v>
      </c>
      <c r="DD19" s="163">
        <f t="shared" si="11"/>
        <v>2178.398741096119</v>
      </c>
      <c r="DE19" s="163">
        <f t="shared" si="11"/>
        <v>4614.8071549460392</v>
      </c>
      <c r="DF19" s="163">
        <f t="shared" si="11"/>
        <v>5034.3350781229519</v>
      </c>
      <c r="DG19" s="163">
        <f t="shared" si="11"/>
        <v>2167.5609364140473</v>
      </c>
      <c r="DH19" s="163">
        <f t="shared" si="11"/>
        <v>2167.5609364140487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133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371409.67882059288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5201.625</v>
      </c>
      <c r="N22" s="163">
        <f t="shared" si="12"/>
        <v>5674.5</v>
      </c>
      <c r="O22" s="163">
        <f t="shared" si="12"/>
        <v>2443.1874999999986</v>
      </c>
      <c r="P22" s="163">
        <f t="shared" si="12"/>
        <v>2443.1875</v>
      </c>
      <c r="Q22" s="163">
        <f t="shared" si="12"/>
        <v>5175.7462686567178</v>
      </c>
      <c r="R22" s="163">
        <f t="shared" si="12"/>
        <v>5646.2686567164183</v>
      </c>
      <c r="S22" s="163">
        <f t="shared" si="12"/>
        <v>2431.0323383084565</v>
      </c>
      <c r="T22" s="163">
        <f t="shared" si="12"/>
        <v>2431.0323383084578</v>
      </c>
      <c r="U22" s="163">
        <f t="shared" si="12"/>
        <v>5149.9962872206152</v>
      </c>
      <c r="V22" s="163">
        <f t="shared" si="12"/>
        <v>5618.1777678770341</v>
      </c>
      <c r="W22" s="163">
        <f t="shared" si="12"/>
        <v>2418.9376500581666</v>
      </c>
      <c r="X22" s="163">
        <f t="shared" si="12"/>
        <v>2418.9376500581679</v>
      </c>
      <c r="Y22" s="163">
        <f t="shared" si="12"/>
        <v>5124.3744151448909</v>
      </c>
      <c r="Z22" s="163">
        <f t="shared" si="12"/>
        <v>5590.2266347035174</v>
      </c>
      <c r="AA22" s="163">
        <f t="shared" si="12"/>
        <v>2406.9031343862353</v>
      </c>
      <c r="AB22" s="163">
        <f t="shared" si="12"/>
        <v>2406.9031343862366</v>
      </c>
      <c r="AC22" s="163">
        <f t="shared" si="12"/>
        <v>5098.8800150695442</v>
      </c>
      <c r="AD22" s="163">
        <f t="shared" si="12"/>
        <v>5562.4145618940483</v>
      </c>
      <c r="AE22" s="163">
        <f t="shared" si="12"/>
        <v>2394.9284919266029</v>
      </c>
      <c r="AF22" s="163">
        <f t="shared" si="12"/>
        <v>2394.9284919266042</v>
      </c>
      <c r="AG22" s="163">
        <f t="shared" si="12"/>
        <v>5073.5124528055176</v>
      </c>
      <c r="AH22" s="163">
        <f t="shared" si="12"/>
        <v>5534.7408576060188</v>
      </c>
      <c r="AI22" s="163">
        <f t="shared" si="12"/>
        <v>2383.0134248025906</v>
      </c>
      <c r="AJ22" s="163">
        <f t="shared" si="12"/>
        <v>2383.013424802592</v>
      </c>
      <c r="AK22" s="163">
        <f t="shared" si="12"/>
        <v>5048.2710973189251</v>
      </c>
      <c r="AL22" s="163">
        <f t="shared" si="12"/>
        <v>5507.2048334388264</v>
      </c>
      <c r="AM22" s="163">
        <f t="shared" si="12"/>
        <v>2371.1576366194936</v>
      </c>
      <c r="AN22" s="163">
        <f t="shared" si="12"/>
        <v>2371.157636619495</v>
      </c>
      <c r="AO22" s="163">
        <f t="shared" si="12"/>
        <v>5023.1553207153474</v>
      </c>
      <c r="AP22" s="163">
        <f t="shared" si="12"/>
        <v>5479.8058044167419</v>
      </c>
      <c r="AQ22" s="163">
        <f t="shared" si="12"/>
        <v>2359.3608324572074</v>
      </c>
      <c r="AR22" s="163">
        <f t="shared" si="12"/>
        <v>2359.3608324572087</v>
      </c>
      <c r="AS22" s="163">
        <f t="shared" si="12"/>
        <v>4998.1644982242278</v>
      </c>
      <c r="AT22" s="163">
        <f t="shared" si="12"/>
        <v>5452.5430889718837</v>
      </c>
      <c r="AU22" s="163">
        <f t="shared" si="12"/>
        <v>2347.6227188628936</v>
      </c>
      <c r="AV22" s="163">
        <f t="shared" si="12"/>
        <v>2347.6227188628945</v>
      </c>
      <c r="AW22" s="163">
        <f t="shared" si="12"/>
        <v>4973.298008183312</v>
      </c>
      <c r="AX22" s="163">
        <f t="shared" si="12"/>
        <v>5425.4160089272491</v>
      </c>
      <c r="AY22" s="163">
        <f t="shared" si="12"/>
        <v>2335.9430038436749</v>
      </c>
      <c r="AZ22" s="163">
        <f t="shared" si="12"/>
        <v>2335.9430038436763</v>
      </c>
      <c r="BA22" s="163">
        <f t="shared" si="12"/>
        <v>4948.5552320231964</v>
      </c>
      <c r="BB22" s="163">
        <f t="shared" si="12"/>
        <v>5398.42388947985</v>
      </c>
      <c r="BC22" s="163">
        <f t="shared" si="12"/>
        <v>2324.3213968593786</v>
      </c>
      <c r="BD22" s="163">
        <f t="shared" si="12"/>
        <v>2324.32139685938</v>
      </c>
      <c r="BE22" s="163">
        <f t="shared" si="12"/>
        <v>4923.935554251937</v>
      </c>
      <c r="BF22" s="163">
        <f t="shared" si="12"/>
        <v>5371.5660591839305</v>
      </c>
      <c r="BG22" s="163">
        <f t="shared" si="12"/>
        <v>2312.7576088153019</v>
      </c>
      <c r="BH22" s="163">
        <f t="shared" si="12"/>
        <v>2312.7576088153037</v>
      </c>
      <c r="BI22" s="163">
        <f t="shared" si="12"/>
        <v>4899.4383624397396</v>
      </c>
      <c r="BJ22" s="163">
        <f t="shared" si="12"/>
        <v>5344.8418499342606</v>
      </c>
      <c r="BK22" s="163">
        <f t="shared" si="12"/>
        <v>2301.2513520550278</v>
      </c>
      <c r="BL22" s="163">
        <f t="shared" si="12"/>
        <v>2301.2513520550292</v>
      </c>
      <c r="BM22" s="163">
        <f t="shared" si="12"/>
        <v>4875.063047203721</v>
      </c>
      <c r="BN22" s="163">
        <f t="shared" si="12"/>
        <v>5318.2505969495141</v>
      </c>
      <c r="BO22" s="163">
        <f t="shared" si="12"/>
        <v>2289.8023403532616</v>
      </c>
      <c r="BP22" s="163">
        <f t="shared" si="12"/>
        <v>2289.8023403532629</v>
      </c>
      <c r="BQ22" s="163">
        <f t="shared" si="12"/>
        <v>4850.8090021927592</v>
      </c>
      <c r="BR22" s="163">
        <f t="shared" si="12"/>
        <v>5291.7916387557361</v>
      </c>
      <c r="BS22" s="163">
        <f t="shared" si="12"/>
        <v>2278.4102889087189</v>
      </c>
      <c r="BT22" s="163">
        <f t="shared" si="12"/>
        <v>2278.4102889087198</v>
      </c>
      <c r="BU22" s="163">
        <f t="shared" si="12"/>
        <v>4826.675624072398</v>
      </c>
      <c r="BV22" s="163">
        <f t="shared" si="12"/>
        <v>5265.4643171698881</v>
      </c>
      <c r="BW22" s="163">
        <f t="shared" ref="BW22:EA22" si="13" xml:space="preserve"> BW19 + BW21</f>
        <v>2267.074914337034</v>
      </c>
      <c r="BX22" s="163">
        <f t="shared" si="13"/>
        <v>2267.0749143370354</v>
      </c>
      <c r="BY22" s="163">
        <f t="shared" si="13"/>
        <v>4802.6623125098486</v>
      </c>
      <c r="BZ22" s="163">
        <f t="shared" si="13"/>
        <v>5239.2679772834708</v>
      </c>
      <c r="CA22" s="163">
        <f t="shared" si="13"/>
        <v>2255.7959346637153</v>
      </c>
      <c r="CB22" s="163">
        <f t="shared" si="13"/>
        <v>2255.7959346637167</v>
      </c>
      <c r="CC22" s="163">
        <f t="shared" si="13"/>
        <v>4778.7684701590542</v>
      </c>
      <c r="CD22" s="163">
        <f t="shared" si="13"/>
        <v>5213.2019674462408</v>
      </c>
      <c r="CE22" s="163">
        <f t="shared" si="13"/>
        <v>2244.5730693171299</v>
      </c>
      <c r="CF22" s="163">
        <f t="shared" si="13"/>
        <v>2244.5730693171313</v>
      </c>
      <c r="CG22" s="163">
        <f t="shared" si="13"/>
        <v>4754.9935026458261</v>
      </c>
      <c r="CH22" s="163">
        <f t="shared" si="13"/>
        <v>5187.2656392499921</v>
      </c>
      <c r="CI22" s="163">
        <f t="shared" si="13"/>
        <v>2233.4060391215235</v>
      </c>
      <c r="CJ22" s="163">
        <f t="shared" si="13"/>
        <v>2233.4060391215244</v>
      </c>
      <c r="CK22" s="163">
        <f t="shared" si="13"/>
        <v>4731.3368185530617</v>
      </c>
      <c r="CL22" s="163">
        <f t="shared" si="13"/>
        <v>5161.45834751243</v>
      </c>
      <c r="CM22" s="163">
        <f t="shared" si="13"/>
        <v>2222.2945662900729</v>
      </c>
      <c r="CN22" s="163">
        <f t="shared" si="13"/>
        <v>2222.2945662900743</v>
      </c>
      <c r="CO22" s="163">
        <f t="shared" si="13"/>
        <v>4707.7978294060313</v>
      </c>
      <c r="CP22" s="163">
        <f t="shared" si="13"/>
        <v>5135.7794502611241</v>
      </c>
      <c r="CQ22" s="163">
        <f t="shared" si="13"/>
        <v>2211.2383744179833</v>
      </c>
      <c r="CR22" s="163">
        <f t="shared" si="13"/>
        <v>2211.2383744179842</v>
      </c>
      <c r="CS22" s="163">
        <f t="shared" si="13"/>
        <v>4684.3759496577441</v>
      </c>
      <c r="CT22" s="163">
        <f t="shared" si="13"/>
        <v>5110.2283087175383</v>
      </c>
      <c r="CU22" s="163">
        <f t="shared" si="13"/>
        <v>2200.2371884756058</v>
      </c>
      <c r="CV22" s="163">
        <f t="shared" si="13"/>
        <v>2200.2371884756067</v>
      </c>
      <c r="CW22" s="163">
        <f t="shared" si="13"/>
        <v>4661.0705966743726</v>
      </c>
      <c r="CX22" s="163">
        <f t="shared" si="13"/>
        <v>5084.8042872811338</v>
      </c>
      <c r="CY22" s="163">
        <f t="shared" si="13"/>
        <v>2189.2907348015979</v>
      </c>
      <c r="CZ22" s="163">
        <f t="shared" si="13"/>
        <v>2189.2907348015992</v>
      </c>
      <c r="DA22" s="163">
        <f t="shared" si="13"/>
        <v>4637.8811907207701</v>
      </c>
      <c r="DB22" s="163">
        <f t="shared" si="13"/>
        <v>5059.5067535135668</v>
      </c>
      <c r="DC22" s="163">
        <f t="shared" si="13"/>
        <v>2178.3987410961181</v>
      </c>
      <c r="DD22" s="163">
        <f t="shared" si="13"/>
        <v>2178.398741096119</v>
      </c>
      <c r="DE22" s="163">
        <f t="shared" si="13"/>
        <v>4614.8071549460392</v>
      </c>
      <c r="DF22" s="163">
        <f t="shared" si="13"/>
        <v>5034.3350781229519</v>
      </c>
      <c r="DG22" s="163">
        <f t="shared" si="13"/>
        <v>2167.5609364140473</v>
      </c>
      <c r="DH22" s="163">
        <f t="shared" si="13"/>
        <v>2167.5609364140487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134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371409.67882059288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5201.625</v>
      </c>
      <c r="N25" s="163">
        <f t="shared" si="14"/>
        <v>5674.5</v>
      </c>
      <c r="O25" s="163">
        <f t="shared" si="14"/>
        <v>2443.1874999999986</v>
      </c>
      <c r="P25" s="163">
        <f t="shared" si="14"/>
        <v>2443.1875</v>
      </c>
      <c r="Q25" s="163">
        <f t="shared" si="14"/>
        <v>5175.7462686567178</v>
      </c>
      <c r="R25" s="163">
        <f t="shared" si="14"/>
        <v>5646.2686567164183</v>
      </c>
      <c r="S25" s="163">
        <f t="shared" si="14"/>
        <v>2431.0323383084565</v>
      </c>
      <c r="T25" s="163">
        <f t="shared" si="14"/>
        <v>2431.0323383084578</v>
      </c>
      <c r="U25" s="163">
        <f t="shared" si="14"/>
        <v>5149.9962872206152</v>
      </c>
      <c r="V25" s="163">
        <f t="shared" si="14"/>
        <v>5618.1777678770341</v>
      </c>
      <c r="W25" s="163">
        <f t="shared" si="14"/>
        <v>2418.9376500581666</v>
      </c>
      <c r="X25" s="163">
        <f t="shared" si="14"/>
        <v>2418.9376500581679</v>
      </c>
      <c r="Y25" s="163">
        <f t="shared" si="14"/>
        <v>5124.3744151448909</v>
      </c>
      <c r="Z25" s="163">
        <f t="shared" si="14"/>
        <v>5590.2266347035174</v>
      </c>
      <c r="AA25" s="163">
        <f t="shared" si="14"/>
        <v>2406.9031343862353</v>
      </c>
      <c r="AB25" s="163">
        <f t="shared" si="14"/>
        <v>2406.9031343862366</v>
      </c>
      <c r="AC25" s="163">
        <f t="shared" si="14"/>
        <v>5098.8800150695442</v>
      </c>
      <c r="AD25" s="163">
        <f t="shared" si="14"/>
        <v>5562.4145618940483</v>
      </c>
      <c r="AE25" s="163">
        <f t="shared" si="14"/>
        <v>2394.9284919266029</v>
      </c>
      <c r="AF25" s="163">
        <f t="shared" si="14"/>
        <v>2394.9284919266042</v>
      </c>
      <c r="AG25" s="163">
        <f t="shared" si="14"/>
        <v>5073.5124528055176</v>
      </c>
      <c r="AH25" s="163">
        <f t="shared" si="14"/>
        <v>5534.7408576060188</v>
      </c>
      <c r="AI25" s="163">
        <f t="shared" si="14"/>
        <v>2383.0134248025906</v>
      </c>
      <c r="AJ25" s="163">
        <f t="shared" si="14"/>
        <v>2383.013424802592</v>
      </c>
      <c r="AK25" s="163">
        <f t="shared" si="14"/>
        <v>5048.2710973189251</v>
      </c>
      <c r="AL25" s="163">
        <f t="shared" si="14"/>
        <v>5507.2048334388264</v>
      </c>
      <c r="AM25" s="163">
        <f t="shared" si="14"/>
        <v>2371.1576366194936</v>
      </c>
      <c r="AN25" s="163">
        <f t="shared" si="14"/>
        <v>2371.157636619495</v>
      </c>
      <c r="AO25" s="163">
        <f t="shared" si="14"/>
        <v>5023.1553207153474</v>
      </c>
      <c r="AP25" s="163">
        <f t="shared" si="14"/>
        <v>5479.8058044167419</v>
      </c>
      <c r="AQ25" s="163">
        <f t="shared" si="14"/>
        <v>2359.3608324572074</v>
      </c>
      <c r="AR25" s="163">
        <f t="shared" si="14"/>
        <v>2359.3608324572087</v>
      </c>
      <c r="AS25" s="163">
        <f t="shared" si="14"/>
        <v>4998.1644982242278</v>
      </c>
      <c r="AT25" s="163">
        <f t="shared" si="14"/>
        <v>5452.5430889718837</v>
      </c>
      <c r="AU25" s="163">
        <f t="shared" si="14"/>
        <v>2347.6227188628936</v>
      </c>
      <c r="AV25" s="163">
        <f t="shared" si="14"/>
        <v>2347.6227188628945</v>
      </c>
      <c r="AW25" s="163">
        <f t="shared" si="14"/>
        <v>4973.298008183312</v>
      </c>
      <c r="AX25" s="163">
        <f t="shared" si="14"/>
        <v>5425.4160089272491</v>
      </c>
      <c r="AY25" s="163">
        <f t="shared" si="14"/>
        <v>2335.9430038436749</v>
      </c>
      <c r="AZ25" s="163">
        <f t="shared" si="14"/>
        <v>2335.9430038436763</v>
      </c>
      <c r="BA25" s="163">
        <f t="shared" si="14"/>
        <v>4948.5552320231964</v>
      </c>
      <c r="BB25" s="163">
        <f t="shared" si="14"/>
        <v>5398.42388947985</v>
      </c>
      <c r="BC25" s="163">
        <f t="shared" si="14"/>
        <v>2324.3213968593786</v>
      </c>
      <c r="BD25" s="163">
        <f t="shared" si="14"/>
        <v>2324.32139685938</v>
      </c>
      <c r="BE25" s="163">
        <f t="shared" si="14"/>
        <v>4923.935554251937</v>
      </c>
      <c r="BF25" s="163">
        <f t="shared" si="14"/>
        <v>5371.5660591839305</v>
      </c>
      <c r="BG25" s="163">
        <f t="shared" si="14"/>
        <v>2312.7576088153019</v>
      </c>
      <c r="BH25" s="163">
        <f t="shared" si="14"/>
        <v>2312.7576088153037</v>
      </c>
      <c r="BI25" s="163">
        <f t="shared" si="14"/>
        <v>4899.4383624397396</v>
      </c>
      <c r="BJ25" s="163">
        <f t="shared" si="14"/>
        <v>5344.8418499342606</v>
      </c>
      <c r="BK25" s="163">
        <f t="shared" si="14"/>
        <v>2301.2513520550278</v>
      </c>
      <c r="BL25" s="163">
        <f t="shared" si="14"/>
        <v>2301.2513520550292</v>
      </c>
      <c r="BM25" s="163">
        <f t="shared" si="14"/>
        <v>4875.063047203721</v>
      </c>
      <c r="BN25" s="163">
        <f t="shared" si="14"/>
        <v>5318.2505969495141</v>
      </c>
      <c r="BO25" s="163">
        <f t="shared" si="14"/>
        <v>2289.8023403532616</v>
      </c>
      <c r="BP25" s="163">
        <f t="shared" si="14"/>
        <v>2289.8023403532629</v>
      </c>
      <c r="BQ25" s="163">
        <f t="shared" si="14"/>
        <v>4850.8090021927592</v>
      </c>
      <c r="BR25" s="163">
        <f t="shared" si="14"/>
        <v>5291.7916387557361</v>
      </c>
      <c r="BS25" s="163">
        <f t="shared" si="14"/>
        <v>2278.4102889087189</v>
      </c>
      <c r="BT25" s="163">
        <f t="shared" si="14"/>
        <v>2278.4102889087198</v>
      </c>
      <c r="BU25" s="163">
        <f t="shared" si="14"/>
        <v>4826.675624072398</v>
      </c>
      <c r="BV25" s="163">
        <f t="shared" si="14"/>
        <v>5265.4643171698881</v>
      </c>
      <c r="BW25" s="163">
        <f t="shared" ref="BW25:EA25" si="15" xml:space="preserve"> BW22 + BW24</f>
        <v>2267.074914337034</v>
      </c>
      <c r="BX25" s="163">
        <f t="shared" si="15"/>
        <v>2267.0749143370354</v>
      </c>
      <c r="BY25" s="163">
        <f t="shared" si="15"/>
        <v>4802.6623125098486</v>
      </c>
      <c r="BZ25" s="163">
        <f t="shared" si="15"/>
        <v>5239.2679772834708</v>
      </c>
      <c r="CA25" s="163">
        <f t="shared" si="15"/>
        <v>2255.7959346637153</v>
      </c>
      <c r="CB25" s="163">
        <f t="shared" si="15"/>
        <v>2255.7959346637167</v>
      </c>
      <c r="CC25" s="163">
        <f t="shared" si="15"/>
        <v>4778.7684701590542</v>
      </c>
      <c r="CD25" s="163">
        <f t="shared" si="15"/>
        <v>5213.2019674462408</v>
      </c>
      <c r="CE25" s="163">
        <f t="shared" si="15"/>
        <v>2244.5730693171299</v>
      </c>
      <c r="CF25" s="163">
        <f t="shared" si="15"/>
        <v>2244.5730693171313</v>
      </c>
      <c r="CG25" s="163">
        <f t="shared" si="15"/>
        <v>4754.9935026458261</v>
      </c>
      <c r="CH25" s="163">
        <f t="shared" si="15"/>
        <v>5187.2656392499921</v>
      </c>
      <c r="CI25" s="163">
        <f t="shared" si="15"/>
        <v>2233.4060391215235</v>
      </c>
      <c r="CJ25" s="163">
        <f t="shared" si="15"/>
        <v>2233.4060391215244</v>
      </c>
      <c r="CK25" s="163">
        <f t="shared" si="15"/>
        <v>4731.3368185530617</v>
      </c>
      <c r="CL25" s="163">
        <f t="shared" si="15"/>
        <v>5161.45834751243</v>
      </c>
      <c r="CM25" s="163">
        <f t="shared" si="15"/>
        <v>2222.2945662900729</v>
      </c>
      <c r="CN25" s="163">
        <f t="shared" si="15"/>
        <v>2222.2945662900743</v>
      </c>
      <c r="CO25" s="163">
        <f t="shared" si="15"/>
        <v>4707.7978294060313</v>
      </c>
      <c r="CP25" s="163">
        <f t="shared" si="15"/>
        <v>5135.7794502611241</v>
      </c>
      <c r="CQ25" s="163">
        <f t="shared" si="15"/>
        <v>2211.2383744179833</v>
      </c>
      <c r="CR25" s="163">
        <f t="shared" si="15"/>
        <v>2211.2383744179842</v>
      </c>
      <c r="CS25" s="163">
        <f t="shared" si="15"/>
        <v>4684.3759496577441</v>
      </c>
      <c r="CT25" s="163">
        <f t="shared" si="15"/>
        <v>5110.2283087175383</v>
      </c>
      <c r="CU25" s="163">
        <f t="shared" si="15"/>
        <v>2200.2371884756058</v>
      </c>
      <c r="CV25" s="163">
        <f t="shared" si="15"/>
        <v>2200.2371884756067</v>
      </c>
      <c r="CW25" s="163">
        <f t="shared" si="15"/>
        <v>4661.0705966743726</v>
      </c>
      <c r="CX25" s="163">
        <f t="shared" si="15"/>
        <v>5084.8042872811338</v>
      </c>
      <c r="CY25" s="163">
        <f t="shared" si="15"/>
        <v>2189.2907348015979</v>
      </c>
      <c r="CZ25" s="163">
        <f t="shared" si="15"/>
        <v>2189.2907348015992</v>
      </c>
      <c r="DA25" s="163">
        <f t="shared" si="15"/>
        <v>4637.8811907207701</v>
      </c>
      <c r="DB25" s="163">
        <f t="shared" si="15"/>
        <v>5059.5067535135668</v>
      </c>
      <c r="DC25" s="163">
        <f t="shared" si="15"/>
        <v>2178.3987410961181</v>
      </c>
      <c r="DD25" s="163">
        <f t="shared" si="15"/>
        <v>2178.398741096119</v>
      </c>
      <c r="DE25" s="163">
        <f t="shared" si="15"/>
        <v>4614.8071549460392</v>
      </c>
      <c r="DF25" s="163">
        <f t="shared" si="15"/>
        <v>5034.3350781229519</v>
      </c>
      <c r="DG25" s="163">
        <f t="shared" si="15"/>
        <v>2167.5609364140473</v>
      </c>
      <c r="DH25" s="163">
        <f t="shared" si="15"/>
        <v>2167.5609364140487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112" customFormat="1" outlineLevel="1" x14ac:dyDescent="0.35">
      <c r="A30" s="160"/>
      <c r="B30" s="160"/>
      <c r="C30" s="161"/>
      <c r="D30" s="164"/>
      <c r="E30" s="38" t="str">
        <f xml:space="preserve"> Ops!E$53</f>
        <v>Cash received from invoices</v>
      </c>
      <c r="F30" s="38">
        <f xml:space="preserve"> Ops!F$53</f>
        <v>0</v>
      </c>
      <c r="G30" s="38" t="str">
        <f xml:space="preserve"> Ops!G$53</f>
        <v>$ 000s</v>
      </c>
      <c r="H30" s="38">
        <f xml:space="preserve"> Ops!H$53</f>
        <v>371409.67882059258</v>
      </c>
      <c r="I30" s="38">
        <f xml:space="preserve"> Ops!I$53</f>
        <v>0</v>
      </c>
      <c r="J30" s="38">
        <f xml:space="preserve"> Ops!J$53</f>
        <v>0</v>
      </c>
      <c r="K30" s="38">
        <f xml:space="preserve"> Ops!K$53</f>
        <v>0</v>
      </c>
      <c r="L30" s="38">
        <f xml:space="preserve"> Ops!L$53</f>
        <v>0</v>
      </c>
      <c r="M30" s="38">
        <f xml:space="preserve"> Ops!M$53</f>
        <v>1771.9821428571431</v>
      </c>
      <c r="N30" s="38">
        <f xml:space="preserve"> Ops!N$53</f>
        <v>5403.3819875776398</v>
      </c>
      <c r="O30" s="38">
        <f xml:space="preserve"> Ops!O$53</f>
        <v>4550.565217391304</v>
      </c>
      <c r="P30" s="38">
        <f xml:space="preserve"> Ops!P$53</f>
        <v>2407.7789855072456</v>
      </c>
      <c r="Q30" s="38">
        <f xml:space="preserve"> Ops!Q$53</f>
        <v>3391.9579779673063</v>
      </c>
      <c r="R30" s="38">
        <f xml:space="preserve"> Ops!R$53</f>
        <v>5376.4994901270056</v>
      </c>
      <c r="S30" s="38">
        <f xml:space="preserve"> Ops!S$53</f>
        <v>4527.9255894440848</v>
      </c>
      <c r="T30" s="38">
        <f xml:space="preserve"> Ops!T$53</f>
        <v>2395.7999855793478</v>
      </c>
      <c r="U30" s="38">
        <f xml:space="preserve"> Ops!U$53</f>
        <v>3375.0825651415989</v>
      </c>
      <c r="V30" s="38">
        <f xml:space="preserve"> Ops!V$53</f>
        <v>5349.7507364447829</v>
      </c>
      <c r="W30" s="38">
        <f xml:space="preserve"> Ops!W$53</f>
        <v>4505.398596461775</v>
      </c>
      <c r="X30" s="38">
        <f xml:space="preserve"> Ops!X$53</f>
        <v>2401.6017376115014</v>
      </c>
      <c r="Y30" s="38">
        <f xml:space="preserve"> Ops!Y$53</f>
        <v>3340.5699546481505</v>
      </c>
      <c r="Z30" s="38">
        <f xml:space="preserve"> Ops!Z$53</f>
        <v>5323.1350611390862</v>
      </c>
      <c r="AA30" s="38">
        <f xml:space="preserve"> Ops!AA$53</f>
        <v>4482.9836780714195</v>
      </c>
      <c r="AB30" s="38">
        <f xml:space="preserve"> Ops!AB$53</f>
        <v>2372.0204802646958</v>
      </c>
      <c r="AC30" s="38">
        <f xml:space="preserve"> Ops!AC$53</f>
        <v>3341.5831936255045</v>
      </c>
      <c r="AD30" s="38">
        <f xml:space="preserve"> Ops!AD$53</f>
        <v>5296.6518021284464</v>
      </c>
      <c r="AE30" s="38">
        <f xml:space="preserve"> Ops!AE$53</f>
        <v>4460.68027668798</v>
      </c>
      <c r="AF30" s="38">
        <f xml:space="preserve"> Ops!AF$53</f>
        <v>2360.2193833479569</v>
      </c>
      <c r="AG30" s="38">
        <f xml:space="preserve"> Ops!AG$53</f>
        <v>3324.9584016174181</v>
      </c>
      <c r="AH30" s="38">
        <f xml:space="preserve"> Ops!AH$53</f>
        <v>5270.3003006253202</v>
      </c>
      <c r="AI30" s="38">
        <f xml:space="preserve"> Ops!AI$53</f>
        <v>4438.4878375004791</v>
      </c>
      <c r="AJ30" s="38">
        <f xml:space="preserve"> Ops!AJ$53</f>
        <v>2348.4769983561764</v>
      </c>
      <c r="AK30" s="38">
        <f xml:space="preserve"> Ops!AK$53</f>
        <v>3308.4163200173325</v>
      </c>
      <c r="AL30" s="38">
        <f xml:space="preserve"> Ops!AL$53</f>
        <v>5244.0799011197232</v>
      </c>
      <c r="AM30" s="38">
        <f xml:space="preserve"> Ops!AM$53</f>
        <v>4416.4058084581884</v>
      </c>
      <c r="AN30" s="38">
        <f xml:space="preserve"> Ops!AN$53</f>
        <v>2354.1641514072189</v>
      </c>
      <c r="AO30" s="38">
        <f xml:space="preserve"> Ops!AO$53</f>
        <v>3274.5854191136864</v>
      </c>
      <c r="AP30" s="38">
        <f xml:space="preserve"> Ops!AP$53</f>
        <v>5217.989951362908</v>
      </c>
      <c r="AQ30" s="38">
        <f xml:space="preserve"> Ops!AQ$53</f>
        <v>4394.4336402569043</v>
      </c>
      <c r="AR30" s="38">
        <f xml:space="preserve"> Ops!AR$53</f>
        <v>2325.1671972042041</v>
      </c>
      <c r="AS30" s="38">
        <f xml:space="preserve"> Ops!AS$53</f>
        <v>3275.5786441101286</v>
      </c>
      <c r="AT30" s="38">
        <f xml:space="preserve"> Ops!AT$53</f>
        <v>5192.029802351155</v>
      </c>
      <c r="AU30" s="38">
        <f xml:space="preserve"> Ops!AU$53</f>
        <v>4372.5707863252783</v>
      </c>
      <c r="AV30" s="38">
        <f xml:space="preserve"> Ops!AV$53</f>
        <v>2313.5992011982144</v>
      </c>
      <c r="AW30" s="38">
        <f xml:space="preserve"> Ops!AW$53</f>
        <v>3259.2822329454025</v>
      </c>
      <c r="AX30" s="38">
        <f xml:space="preserve"> Ops!AX$53</f>
        <v>5166.1988083096076</v>
      </c>
      <c r="AY30" s="38">
        <f xml:space="preserve"> Ops!AY$53</f>
        <v>4350.8167028112239</v>
      </c>
      <c r="AZ30" s="38">
        <f xml:space="preserve"> Ops!AZ$53</f>
        <v>2302.0887574111575</v>
      </c>
      <c r="BA30" s="38">
        <f xml:space="preserve"> Ops!BA$53</f>
        <v>3243.0668984531367</v>
      </c>
      <c r="BB30" s="38">
        <f xml:space="preserve"> Ops!BB$53</f>
        <v>5140.4963266762261</v>
      </c>
      <c r="BC30" s="38">
        <f xml:space="preserve"> Ops!BC$53</f>
        <v>4329.170848568383</v>
      </c>
      <c r="BD30" s="38">
        <f xml:space="preserve"> Ops!BD$53</f>
        <v>2307.6635750949786</v>
      </c>
      <c r="BE30" s="38">
        <f xml:space="preserve"> Ops!BE$53</f>
        <v>3209.9042416854159</v>
      </c>
      <c r="BF30" s="38">
        <f xml:space="preserve"> Ops!BF$53</f>
        <v>5114.9217180857977</v>
      </c>
      <c r="BG30" s="38">
        <f xml:space="preserve"> Ops!BG$53</f>
        <v>4307.6326851426684</v>
      </c>
      <c r="BH30" s="38">
        <f xml:space="preserve"> Ops!BH$53</f>
        <v>2279.2393826005882</v>
      </c>
      <c r="BI30" s="38">
        <f xml:space="preserve"> Ops!BI$53</f>
        <v>3210.8778480266706</v>
      </c>
      <c r="BJ30" s="38">
        <f xml:space="preserve"> Ops!BJ$53</f>
        <v>5089.474346354029</v>
      </c>
      <c r="BK30" s="38">
        <f xml:space="preserve"> Ops!BK$53</f>
        <v>4286.2016767588739</v>
      </c>
      <c r="BL30" s="38">
        <f xml:space="preserve"> Ops!BL$53</f>
        <v>2267.8998831846657</v>
      </c>
      <c r="BM30" s="38">
        <f xml:space="preserve"> Ops!BM$53</f>
        <v>3194.9033313698219</v>
      </c>
      <c r="BN30" s="38">
        <f xml:space="preserve"> Ops!BN$53</f>
        <v>5064.1535784617208</v>
      </c>
      <c r="BO30" s="38">
        <f xml:space="preserve"> Ops!BO$53</f>
        <v>4264.8772903073386</v>
      </c>
      <c r="BP30" s="38">
        <f xml:space="preserve"> Ops!BP$53</f>
        <v>2256.6167991887223</v>
      </c>
      <c r="BQ30" s="38">
        <f xml:space="preserve"> Ops!BQ$53</f>
        <v>3179.0082899202216</v>
      </c>
      <c r="BR30" s="38">
        <f xml:space="preserve"> Ops!BR$53</f>
        <v>5038.958784539027</v>
      </c>
      <c r="BS30" s="38">
        <f xml:space="preserve"> Ops!BS$53</f>
        <v>4243.6589953306866</v>
      </c>
      <c r="BT30" s="38">
        <f xml:space="preserve"> Ops!BT$53</f>
        <v>2262.0815004072233</v>
      </c>
      <c r="BU30" s="38">
        <f xml:space="preserve"> Ops!BU$53</f>
        <v>3146.5006778106322</v>
      </c>
      <c r="BV30" s="38">
        <f xml:space="preserve"> Ops!BV$53</f>
        <v>5013.8893378497796</v>
      </c>
      <c r="BW30" s="38">
        <f xml:space="preserve"> Ops!BW$53</f>
        <v>4222.5462640106343</v>
      </c>
      <c r="BX30" s="38">
        <f xml:space="preserve"> Ops!BX$53</f>
        <v>2234.2187561582364</v>
      </c>
      <c r="BY30" s="38">
        <f xml:space="preserve"> Ops!BY$53</f>
        <v>3147.4550530137594</v>
      </c>
      <c r="BZ30" s="38">
        <f xml:space="preserve"> Ops!BZ$53</f>
        <v>4988.944614775899</v>
      </c>
      <c r="CA30" s="38">
        <f xml:space="preserve"> Ops!CA$53</f>
        <v>4201.5385711548606</v>
      </c>
      <c r="CB30" s="38">
        <f xml:space="preserve"> Ops!CB$53</f>
        <v>2223.1032399584446</v>
      </c>
      <c r="CC30" s="38">
        <f xml:space="preserve"> Ops!CC$53</f>
        <v>3131.7960726505071</v>
      </c>
      <c r="CD30" s="38">
        <f xml:space="preserve"> Ops!CD$53</f>
        <v>4964.123994801892</v>
      </c>
      <c r="CE30" s="38">
        <f xml:space="preserve"> Ops!CE$53</f>
        <v>4180.6353941839425</v>
      </c>
      <c r="CF30" s="38">
        <f xml:space="preserve"> Ops!CF$53</f>
        <v>2212.0430248342732</v>
      </c>
      <c r="CG30" s="38">
        <f xml:space="preserve"> Ops!CG$53</f>
        <v>3116.2149976621968</v>
      </c>
      <c r="CH30" s="38">
        <f xml:space="preserve"> Ops!CH$53</f>
        <v>4939.4268604993958</v>
      </c>
      <c r="CI30" s="38">
        <f xml:space="preserve"> Ops!CI$53</f>
        <v>4159.8362131183512</v>
      </c>
      <c r="CJ30" s="38">
        <f xml:space="preserve"> Ops!CJ$53</f>
        <v>2217.3997846605475</v>
      </c>
      <c r="CK30" s="38">
        <f xml:space="preserve"> Ops!CK$53</f>
        <v>3084.3494914553448</v>
      </c>
      <c r="CL30" s="38">
        <f xml:space="preserve"> Ops!CL$53</f>
        <v>4914.8525975118364</v>
      </c>
      <c r="CM30" s="38">
        <f xml:space="preserve"> Ops!CM$53</f>
        <v>4139.140510565524</v>
      </c>
      <c r="CN30" s="38">
        <f xml:space="preserve"> Ops!CN$53</f>
        <v>2190.0873986626812</v>
      </c>
      <c r="CO30" s="38">
        <f xml:space="preserve"> Ops!CO$53</f>
        <v>3085.2850153829831</v>
      </c>
      <c r="CP30" s="38">
        <f xml:space="preserve"> Ops!CP$53</f>
        <v>4890.40059453914</v>
      </c>
      <c r="CQ30" s="38">
        <f xml:space="preserve"> Ops!CQ$53</f>
        <v>4118.547771706988</v>
      </c>
      <c r="CR30" s="38">
        <f xml:space="preserve"> Ops!CR$53</f>
        <v>2179.1914414554049</v>
      </c>
      <c r="CS30" s="38">
        <f xml:space="preserve"> Ops!CS$53</f>
        <v>3069.9353386895355</v>
      </c>
      <c r="CT30" s="38">
        <f xml:space="preserve"> Ops!CT$53</f>
        <v>4866.0702433225306</v>
      </c>
      <c r="CU30" s="38">
        <f xml:space="preserve"> Ops!CU$53</f>
        <v>4098.0574842855613</v>
      </c>
      <c r="CV30" s="38">
        <f xml:space="preserve"> Ops!CV$53</f>
        <v>2168.3496929904522</v>
      </c>
      <c r="CW30" s="38">
        <f xml:space="preserve"> Ops!CW$53</f>
        <v>3054.6620285468025</v>
      </c>
      <c r="CX30" s="38">
        <f xml:space="preserve"> Ops!CX$53</f>
        <v>4841.8609386293838</v>
      </c>
      <c r="CY30" s="38">
        <f xml:space="preserve"> Ops!CY$53</f>
        <v>4077.6691385925992</v>
      </c>
      <c r="CZ30" s="38">
        <f xml:space="preserve"> Ops!CZ$53</f>
        <v>2173.6006435345062</v>
      </c>
      <c r="DA30" s="38">
        <f xml:space="preserve"> Ops!DA$53</f>
        <v>3023.4259450597783</v>
      </c>
      <c r="DB30" s="38">
        <f xml:space="preserve"> Ops!DB$53</f>
        <v>4817.772078238193</v>
      </c>
      <c r="DC30" s="38">
        <f xml:space="preserve"> Ops!DC$53</f>
        <v>4057.3822274553245</v>
      </c>
      <c r="DD30" s="38">
        <f xml:space="preserve"> Ops!DD$53</f>
        <v>2146.8277448483486</v>
      </c>
      <c r="DE30" s="38">
        <f xml:space="preserve"> Ops!DE$53</f>
        <v>3024.3429900713381</v>
      </c>
      <c r="DF30" s="38">
        <f xml:space="preserve"> Ops!DF$53</f>
        <v>4793.8030629235755</v>
      </c>
      <c r="DG30" s="38">
        <f xml:space="preserve"> Ops!DG$53</f>
        <v>4037.1962462242027</v>
      </c>
      <c r="DH30" s="38">
        <f xml:space="preserve"> Ops!DH$53</f>
        <v>2136.1470097993515</v>
      </c>
      <c r="DI30" s="38">
        <f xml:space="preserve"> Ops!DI$53</f>
        <v>1445.0406242760323</v>
      </c>
      <c r="DJ30" s="38">
        <f xml:space="preserve"> Ops!DJ$53</f>
        <v>0</v>
      </c>
      <c r="DK30" s="38">
        <f xml:space="preserve"> Ops!DK$53</f>
        <v>0</v>
      </c>
      <c r="DL30" s="38">
        <f xml:space="preserve"> Ops!DL$53</f>
        <v>0</v>
      </c>
      <c r="DM30" s="38">
        <f xml:space="preserve"> Ops!DM$53</f>
        <v>0</v>
      </c>
      <c r="DN30" s="38">
        <f xml:space="preserve"> Ops!DN$53</f>
        <v>0</v>
      </c>
      <c r="DO30" s="38">
        <f xml:space="preserve"> Ops!DO$53</f>
        <v>0</v>
      </c>
      <c r="DP30" s="38">
        <f xml:space="preserve"> Ops!DP$53</f>
        <v>0</v>
      </c>
      <c r="DQ30" s="38">
        <f xml:space="preserve"> Ops!DQ$53</f>
        <v>0</v>
      </c>
      <c r="DR30" s="38">
        <f xml:space="preserve"> Ops!DR$53</f>
        <v>0</v>
      </c>
      <c r="DS30" s="38">
        <f xml:space="preserve"> Ops!DS$53</f>
        <v>0</v>
      </c>
      <c r="DT30" s="38">
        <f xml:space="preserve"> Ops!DT$53</f>
        <v>0</v>
      </c>
      <c r="DU30" s="38">
        <f xml:space="preserve"> Ops!DU$53</f>
        <v>0</v>
      </c>
      <c r="DV30" s="38">
        <f xml:space="preserve"> Ops!DV$53</f>
        <v>0</v>
      </c>
      <c r="DW30" s="38">
        <f xml:space="preserve"> Ops!DW$53</f>
        <v>0</v>
      </c>
      <c r="DX30" s="38">
        <f xml:space="preserve"> Ops!DX$53</f>
        <v>0</v>
      </c>
      <c r="DY30" s="38">
        <f xml:space="preserve"> Ops!DY$53</f>
        <v>0</v>
      </c>
      <c r="DZ30" s="38">
        <f xml:space="preserve"> Ops!DZ$53</f>
        <v>0</v>
      </c>
      <c r="EA30" s="38">
        <f xml:space="preserve"> Ops!EA$53</f>
        <v>0</v>
      </c>
    </row>
    <row r="31" spans="1:131" outlineLevel="1" x14ac:dyDescent="0.35">
      <c r="A31" s="160"/>
      <c r="D31" s="164"/>
      <c r="E31" s="341" t="s">
        <v>135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133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161</v>
      </c>
      <c r="F33" s="163"/>
      <c r="G33" s="163" t="str">
        <f>SMU</f>
        <v>$ 000s</v>
      </c>
      <c r="H33" s="163">
        <f xml:space="preserve"> SUM(J33:EA33)</f>
        <v>371409.67882059258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1771.9821428571431</v>
      </c>
      <c r="N33" s="163">
        <f t="shared" si="16"/>
        <v>5403.3819875776398</v>
      </c>
      <c r="O33" s="163">
        <f t="shared" si="16"/>
        <v>4550.565217391304</v>
      </c>
      <c r="P33" s="163">
        <f t="shared" si="16"/>
        <v>2407.7789855072456</v>
      </c>
      <c r="Q33" s="163">
        <f t="shared" si="16"/>
        <v>3391.9579779673063</v>
      </c>
      <c r="R33" s="163">
        <f t="shared" si="16"/>
        <v>5376.4994901270056</v>
      </c>
      <c r="S33" s="163">
        <f t="shared" si="16"/>
        <v>4527.9255894440848</v>
      </c>
      <c r="T33" s="163">
        <f t="shared" si="16"/>
        <v>2395.7999855793478</v>
      </c>
      <c r="U33" s="163">
        <f t="shared" si="16"/>
        <v>3375.0825651415989</v>
      </c>
      <c r="V33" s="163">
        <f t="shared" si="16"/>
        <v>5349.7507364447829</v>
      </c>
      <c r="W33" s="163">
        <f t="shared" si="16"/>
        <v>4505.398596461775</v>
      </c>
      <c r="X33" s="163">
        <f t="shared" si="16"/>
        <v>2401.6017376115014</v>
      </c>
      <c r="Y33" s="163">
        <f t="shared" si="16"/>
        <v>3340.5699546481505</v>
      </c>
      <c r="Z33" s="163">
        <f t="shared" si="16"/>
        <v>5323.1350611390862</v>
      </c>
      <c r="AA33" s="163">
        <f t="shared" si="16"/>
        <v>4482.9836780714195</v>
      </c>
      <c r="AB33" s="163">
        <f t="shared" si="16"/>
        <v>2372.0204802646958</v>
      </c>
      <c r="AC33" s="163">
        <f t="shared" si="16"/>
        <v>3341.5831936255045</v>
      </c>
      <c r="AD33" s="163">
        <f t="shared" si="16"/>
        <v>5296.6518021284464</v>
      </c>
      <c r="AE33" s="163">
        <f t="shared" si="16"/>
        <v>4460.68027668798</v>
      </c>
      <c r="AF33" s="163">
        <f t="shared" si="16"/>
        <v>2360.2193833479569</v>
      </c>
      <c r="AG33" s="163">
        <f t="shared" si="16"/>
        <v>3324.9584016174181</v>
      </c>
      <c r="AH33" s="163">
        <f t="shared" si="16"/>
        <v>5270.3003006253202</v>
      </c>
      <c r="AI33" s="163">
        <f t="shared" si="16"/>
        <v>4438.4878375004791</v>
      </c>
      <c r="AJ33" s="163">
        <f t="shared" si="16"/>
        <v>2348.4769983561764</v>
      </c>
      <c r="AK33" s="163">
        <f t="shared" si="16"/>
        <v>3308.4163200173325</v>
      </c>
      <c r="AL33" s="163">
        <f t="shared" si="16"/>
        <v>5244.0799011197232</v>
      </c>
      <c r="AM33" s="163">
        <f t="shared" si="16"/>
        <v>4416.4058084581884</v>
      </c>
      <c r="AN33" s="163">
        <f t="shared" si="16"/>
        <v>2354.1641514072189</v>
      </c>
      <c r="AO33" s="163">
        <f t="shared" si="16"/>
        <v>3274.5854191136864</v>
      </c>
      <c r="AP33" s="163">
        <f t="shared" ref="AP33:BU33" si="17">SUM(AP30:AP32)</f>
        <v>5217.989951362908</v>
      </c>
      <c r="AQ33" s="163">
        <f t="shared" si="17"/>
        <v>4394.4336402569043</v>
      </c>
      <c r="AR33" s="163">
        <f t="shared" si="17"/>
        <v>2325.1671972042041</v>
      </c>
      <c r="AS33" s="163">
        <f t="shared" si="17"/>
        <v>3275.5786441101286</v>
      </c>
      <c r="AT33" s="163">
        <f t="shared" si="17"/>
        <v>5192.029802351155</v>
      </c>
      <c r="AU33" s="163">
        <f t="shared" si="17"/>
        <v>4372.5707863252783</v>
      </c>
      <c r="AV33" s="163">
        <f t="shared" si="17"/>
        <v>2313.5992011982144</v>
      </c>
      <c r="AW33" s="163">
        <f t="shared" si="17"/>
        <v>3259.2822329454025</v>
      </c>
      <c r="AX33" s="163">
        <f t="shared" si="17"/>
        <v>5166.1988083096076</v>
      </c>
      <c r="AY33" s="163">
        <f t="shared" si="17"/>
        <v>4350.8167028112239</v>
      </c>
      <c r="AZ33" s="163">
        <f t="shared" si="17"/>
        <v>2302.0887574111575</v>
      </c>
      <c r="BA33" s="163">
        <f t="shared" si="17"/>
        <v>3243.0668984531367</v>
      </c>
      <c r="BB33" s="163">
        <f t="shared" si="17"/>
        <v>5140.4963266762261</v>
      </c>
      <c r="BC33" s="163">
        <f t="shared" si="17"/>
        <v>4329.170848568383</v>
      </c>
      <c r="BD33" s="163">
        <f t="shared" si="17"/>
        <v>2307.6635750949786</v>
      </c>
      <c r="BE33" s="163">
        <f t="shared" si="17"/>
        <v>3209.9042416854159</v>
      </c>
      <c r="BF33" s="163">
        <f t="shared" si="17"/>
        <v>5114.9217180857977</v>
      </c>
      <c r="BG33" s="163">
        <f t="shared" si="17"/>
        <v>4307.6326851426684</v>
      </c>
      <c r="BH33" s="163">
        <f t="shared" si="17"/>
        <v>2279.2393826005882</v>
      </c>
      <c r="BI33" s="163">
        <f t="shared" si="17"/>
        <v>3210.8778480266706</v>
      </c>
      <c r="BJ33" s="163">
        <f t="shared" si="17"/>
        <v>5089.474346354029</v>
      </c>
      <c r="BK33" s="163">
        <f t="shared" si="17"/>
        <v>4286.2016767588739</v>
      </c>
      <c r="BL33" s="163">
        <f t="shared" si="17"/>
        <v>2267.8998831846657</v>
      </c>
      <c r="BM33" s="163">
        <f t="shared" si="17"/>
        <v>3194.9033313698219</v>
      </c>
      <c r="BN33" s="163">
        <f t="shared" si="17"/>
        <v>5064.1535784617208</v>
      </c>
      <c r="BO33" s="163">
        <f t="shared" si="17"/>
        <v>4264.8772903073386</v>
      </c>
      <c r="BP33" s="163">
        <f t="shared" si="17"/>
        <v>2256.6167991887223</v>
      </c>
      <c r="BQ33" s="163">
        <f t="shared" si="17"/>
        <v>3179.0082899202216</v>
      </c>
      <c r="BR33" s="163">
        <f t="shared" si="17"/>
        <v>5038.958784539027</v>
      </c>
      <c r="BS33" s="163">
        <f t="shared" si="17"/>
        <v>4243.6589953306866</v>
      </c>
      <c r="BT33" s="163">
        <f t="shared" si="17"/>
        <v>2262.0815004072233</v>
      </c>
      <c r="BU33" s="163">
        <f t="shared" si="17"/>
        <v>3146.5006778106322</v>
      </c>
      <c r="BV33" s="163">
        <f t="shared" ref="BV33:DA33" si="18">SUM(BV30:BV32)</f>
        <v>5013.8893378497796</v>
      </c>
      <c r="BW33" s="163">
        <f t="shared" si="18"/>
        <v>4222.5462640106343</v>
      </c>
      <c r="BX33" s="163">
        <f t="shared" si="18"/>
        <v>2234.2187561582364</v>
      </c>
      <c r="BY33" s="163">
        <f t="shared" si="18"/>
        <v>3147.4550530137594</v>
      </c>
      <c r="BZ33" s="163">
        <f t="shared" si="18"/>
        <v>4988.944614775899</v>
      </c>
      <c r="CA33" s="163">
        <f t="shared" si="18"/>
        <v>4201.5385711548606</v>
      </c>
      <c r="CB33" s="163">
        <f t="shared" si="18"/>
        <v>2223.1032399584446</v>
      </c>
      <c r="CC33" s="163">
        <f t="shared" si="18"/>
        <v>3131.7960726505071</v>
      </c>
      <c r="CD33" s="163">
        <f t="shared" si="18"/>
        <v>4964.123994801892</v>
      </c>
      <c r="CE33" s="163">
        <f t="shared" si="18"/>
        <v>4180.6353941839425</v>
      </c>
      <c r="CF33" s="163">
        <f t="shared" si="18"/>
        <v>2212.0430248342732</v>
      </c>
      <c r="CG33" s="163">
        <f t="shared" si="18"/>
        <v>3116.2149976621968</v>
      </c>
      <c r="CH33" s="163">
        <f t="shared" si="18"/>
        <v>4939.4268604993958</v>
      </c>
      <c r="CI33" s="163">
        <f t="shared" si="18"/>
        <v>4159.8362131183512</v>
      </c>
      <c r="CJ33" s="163">
        <f t="shared" si="18"/>
        <v>2217.3997846605475</v>
      </c>
      <c r="CK33" s="163">
        <f t="shared" si="18"/>
        <v>3084.3494914553448</v>
      </c>
      <c r="CL33" s="163">
        <f t="shared" si="18"/>
        <v>4914.8525975118364</v>
      </c>
      <c r="CM33" s="163">
        <f t="shared" si="18"/>
        <v>4139.140510565524</v>
      </c>
      <c r="CN33" s="163">
        <f t="shared" si="18"/>
        <v>2190.0873986626812</v>
      </c>
      <c r="CO33" s="163">
        <f t="shared" si="18"/>
        <v>3085.2850153829831</v>
      </c>
      <c r="CP33" s="163">
        <f t="shared" si="18"/>
        <v>4890.40059453914</v>
      </c>
      <c r="CQ33" s="163">
        <f t="shared" si="18"/>
        <v>4118.547771706988</v>
      </c>
      <c r="CR33" s="163">
        <f t="shared" si="18"/>
        <v>2179.1914414554049</v>
      </c>
      <c r="CS33" s="163">
        <f t="shared" si="18"/>
        <v>3069.9353386895355</v>
      </c>
      <c r="CT33" s="163">
        <f t="shared" si="18"/>
        <v>4866.0702433225306</v>
      </c>
      <c r="CU33" s="163">
        <f t="shared" si="18"/>
        <v>4098.0574842855613</v>
      </c>
      <c r="CV33" s="163">
        <f t="shared" si="18"/>
        <v>2168.3496929904522</v>
      </c>
      <c r="CW33" s="163">
        <f t="shared" si="18"/>
        <v>3054.6620285468025</v>
      </c>
      <c r="CX33" s="163">
        <f t="shared" si="18"/>
        <v>4841.8609386293838</v>
      </c>
      <c r="CY33" s="163">
        <f t="shared" si="18"/>
        <v>4077.6691385925992</v>
      </c>
      <c r="CZ33" s="163">
        <f t="shared" si="18"/>
        <v>2173.6006435345062</v>
      </c>
      <c r="DA33" s="163">
        <f t="shared" si="18"/>
        <v>3023.4259450597783</v>
      </c>
      <c r="DB33" s="163">
        <f t="shared" ref="DB33:EA33" si="19">SUM(DB30:DB32)</f>
        <v>4817.772078238193</v>
      </c>
      <c r="DC33" s="163">
        <f t="shared" si="19"/>
        <v>4057.3822274553245</v>
      </c>
      <c r="DD33" s="163">
        <f t="shared" si="19"/>
        <v>2146.8277448483486</v>
      </c>
      <c r="DE33" s="163">
        <f t="shared" si="19"/>
        <v>3024.3429900713381</v>
      </c>
      <c r="DF33" s="163">
        <f t="shared" si="19"/>
        <v>4793.8030629235755</v>
      </c>
      <c r="DG33" s="163">
        <f t="shared" si="19"/>
        <v>4037.1962462242027</v>
      </c>
      <c r="DH33" s="163">
        <f t="shared" si="19"/>
        <v>2136.1470097993515</v>
      </c>
      <c r="DI33" s="163">
        <f t="shared" si="19"/>
        <v>1445.0406242760323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130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136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371409.67882059258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1771.9821428571431</v>
      </c>
      <c r="N37" s="163">
        <f t="shared" si="20"/>
        <v>5403.3819875776398</v>
      </c>
      <c r="O37" s="163">
        <f t="shared" si="20"/>
        <v>4550.565217391304</v>
      </c>
      <c r="P37" s="163">
        <f t="shared" si="20"/>
        <v>2407.7789855072456</v>
      </c>
      <c r="Q37" s="163">
        <f t="shared" si="20"/>
        <v>3391.9579779673063</v>
      </c>
      <c r="R37" s="163">
        <f t="shared" si="20"/>
        <v>5376.4994901270056</v>
      </c>
      <c r="S37" s="163">
        <f t="shared" si="20"/>
        <v>4527.9255894440848</v>
      </c>
      <c r="T37" s="163">
        <f t="shared" si="20"/>
        <v>2395.7999855793478</v>
      </c>
      <c r="U37" s="163">
        <f t="shared" si="20"/>
        <v>3375.0825651415989</v>
      </c>
      <c r="V37" s="163">
        <f t="shared" si="20"/>
        <v>5349.7507364447829</v>
      </c>
      <c r="W37" s="163">
        <f t="shared" si="20"/>
        <v>4505.398596461775</v>
      </c>
      <c r="X37" s="163">
        <f t="shared" si="20"/>
        <v>2401.6017376115014</v>
      </c>
      <c r="Y37" s="163">
        <f t="shared" si="20"/>
        <v>3340.5699546481505</v>
      </c>
      <c r="Z37" s="163">
        <f t="shared" si="20"/>
        <v>5323.1350611390862</v>
      </c>
      <c r="AA37" s="163">
        <f t="shared" si="20"/>
        <v>4482.9836780714195</v>
      </c>
      <c r="AB37" s="163">
        <f t="shared" si="20"/>
        <v>2372.0204802646958</v>
      </c>
      <c r="AC37" s="163">
        <f t="shared" si="20"/>
        <v>3341.5831936255045</v>
      </c>
      <c r="AD37" s="163">
        <f t="shared" si="20"/>
        <v>5296.6518021284464</v>
      </c>
      <c r="AE37" s="163">
        <f t="shared" si="20"/>
        <v>4460.68027668798</v>
      </c>
      <c r="AF37" s="163">
        <f t="shared" si="20"/>
        <v>2360.2193833479569</v>
      </c>
      <c r="AG37" s="163">
        <f t="shared" si="20"/>
        <v>3324.9584016174181</v>
      </c>
      <c r="AH37" s="163">
        <f t="shared" si="20"/>
        <v>5270.3003006253202</v>
      </c>
      <c r="AI37" s="163">
        <f t="shared" si="20"/>
        <v>4438.4878375004791</v>
      </c>
      <c r="AJ37" s="163">
        <f t="shared" si="20"/>
        <v>2348.4769983561764</v>
      </c>
      <c r="AK37" s="163">
        <f t="shared" si="20"/>
        <v>3308.4163200173325</v>
      </c>
      <c r="AL37" s="163">
        <f t="shared" si="20"/>
        <v>5244.0799011197232</v>
      </c>
      <c r="AM37" s="163">
        <f t="shared" si="20"/>
        <v>4416.4058084581884</v>
      </c>
      <c r="AN37" s="163">
        <f t="shared" si="20"/>
        <v>2354.1641514072189</v>
      </c>
      <c r="AO37" s="163">
        <f t="shared" si="20"/>
        <v>3274.5854191136864</v>
      </c>
      <c r="AP37" s="163">
        <f t="shared" ref="AP37:BU37" si="21" xml:space="preserve"> AP33 + SUM(AP35:AP36)</f>
        <v>5217.989951362908</v>
      </c>
      <c r="AQ37" s="163">
        <f t="shared" si="21"/>
        <v>4394.4336402569043</v>
      </c>
      <c r="AR37" s="163">
        <f t="shared" si="21"/>
        <v>2325.1671972042041</v>
      </c>
      <c r="AS37" s="163">
        <f t="shared" si="21"/>
        <v>3275.5786441101286</v>
      </c>
      <c r="AT37" s="163">
        <f t="shared" si="21"/>
        <v>5192.029802351155</v>
      </c>
      <c r="AU37" s="163">
        <f t="shared" si="21"/>
        <v>4372.5707863252783</v>
      </c>
      <c r="AV37" s="163">
        <f t="shared" si="21"/>
        <v>2313.5992011982144</v>
      </c>
      <c r="AW37" s="163">
        <f t="shared" si="21"/>
        <v>3259.2822329454025</v>
      </c>
      <c r="AX37" s="163">
        <f t="shared" si="21"/>
        <v>5166.1988083096076</v>
      </c>
      <c r="AY37" s="163">
        <f t="shared" si="21"/>
        <v>4350.8167028112239</v>
      </c>
      <c r="AZ37" s="163">
        <f t="shared" si="21"/>
        <v>2302.0887574111575</v>
      </c>
      <c r="BA37" s="163">
        <f t="shared" si="21"/>
        <v>3243.0668984531367</v>
      </c>
      <c r="BB37" s="163">
        <f t="shared" si="21"/>
        <v>5140.4963266762261</v>
      </c>
      <c r="BC37" s="163">
        <f t="shared" si="21"/>
        <v>4329.170848568383</v>
      </c>
      <c r="BD37" s="163">
        <f t="shared" si="21"/>
        <v>2307.6635750949786</v>
      </c>
      <c r="BE37" s="163">
        <f t="shared" si="21"/>
        <v>3209.9042416854159</v>
      </c>
      <c r="BF37" s="163">
        <f t="shared" si="21"/>
        <v>5114.9217180857977</v>
      </c>
      <c r="BG37" s="163">
        <f t="shared" si="21"/>
        <v>4307.6326851426684</v>
      </c>
      <c r="BH37" s="163">
        <f t="shared" si="21"/>
        <v>2279.2393826005882</v>
      </c>
      <c r="BI37" s="163">
        <f t="shared" si="21"/>
        <v>3210.8778480266706</v>
      </c>
      <c r="BJ37" s="163">
        <f t="shared" si="21"/>
        <v>5089.474346354029</v>
      </c>
      <c r="BK37" s="163">
        <f t="shared" si="21"/>
        <v>4286.2016767588739</v>
      </c>
      <c r="BL37" s="163">
        <f t="shared" si="21"/>
        <v>2267.8998831846657</v>
      </c>
      <c r="BM37" s="163">
        <f t="shared" si="21"/>
        <v>3194.9033313698219</v>
      </c>
      <c r="BN37" s="163">
        <f t="shared" si="21"/>
        <v>5064.1535784617208</v>
      </c>
      <c r="BO37" s="163">
        <f t="shared" si="21"/>
        <v>4264.8772903073386</v>
      </c>
      <c r="BP37" s="163">
        <f t="shared" si="21"/>
        <v>2256.6167991887223</v>
      </c>
      <c r="BQ37" s="163">
        <f t="shared" si="21"/>
        <v>3179.0082899202216</v>
      </c>
      <c r="BR37" s="163">
        <f t="shared" si="21"/>
        <v>5038.958784539027</v>
      </c>
      <c r="BS37" s="163">
        <f t="shared" si="21"/>
        <v>4243.6589953306866</v>
      </c>
      <c r="BT37" s="163">
        <f t="shared" si="21"/>
        <v>2262.0815004072233</v>
      </c>
      <c r="BU37" s="163">
        <f t="shared" si="21"/>
        <v>3146.5006778106322</v>
      </c>
      <c r="BV37" s="163">
        <f t="shared" ref="BV37:DA37" si="22" xml:space="preserve"> BV33 + SUM(BV35:BV36)</f>
        <v>5013.8893378497796</v>
      </c>
      <c r="BW37" s="163">
        <f t="shared" si="22"/>
        <v>4222.5462640106343</v>
      </c>
      <c r="BX37" s="163">
        <f t="shared" si="22"/>
        <v>2234.2187561582364</v>
      </c>
      <c r="BY37" s="163">
        <f t="shared" si="22"/>
        <v>3147.4550530137594</v>
      </c>
      <c r="BZ37" s="163">
        <f t="shared" si="22"/>
        <v>4988.944614775899</v>
      </c>
      <c r="CA37" s="163">
        <f t="shared" si="22"/>
        <v>4201.5385711548606</v>
      </c>
      <c r="CB37" s="163">
        <f t="shared" si="22"/>
        <v>2223.1032399584446</v>
      </c>
      <c r="CC37" s="163">
        <f t="shared" si="22"/>
        <v>3131.7960726505071</v>
      </c>
      <c r="CD37" s="163">
        <f t="shared" si="22"/>
        <v>4964.123994801892</v>
      </c>
      <c r="CE37" s="163">
        <f t="shared" si="22"/>
        <v>4180.6353941839425</v>
      </c>
      <c r="CF37" s="163">
        <f t="shared" si="22"/>
        <v>2212.0430248342732</v>
      </c>
      <c r="CG37" s="163">
        <f t="shared" si="22"/>
        <v>3116.2149976621968</v>
      </c>
      <c r="CH37" s="163">
        <f t="shared" si="22"/>
        <v>4939.4268604993958</v>
      </c>
      <c r="CI37" s="163">
        <f t="shared" si="22"/>
        <v>4159.8362131183512</v>
      </c>
      <c r="CJ37" s="163">
        <f t="shared" si="22"/>
        <v>2217.3997846605475</v>
      </c>
      <c r="CK37" s="163">
        <f t="shared" si="22"/>
        <v>3084.3494914553448</v>
      </c>
      <c r="CL37" s="163">
        <f t="shared" si="22"/>
        <v>4914.8525975118364</v>
      </c>
      <c r="CM37" s="163">
        <f t="shared" si="22"/>
        <v>4139.140510565524</v>
      </c>
      <c r="CN37" s="163">
        <f t="shared" si="22"/>
        <v>2190.0873986626812</v>
      </c>
      <c r="CO37" s="163">
        <f t="shared" si="22"/>
        <v>3085.2850153829831</v>
      </c>
      <c r="CP37" s="163">
        <f t="shared" si="22"/>
        <v>4890.40059453914</v>
      </c>
      <c r="CQ37" s="163">
        <f t="shared" si="22"/>
        <v>4118.547771706988</v>
      </c>
      <c r="CR37" s="163">
        <f t="shared" si="22"/>
        <v>2179.1914414554049</v>
      </c>
      <c r="CS37" s="163">
        <f t="shared" si="22"/>
        <v>3069.9353386895355</v>
      </c>
      <c r="CT37" s="163">
        <f t="shared" si="22"/>
        <v>4866.0702433225306</v>
      </c>
      <c r="CU37" s="163">
        <f t="shared" si="22"/>
        <v>4098.0574842855613</v>
      </c>
      <c r="CV37" s="163">
        <f t="shared" si="22"/>
        <v>2168.3496929904522</v>
      </c>
      <c r="CW37" s="163">
        <f t="shared" si="22"/>
        <v>3054.6620285468025</v>
      </c>
      <c r="CX37" s="163">
        <f t="shared" si="22"/>
        <v>4841.8609386293838</v>
      </c>
      <c r="CY37" s="163">
        <f t="shared" si="22"/>
        <v>4077.6691385925992</v>
      </c>
      <c r="CZ37" s="163">
        <f t="shared" si="22"/>
        <v>2173.6006435345062</v>
      </c>
      <c r="DA37" s="163">
        <f t="shared" si="22"/>
        <v>3023.4259450597783</v>
      </c>
      <c r="DB37" s="163">
        <f t="shared" ref="DB37:EA37" si="23" xml:space="preserve"> DB33 + SUM(DB35:DB36)</f>
        <v>4817.772078238193</v>
      </c>
      <c r="DC37" s="163">
        <f t="shared" si="23"/>
        <v>4057.3822274553245</v>
      </c>
      <c r="DD37" s="163">
        <f t="shared" si="23"/>
        <v>2146.8277448483486</v>
      </c>
      <c r="DE37" s="163">
        <f t="shared" si="23"/>
        <v>3024.3429900713381</v>
      </c>
      <c r="DF37" s="163">
        <f t="shared" si="23"/>
        <v>4793.8030629235755</v>
      </c>
      <c r="DG37" s="163">
        <f t="shared" si="23"/>
        <v>4037.1962462242027</v>
      </c>
      <c r="DH37" s="163">
        <f t="shared" si="23"/>
        <v>2136.1470097993515</v>
      </c>
      <c r="DI37" s="163">
        <f t="shared" si="23"/>
        <v>1445.0406242760323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137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138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131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371409.67882059258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1771.9821428571431</v>
      </c>
      <c r="N42" s="163">
        <f t="shared" si="24"/>
        <v>5403.3819875776398</v>
      </c>
      <c r="O42" s="163">
        <f t="shared" si="24"/>
        <v>4550.565217391304</v>
      </c>
      <c r="P42" s="163">
        <f t="shared" si="24"/>
        <v>2407.7789855072456</v>
      </c>
      <c r="Q42" s="163">
        <f t="shared" si="24"/>
        <v>3391.9579779673063</v>
      </c>
      <c r="R42" s="163">
        <f t="shared" si="24"/>
        <v>5376.4994901270056</v>
      </c>
      <c r="S42" s="163">
        <f t="shared" si="24"/>
        <v>4527.9255894440848</v>
      </c>
      <c r="T42" s="163">
        <f t="shared" si="24"/>
        <v>2395.7999855793478</v>
      </c>
      <c r="U42" s="163">
        <f t="shared" si="24"/>
        <v>3375.0825651415989</v>
      </c>
      <c r="V42" s="163">
        <f t="shared" si="24"/>
        <v>5349.7507364447829</v>
      </c>
      <c r="W42" s="163">
        <f t="shared" si="24"/>
        <v>4505.398596461775</v>
      </c>
      <c r="X42" s="163">
        <f t="shared" si="24"/>
        <v>2401.6017376115014</v>
      </c>
      <c r="Y42" s="163">
        <f t="shared" si="24"/>
        <v>3340.5699546481505</v>
      </c>
      <c r="Z42" s="163">
        <f t="shared" si="24"/>
        <v>5323.1350611390862</v>
      </c>
      <c r="AA42" s="163">
        <f t="shared" si="24"/>
        <v>4482.9836780714195</v>
      </c>
      <c r="AB42" s="163">
        <f t="shared" si="24"/>
        <v>2372.0204802646958</v>
      </c>
      <c r="AC42" s="163">
        <f t="shared" si="24"/>
        <v>3341.5831936255045</v>
      </c>
      <c r="AD42" s="163">
        <f t="shared" si="24"/>
        <v>5296.6518021284464</v>
      </c>
      <c r="AE42" s="163">
        <f t="shared" si="24"/>
        <v>4460.68027668798</v>
      </c>
      <c r="AF42" s="163">
        <f t="shared" si="24"/>
        <v>2360.2193833479569</v>
      </c>
      <c r="AG42" s="163">
        <f t="shared" si="24"/>
        <v>3324.9584016174181</v>
      </c>
      <c r="AH42" s="163">
        <f t="shared" si="24"/>
        <v>5270.3003006253202</v>
      </c>
      <c r="AI42" s="163">
        <f t="shared" si="24"/>
        <v>4438.4878375004791</v>
      </c>
      <c r="AJ42" s="163">
        <f t="shared" si="24"/>
        <v>2348.4769983561764</v>
      </c>
      <c r="AK42" s="163">
        <f t="shared" si="24"/>
        <v>3308.4163200173325</v>
      </c>
      <c r="AL42" s="163">
        <f t="shared" si="24"/>
        <v>5244.0799011197232</v>
      </c>
      <c r="AM42" s="163">
        <f t="shared" si="24"/>
        <v>4416.4058084581884</v>
      </c>
      <c r="AN42" s="163">
        <f t="shared" si="24"/>
        <v>2354.1641514072189</v>
      </c>
      <c r="AO42" s="163">
        <f t="shared" si="24"/>
        <v>3274.5854191136864</v>
      </c>
      <c r="AP42" s="163">
        <f t="shared" ref="AP42:BU42" si="25" xml:space="preserve"> AP37 + SUM(AP39:AP41)</f>
        <v>5217.989951362908</v>
      </c>
      <c r="AQ42" s="163">
        <f t="shared" si="25"/>
        <v>4394.4336402569043</v>
      </c>
      <c r="AR42" s="163">
        <f t="shared" si="25"/>
        <v>2325.1671972042041</v>
      </c>
      <c r="AS42" s="163">
        <f t="shared" si="25"/>
        <v>3275.5786441101286</v>
      </c>
      <c r="AT42" s="163">
        <f t="shared" si="25"/>
        <v>5192.029802351155</v>
      </c>
      <c r="AU42" s="163">
        <f t="shared" si="25"/>
        <v>4372.5707863252783</v>
      </c>
      <c r="AV42" s="163">
        <f t="shared" si="25"/>
        <v>2313.5992011982144</v>
      </c>
      <c r="AW42" s="163">
        <f t="shared" si="25"/>
        <v>3259.2822329454025</v>
      </c>
      <c r="AX42" s="163">
        <f t="shared" si="25"/>
        <v>5166.1988083096076</v>
      </c>
      <c r="AY42" s="163">
        <f t="shared" si="25"/>
        <v>4350.8167028112239</v>
      </c>
      <c r="AZ42" s="163">
        <f t="shared" si="25"/>
        <v>2302.0887574111575</v>
      </c>
      <c r="BA42" s="163">
        <f t="shared" si="25"/>
        <v>3243.0668984531367</v>
      </c>
      <c r="BB42" s="163">
        <f t="shared" si="25"/>
        <v>5140.4963266762261</v>
      </c>
      <c r="BC42" s="163">
        <f t="shared" si="25"/>
        <v>4329.170848568383</v>
      </c>
      <c r="BD42" s="163">
        <f t="shared" si="25"/>
        <v>2307.6635750949786</v>
      </c>
      <c r="BE42" s="163">
        <f t="shared" si="25"/>
        <v>3209.9042416854159</v>
      </c>
      <c r="BF42" s="163">
        <f t="shared" si="25"/>
        <v>5114.9217180857977</v>
      </c>
      <c r="BG42" s="163">
        <f t="shared" si="25"/>
        <v>4307.6326851426684</v>
      </c>
      <c r="BH42" s="163">
        <f t="shared" si="25"/>
        <v>2279.2393826005882</v>
      </c>
      <c r="BI42" s="163">
        <f t="shared" si="25"/>
        <v>3210.8778480266706</v>
      </c>
      <c r="BJ42" s="163">
        <f t="shared" si="25"/>
        <v>5089.474346354029</v>
      </c>
      <c r="BK42" s="163">
        <f t="shared" si="25"/>
        <v>4286.2016767588739</v>
      </c>
      <c r="BL42" s="163">
        <f t="shared" si="25"/>
        <v>2267.8998831846657</v>
      </c>
      <c r="BM42" s="163">
        <f t="shared" si="25"/>
        <v>3194.9033313698219</v>
      </c>
      <c r="BN42" s="163">
        <f t="shared" si="25"/>
        <v>5064.1535784617208</v>
      </c>
      <c r="BO42" s="163">
        <f t="shared" si="25"/>
        <v>4264.8772903073386</v>
      </c>
      <c r="BP42" s="163">
        <f t="shared" si="25"/>
        <v>2256.6167991887223</v>
      </c>
      <c r="BQ42" s="163">
        <f t="shared" si="25"/>
        <v>3179.0082899202216</v>
      </c>
      <c r="BR42" s="163">
        <f t="shared" si="25"/>
        <v>5038.958784539027</v>
      </c>
      <c r="BS42" s="163">
        <f t="shared" si="25"/>
        <v>4243.6589953306866</v>
      </c>
      <c r="BT42" s="163">
        <f t="shared" si="25"/>
        <v>2262.0815004072233</v>
      </c>
      <c r="BU42" s="163">
        <f t="shared" si="25"/>
        <v>3146.5006778106322</v>
      </c>
      <c r="BV42" s="163">
        <f t="shared" ref="BV42:DB42" si="26" xml:space="preserve"> BV37 + SUM(BV39:BV41)</f>
        <v>5013.8893378497796</v>
      </c>
      <c r="BW42" s="163">
        <f t="shared" si="26"/>
        <v>4222.5462640106343</v>
      </c>
      <c r="BX42" s="163">
        <f t="shared" si="26"/>
        <v>2234.2187561582364</v>
      </c>
      <c r="BY42" s="163">
        <f t="shared" si="26"/>
        <v>3147.4550530137594</v>
      </c>
      <c r="BZ42" s="163">
        <f t="shared" si="26"/>
        <v>4988.944614775899</v>
      </c>
      <c r="CA42" s="163">
        <f t="shared" si="26"/>
        <v>4201.5385711548606</v>
      </c>
      <c r="CB42" s="163">
        <f t="shared" si="26"/>
        <v>2223.1032399584446</v>
      </c>
      <c r="CC42" s="163">
        <f t="shared" si="26"/>
        <v>3131.7960726505071</v>
      </c>
      <c r="CD42" s="163">
        <f t="shared" si="26"/>
        <v>4964.123994801892</v>
      </c>
      <c r="CE42" s="163">
        <f t="shared" si="26"/>
        <v>4180.6353941839425</v>
      </c>
      <c r="CF42" s="163">
        <f t="shared" si="26"/>
        <v>2212.0430248342732</v>
      </c>
      <c r="CG42" s="163">
        <f t="shared" si="26"/>
        <v>3116.2149976621968</v>
      </c>
      <c r="CH42" s="163">
        <f t="shared" si="26"/>
        <v>4939.4268604993958</v>
      </c>
      <c r="CI42" s="163">
        <f t="shared" si="26"/>
        <v>4159.8362131183512</v>
      </c>
      <c r="CJ42" s="163">
        <f t="shared" si="26"/>
        <v>2217.3997846605475</v>
      </c>
      <c r="CK42" s="163">
        <f t="shared" si="26"/>
        <v>3084.3494914553448</v>
      </c>
      <c r="CL42" s="163">
        <f t="shared" si="26"/>
        <v>4914.8525975118364</v>
      </c>
      <c r="CM42" s="163">
        <f t="shared" si="26"/>
        <v>4139.140510565524</v>
      </c>
      <c r="CN42" s="163">
        <f t="shared" si="26"/>
        <v>2190.0873986626812</v>
      </c>
      <c r="CO42" s="163">
        <f t="shared" si="26"/>
        <v>3085.2850153829831</v>
      </c>
      <c r="CP42" s="163">
        <f t="shared" si="26"/>
        <v>4890.40059453914</v>
      </c>
      <c r="CQ42" s="163">
        <f t="shared" si="26"/>
        <v>4118.547771706988</v>
      </c>
      <c r="CR42" s="163">
        <f t="shared" si="26"/>
        <v>2179.1914414554049</v>
      </c>
      <c r="CS42" s="163">
        <f t="shared" si="26"/>
        <v>3069.9353386895355</v>
      </c>
      <c r="CT42" s="163">
        <f t="shared" si="26"/>
        <v>4866.0702433225306</v>
      </c>
      <c r="CU42" s="163">
        <f t="shared" si="26"/>
        <v>4098.0574842855613</v>
      </c>
      <c r="CV42" s="163">
        <f t="shared" si="26"/>
        <v>2168.3496929904522</v>
      </c>
      <c r="CW42" s="163">
        <f t="shared" si="26"/>
        <v>3054.6620285468025</v>
      </c>
      <c r="CX42" s="163">
        <f t="shared" si="26"/>
        <v>4841.8609386293838</v>
      </c>
      <c r="CY42" s="163">
        <f t="shared" si="26"/>
        <v>4077.6691385925992</v>
      </c>
      <c r="CZ42" s="163">
        <f t="shared" si="26"/>
        <v>2173.6006435345062</v>
      </c>
      <c r="DA42" s="163">
        <f t="shared" si="26"/>
        <v>3023.4259450597783</v>
      </c>
      <c r="DB42" s="163">
        <f t="shared" si="26"/>
        <v>4817.772078238193</v>
      </c>
      <c r="DC42" s="163">
        <f t="shared" ref="DC42:EA42" si="27" xml:space="preserve"> DC37 + SUM(DC39:DC41)</f>
        <v>4057.3822274553245</v>
      </c>
      <c r="DD42" s="163">
        <f t="shared" si="27"/>
        <v>2146.8277448483486</v>
      </c>
      <c r="DE42" s="163">
        <f t="shared" si="27"/>
        <v>3024.3429900713381</v>
      </c>
      <c r="DF42" s="163">
        <f t="shared" si="27"/>
        <v>4793.8030629235755</v>
      </c>
      <c r="DG42" s="163">
        <f t="shared" si="27"/>
        <v>4037.1962462242027</v>
      </c>
      <c r="DH42" s="163">
        <f t="shared" si="27"/>
        <v>2136.1470097993515</v>
      </c>
      <c r="DI42" s="163">
        <f t="shared" si="27"/>
        <v>1445.0406242760323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139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140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141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371409.67882059258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1771.9821428571431</v>
      </c>
      <c r="N47" s="163">
        <f t="shared" si="28"/>
        <v>5403.3819875776398</v>
      </c>
      <c r="O47" s="163">
        <f t="shared" si="28"/>
        <v>4550.565217391304</v>
      </c>
      <c r="P47" s="163">
        <f t="shared" si="28"/>
        <v>2407.7789855072456</v>
      </c>
      <c r="Q47" s="163">
        <f t="shared" si="28"/>
        <v>3391.9579779673063</v>
      </c>
      <c r="R47" s="163">
        <f t="shared" si="28"/>
        <v>5376.4994901270056</v>
      </c>
      <c r="S47" s="163">
        <f t="shared" si="28"/>
        <v>4527.9255894440848</v>
      </c>
      <c r="T47" s="163">
        <f t="shared" si="28"/>
        <v>2395.7999855793478</v>
      </c>
      <c r="U47" s="163">
        <f t="shared" si="28"/>
        <v>3375.0825651415989</v>
      </c>
      <c r="V47" s="163">
        <f t="shared" si="28"/>
        <v>5349.7507364447829</v>
      </c>
      <c r="W47" s="163">
        <f t="shared" si="28"/>
        <v>4505.398596461775</v>
      </c>
      <c r="X47" s="163">
        <f t="shared" si="28"/>
        <v>2401.6017376115014</v>
      </c>
      <c r="Y47" s="163">
        <f t="shared" si="28"/>
        <v>3340.5699546481505</v>
      </c>
      <c r="Z47" s="163">
        <f t="shared" si="28"/>
        <v>5323.1350611390862</v>
      </c>
      <c r="AA47" s="163">
        <f t="shared" si="28"/>
        <v>4482.9836780714195</v>
      </c>
      <c r="AB47" s="163">
        <f t="shared" si="28"/>
        <v>2372.0204802646958</v>
      </c>
      <c r="AC47" s="163">
        <f t="shared" si="28"/>
        <v>3341.5831936255045</v>
      </c>
      <c r="AD47" s="163">
        <f t="shared" si="28"/>
        <v>5296.6518021284464</v>
      </c>
      <c r="AE47" s="163">
        <f t="shared" si="28"/>
        <v>4460.68027668798</v>
      </c>
      <c r="AF47" s="163">
        <f t="shared" si="28"/>
        <v>2360.2193833479569</v>
      </c>
      <c r="AG47" s="163">
        <f t="shared" si="28"/>
        <v>3324.9584016174181</v>
      </c>
      <c r="AH47" s="163">
        <f t="shared" si="28"/>
        <v>5270.3003006253202</v>
      </c>
      <c r="AI47" s="163">
        <f t="shared" si="28"/>
        <v>4438.4878375004791</v>
      </c>
      <c r="AJ47" s="163">
        <f t="shared" si="28"/>
        <v>2348.4769983561764</v>
      </c>
      <c r="AK47" s="163">
        <f t="shared" si="28"/>
        <v>3308.4163200173325</v>
      </c>
      <c r="AL47" s="163">
        <f t="shared" si="28"/>
        <v>5244.0799011197232</v>
      </c>
      <c r="AM47" s="163">
        <f t="shared" si="28"/>
        <v>4416.4058084581884</v>
      </c>
      <c r="AN47" s="163">
        <f t="shared" si="28"/>
        <v>2354.1641514072189</v>
      </c>
      <c r="AO47" s="163">
        <f t="shared" si="28"/>
        <v>3274.5854191136864</v>
      </c>
      <c r="AP47" s="163">
        <f t="shared" ref="AP47:BU47" si="29" xml:space="preserve"> AP42 + SUM(AP44:AP46)</f>
        <v>5217.989951362908</v>
      </c>
      <c r="AQ47" s="163">
        <f t="shared" si="29"/>
        <v>4394.4336402569043</v>
      </c>
      <c r="AR47" s="163">
        <f t="shared" si="29"/>
        <v>2325.1671972042041</v>
      </c>
      <c r="AS47" s="163">
        <f t="shared" si="29"/>
        <v>3275.5786441101286</v>
      </c>
      <c r="AT47" s="163">
        <f t="shared" si="29"/>
        <v>5192.029802351155</v>
      </c>
      <c r="AU47" s="163">
        <f t="shared" si="29"/>
        <v>4372.5707863252783</v>
      </c>
      <c r="AV47" s="163">
        <f t="shared" si="29"/>
        <v>2313.5992011982144</v>
      </c>
      <c r="AW47" s="163">
        <f t="shared" si="29"/>
        <v>3259.2822329454025</v>
      </c>
      <c r="AX47" s="163">
        <f t="shared" si="29"/>
        <v>5166.1988083096076</v>
      </c>
      <c r="AY47" s="163">
        <f t="shared" si="29"/>
        <v>4350.8167028112239</v>
      </c>
      <c r="AZ47" s="163">
        <f t="shared" si="29"/>
        <v>2302.0887574111575</v>
      </c>
      <c r="BA47" s="163">
        <f t="shared" si="29"/>
        <v>3243.0668984531367</v>
      </c>
      <c r="BB47" s="163">
        <f t="shared" si="29"/>
        <v>5140.4963266762261</v>
      </c>
      <c r="BC47" s="163">
        <f t="shared" si="29"/>
        <v>4329.170848568383</v>
      </c>
      <c r="BD47" s="163">
        <f t="shared" si="29"/>
        <v>2307.6635750949786</v>
      </c>
      <c r="BE47" s="163">
        <f t="shared" si="29"/>
        <v>3209.9042416854159</v>
      </c>
      <c r="BF47" s="163">
        <f t="shared" si="29"/>
        <v>5114.9217180857977</v>
      </c>
      <c r="BG47" s="163">
        <f t="shared" si="29"/>
        <v>4307.6326851426684</v>
      </c>
      <c r="BH47" s="163">
        <f t="shared" si="29"/>
        <v>2279.2393826005882</v>
      </c>
      <c r="BI47" s="163">
        <f t="shared" si="29"/>
        <v>3210.8778480266706</v>
      </c>
      <c r="BJ47" s="163">
        <f t="shared" si="29"/>
        <v>5089.474346354029</v>
      </c>
      <c r="BK47" s="163">
        <f t="shared" si="29"/>
        <v>4286.2016767588739</v>
      </c>
      <c r="BL47" s="163">
        <f t="shared" si="29"/>
        <v>2267.8998831846657</v>
      </c>
      <c r="BM47" s="163">
        <f t="shared" si="29"/>
        <v>3194.9033313698219</v>
      </c>
      <c r="BN47" s="163">
        <f t="shared" si="29"/>
        <v>5064.1535784617208</v>
      </c>
      <c r="BO47" s="163">
        <f t="shared" si="29"/>
        <v>4264.8772903073386</v>
      </c>
      <c r="BP47" s="163">
        <f t="shared" si="29"/>
        <v>2256.6167991887223</v>
      </c>
      <c r="BQ47" s="163">
        <f t="shared" si="29"/>
        <v>3179.0082899202216</v>
      </c>
      <c r="BR47" s="163">
        <f t="shared" si="29"/>
        <v>5038.958784539027</v>
      </c>
      <c r="BS47" s="163">
        <f t="shared" si="29"/>
        <v>4243.6589953306866</v>
      </c>
      <c r="BT47" s="163">
        <f t="shared" si="29"/>
        <v>2262.0815004072233</v>
      </c>
      <c r="BU47" s="163">
        <f t="shared" si="29"/>
        <v>3146.5006778106322</v>
      </c>
      <c r="BV47" s="163">
        <f t="shared" ref="BV47:DA47" si="30" xml:space="preserve"> BV42 + SUM(BV44:BV46)</f>
        <v>5013.8893378497796</v>
      </c>
      <c r="BW47" s="163">
        <f t="shared" si="30"/>
        <v>4222.5462640106343</v>
      </c>
      <c r="BX47" s="163">
        <f t="shared" si="30"/>
        <v>2234.2187561582364</v>
      </c>
      <c r="BY47" s="163">
        <f t="shared" si="30"/>
        <v>3147.4550530137594</v>
      </c>
      <c r="BZ47" s="163">
        <f t="shared" si="30"/>
        <v>4988.944614775899</v>
      </c>
      <c r="CA47" s="163">
        <f t="shared" si="30"/>
        <v>4201.5385711548606</v>
      </c>
      <c r="CB47" s="163">
        <f t="shared" si="30"/>
        <v>2223.1032399584446</v>
      </c>
      <c r="CC47" s="163">
        <f t="shared" si="30"/>
        <v>3131.7960726505071</v>
      </c>
      <c r="CD47" s="163">
        <f t="shared" si="30"/>
        <v>4964.123994801892</v>
      </c>
      <c r="CE47" s="163">
        <f t="shared" si="30"/>
        <v>4180.6353941839425</v>
      </c>
      <c r="CF47" s="163">
        <f t="shared" si="30"/>
        <v>2212.0430248342732</v>
      </c>
      <c r="CG47" s="163">
        <f t="shared" si="30"/>
        <v>3116.2149976621968</v>
      </c>
      <c r="CH47" s="163">
        <f t="shared" si="30"/>
        <v>4939.4268604993958</v>
      </c>
      <c r="CI47" s="163">
        <f t="shared" si="30"/>
        <v>4159.8362131183512</v>
      </c>
      <c r="CJ47" s="163">
        <f t="shared" si="30"/>
        <v>2217.3997846605475</v>
      </c>
      <c r="CK47" s="163">
        <f t="shared" si="30"/>
        <v>3084.3494914553448</v>
      </c>
      <c r="CL47" s="163">
        <f t="shared" si="30"/>
        <v>4914.8525975118364</v>
      </c>
      <c r="CM47" s="163">
        <f t="shared" si="30"/>
        <v>4139.140510565524</v>
      </c>
      <c r="CN47" s="163">
        <f t="shared" si="30"/>
        <v>2190.0873986626812</v>
      </c>
      <c r="CO47" s="163">
        <f t="shared" si="30"/>
        <v>3085.2850153829831</v>
      </c>
      <c r="CP47" s="163">
        <f t="shared" si="30"/>
        <v>4890.40059453914</v>
      </c>
      <c r="CQ47" s="163">
        <f t="shared" si="30"/>
        <v>4118.547771706988</v>
      </c>
      <c r="CR47" s="163">
        <f t="shared" si="30"/>
        <v>2179.1914414554049</v>
      </c>
      <c r="CS47" s="163">
        <f t="shared" si="30"/>
        <v>3069.9353386895355</v>
      </c>
      <c r="CT47" s="163">
        <f t="shared" si="30"/>
        <v>4866.0702433225306</v>
      </c>
      <c r="CU47" s="163">
        <f t="shared" si="30"/>
        <v>4098.0574842855613</v>
      </c>
      <c r="CV47" s="163">
        <f t="shared" si="30"/>
        <v>2168.3496929904522</v>
      </c>
      <c r="CW47" s="163">
        <f t="shared" si="30"/>
        <v>3054.6620285468025</v>
      </c>
      <c r="CX47" s="163">
        <f t="shared" si="30"/>
        <v>4841.8609386293838</v>
      </c>
      <c r="CY47" s="163">
        <f t="shared" si="30"/>
        <v>4077.6691385925992</v>
      </c>
      <c r="CZ47" s="163">
        <f t="shared" si="30"/>
        <v>2173.6006435345062</v>
      </c>
      <c r="DA47" s="163">
        <f t="shared" si="30"/>
        <v>3023.4259450597783</v>
      </c>
      <c r="DB47" s="163">
        <f t="shared" ref="DB47:EA47" si="31" xml:space="preserve"> DB42 + SUM(DB44:DB46)</f>
        <v>4817.772078238193</v>
      </c>
      <c r="DC47" s="163">
        <f t="shared" si="31"/>
        <v>4057.3822274553245</v>
      </c>
      <c r="DD47" s="163">
        <f t="shared" si="31"/>
        <v>2146.8277448483486</v>
      </c>
      <c r="DE47" s="163">
        <f t="shared" si="31"/>
        <v>3024.3429900713381</v>
      </c>
      <c r="DF47" s="163">
        <f t="shared" si="31"/>
        <v>4793.8030629235755</v>
      </c>
      <c r="DG47" s="163">
        <f t="shared" si="31"/>
        <v>4037.1962462242027</v>
      </c>
      <c r="DH47" s="163">
        <f t="shared" si="31"/>
        <v>2136.1470097993515</v>
      </c>
      <c r="DI47" s="163">
        <f t="shared" si="31"/>
        <v>1445.0406242760323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142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371409.67882059258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1771.9821428571431</v>
      </c>
      <c r="N50" s="163">
        <f t="shared" si="32"/>
        <v>5403.3819875776398</v>
      </c>
      <c r="O50" s="163">
        <f t="shared" si="32"/>
        <v>4550.565217391304</v>
      </c>
      <c r="P50" s="163">
        <f t="shared" si="32"/>
        <v>2407.7789855072456</v>
      </c>
      <c r="Q50" s="163">
        <f t="shared" si="32"/>
        <v>3391.9579779673063</v>
      </c>
      <c r="R50" s="163">
        <f t="shared" si="32"/>
        <v>5376.4994901270056</v>
      </c>
      <c r="S50" s="163">
        <f t="shared" si="32"/>
        <v>4527.9255894440848</v>
      </c>
      <c r="T50" s="163">
        <f t="shared" si="32"/>
        <v>2395.7999855793478</v>
      </c>
      <c r="U50" s="163">
        <f t="shared" si="32"/>
        <v>3375.0825651415989</v>
      </c>
      <c r="V50" s="163">
        <f t="shared" si="32"/>
        <v>5349.7507364447829</v>
      </c>
      <c r="W50" s="163">
        <f t="shared" si="32"/>
        <v>4505.398596461775</v>
      </c>
      <c r="X50" s="163">
        <f t="shared" si="32"/>
        <v>2401.6017376115014</v>
      </c>
      <c r="Y50" s="163">
        <f t="shared" si="32"/>
        <v>3340.5699546481505</v>
      </c>
      <c r="Z50" s="163">
        <f t="shared" si="32"/>
        <v>5323.1350611390862</v>
      </c>
      <c r="AA50" s="163">
        <f t="shared" si="32"/>
        <v>4482.9836780714195</v>
      </c>
      <c r="AB50" s="163">
        <f t="shared" si="32"/>
        <v>2372.0204802646958</v>
      </c>
      <c r="AC50" s="163">
        <f t="shared" si="32"/>
        <v>3341.5831936255045</v>
      </c>
      <c r="AD50" s="163">
        <f t="shared" si="32"/>
        <v>5296.6518021284464</v>
      </c>
      <c r="AE50" s="163">
        <f t="shared" si="32"/>
        <v>4460.68027668798</v>
      </c>
      <c r="AF50" s="163">
        <f t="shared" si="32"/>
        <v>2360.2193833479569</v>
      </c>
      <c r="AG50" s="163">
        <f t="shared" si="32"/>
        <v>3324.9584016174181</v>
      </c>
      <c r="AH50" s="163">
        <f t="shared" si="32"/>
        <v>5270.3003006253202</v>
      </c>
      <c r="AI50" s="163">
        <f t="shared" si="32"/>
        <v>4438.4878375004791</v>
      </c>
      <c r="AJ50" s="163">
        <f t="shared" si="32"/>
        <v>2348.4769983561764</v>
      </c>
      <c r="AK50" s="163">
        <f t="shared" si="32"/>
        <v>3308.4163200173325</v>
      </c>
      <c r="AL50" s="163">
        <f t="shared" si="32"/>
        <v>5244.0799011197232</v>
      </c>
      <c r="AM50" s="163">
        <f t="shared" si="32"/>
        <v>4416.4058084581884</v>
      </c>
      <c r="AN50" s="163">
        <f t="shared" si="32"/>
        <v>2354.1641514072189</v>
      </c>
      <c r="AO50" s="163">
        <f t="shared" si="32"/>
        <v>3274.5854191136864</v>
      </c>
      <c r="AP50" s="163">
        <f t="shared" ref="AP50:BU50" si="33" xml:space="preserve"> AP47 + AP49</f>
        <v>5217.989951362908</v>
      </c>
      <c r="AQ50" s="163">
        <f t="shared" si="33"/>
        <v>4394.4336402569043</v>
      </c>
      <c r="AR50" s="163">
        <f t="shared" si="33"/>
        <v>2325.1671972042041</v>
      </c>
      <c r="AS50" s="163">
        <f t="shared" si="33"/>
        <v>3275.5786441101286</v>
      </c>
      <c r="AT50" s="163">
        <f t="shared" si="33"/>
        <v>5192.029802351155</v>
      </c>
      <c r="AU50" s="163">
        <f t="shared" si="33"/>
        <v>4372.5707863252783</v>
      </c>
      <c r="AV50" s="163">
        <f t="shared" si="33"/>
        <v>2313.5992011982144</v>
      </c>
      <c r="AW50" s="163">
        <f t="shared" si="33"/>
        <v>3259.2822329454025</v>
      </c>
      <c r="AX50" s="163">
        <f t="shared" si="33"/>
        <v>5166.1988083096076</v>
      </c>
      <c r="AY50" s="163">
        <f t="shared" si="33"/>
        <v>4350.8167028112239</v>
      </c>
      <c r="AZ50" s="163">
        <f t="shared" si="33"/>
        <v>2302.0887574111575</v>
      </c>
      <c r="BA50" s="163">
        <f t="shared" si="33"/>
        <v>3243.0668984531367</v>
      </c>
      <c r="BB50" s="163">
        <f t="shared" si="33"/>
        <v>5140.4963266762261</v>
      </c>
      <c r="BC50" s="163">
        <f t="shared" si="33"/>
        <v>4329.170848568383</v>
      </c>
      <c r="BD50" s="163">
        <f t="shared" si="33"/>
        <v>2307.6635750949786</v>
      </c>
      <c r="BE50" s="163">
        <f t="shared" si="33"/>
        <v>3209.9042416854159</v>
      </c>
      <c r="BF50" s="163">
        <f t="shared" si="33"/>
        <v>5114.9217180857977</v>
      </c>
      <c r="BG50" s="163">
        <f t="shared" si="33"/>
        <v>4307.6326851426684</v>
      </c>
      <c r="BH50" s="163">
        <f t="shared" si="33"/>
        <v>2279.2393826005882</v>
      </c>
      <c r="BI50" s="163">
        <f t="shared" si="33"/>
        <v>3210.8778480266706</v>
      </c>
      <c r="BJ50" s="163">
        <f t="shared" si="33"/>
        <v>5089.474346354029</v>
      </c>
      <c r="BK50" s="163">
        <f t="shared" si="33"/>
        <v>4286.2016767588739</v>
      </c>
      <c r="BL50" s="163">
        <f t="shared" si="33"/>
        <v>2267.8998831846657</v>
      </c>
      <c r="BM50" s="163">
        <f t="shared" si="33"/>
        <v>3194.9033313698219</v>
      </c>
      <c r="BN50" s="163">
        <f t="shared" si="33"/>
        <v>5064.1535784617208</v>
      </c>
      <c r="BO50" s="163">
        <f t="shared" si="33"/>
        <v>4264.8772903073386</v>
      </c>
      <c r="BP50" s="163">
        <f t="shared" si="33"/>
        <v>2256.6167991887223</v>
      </c>
      <c r="BQ50" s="163">
        <f t="shared" si="33"/>
        <v>3179.0082899202216</v>
      </c>
      <c r="BR50" s="163">
        <f t="shared" si="33"/>
        <v>5038.958784539027</v>
      </c>
      <c r="BS50" s="163">
        <f t="shared" si="33"/>
        <v>4243.6589953306866</v>
      </c>
      <c r="BT50" s="163">
        <f t="shared" si="33"/>
        <v>2262.0815004072233</v>
      </c>
      <c r="BU50" s="163">
        <f t="shared" si="33"/>
        <v>3146.5006778106322</v>
      </c>
      <c r="BV50" s="163">
        <f t="shared" ref="BV50:DA50" si="34" xml:space="preserve"> BV47 + BV49</f>
        <v>5013.8893378497796</v>
      </c>
      <c r="BW50" s="163">
        <f t="shared" si="34"/>
        <v>4222.5462640106343</v>
      </c>
      <c r="BX50" s="163">
        <f t="shared" si="34"/>
        <v>2234.2187561582364</v>
      </c>
      <c r="BY50" s="163">
        <f t="shared" si="34"/>
        <v>3147.4550530137594</v>
      </c>
      <c r="BZ50" s="163">
        <f t="shared" si="34"/>
        <v>4988.944614775899</v>
      </c>
      <c r="CA50" s="163">
        <f t="shared" si="34"/>
        <v>4201.5385711548606</v>
      </c>
      <c r="CB50" s="163">
        <f t="shared" si="34"/>
        <v>2223.1032399584446</v>
      </c>
      <c r="CC50" s="163">
        <f t="shared" si="34"/>
        <v>3131.7960726505071</v>
      </c>
      <c r="CD50" s="163">
        <f t="shared" si="34"/>
        <v>4964.123994801892</v>
      </c>
      <c r="CE50" s="163">
        <f t="shared" si="34"/>
        <v>4180.6353941839425</v>
      </c>
      <c r="CF50" s="163">
        <f t="shared" si="34"/>
        <v>2212.0430248342732</v>
      </c>
      <c r="CG50" s="163">
        <f t="shared" si="34"/>
        <v>3116.2149976621968</v>
      </c>
      <c r="CH50" s="163">
        <f t="shared" si="34"/>
        <v>4939.4268604993958</v>
      </c>
      <c r="CI50" s="163">
        <f t="shared" si="34"/>
        <v>4159.8362131183512</v>
      </c>
      <c r="CJ50" s="163">
        <f t="shared" si="34"/>
        <v>2217.3997846605475</v>
      </c>
      <c r="CK50" s="163">
        <f t="shared" si="34"/>
        <v>3084.3494914553448</v>
      </c>
      <c r="CL50" s="163">
        <f t="shared" si="34"/>
        <v>4914.8525975118364</v>
      </c>
      <c r="CM50" s="163">
        <f t="shared" si="34"/>
        <v>4139.140510565524</v>
      </c>
      <c r="CN50" s="163">
        <f t="shared" si="34"/>
        <v>2190.0873986626812</v>
      </c>
      <c r="CO50" s="163">
        <f t="shared" si="34"/>
        <v>3085.2850153829831</v>
      </c>
      <c r="CP50" s="163">
        <f t="shared" si="34"/>
        <v>4890.40059453914</v>
      </c>
      <c r="CQ50" s="163">
        <f t="shared" si="34"/>
        <v>4118.547771706988</v>
      </c>
      <c r="CR50" s="163">
        <f t="shared" si="34"/>
        <v>2179.1914414554049</v>
      </c>
      <c r="CS50" s="163">
        <f t="shared" si="34"/>
        <v>3069.9353386895355</v>
      </c>
      <c r="CT50" s="163">
        <f t="shared" si="34"/>
        <v>4866.0702433225306</v>
      </c>
      <c r="CU50" s="163">
        <f t="shared" si="34"/>
        <v>4098.0574842855613</v>
      </c>
      <c r="CV50" s="163">
        <f t="shared" si="34"/>
        <v>2168.3496929904522</v>
      </c>
      <c r="CW50" s="163">
        <f t="shared" si="34"/>
        <v>3054.6620285468025</v>
      </c>
      <c r="CX50" s="163">
        <f t="shared" si="34"/>
        <v>4841.8609386293838</v>
      </c>
      <c r="CY50" s="163">
        <f t="shared" si="34"/>
        <v>4077.6691385925992</v>
      </c>
      <c r="CZ50" s="163">
        <f t="shared" si="34"/>
        <v>2173.6006435345062</v>
      </c>
      <c r="DA50" s="163">
        <f t="shared" si="34"/>
        <v>3023.4259450597783</v>
      </c>
      <c r="DB50" s="163">
        <f t="shared" ref="DB50:EA50" si="35" xml:space="preserve"> DB47 + DB49</f>
        <v>4817.772078238193</v>
      </c>
      <c r="DC50" s="163">
        <f t="shared" si="35"/>
        <v>4057.3822274553245</v>
      </c>
      <c r="DD50" s="163">
        <f t="shared" si="35"/>
        <v>2146.8277448483486</v>
      </c>
      <c r="DE50" s="163">
        <f t="shared" si="35"/>
        <v>3024.3429900713381</v>
      </c>
      <c r="DF50" s="163">
        <f t="shared" si="35"/>
        <v>4793.8030629235755</v>
      </c>
      <c r="DG50" s="163">
        <f t="shared" si="35"/>
        <v>4037.1962462242027</v>
      </c>
      <c r="DH50" s="163">
        <f t="shared" si="35"/>
        <v>2136.1470097993515</v>
      </c>
      <c r="DI50" s="163">
        <f t="shared" si="35"/>
        <v>1445.0406242760323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134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371409.67882059258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1771.9821428571431</v>
      </c>
      <c r="N53" s="163">
        <f t="shared" si="36"/>
        <v>5403.3819875776398</v>
      </c>
      <c r="O53" s="163">
        <f t="shared" si="36"/>
        <v>4550.565217391304</v>
      </c>
      <c r="P53" s="163">
        <f t="shared" si="36"/>
        <v>2407.7789855072456</v>
      </c>
      <c r="Q53" s="163">
        <f t="shared" si="36"/>
        <v>3391.9579779673063</v>
      </c>
      <c r="R53" s="163">
        <f t="shared" si="36"/>
        <v>5376.4994901270056</v>
      </c>
      <c r="S53" s="163">
        <f t="shared" si="36"/>
        <v>4527.9255894440848</v>
      </c>
      <c r="T53" s="163">
        <f t="shared" si="36"/>
        <v>2395.7999855793478</v>
      </c>
      <c r="U53" s="163">
        <f t="shared" si="36"/>
        <v>3375.0825651415989</v>
      </c>
      <c r="V53" s="163">
        <f t="shared" si="36"/>
        <v>5349.7507364447829</v>
      </c>
      <c r="W53" s="163">
        <f t="shared" si="36"/>
        <v>4505.398596461775</v>
      </c>
      <c r="X53" s="163">
        <f t="shared" si="36"/>
        <v>2401.6017376115014</v>
      </c>
      <c r="Y53" s="163">
        <f t="shared" si="36"/>
        <v>3340.5699546481505</v>
      </c>
      <c r="Z53" s="163">
        <f t="shared" si="36"/>
        <v>5323.1350611390862</v>
      </c>
      <c r="AA53" s="163">
        <f t="shared" si="36"/>
        <v>4482.9836780714195</v>
      </c>
      <c r="AB53" s="163">
        <f t="shared" si="36"/>
        <v>2372.0204802646958</v>
      </c>
      <c r="AC53" s="163">
        <f t="shared" si="36"/>
        <v>3341.5831936255045</v>
      </c>
      <c r="AD53" s="163">
        <f t="shared" si="36"/>
        <v>5296.6518021284464</v>
      </c>
      <c r="AE53" s="163">
        <f t="shared" si="36"/>
        <v>4460.68027668798</v>
      </c>
      <c r="AF53" s="163">
        <f t="shared" si="36"/>
        <v>2360.2193833479569</v>
      </c>
      <c r="AG53" s="163">
        <f t="shared" si="36"/>
        <v>3324.9584016174181</v>
      </c>
      <c r="AH53" s="163">
        <f t="shared" si="36"/>
        <v>5270.3003006253202</v>
      </c>
      <c r="AI53" s="163">
        <f t="shared" si="36"/>
        <v>4438.4878375004791</v>
      </c>
      <c r="AJ53" s="163">
        <f t="shared" si="36"/>
        <v>2348.4769983561764</v>
      </c>
      <c r="AK53" s="163">
        <f t="shared" si="36"/>
        <v>3308.4163200173325</v>
      </c>
      <c r="AL53" s="163">
        <f t="shared" si="36"/>
        <v>5244.0799011197232</v>
      </c>
      <c r="AM53" s="163">
        <f t="shared" si="36"/>
        <v>4416.4058084581884</v>
      </c>
      <c r="AN53" s="163">
        <f t="shared" si="36"/>
        <v>2354.1641514072189</v>
      </c>
      <c r="AO53" s="163">
        <f t="shared" si="36"/>
        <v>3274.5854191136864</v>
      </c>
      <c r="AP53" s="163">
        <f t="shared" si="36"/>
        <v>5217.989951362908</v>
      </c>
      <c r="AQ53" s="163">
        <f t="shared" si="36"/>
        <v>4394.4336402569043</v>
      </c>
      <c r="AR53" s="163">
        <f t="shared" si="36"/>
        <v>2325.1671972042041</v>
      </c>
      <c r="AS53" s="163">
        <f t="shared" si="36"/>
        <v>3275.5786441101286</v>
      </c>
      <c r="AT53" s="163">
        <f t="shared" si="36"/>
        <v>5192.029802351155</v>
      </c>
      <c r="AU53" s="163">
        <f t="shared" si="36"/>
        <v>4372.5707863252783</v>
      </c>
      <c r="AV53" s="163">
        <f t="shared" si="36"/>
        <v>2313.5992011982144</v>
      </c>
      <c r="AW53" s="163">
        <f t="shared" si="36"/>
        <v>3259.2822329454025</v>
      </c>
      <c r="AX53" s="163">
        <f t="shared" si="36"/>
        <v>5166.1988083096076</v>
      </c>
      <c r="AY53" s="163">
        <f t="shared" si="36"/>
        <v>4350.8167028112239</v>
      </c>
      <c r="AZ53" s="163">
        <f t="shared" si="36"/>
        <v>2302.0887574111575</v>
      </c>
      <c r="BA53" s="163">
        <f t="shared" si="36"/>
        <v>3243.0668984531367</v>
      </c>
      <c r="BB53" s="163">
        <f t="shared" si="36"/>
        <v>5140.4963266762261</v>
      </c>
      <c r="BC53" s="163">
        <f t="shared" si="36"/>
        <v>4329.170848568383</v>
      </c>
      <c r="BD53" s="163">
        <f t="shared" si="36"/>
        <v>2307.6635750949786</v>
      </c>
      <c r="BE53" s="163">
        <f t="shared" si="36"/>
        <v>3209.9042416854159</v>
      </c>
      <c r="BF53" s="163">
        <f t="shared" si="36"/>
        <v>5114.9217180857977</v>
      </c>
      <c r="BG53" s="163">
        <f t="shared" si="36"/>
        <v>4307.6326851426684</v>
      </c>
      <c r="BH53" s="163">
        <f t="shared" si="36"/>
        <v>2279.2393826005882</v>
      </c>
      <c r="BI53" s="163">
        <f t="shared" si="36"/>
        <v>3210.8778480266706</v>
      </c>
      <c r="BJ53" s="163">
        <f t="shared" si="36"/>
        <v>5089.474346354029</v>
      </c>
      <c r="BK53" s="163">
        <f t="shared" si="36"/>
        <v>4286.2016767588739</v>
      </c>
      <c r="BL53" s="163">
        <f t="shared" si="36"/>
        <v>2267.8998831846657</v>
      </c>
      <c r="BM53" s="163">
        <f t="shared" si="36"/>
        <v>3194.9033313698219</v>
      </c>
      <c r="BN53" s="163">
        <f t="shared" si="36"/>
        <v>5064.1535784617208</v>
      </c>
      <c r="BO53" s="163">
        <f t="shared" si="36"/>
        <v>4264.8772903073386</v>
      </c>
      <c r="BP53" s="163">
        <f t="shared" si="36"/>
        <v>2256.6167991887223</v>
      </c>
      <c r="BQ53" s="163">
        <f t="shared" si="36"/>
        <v>3179.0082899202216</v>
      </c>
      <c r="BR53" s="163">
        <f t="shared" si="36"/>
        <v>5038.958784539027</v>
      </c>
      <c r="BS53" s="163">
        <f t="shared" si="36"/>
        <v>4243.6589953306866</v>
      </c>
      <c r="BT53" s="163">
        <f t="shared" si="36"/>
        <v>2262.0815004072233</v>
      </c>
      <c r="BU53" s="163">
        <f t="shared" si="36"/>
        <v>3146.5006778106322</v>
      </c>
      <c r="BV53" s="163">
        <f t="shared" si="36"/>
        <v>5013.8893378497796</v>
      </c>
      <c r="BW53" s="163">
        <f t="shared" ref="BW53:EA53" si="37" xml:space="preserve"> BW50 + BW52</f>
        <v>4222.5462640106343</v>
      </c>
      <c r="BX53" s="163">
        <f t="shared" si="37"/>
        <v>2234.2187561582364</v>
      </c>
      <c r="BY53" s="163">
        <f t="shared" si="37"/>
        <v>3147.4550530137594</v>
      </c>
      <c r="BZ53" s="163">
        <f t="shared" si="37"/>
        <v>4988.944614775899</v>
      </c>
      <c r="CA53" s="163">
        <f t="shared" si="37"/>
        <v>4201.5385711548606</v>
      </c>
      <c r="CB53" s="163">
        <f t="shared" si="37"/>
        <v>2223.1032399584446</v>
      </c>
      <c r="CC53" s="163">
        <f t="shared" si="37"/>
        <v>3131.7960726505071</v>
      </c>
      <c r="CD53" s="163">
        <f t="shared" si="37"/>
        <v>4964.123994801892</v>
      </c>
      <c r="CE53" s="163">
        <f t="shared" si="37"/>
        <v>4180.6353941839425</v>
      </c>
      <c r="CF53" s="163">
        <f t="shared" si="37"/>
        <v>2212.0430248342732</v>
      </c>
      <c r="CG53" s="163">
        <f t="shared" si="37"/>
        <v>3116.2149976621968</v>
      </c>
      <c r="CH53" s="163">
        <f t="shared" si="37"/>
        <v>4939.4268604993958</v>
      </c>
      <c r="CI53" s="163">
        <f t="shared" si="37"/>
        <v>4159.8362131183512</v>
      </c>
      <c r="CJ53" s="163">
        <f t="shared" si="37"/>
        <v>2217.3997846605475</v>
      </c>
      <c r="CK53" s="163">
        <f t="shared" si="37"/>
        <v>3084.3494914553448</v>
      </c>
      <c r="CL53" s="163">
        <f t="shared" si="37"/>
        <v>4914.8525975118364</v>
      </c>
      <c r="CM53" s="163">
        <f t="shared" si="37"/>
        <v>4139.140510565524</v>
      </c>
      <c r="CN53" s="163">
        <f t="shared" si="37"/>
        <v>2190.0873986626812</v>
      </c>
      <c r="CO53" s="163">
        <f t="shared" si="37"/>
        <v>3085.2850153829831</v>
      </c>
      <c r="CP53" s="163">
        <f t="shared" si="37"/>
        <v>4890.40059453914</v>
      </c>
      <c r="CQ53" s="163">
        <f t="shared" si="37"/>
        <v>4118.547771706988</v>
      </c>
      <c r="CR53" s="163">
        <f t="shared" si="37"/>
        <v>2179.1914414554049</v>
      </c>
      <c r="CS53" s="163">
        <f t="shared" si="37"/>
        <v>3069.9353386895355</v>
      </c>
      <c r="CT53" s="163">
        <f t="shared" si="37"/>
        <v>4866.0702433225306</v>
      </c>
      <c r="CU53" s="163">
        <f t="shared" si="37"/>
        <v>4098.0574842855613</v>
      </c>
      <c r="CV53" s="163">
        <f t="shared" si="37"/>
        <v>2168.3496929904522</v>
      </c>
      <c r="CW53" s="163">
        <f t="shared" si="37"/>
        <v>3054.6620285468025</v>
      </c>
      <c r="CX53" s="163">
        <f t="shared" si="37"/>
        <v>4841.8609386293838</v>
      </c>
      <c r="CY53" s="163">
        <f t="shared" si="37"/>
        <v>4077.6691385925992</v>
      </c>
      <c r="CZ53" s="163">
        <f t="shared" si="37"/>
        <v>2173.6006435345062</v>
      </c>
      <c r="DA53" s="163">
        <f t="shared" si="37"/>
        <v>3023.4259450597783</v>
      </c>
      <c r="DB53" s="163">
        <f t="shared" si="37"/>
        <v>4817.772078238193</v>
      </c>
      <c r="DC53" s="163">
        <f t="shared" si="37"/>
        <v>4057.3822274553245</v>
      </c>
      <c r="DD53" s="163">
        <f t="shared" si="37"/>
        <v>2146.8277448483486</v>
      </c>
      <c r="DE53" s="163">
        <f t="shared" si="37"/>
        <v>3024.3429900713381</v>
      </c>
      <c r="DF53" s="163">
        <f t="shared" si="37"/>
        <v>4793.8030629235755</v>
      </c>
      <c r="DG53" s="163">
        <f t="shared" si="37"/>
        <v>4037.1962462242027</v>
      </c>
      <c r="DH53" s="163">
        <f t="shared" si="37"/>
        <v>2136.1470097993515</v>
      </c>
      <c r="DI53" s="163">
        <f t="shared" si="37"/>
        <v>1445.0406242760323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143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1771.9821428571431</v>
      </c>
      <c r="N63" s="191">
        <f xml:space="preserve"> Equity!N$27</f>
        <v>7175.364130434783</v>
      </c>
      <c r="O63" s="191">
        <f xml:space="preserve"> Equity!O$27</f>
        <v>11725.929347826088</v>
      </c>
      <c r="P63" s="191">
        <f xml:space="preserve"> Equity!P$27</f>
        <v>14133.708333333334</v>
      </c>
      <c r="Q63" s="191">
        <f xml:space="preserve"> Equity!Q$27</f>
        <v>17525.66631130064</v>
      </c>
      <c r="R63" s="191">
        <f xml:space="preserve"> Equity!R$27</f>
        <v>22902.165801427647</v>
      </c>
      <c r="S63" s="191">
        <f xml:space="preserve"> Equity!S$27</f>
        <v>27430.091390871734</v>
      </c>
      <c r="T63" s="191">
        <f xml:space="preserve"> Equity!T$27</f>
        <v>29825.89137645108</v>
      </c>
      <c r="U63" s="191">
        <f xml:space="preserve"> Equity!U$27</f>
        <v>33200.973941592682</v>
      </c>
      <c r="V63" s="191">
        <f xml:space="preserve"> Equity!V$27</f>
        <v>38550.724678037463</v>
      </c>
      <c r="W63" s="191">
        <f xml:space="preserve"> Equity!W$27</f>
        <v>43056.123274499238</v>
      </c>
      <c r="X63" s="191">
        <f xml:space="preserve"> Equity!X$27</f>
        <v>45457.725012110735</v>
      </c>
      <c r="Y63" s="191">
        <f xml:space="preserve"> Equity!Y$27</f>
        <v>48798.294966758884</v>
      </c>
      <c r="Z63" s="191">
        <f xml:space="preserve"> Equity!Z$27</f>
        <v>54121.430027897972</v>
      </c>
      <c r="AA63" s="191">
        <f xml:space="preserve"> Equity!AA$27</f>
        <v>58604.413705969389</v>
      </c>
      <c r="AB63" s="191">
        <f xml:space="preserve"> Equity!AB$27</f>
        <v>60976.434186234088</v>
      </c>
      <c r="AC63" s="191">
        <f xml:space="preserve"> Equity!AC$27</f>
        <v>64318.017379859593</v>
      </c>
      <c r="AD63" s="191">
        <f xml:space="preserve"> Equity!AD$27</f>
        <v>69614.669181988036</v>
      </c>
      <c r="AE63" s="191">
        <f xml:space="preserve"> Equity!AE$27</f>
        <v>74075.349458676021</v>
      </c>
      <c r="AF63" s="191">
        <f xml:space="preserve"> Equity!AF$27</f>
        <v>76435.568842023975</v>
      </c>
      <c r="AG63" s="191">
        <f xml:space="preserve"> Equity!AG$27</f>
        <v>79760.527243641394</v>
      </c>
      <c r="AH63" s="191">
        <f xml:space="preserve"> Equity!AH$27</f>
        <v>85030.827544266707</v>
      </c>
      <c r="AI63" s="191">
        <f xml:space="preserve"> Equity!AI$27</f>
        <v>89469.315381767185</v>
      </c>
      <c r="AJ63" s="191">
        <f xml:space="preserve"> Equity!AJ$27</f>
        <v>91817.792380123356</v>
      </c>
      <c r="AK63" s="191">
        <f xml:space="preserve"> Equity!AK$27</f>
        <v>95126.208700140691</v>
      </c>
      <c r="AL63" s="191">
        <f xml:space="preserve"> Equity!AL$27</f>
        <v>100370.28860126041</v>
      </c>
      <c r="AM63" s="191">
        <f xml:space="preserve"> Equity!AM$27</f>
        <v>104786.69440971861</v>
      </c>
      <c r="AN63" s="191">
        <f xml:space="preserve"> Equity!AN$27</f>
        <v>107140.85856112583</v>
      </c>
      <c r="AO63" s="191">
        <f xml:space="preserve"> Equity!AO$27</f>
        <v>110415.44398023952</v>
      </c>
      <c r="AP63" s="191">
        <f xml:space="preserve"> Equity!AP$27</f>
        <v>115633.43393160243</v>
      </c>
      <c r="AQ63" s="191">
        <f xml:space="preserve"> Equity!AQ$27</f>
        <v>120027.86757185933</v>
      </c>
      <c r="AR63" s="191">
        <f xml:space="preserve"> Equity!AR$27</f>
        <v>122353.03476906354</v>
      </c>
      <c r="AS63" s="191">
        <f xml:space="preserve"> Equity!AS$27</f>
        <v>125628.61341317366</v>
      </c>
      <c r="AT63" s="191">
        <f xml:space="preserve"> Equity!AT$27</f>
        <v>130820.64321552482</v>
      </c>
      <c r="AU63" s="191">
        <f xml:space="preserve"> Equity!AU$27</f>
        <v>135193.21400185011</v>
      </c>
      <c r="AV63" s="191">
        <f xml:space="preserve"> Equity!AV$27</f>
        <v>137506.81320304831</v>
      </c>
      <c r="AW63" s="191">
        <f xml:space="preserve"> Equity!AW$27</f>
        <v>140766.09543599372</v>
      </c>
      <c r="AX63" s="191">
        <f xml:space="preserve"> Equity!AX$27</f>
        <v>145932.29424430331</v>
      </c>
      <c r="AY63" s="191">
        <f xml:space="preserve"> Equity!AY$27</f>
        <v>150283.11094711453</v>
      </c>
      <c r="AZ63" s="191">
        <f xml:space="preserve"> Equity!AZ$27</f>
        <v>152585.1997045257</v>
      </c>
      <c r="BA63" s="191">
        <f xml:space="preserve"> Equity!BA$27</f>
        <v>155828.26660297884</v>
      </c>
      <c r="BB63" s="191">
        <f xml:space="preserve"> Equity!BB$27</f>
        <v>160968.76292965506</v>
      </c>
      <c r="BC63" s="191">
        <f xml:space="preserve"> Equity!BC$27</f>
        <v>165297.93377822344</v>
      </c>
      <c r="BD63" s="191">
        <f xml:space="preserve"> Equity!BD$27</f>
        <v>167605.59735331842</v>
      </c>
      <c r="BE63" s="191">
        <f xml:space="preserve"> Equity!BE$27</f>
        <v>170815.50159500382</v>
      </c>
      <c r="BF63" s="191">
        <f xml:space="preserve"> Equity!BF$27</f>
        <v>175930.42331308962</v>
      </c>
      <c r="BG63" s="191">
        <f xml:space="preserve"> Equity!BG$27</f>
        <v>180238.05599823227</v>
      </c>
      <c r="BH63" s="191">
        <f xml:space="preserve"> Equity!BH$27</f>
        <v>182517.29538083286</v>
      </c>
      <c r="BI63" s="191">
        <f xml:space="preserve"> Equity!BI$27</f>
        <v>185728.17322885952</v>
      </c>
      <c r="BJ63" s="191">
        <f xml:space="preserve"> Equity!BJ$27</f>
        <v>190817.64757521354</v>
      </c>
      <c r="BK63" s="191">
        <f xml:space="preserve"> Equity!BK$27</f>
        <v>195103.84925197242</v>
      </c>
      <c r="BL63" s="191">
        <f xml:space="preserve"> Equity!BL$27</f>
        <v>197371.74913515709</v>
      </c>
      <c r="BM63" s="191">
        <f xml:space="preserve"> Equity!BM$27</f>
        <v>200566.65246652692</v>
      </c>
      <c r="BN63" s="191">
        <f xml:space="preserve"> Equity!BN$27</f>
        <v>205630.80604498865</v>
      </c>
      <c r="BO63" s="191">
        <f xml:space="preserve"> Equity!BO$27</f>
        <v>209895.68333529599</v>
      </c>
      <c r="BP63" s="191">
        <f xml:space="preserve"> Equity!BP$27</f>
        <v>212152.30013448471</v>
      </c>
      <c r="BQ63" s="191">
        <f xml:space="preserve"> Equity!BQ$27</f>
        <v>215331.30842440494</v>
      </c>
      <c r="BR63" s="191">
        <f xml:space="preserve"> Equity!BR$27</f>
        <v>220370.26720894396</v>
      </c>
      <c r="BS63" s="191">
        <f xml:space="preserve"> Equity!BS$27</f>
        <v>224613.92620427464</v>
      </c>
      <c r="BT63" s="191">
        <f xml:space="preserve"> Equity!BT$27</f>
        <v>226876.00770468186</v>
      </c>
      <c r="BU63" s="191">
        <f xml:space="preserve"> Equity!BU$27</f>
        <v>230022.5083824925</v>
      </c>
      <c r="BV63" s="191">
        <f xml:space="preserve"> Equity!BV$27</f>
        <v>235036.39772034227</v>
      </c>
      <c r="BW63" s="191">
        <f xml:space="preserve"> Equity!BW$27</f>
        <v>239258.9439843529</v>
      </c>
      <c r="BX63" s="191">
        <f xml:space="preserve"> Equity!BX$27</f>
        <v>241493.16274051112</v>
      </c>
      <c r="BY63" s="191">
        <f xml:space="preserve"> Equity!BY$27</f>
        <v>244640.61779352487</v>
      </c>
      <c r="BZ63" s="191">
        <f xml:space="preserve"> Equity!BZ$27</f>
        <v>249629.56240830076</v>
      </c>
      <c r="CA63" s="191">
        <f xml:space="preserve"> Equity!CA$27</f>
        <v>253831.10097945563</v>
      </c>
      <c r="CB63" s="191">
        <f xml:space="preserve"> Equity!CB$27</f>
        <v>256054.20421941407</v>
      </c>
      <c r="CC63" s="191">
        <f xml:space="preserve"> Equity!CC$27</f>
        <v>259186.00029206456</v>
      </c>
      <c r="CD63" s="191">
        <f xml:space="preserve"> Equity!CD$27</f>
        <v>264150.12428686646</v>
      </c>
      <c r="CE63" s="191">
        <f xml:space="preserve"> Equity!CE$27</f>
        <v>268330.75968105037</v>
      </c>
      <c r="CF63" s="191">
        <f xml:space="preserve"> Equity!CF$27</f>
        <v>270542.80270588462</v>
      </c>
      <c r="CG63" s="191">
        <f xml:space="preserve"> Equity!CG$27</f>
        <v>273659.01770354679</v>
      </c>
      <c r="CH63" s="191">
        <f xml:space="preserve"> Equity!CH$27</f>
        <v>278598.44456404616</v>
      </c>
      <c r="CI63" s="191">
        <f xml:space="preserve"> Equity!CI$27</f>
        <v>282758.2807771645</v>
      </c>
      <c r="CJ63" s="191">
        <f xml:space="preserve"> Equity!CJ$27</f>
        <v>284975.68056182505</v>
      </c>
      <c r="CK63" s="191">
        <f xml:space="preserve"> Equity!CK$27</f>
        <v>288060.03005328041</v>
      </c>
      <c r="CL63" s="191">
        <f xml:space="preserve"> Equity!CL$27</f>
        <v>292974.88265079225</v>
      </c>
      <c r="CM63" s="191">
        <f xml:space="preserve"> Equity!CM$27</f>
        <v>297114.02316135779</v>
      </c>
      <c r="CN63" s="191">
        <f xml:space="preserve"> Equity!CN$27</f>
        <v>299304.11056002049</v>
      </c>
      <c r="CO63" s="191">
        <f xml:space="preserve"> Equity!CO$27</f>
        <v>302389.39557540347</v>
      </c>
      <c r="CP63" s="191">
        <f xml:space="preserve"> Equity!CP$27</f>
        <v>307279.79616994259</v>
      </c>
      <c r="CQ63" s="191">
        <f xml:space="preserve"> Equity!CQ$27</f>
        <v>311398.3439416496</v>
      </c>
      <c r="CR63" s="191">
        <f xml:space="preserve"> Equity!CR$27</f>
        <v>313577.53538310499</v>
      </c>
      <c r="CS63" s="191">
        <f xml:space="preserve"> Equity!CS$27</f>
        <v>316647.47072179453</v>
      </c>
      <c r="CT63" s="191">
        <f xml:space="preserve"> Equity!CT$27</f>
        <v>321513.54096511705</v>
      </c>
      <c r="CU63" s="191">
        <f xml:space="preserve"> Equity!CU$27</f>
        <v>325611.59844940261</v>
      </c>
      <c r="CV63" s="191">
        <f xml:space="preserve"> Equity!CV$27</f>
        <v>327779.94814239308</v>
      </c>
      <c r="CW63" s="191">
        <f xml:space="preserve"> Equity!CW$27</f>
        <v>330834.61017093988</v>
      </c>
      <c r="CX63" s="191">
        <f xml:space="preserve"> Equity!CX$27</f>
        <v>335676.47110956925</v>
      </c>
      <c r="CY63" s="191">
        <f xml:space="preserve"> Equity!CY$27</f>
        <v>339754.14024816186</v>
      </c>
      <c r="CZ63" s="191">
        <f xml:space="preserve"> Equity!CZ$27</f>
        <v>341927.74089169636</v>
      </c>
      <c r="DA63" s="191">
        <f xml:space="preserve"> Equity!DA$27</f>
        <v>344951.16683675617</v>
      </c>
      <c r="DB63" s="191">
        <f xml:space="preserve"> Equity!DB$27</f>
        <v>349768.93891499436</v>
      </c>
      <c r="DC63" s="191">
        <f xml:space="preserve"> Equity!DC$27</f>
        <v>353826.32114244968</v>
      </c>
      <c r="DD63" s="191">
        <f xml:space="preserve"> Equity!DD$27</f>
        <v>355973.14888729801</v>
      </c>
      <c r="DE63" s="191">
        <f xml:space="preserve"> Equity!DE$27</f>
        <v>358997.49187736935</v>
      </c>
      <c r="DF63" s="191">
        <f xml:space="preserve"> Equity!DF$27</f>
        <v>363791.29494029295</v>
      </c>
      <c r="DG63" s="191">
        <f xml:space="preserve"> Equity!DG$27</f>
        <v>367828.49118651717</v>
      </c>
      <c r="DH63" s="191">
        <f xml:space="preserve"> Equity!DH$27</f>
        <v>369964.63819631655</v>
      </c>
      <c r="DI63" s="191">
        <f xml:space="preserve"> Equity!DI$27</f>
        <v>371409.67882059258</v>
      </c>
      <c r="DJ63" s="191">
        <f xml:space="preserve"> Equity!DJ$27</f>
        <v>371409.67882059258</v>
      </c>
      <c r="DK63" s="191">
        <f xml:space="preserve"> Equity!DK$27</f>
        <v>371409.67882059258</v>
      </c>
      <c r="DL63" s="191">
        <f xml:space="preserve"> Equity!DL$27</f>
        <v>371409.67882059258</v>
      </c>
      <c r="DM63" s="191">
        <f xml:space="preserve"> Equity!DM$27</f>
        <v>371409.67882059258</v>
      </c>
      <c r="DN63" s="191">
        <f xml:space="preserve"> Equity!DN$27</f>
        <v>371409.67882059258</v>
      </c>
      <c r="DO63" s="191">
        <f xml:space="preserve"> Equity!DO$27</f>
        <v>371409.67882059258</v>
      </c>
      <c r="DP63" s="191">
        <f xml:space="preserve"> Equity!DP$27</f>
        <v>371409.67882059258</v>
      </c>
      <c r="DQ63" s="191">
        <f xml:space="preserve"> Equity!DQ$27</f>
        <v>371409.67882059258</v>
      </c>
      <c r="DR63" s="191">
        <f xml:space="preserve"> Equity!DR$27</f>
        <v>371409.67882059258</v>
      </c>
      <c r="DS63" s="191">
        <f xml:space="preserve"> Equity!DS$27</f>
        <v>371409.67882059258</v>
      </c>
      <c r="DT63" s="191">
        <f xml:space="preserve"> Equity!DT$27</f>
        <v>371409.67882059258</v>
      </c>
      <c r="DU63" s="191">
        <f xml:space="preserve"> Equity!DU$27</f>
        <v>371409.67882059258</v>
      </c>
      <c r="DV63" s="191">
        <f xml:space="preserve"> Equity!DV$27</f>
        <v>371409.67882059258</v>
      </c>
      <c r="DW63" s="191">
        <f xml:space="preserve"> Equity!DW$27</f>
        <v>371409.67882059258</v>
      </c>
      <c r="DX63" s="191">
        <f xml:space="preserve"> Equity!DX$27</f>
        <v>371409.67882059258</v>
      </c>
      <c r="DY63" s="191">
        <f xml:space="preserve"> Equity!DY$27</f>
        <v>371409.67882059258</v>
      </c>
      <c r="DZ63" s="191">
        <f xml:space="preserve"> Equity!DZ$27</f>
        <v>371409.67882059258</v>
      </c>
      <c r="EA63" s="191">
        <f xml:space="preserve"> Equity!EA$27</f>
        <v>371409.67882059258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5201.625</v>
      </c>
      <c r="N65" s="188">
        <f t="shared" si="42"/>
        <v>10876.125</v>
      </c>
      <c r="O65" s="188">
        <f t="shared" si="42"/>
        <v>13319.3125</v>
      </c>
      <c r="P65" s="188">
        <f t="shared" si="42"/>
        <v>15762.5</v>
      </c>
      <c r="Q65" s="188">
        <f t="shared" si="42"/>
        <v>20938.246268656716</v>
      </c>
      <c r="R65" s="188">
        <f t="shared" si="42"/>
        <v>26584.514925373136</v>
      </c>
      <c r="S65" s="188">
        <f t="shared" si="42"/>
        <v>29015.547263681598</v>
      </c>
      <c r="T65" s="188">
        <f t="shared" si="42"/>
        <v>31446.579601990052</v>
      </c>
      <c r="U65" s="188">
        <f t="shared" si="42"/>
        <v>36596.575889210668</v>
      </c>
      <c r="V65" s="188">
        <f t="shared" si="42"/>
        <v>42214.753657087698</v>
      </c>
      <c r="W65" s="188">
        <f t="shared" si="42"/>
        <v>44633.691307145869</v>
      </c>
      <c r="X65" s="188">
        <f t="shared" si="42"/>
        <v>47052.628957204033</v>
      </c>
      <c r="Y65" s="188">
        <f t="shared" si="42"/>
        <v>52177.003372348918</v>
      </c>
      <c r="Z65" s="188">
        <f t="shared" si="42"/>
        <v>57767.230007052436</v>
      </c>
      <c r="AA65" s="188">
        <f t="shared" si="42"/>
        <v>60174.133141438673</v>
      </c>
      <c r="AB65" s="188">
        <f t="shared" si="42"/>
        <v>62581.03627582491</v>
      </c>
      <c r="AC65" s="188">
        <f t="shared" si="42"/>
        <v>67679.916290894456</v>
      </c>
      <c r="AD65" s="188">
        <f t="shared" si="42"/>
        <v>73242.330852788495</v>
      </c>
      <c r="AE65" s="188">
        <f t="shared" si="42"/>
        <v>75637.259344715116</v>
      </c>
      <c r="AF65" s="188">
        <f t="shared" si="42"/>
        <v>78032.187836641708</v>
      </c>
      <c r="AG65" s="188">
        <f t="shared" si="42"/>
        <v>83105.700289447224</v>
      </c>
      <c r="AH65" s="188">
        <f t="shared" si="42"/>
        <v>88640.441147053236</v>
      </c>
      <c r="AI65" s="188">
        <f t="shared" si="42"/>
        <v>91023.454571855837</v>
      </c>
      <c r="AJ65" s="188">
        <f t="shared" si="42"/>
        <v>93406.467996658423</v>
      </c>
      <c r="AK65" s="188">
        <f t="shared" si="42"/>
        <v>98454.739093977347</v>
      </c>
      <c r="AL65" s="188">
        <f t="shared" si="42"/>
        <v>103961.94392741617</v>
      </c>
      <c r="AM65" s="188">
        <f t="shared" si="42"/>
        <v>106333.10156403566</v>
      </c>
      <c r="AN65" s="188">
        <f t="shared" si="42"/>
        <v>108704.25920065517</v>
      </c>
      <c r="AO65" s="188">
        <f t="shared" si="42"/>
        <v>113727.41452137052</v>
      </c>
      <c r="AP65" s="188">
        <f t="shared" ref="AP65:BU65" si="43">SUM(AP63:AP64)</f>
        <v>119207.22032578726</v>
      </c>
      <c r="AQ65" s="188">
        <f t="shared" si="43"/>
        <v>121566.58115824446</v>
      </c>
      <c r="AR65" s="188">
        <f t="shared" si="43"/>
        <v>123925.94199070169</v>
      </c>
      <c r="AS65" s="188">
        <f t="shared" si="43"/>
        <v>128924.1064889259</v>
      </c>
      <c r="AT65" s="188">
        <f t="shared" si="43"/>
        <v>134376.6495778978</v>
      </c>
      <c r="AU65" s="188">
        <f t="shared" si="43"/>
        <v>136724.2722967607</v>
      </c>
      <c r="AV65" s="188">
        <f t="shared" si="43"/>
        <v>139071.89501562357</v>
      </c>
      <c r="AW65" s="188">
        <f t="shared" si="43"/>
        <v>144045.1930238069</v>
      </c>
      <c r="AX65" s="188">
        <f t="shared" si="43"/>
        <v>149470.60903273412</v>
      </c>
      <c r="AY65" s="188">
        <f t="shared" si="43"/>
        <v>151806.55203657781</v>
      </c>
      <c r="AZ65" s="188">
        <f t="shared" si="43"/>
        <v>154142.49504042149</v>
      </c>
      <c r="BA65" s="188">
        <f t="shared" si="43"/>
        <v>159091.05027244467</v>
      </c>
      <c r="BB65" s="188">
        <f t="shared" si="43"/>
        <v>164489.47416192453</v>
      </c>
      <c r="BC65" s="188">
        <f t="shared" si="43"/>
        <v>166813.7955587839</v>
      </c>
      <c r="BD65" s="188">
        <f t="shared" si="43"/>
        <v>169138.11695564329</v>
      </c>
      <c r="BE65" s="188">
        <f t="shared" si="43"/>
        <v>174062.05250989521</v>
      </c>
      <c r="BF65" s="188">
        <f t="shared" si="43"/>
        <v>179433.61856907915</v>
      </c>
      <c r="BG65" s="188">
        <f t="shared" si="43"/>
        <v>181746.37617789442</v>
      </c>
      <c r="BH65" s="188">
        <f t="shared" si="43"/>
        <v>184059.13378670972</v>
      </c>
      <c r="BI65" s="188">
        <f t="shared" si="43"/>
        <v>188958.57214914946</v>
      </c>
      <c r="BJ65" s="188">
        <f t="shared" si="43"/>
        <v>194303.41399908371</v>
      </c>
      <c r="BK65" s="188">
        <f t="shared" si="43"/>
        <v>196604.66535113874</v>
      </c>
      <c r="BL65" s="188">
        <f t="shared" si="43"/>
        <v>198905.91670319377</v>
      </c>
      <c r="BM65" s="188">
        <f t="shared" si="43"/>
        <v>203780.9797503975</v>
      </c>
      <c r="BN65" s="188">
        <f t="shared" si="43"/>
        <v>209099.23034734704</v>
      </c>
      <c r="BO65" s="188">
        <f t="shared" si="43"/>
        <v>211389.0326877003</v>
      </c>
      <c r="BP65" s="188">
        <f t="shared" si="43"/>
        <v>213678.83502805355</v>
      </c>
      <c r="BQ65" s="188">
        <f t="shared" si="43"/>
        <v>218529.64403024633</v>
      </c>
      <c r="BR65" s="188">
        <f t="shared" si="43"/>
        <v>223821.43566900204</v>
      </c>
      <c r="BS65" s="188">
        <f t="shared" si="43"/>
        <v>226099.84595791076</v>
      </c>
      <c r="BT65" s="188">
        <f t="shared" si="43"/>
        <v>228378.25624681948</v>
      </c>
      <c r="BU65" s="188">
        <f t="shared" si="43"/>
        <v>233204.93187089189</v>
      </c>
      <c r="BV65" s="188">
        <f t="shared" ref="BV65:DA65" si="44">SUM(BV63:BV64)</f>
        <v>238470.39618806177</v>
      </c>
      <c r="BW65" s="188">
        <f t="shared" si="44"/>
        <v>240737.47110239879</v>
      </c>
      <c r="BX65" s="188">
        <f t="shared" si="44"/>
        <v>243004.54601673581</v>
      </c>
      <c r="BY65" s="188">
        <f t="shared" si="44"/>
        <v>247807.20832924565</v>
      </c>
      <c r="BZ65" s="188">
        <f t="shared" si="44"/>
        <v>253046.4763065291</v>
      </c>
      <c r="CA65" s="188">
        <f t="shared" si="44"/>
        <v>255302.27224119284</v>
      </c>
      <c r="CB65" s="188">
        <f t="shared" si="44"/>
        <v>257558.06817585655</v>
      </c>
      <c r="CC65" s="188">
        <f t="shared" si="44"/>
        <v>262336.83664601558</v>
      </c>
      <c r="CD65" s="188">
        <f t="shared" si="44"/>
        <v>267550.03861346183</v>
      </c>
      <c r="CE65" s="188">
        <f t="shared" si="44"/>
        <v>269794.61168277892</v>
      </c>
      <c r="CF65" s="188">
        <f t="shared" si="44"/>
        <v>272039.18475209601</v>
      </c>
      <c r="CG65" s="188">
        <f t="shared" si="44"/>
        <v>276794.17825474183</v>
      </c>
      <c r="CH65" s="188">
        <f t="shared" si="44"/>
        <v>281981.44389399182</v>
      </c>
      <c r="CI65" s="188">
        <f t="shared" si="44"/>
        <v>284214.84993311332</v>
      </c>
      <c r="CJ65" s="188">
        <f t="shared" si="44"/>
        <v>286448.25597223482</v>
      </c>
      <c r="CK65" s="188">
        <f t="shared" si="44"/>
        <v>291179.59279078792</v>
      </c>
      <c r="CL65" s="188">
        <f t="shared" si="44"/>
        <v>296341.05113830033</v>
      </c>
      <c r="CM65" s="188">
        <f t="shared" si="44"/>
        <v>298563.34570459044</v>
      </c>
      <c r="CN65" s="188">
        <f t="shared" si="44"/>
        <v>300785.64027088054</v>
      </c>
      <c r="CO65" s="188">
        <f t="shared" si="44"/>
        <v>305493.43810028658</v>
      </c>
      <c r="CP65" s="188">
        <f t="shared" si="44"/>
        <v>310629.21755054768</v>
      </c>
      <c r="CQ65" s="188">
        <f t="shared" si="44"/>
        <v>312840.45592496567</v>
      </c>
      <c r="CR65" s="188">
        <f t="shared" si="44"/>
        <v>315051.69429938367</v>
      </c>
      <c r="CS65" s="188">
        <f t="shared" si="44"/>
        <v>319736.07024904137</v>
      </c>
      <c r="CT65" s="188">
        <f t="shared" si="44"/>
        <v>324846.29855775891</v>
      </c>
      <c r="CU65" s="188">
        <f t="shared" si="44"/>
        <v>327046.53574623453</v>
      </c>
      <c r="CV65" s="188">
        <f t="shared" si="44"/>
        <v>329246.77293471014</v>
      </c>
      <c r="CW65" s="188">
        <f t="shared" si="44"/>
        <v>333907.84353138454</v>
      </c>
      <c r="CX65" s="188">
        <f t="shared" si="44"/>
        <v>338992.64781866566</v>
      </c>
      <c r="CY65" s="188">
        <f t="shared" si="44"/>
        <v>341181.93855346722</v>
      </c>
      <c r="CZ65" s="188">
        <f t="shared" si="44"/>
        <v>343371.22928826883</v>
      </c>
      <c r="DA65" s="188">
        <f t="shared" si="44"/>
        <v>348009.11047898966</v>
      </c>
      <c r="DB65" s="188">
        <f t="shared" ref="DB65:EA65" si="45">SUM(DB63:DB64)</f>
        <v>353068.61723250319</v>
      </c>
      <c r="DC65" s="188">
        <f t="shared" si="45"/>
        <v>355247.01597359934</v>
      </c>
      <c r="DD65" s="188">
        <f t="shared" si="45"/>
        <v>357425.41471469542</v>
      </c>
      <c r="DE65" s="188">
        <f t="shared" si="45"/>
        <v>362040.22186964145</v>
      </c>
      <c r="DF65" s="188">
        <f t="shared" si="45"/>
        <v>367074.55694776442</v>
      </c>
      <c r="DG65" s="188">
        <f t="shared" si="45"/>
        <v>369242.11788417853</v>
      </c>
      <c r="DH65" s="188">
        <f t="shared" si="45"/>
        <v>371409.67882059258</v>
      </c>
      <c r="DI65" s="188">
        <f t="shared" si="45"/>
        <v>371409.67882059258</v>
      </c>
      <c r="DJ65" s="188">
        <f t="shared" si="45"/>
        <v>371409.67882059258</v>
      </c>
      <c r="DK65" s="188">
        <f t="shared" si="45"/>
        <v>371409.67882059258</v>
      </c>
      <c r="DL65" s="188">
        <f t="shared" si="45"/>
        <v>371409.67882059258</v>
      </c>
      <c r="DM65" s="188">
        <f t="shared" si="45"/>
        <v>371409.67882059258</v>
      </c>
      <c r="DN65" s="188">
        <f t="shared" si="45"/>
        <v>371409.67882059258</v>
      </c>
      <c r="DO65" s="188">
        <f t="shared" si="45"/>
        <v>371409.67882059258</v>
      </c>
      <c r="DP65" s="188">
        <f t="shared" si="45"/>
        <v>371409.67882059258</v>
      </c>
      <c r="DQ65" s="188">
        <f t="shared" si="45"/>
        <v>371409.67882059258</v>
      </c>
      <c r="DR65" s="188">
        <f t="shared" si="45"/>
        <v>371409.67882059258</v>
      </c>
      <c r="DS65" s="188">
        <f t="shared" si="45"/>
        <v>371409.67882059258</v>
      </c>
      <c r="DT65" s="188">
        <f t="shared" si="45"/>
        <v>371409.67882059258</v>
      </c>
      <c r="DU65" s="188">
        <f t="shared" si="45"/>
        <v>371409.67882059258</v>
      </c>
      <c r="DV65" s="188">
        <f t="shared" si="45"/>
        <v>371409.67882059258</v>
      </c>
      <c r="DW65" s="188">
        <f t="shared" si="45"/>
        <v>371409.67882059258</v>
      </c>
      <c r="DX65" s="188">
        <f t="shared" si="45"/>
        <v>371409.67882059258</v>
      </c>
      <c r="DY65" s="188">
        <f t="shared" si="45"/>
        <v>371409.67882059258</v>
      </c>
      <c r="DZ65" s="188">
        <f t="shared" si="45"/>
        <v>371409.67882059258</v>
      </c>
      <c r="EA65" s="188">
        <f t="shared" si="45"/>
        <v>371409.67882059258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5201.625</v>
      </c>
      <c r="N67" s="163">
        <f t="shared" si="46"/>
        <v>10876.125</v>
      </c>
      <c r="O67" s="163">
        <f t="shared" si="46"/>
        <v>13319.3125</v>
      </c>
      <c r="P67" s="163">
        <f t="shared" si="46"/>
        <v>15762.5</v>
      </c>
      <c r="Q67" s="163">
        <f t="shared" si="46"/>
        <v>20938.246268656716</v>
      </c>
      <c r="R67" s="163">
        <f t="shared" si="46"/>
        <v>26584.514925373136</v>
      </c>
      <c r="S67" s="163">
        <f t="shared" si="46"/>
        <v>29015.547263681598</v>
      </c>
      <c r="T67" s="163">
        <f t="shared" si="46"/>
        <v>31446.579601990052</v>
      </c>
      <c r="U67" s="163">
        <f t="shared" si="46"/>
        <v>36596.575889210668</v>
      </c>
      <c r="V67" s="163">
        <f t="shared" si="46"/>
        <v>42214.753657087698</v>
      </c>
      <c r="W67" s="163">
        <f t="shared" si="46"/>
        <v>44633.691307145869</v>
      </c>
      <c r="X67" s="163">
        <f t="shared" si="46"/>
        <v>47052.628957204033</v>
      </c>
      <c r="Y67" s="163">
        <f t="shared" si="46"/>
        <v>52177.003372348918</v>
      </c>
      <c r="Z67" s="163">
        <f t="shared" si="46"/>
        <v>57767.230007052436</v>
      </c>
      <c r="AA67" s="163">
        <f t="shared" si="46"/>
        <v>60174.133141438673</v>
      </c>
      <c r="AB67" s="163">
        <f t="shared" si="46"/>
        <v>62581.03627582491</v>
      </c>
      <c r="AC67" s="163">
        <f t="shared" si="46"/>
        <v>67679.916290894456</v>
      </c>
      <c r="AD67" s="163">
        <f t="shared" si="46"/>
        <v>73242.330852788495</v>
      </c>
      <c r="AE67" s="163">
        <f t="shared" si="46"/>
        <v>75637.259344715116</v>
      </c>
      <c r="AF67" s="163">
        <f t="shared" si="46"/>
        <v>78032.187836641708</v>
      </c>
      <c r="AG67" s="163">
        <f t="shared" si="46"/>
        <v>83105.700289447224</v>
      </c>
      <c r="AH67" s="163">
        <f t="shared" si="46"/>
        <v>88640.441147053236</v>
      </c>
      <c r="AI67" s="163">
        <f t="shared" si="46"/>
        <v>91023.454571855837</v>
      </c>
      <c r="AJ67" s="163">
        <f t="shared" si="46"/>
        <v>93406.467996658423</v>
      </c>
      <c r="AK67" s="163">
        <f t="shared" si="46"/>
        <v>98454.739093977347</v>
      </c>
      <c r="AL67" s="163">
        <f t="shared" si="46"/>
        <v>103961.94392741617</v>
      </c>
      <c r="AM67" s="163">
        <f t="shared" si="46"/>
        <v>106333.10156403566</v>
      </c>
      <c r="AN67" s="163">
        <f t="shared" si="46"/>
        <v>108704.25920065517</v>
      </c>
      <c r="AO67" s="163">
        <f t="shared" si="46"/>
        <v>113727.41452137052</v>
      </c>
      <c r="AP67" s="163">
        <f t="shared" ref="AP67:BU67" si="47" xml:space="preserve"> AP65 + AP60</f>
        <v>119207.22032578726</v>
      </c>
      <c r="AQ67" s="163">
        <f t="shared" si="47"/>
        <v>121566.58115824446</v>
      </c>
      <c r="AR67" s="163">
        <f t="shared" si="47"/>
        <v>123925.94199070169</v>
      </c>
      <c r="AS67" s="163">
        <f t="shared" si="47"/>
        <v>128924.1064889259</v>
      </c>
      <c r="AT67" s="163">
        <f t="shared" si="47"/>
        <v>134376.6495778978</v>
      </c>
      <c r="AU67" s="163">
        <f t="shared" si="47"/>
        <v>136724.2722967607</v>
      </c>
      <c r="AV67" s="163">
        <f t="shared" si="47"/>
        <v>139071.89501562357</v>
      </c>
      <c r="AW67" s="163">
        <f t="shared" si="47"/>
        <v>144045.1930238069</v>
      </c>
      <c r="AX67" s="163">
        <f t="shared" si="47"/>
        <v>149470.60903273412</v>
      </c>
      <c r="AY67" s="163">
        <f t="shared" si="47"/>
        <v>151806.55203657781</v>
      </c>
      <c r="AZ67" s="163">
        <f t="shared" si="47"/>
        <v>154142.49504042149</v>
      </c>
      <c r="BA67" s="163">
        <f t="shared" si="47"/>
        <v>159091.05027244467</v>
      </c>
      <c r="BB67" s="163">
        <f t="shared" si="47"/>
        <v>164489.47416192453</v>
      </c>
      <c r="BC67" s="163">
        <f t="shared" si="47"/>
        <v>166813.7955587839</v>
      </c>
      <c r="BD67" s="163">
        <f t="shared" si="47"/>
        <v>169138.11695564329</v>
      </c>
      <c r="BE67" s="163">
        <f t="shared" si="47"/>
        <v>174062.05250989521</v>
      </c>
      <c r="BF67" s="163">
        <f t="shared" si="47"/>
        <v>179433.61856907915</v>
      </c>
      <c r="BG67" s="163">
        <f t="shared" si="47"/>
        <v>181746.37617789442</v>
      </c>
      <c r="BH67" s="163">
        <f t="shared" si="47"/>
        <v>184059.13378670972</v>
      </c>
      <c r="BI67" s="163">
        <f t="shared" si="47"/>
        <v>188958.57214914946</v>
      </c>
      <c r="BJ67" s="163">
        <f t="shared" si="47"/>
        <v>194303.41399908371</v>
      </c>
      <c r="BK67" s="163">
        <f t="shared" si="47"/>
        <v>196604.66535113874</v>
      </c>
      <c r="BL67" s="163">
        <f t="shared" si="47"/>
        <v>198905.91670319377</v>
      </c>
      <c r="BM67" s="163">
        <f t="shared" si="47"/>
        <v>203780.9797503975</v>
      </c>
      <c r="BN67" s="163">
        <f t="shared" si="47"/>
        <v>209099.23034734704</v>
      </c>
      <c r="BO67" s="163">
        <f t="shared" si="47"/>
        <v>211389.0326877003</v>
      </c>
      <c r="BP67" s="163">
        <f t="shared" si="47"/>
        <v>213678.83502805355</v>
      </c>
      <c r="BQ67" s="163">
        <f t="shared" si="47"/>
        <v>218529.64403024633</v>
      </c>
      <c r="BR67" s="163">
        <f t="shared" si="47"/>
        <v>223821.43566900204</v>
      </c>
      <c r="BS67" s="163">
        <f t="shared" si="47"/>
        <v>226099.84595791076</v>
      </c>
      <c r="BT67" s="163">
        <f t="shared" si="47"/>
        <v>228378.25624681948</v>
      </c>
      <c r="BU67" s="163">
        <f t="shared" si="47"/>
        <v>233204.93187089189</v>
      </c>
      <c r="BV67" s="163">
        <f t="shared" ref="BV67:DA67" si="48" xml:space="preserve"> BV65 + BV60</f>
        <v>238470.39618806177</v>
      </c>
      <c r="BW67" s="163">
        <f t="shared" si="48"/>
        <v>240737.47110239879</v>
      </c>
      <c r="BX67" s="163">
        <f t="shared" si="48"/>
        <v>243004.54601673581</v>
      </c>
      <c r="BY67" s="163">
        <f t="shared" si="48"/>
        <v>247807.20832924565</v>
      </c>
      <c r="BZ67" s="163">
        <f t="shared" si="48"/>
        <v>253046.4763065291</v>
      </c>
      <c r="CA67" s="163">
        <f t="shared" si="48"/>
        <v>255302.27224119284</v>
      </c>
      <c r="CB67" s="163">
        <f t="shared" si="48"/>
        <v>257558.06817585655</v>
      </c>
      <c r="CC67" s="163">
        <f t="shared" si="48"/>
        <v>262336.83664601558</v>
      </c>
      <c r="CD67" s="163">
        <f t="shared" si="48"/>
        <v>267550.03861346183</v>
      </c>
      <c r="CE67" s="163">
        <f t="shared" si="48"/>
        <v>269794.61168277892</v>
      </c>
      <c r="CF67" s="163">
        <f t="shared" si="48"/>
        <v>272039.18475209601</v>
      </c>
      <c r="CG67" s="163">
        <f t="shared" si="48"/>
        <v>276794.17825474183</v>
      </c>
      <c r="CH67" s="163">
        <f t="shared" si="48"/>
        <v>281981.44389399182</v>
      </c>
      <c r="CI67" s="163">
        <f t="shared" si="48"/>
        <v>284214.84993311332</v>
      </c>
      <c r="CJ67" s="163">
        <f t="shared" si="48"/>
        <v>286448.25597223482</v>
      </c>
      <c r="CK67" s="163">
        <f t="shared" si="48"/>
        <v>291179.59279078792</v>
      </c>
      <c r="CL67" s="163">
        <f t="shared" si="48"/>
        <v>296341.05113830033</v>
      </c>
      <c r="CM67" s="163">
        <f t="shared" si="48"/>
        <v>298563.34570459044</v>
      </c>
      <c r="CN67" s="163">
        <f t="shared" si="48"/>
        <v>300785.64027088054</v>
      </c>
      <c r="CO67" s="163">
        <f t="shared" si="48"/>
        <v>305493.43810028658</v>
      </c>
      <c r="CP67" s="163">
        <f t="shared" si="48"/>
        <v>310629.21755054768</v>
      </c>
      <c r="CQ67" s="163">
        <f t="shared" si="48"/>
        <v>312840.45592496567</v>
      </c>
      <c r="CR67" s="163">
        <f t="shared" si="48"/>
        <v>315051.69429938367</v>
      </c>
      <c r="CS67" s="163">
        <f t="shared" si="48"/>
        <v>319736.07024904137</v>
      </c>
      <c r="CT67" s="163">
        <f t="shared" si="48"/>
        <v>324846.29855775891</v>
      </c>
      <c r="CU67" s="163">
        <f t="shared" si="48"/>
        <v>327046.53574623453</v>
      </c>
      <c r="CV67" s="163">
        <f t="shared" si="48"/>
        <v>329246.77293471014</v>
      </c>
      <c r="CW67" s="163">
        <f t="shared" si="48"/>
        <v>333907.84353138454</v>
      </c>
      <c r="CX67" s="163">
        <f t="shared" si="48"/>
        <v>338992.64781866566</v>
      </c>
      <c r="CY67" s="163">
        <f t="shared" si="48"/>
        <v>341181.93855346722</v>
      </c>
      <c r="CZ67" s="163">
        <f t="shared" si="48"/>
        <v>343371.22928826883</v>
      </c>
      <c r="DA67" s="163">
        <f t="shared" si="48"/>
        <v>348009.11047898966</v>
      </c>
      <c r="DB67" s="163">
        <f t="shared" ref="DB67:EA67" si="49" xml:space="preserve"> DB65 + DB60</f>
        <v>353068.61723250319</v>
      </c>
      <c r="DC67" s="163">
        <f t="shared" si="49"/>
        <v>355247.01597359934</v>
      </c>
      <c r="DD67" s="163">
        <f t="shared" si="49"/>
        <v>357425.41471469542</v>
      </c>
      <c r="DE67" s="163">
        <f t="shared" si="49"/>
        <v>362040.22186964145</v>
      </c>
      <c r="DF67" s="163">
        <f t="shared" si="49"/>
        <v>367074.55694776442</v>
      </c>
      <c r="DG67" s="163">
        <f t="shared" si="49"/>
        <v>369242.11788417853</v>
      </c>
      <c r="DH67" s="163">
        <f t="shared" si="49"/>
        <v>371409.67882059258</v>
      </c>
      <c r="DI67" s="163">
        <f t="shared" si="49"/>
        <v>371409.67882059258</v>
      </c>
      <c r="DJ67" s="163">
        <f t="shared" si="49"/>
        <v>371409.67882059258</v>
      </c>
      <c r="DK67" s="163">
        <f t="shared" si="49"/>
        <v>371409.67882059258</v>
      </c>
      <c r="DL67" s="163">
        <f t="shared" si="49"/>
        <v>371409.67882059258</v>
      </c>
      <c r="DM67" s="163">
        <f t="shared" si="49"/>
        <v>371409.67882059258</v>
      </c>
      <c r="DN67" s="163">
        <f t="shared" si="49"/>
        <v>371409.67882059258</v>
      </c>
      <c r="DO67" s="163">
        <f t="shared" si="49"/>
        <v>371409.67882059258</v>
      </c>
      <c r="DP67" s="163">
        <f t="shared" si="49"/>
        <v>371409.67882059258</v>
      </c>
      <c r="DQ67" s="163">
        <f t="shared" si="49"/>
        <v>371409.67882059258</v>
      </c>
      <c r="DR67" s="163">
        <f t="shared" si="49"/>
        <v>371409.67882059258</v>
      </c>
      <c r="DS67" s="163">
        <f t="shared" si="49"/>
        <v>371409.67882059258</v>
      </c>
      <c r="DT67" s="163">
        <f t="shared" si="49"/>
        <v>371409.67882059258</v>
      </c>
      <c r="DU67" s="163">
        <f t="shared" si="49"/>
        <v>371409.67882059258</v>
      </c>
      <c r="DV67" s="163">
        <f t="shared" si="49"/>
        <v>371409.67882059258</v>
      </c>
      <c r="DW67" s="163">
        <f t="shared" si="49"/>
        <v>371409.67882059258</v>
      </c>
      <c r="DX67" s="163">
        <f t="shared" si="49"/>
        <v>371409.67882059258</v>
      </c>
      <c r="DY67" s="163">
        <f t="shared" si="49"/>
        <v>371409.67882059258</v>
      </c>
      <c r="DZ67" s="163">
        <f t="shared" si="49"/>
        <v>371409.67882059258</v>
      </c>
      <c r="EA67" s="163">
        <f t="shared" si="49"/>
        <v>371409.67882059258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144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145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148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5201.625</v>
      </c>
      <c r="N74" s="191">
        <f xml:space="preserve"> Equity!N$16</f>
        <v>10876.125</v>
      </c>
      <c r="O74" s="191">
        <f xml:space="preserve"> Equity!O$16</f>
        <v>13319.312499999998</v>
      </c>
      <c r="P74" s="191">
        <f xml:space="preserve"> Equity!P$16</f>
        <v>15762.499999999998</v>
      </c>
      <c r="Q74" s="191">
        <f xml:space="preserve"> Equity!Q$16</f>
        <v>20938.246268656716</v>
      </c>
      <c r="R74" s="191">
        <f xml:space="preserve"> Equity!R$16</f>
        <v>26584.514925373136</v>
      </c>
      <c r="S74" s="191">
        <f xml:space="preserve"> Equity!S$16</f>
        <v>29015.547263681594</v>
      </c>
      <c r="T74" s="191">
        <f xml:space="preserve"> Equity!T$16</f>
        <v>31446.579601990052</v>
      </c>
      <c r="U74" s="191">
        <f xml:space="preserve"> Equity!U$16</f>
        <v>36596.575889210668</v>
      </c>
      <c r="V74" s="191">
        <f xml:space="preserve"> Equity!V$16</f>
        <v>42214.753657087698</v>
      </c>
      <c r="W74" s="191">
        <f xml:space="preserve"> Equity!W$16</f>
        <v>44633.691307145862</v>
      </c>
      <c r="X74" s="191">
        <f xml:space="preserve"> Equity!X$16</f>
        <v>47052.628957204033</v>
      </c>
      <c r="Y74" s="191">
        <f xml:space="preserve"> Equity!Y$16</f>
        <v>52177.003372348925</v>
      </c>
      <c r="Z74" s="191">
        <f xml:space="preserve"> Equity!Z$16</f>
        <v>57767.230007052443</v>
      </c>
      <c r="AA74" s="191">
        <f xml:space="preserve"> Equity!AA$16</f>
        <v>60174.13314143868</v>
      </c>
      <c r="AB74" s="191">
        <f xml:space="preserve"> Equity!AB$16</f>
        <v>62581.036275824918</v>
      </c>
      <c r="AC74" s="191">
        <f xml:space="preserve"> Equity!AC$16</f>
        <v>67679.916290894456</v>
      </c>
      <c r="AD74" s="191">
        <f xml:space="preserve"> Equity!AD$16</f>
        <v>73242.330852788509</v>
      </c>
      <c r="AE74" s="191">
        <f xml:space="preserve"> Equity!AE$16</f>
        <v>75637.259344715116</v>
      </c>
      <c r="AF74" s="191">
        <f xml:space="preserve"> Equity!AF$16</f>
        <v>78032.187836641722</v>
      </c>
      <c r="AG74" s="191">
        <f xml:space="preserve"> Equity!AG$16</f>
        <v>83105.700289447239</v>
      </c>
      <c r="AH74" s="191">
        <f xml:space="preserve"> Equity!AH$16</f>
        <v>88640.441147053265</v>
      </c>
      <c r="AI74" s="191">
        <f xml:space="preserve"> Equity!AI$16</f>
        <v>91023.454571855851</v>
      </c>
      <c r="AJ74" s="191">
        <f xml:space="preserve"> Equity!AJ$16</f>
        <v>93406.467996658437</v>
      </c>
      <c r="AK74" s="191">
        <f xml:space="preserve"> Equity!AK$16</f>
        <v>98454.739093977361</v>
      </c>
      <c r="AL74" s="191">
        <f xml:space="preserve"> Equity!AL$16</f>
        <v>103961.94392741619</v>
      </c>
      <c r="AM74" s="191">
        <f xml:space="preserve"> Equity!AM$16</f>
        <v>106333.10156403568</v>
      </c>
      <c r="AN74" s="191">
        <f xml:space="preserve"> Equity!AN$16</f>
        <v>108704.25920065517</v>
      </c>
      <c r="AO74" s="191">
        <f xml:space="preserve"> Equity!AO$16</f>
        <v>113727.41452137052</v>
      </c>
      <c r="AP74" s="191">
        <f xml:space="preserve"> Equity!AP$16</f>
        <v>119207.22032578726</v>
      </c>
      <c r="AQ74" s="191">
        <f xml:space="preserve"> Equity!AQ$16</f>
        <v>121566.58115824447</v>
      </c>
      <c r="AR74" s="191">
        <f xml:space="preserve"> Equity!AR$16</f>
        <v>123925.94199070169</v>
      </c>
      <c r="AS74" s="191">
        <f xml:space="preserve"> Equity!AS$16</f>
        <v>128924.10648892591</v>
      </c>
      <c r="AT74" s="191">
        <f xml:space="preserve"> Equity!AT$16</f>
        <v>134376.6495778978</v>
      </c>
      <c r="AU74" s="191">
        <f xml:space="preserve"> Equity!AU$16</f>
        <v>136724.2722967607</v>
      </c>
      <c r="AV74" s="191">
        <f xml:space="preserve"> Equity!AV$16</f>
        <v>139071.8950156236</v>
      </c>
      <c r="AW74" s="191">
        <f xml:space="preserve"> Equity!AW$16</f>
        <v>144045.1930238069</v>
      </c>
      <c r="AX74" s="191">
        <f xml:space="preserve"> Equity!AX$16</f>
        <v>149470.60903273415</v>
      </c>
      <c r="AY74" s="191">
        <f xml:space="preserve"> Equity!AY$16</f>
        <v>151806.55203657784</v>
      </c>
      <c r="AZ74" s="191">
        <f xml:space="preserve"> Equity!AZ$16</f>
        <v>154142.49504042152</v>
      </c>
      <c r="BA74" s="191">
        <f xml:space="preserve"> Equity!BA$16</f>
        <v>159091.05027244473</v>
      </c>
      <c r="BB74" s="191">
        <f xml:space="preserve"> Equity!BB$16</f>
        <v>164489.47416192459</v>
      </c>
      <c r="BC74" s="191">
        <f xml:space="preserve"> Equity!BC$16</f>
        <v>166813.79555878398</v>
      </c>
      <c r="BD74" s="191">
        <f xml:space="preserve"> Equity!BD$16</f>
        <v>169138.11695564337</v>
      </c>
      <c r="BE74" s="191">
        <f xml:space="preserve"> Equity!BE$16</f>
        <v>174062.05250989532</v>
      </c>
      <c r="BF74" s="191">
        <f xml:space="preserve"> Equity!BF$16</f>
        <v>179433.61856907926</v>
      </c>
      <c r="BG74" s="191">
        <f xml:space="preserve"> Equity!BG$16</f>
        <v>181746.37617789456</v>
      </c>
      <c r="BH74" s="191">
        <f xml:space="preserve"> Equity!BH$16</f>
        <v>184059.13378670986</v>
      </c>
      <c r="BI74" s="191">
        <f xml:space="preserve"> Equity!BI$16</f>
        <v>188958.57214914961</v>
      </c>
      <c r="BJ74" s="191">
        <f xml:space="preserve"> Equity!BJ$16</f>
        <v>194303.41399908386</v>
      </c>
      <c r="BK74" s="191">
        <f xml:space="preserve"> Equity!BK$16</f>
        <v>196604.66535113889</v>
      </c>
      <c r="BL74" s="191">
        <f xml:space="preserve"> Equity!BL$16</f>
        <v>198905.91670319391</v>
      </c>
      <c r="BM74" s="191">
        <f xml:space="preserve"> Equity!BM$16</f>
        <v>203780.97975039764</v>
      </c>
      <c r="BN74" s="191">
        <f xml:space="preserve"> Equity!BN$16</f>
        <v>209099.23034734715</v>
      </c>
      <c r="BO74" s="191">
        <f xml:space="preserve"> Equity!BO$16</f>
        <v>211389.03268770041</v>
      </c>
      <c r="BP74" s="191">
        <f xml:space="preserve"> Equity!BP$16</f>
        <v>213678.83502805367</v>
      </c>
      <c r="BQ74" s="191">
        <f xml:space="preserve"> Equity!BQ$16</f>
        <v>218529.64403024642</v>
      </c>
      <c r="BR74" s="191">
        <f xml:space="preserve"> Equity!BR$16</f>
        <v>223821.43566900215</v>
      </c>
      <c r="BS74" s="191">
        <f xml:space="preserve"> Equity!BS$16</f>
        <v>226099.84595791087</v>
      </c>
      <c r="BT74" s="191">
        <f xml:space="preserve"> Equity!BT$16</f>
        <v>228378.2562468196</v>
      </c>
      <c r="BU74" s="191">
        <f xml:space="preserve"> Equity!BU$16</f>
        <v>233204.931870892</v>
      </c>
      <c r="BV74" s="191">
        <f xml:space="preserve"> Equity!BV$16</f>
        <v>238470.39618806189</v>
      </c>
      <c r="BW74" s="191">
        <f xml:space="preserve"> Equity!BW$16</f>
        <v>240737.47110239894</v>
      </c>
      <c r="BX74" s="191">
        <f xml:space="preserve"> Equity!BX$16</f>
        <v>243004.54601673599</v>
      </c>
      <c r="BY74" s="191">
        <f xml:space="preserve"> Equity!BY$16</f>
        <v>247807.20832924583</v>
      </c>
      <c r="BZ74" s="191">
        <f xml:space="preserve"> Equity!BZ$16</f>
        <v>253046.47630652931</v>
      </c>
      <c r="CA74" s="191">
        <f xml:space="preserve"> Equity!CA$16</f>
        <v>255302.27224119302</v>
      </c>
      <c r="CB74" s="191">
        <f xml:space="preserve"> Equity!CB$16</f>
        <v>257558.06817585672</v>
      </c>
      <c r="CC74" s="191">
        <f xml:space="preserve"> Equity!CC$16</f>
        <v>262336.83664601576</v>
      </c>
      <c r="CD74" s="191">
        <f xml:space="preserve"> Equity!CD$16</f>
        <v>267550.03861346201</v>
      </c>
      <c r="CE74" s="191">
        <f xml:space="preserve"> Equity!CE$16</f>
        <v>269794.61168277916</v>
      </c>
      <c r="CF74" s="191">
        <f xml:space="preserve"> Equity!CF$16</f>
        <v>272039.18475209631</v>
      </c>
      <c r="CG74" s="191">
        <f xml:space="preserve"> Equity!CG$16</f>
        <v>276794.17825474212</v>
      </c>
      <c r="CH74" s="191">
        <f xml:space="preserve"> Equity!CH$16</f>
        <v>281981.44389399211</v>
      </c>
      <c r="CI74" s="191">
        <f xml:space="preserve"> Equity!CI$16</f>
        <v>284214.84993311361</v>
      </c>
      <c r="CJ74" s="191">
        <f xml:space="preserve"> Equity!CJ$16</f>
        <v>286448.25597223511</v>
      </c>
      <c r="CK74" s="191">
        <f xml:space="preserve"> Equity!CK$16</f>
        <v>291179.59279078816</v>
      </c>
      <c r="CL74" s="191">
        <f xml:space="preserve"> Equity!CL$16</f>
        <v>296341.05113830057</v>
      </c>
      <c r="CM74" s="191">
        <f xml:space="preserve"> Equity!CM$16</f>
        <v>298563.34570459061</v>
      </c>
      <c r="CN74" s="191">
        <f xml:space="preserve"> Equity!CN$16</f>
        <v>300785.64027088066</v>
      </c>
      <c r="CO74" s="191">
        <f xml:space="preserve"> Equity!CO$16</f>
        <v>305493.4381002867</v>
      </c>
      <c r="CP74" s="191">
        <f xml:space="preserve"> Equity!CP$16</f>
        <v>310629.21755054785</v>
      </c>
      <c r="CQ74" s="191">
        <f xml:space="preserve"> Equity!CQ$16</f>
        <v>312840.45592496585</v>
      </c>
      <c r="CR74" s="191">
        <f xml:space="preserve"> Equity!CR$16</f>
        <v>315051.69429938385</v>
      </c>
      <c r="CS74" s="191">
        <f xml:space="preserve"> Equity!CS$16</f>
        <v>319736.0702490416</v>
      </c>
      <c r="CT74" s="191">
        <f xml:space="preserve"> Equity!CT$16</f>
        <v>324846.29855775915</v>
      </c>
      <c r="CU74" s="191">
        <f xml:space="preserve"> Equity!CU$16</f>
        <v>327046.53574623476</v>
      </c>
      <c r="CV74" s="191">
        <f xml:space="preserve"> Equity!CV$16</f>
        <v>329246.77293471037</v>
      </c>
      <c r="CW74" s="191">
        <f xml:space="preserve"> Equity!CW$16</f>
        <v>333907.84353138477</v>
      </c>
      <c r="CX74" s="191">
        <f xml:space="preserve"> Equity!CX$16</f>
        <v>338992.64781866589</v>
      </c>
      <c r="CY74" s="191">
        <f xml:space="preserve"> Equity!CY$16</f>
        <v>341181.93855346751</v>
      </c>
      <c r="CZ74" s="191">
        <f xml:space="preserve"> Equity!CZ$16</f>
        <v>343371.22928826913</v>
      </c>
      <c r="DA74" s="191">
        <f xml:space="preserve"> Equity!DA$16</f>
        <v>348009.1104789899</v>
      </c>
      <c r="DB74" s="191">
        <f xml:space="preserve"> Equity!DB$16</f>
        <v>353068.61723250349</v>
      </c>
      <c r="DC74" s="191">
        <f xml:space="preserve"> Equity!DC$16</f>
        <v>355247.01597359963</v>
      </c>
      <c r="DD74" s="191">
        <f xml:space="preserve"> Equity!DD$16</f>
        <v>357425.41471469577</v>
      </c>
      <c r="DE74" s="191">
        <f xml:space="preserve"> Equity!DE$16</f>
        <v>362040.2218696418</v>
      </c>
      <c r="DF74" s="191">
        <f xml:space="preserve"> Equity!DF$16</f>
        <v>367074.55694776477</v>
      </c>
      <c r="DG74" s="191">
        <f xml:space="preserve"> Equity!DG$16</f>
        <v>369242.11788417882</v>
      </c>
      <c r="DH74" s="191">
        <f xml:space="preserve"> Equity!DH$16</f>
        <v>371409.67882059288</v>
      </c>
      <c r="DI74" s="191">
        <f xml:space="preserve"> Equity!DI$16</f>
        <v>371409.67882059288</v>
      </c>
      <c r="DJ74" s="191">
        <f xml:space="preserve"> Equity!DJ$16</f>
        <v>371409.67882059288</v>
      </c>
      <c r="DK74" s="191">
        <f xml:space="preserve"> Equity!DK$16</f>
        <v>371409.67882059288</v>
      </c>
      <c r="DL74" s="191">
        <f xml:space="preserve"> Equity!DL$16</f>
        <v>371409.67882059288</v>
      </c>
      <c r="DM74" s="191">
        <f xml:space="preserve"> Equity!DM$16</f>
        <v>371409.67882059288</v>
      </c>
      <c r="DN74" s="191">
        <f xml:space="preserve"> Equity!DN$16</f>
        <v>371409.67882059288</v>
      </c>
      <c r="DO74" s="191">
        <f xml:space="preserve"> Equity!DO$16</f>
        <v>371409.67882059288</v>
      </c>
      <c r="DP74" s="191">
        <f xml:space="preserve"> Equity!DP$16</f>
        <v>371409.67882059288</v>
      </c>
      <c r="DQ74" s="191">
        <f xml:space="preserve"> Equity!DQ$16</f>
        <v>371409.67882059288</v>
      </c>
      <c r="DR74" s="191">
        <f xml:space="preserve"> Equity!DR$16</f>
        <v>371409.67882059288</v>
      </c>
      <c r="DS74" s="191">
        <f xml:space="preserve"> Equity!DS$16</f>
        <v>371409.67882059288</v>
      </c>
      <c r="DT74" s="191">
        <f xml:space="preserve"> Equity!DT$16</f>
        <v>371409.67882059288</v>
      </c>
      <c r="DU74" s="191">
        <f xml:space="preserve"> Equity!DU$16</f>
        <v>371409.67882059288</v>
      </c>
      <c r="DV74" s="191">
        <f xml:space="preserve"> Equity!DV$16</f>
        <v>371409.67882059288</v>
      </c>
      <c r="DW74" s="191">
        <f xml:space="preserve"> Equity!DW$16</f>
        <v>371409.67882059288</v>
      </c>
      <c r="DX74" s="191">
        <f xml:space="preserve"> Equity!DX$16</f>
        <v>371409.67882059288</v>
      </c>
      <c r="DY74" s="191">
        <f xml:space="preserve"> Equity!DY$16</f>
        <v>371409.67882059288</v>
      </c>
      <c r="DZ74" s="191">
        <f xml:space="preserve"> Equity!DZ$16</f>
        <v>371409.67882059288</v>
      </c>
      <c r="EA74" s="191">
        <f xml:space="preserve"> Equity!EA$16</f>
        <v>371409.67882059288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5201.625</v>
      </c>
      <c r="N75" s="163">
        <f t="shared" si="50"/>
        <v>10876.125</v>
      </c>
      <c r="O75" s="163">
        <f t="shared" si="50"/>
        <v>13319.312499999998</v>
      </c>
      <c r="P75" s="163">
        <f t="shared" si="50"/>
        <v>15762.499999999998</v>
      </c>
      <c r="Q75" s="163">
        <f t="shared" si="50"/>
        <v>20938.246268656716</v>
      </c>
      <c r="R75" s="163">
        <f t="shared" si="50"/>
        <v>26584.514925373136</v>
      </c>
      <c r="S75" s="163">
        <f t="shared" si="50"/>
        <v>29015.547263681594</v>
      </c>
      <c r="T75" s="163">
        <f t="shared" si="50"/>
        <v>31446.579601990052</v>
      </c>
      <c r="U75" s="163">
        <f t="shared" si="50"/>
        <v>36596.575889210668</v>
      </c>
      <c r="V75" s="163">
        <f t="shared" si="50"/>
        <v>42214.753657087698</v>
      </c>
      <c r="W75" s="163">
        <f t="shared" si="50"/>
        <v>44633.691307145862</v>
      </c>
      <c r="X75" s="163">
        <f t="shared" si="50"/>
        <v>47052.628957204033</v>
      </c>
      <c r="Y75" s="163">
        <f t="shared" si="50"/>
        <v>52177.003372348925</v>
      </c>
      <c r="Z75" s="163">
        <f t="shared" si="50"/>
        <v>57767.230007052443</v>
      </c>
      <c r="AA75" s="163">
        <f t="shared" si="50"/>
        <v>60174.13314143868</v>
      </c>
      <c r="AB75" s="163">
        <f t="shared" si="50"/>
        <v>62581.036275824918</v>
      </c>
      <c r="AC75" s="163">
        <f t="shared" si="50"/>
        <v>67679.916290894456</v>
      </c>
      <c r="AD75" s="163">
        <f t="shared" si="50"/>
        <v>73242.330852788509</v>
      </c>
      <c r="AE75" s="163">
        <f t="shared" si="50"/>
        <v>75637.259344715116</v>
      </c>
      <c r="AF75" s="163">
        <f t="shared" si="50"/>
        <v>78032.187836641722</v>
      </c>
      <c r="AG75" s="163">
        <f t="shared" si="50"/>
        <v>83105.700289447239</v>
      </c>
      <c r="AH75" s="163">
        <f t="shared" si="50"/>
        <v>88640.441147053265</v>
      </c>
      <c r="AI75" s="163">
        <f t="shared" si="50"/>
        <v>91023.454571855851</v>
      </c>
      <c r="AJ75" s="163">
        <f t="shared" si="50"/>
        <v>93406.467996658437</v>
      </c>
      <c r="AK75" s="163">
        <f t="shared" si="50"/>
        <v>98454.739093977361</v>
      </c>
      <c r="AL75" s="163">
        <f t="shared" si="50"/>
        <v>103961.94392741619</v>
      </c>
      <c r="AM75" s="163">
        <f t="shared" si="50"/>
        <v>106333.10156403568</v>
      </c>
      <c r="AN75" s="163">
        <f t="shared" si="50"/>
        <v>108704.25920065517</v>
      </c>
      <c r="AO75" s="163">
        <f t="shared" si="50"/>
        <v>113727.41452137052</v>
      </c>
      <c r="AP75" s="163">
        <f t="shared" ref="AP75:BU75" si="51" xml:space="preserve"> SUM(AP69:AP74)</f>
        <v>119207.22032578726</v>
      </c>
      <c r="AQ75" s="163">
        <f t="shared" si="51"/>
        <v>121566.58115824447</v>
      </c>
      <c r="AR75" s="163">
        <f t="shared" si="51"/>
        <v>123925.94199070169</v>
      </c>
      <c r="AS75" s="163">
        <f t="shared" si="51"/>
        <v>128924.10648892591</v>
      </c>
      <c r="AT75" s="163">
        <f t="shared" si="51"/>
        <v>134376.6495778978</v>
      </c>
      <c r="AU75" s="163">
        <f t="shared" si="51"/>
        <v>136724.2722967607</v>
      </c>
      <c r="AV75" s="163">
        <f t="shared" si="51"/>
        <v>139071.8950156236</v>
      </c>
      <c r="AW75" s="163">
        <f t="shared" si="51"/>
        <v>144045.1930238069</v>
      </c>
      <c r="AX75" s="163">
        <f t="shared" si="51"/>
        <v>149470.60903273415</v>
      </c>
      <c r="AY75" s="163">
        <f t="shared" si="51"/>
        <v>151806.55203657784</v>
      </c>
      <c r="AZ75" s="163">
        <f t="shared" si="51"/>
        <v>154142.49504042152</v>
      </c>
      <c r="BA75" s="163">
        <f t="shared" si="51"/>
        <v>159091.05027244473</v>
      </c>
      <c r="BB75" s="163">
        <f t="shared" si="51"/>
        <v>164489.47416192459</v>
      </c>
      <c r="BC75" s="163">
        <f t="shared" si="51"/>
        <v>166813.79555878398</v>
      </c>
      <c r="BD75" s="163">
        <f t="shared" si="51"/>
        <v>169138.11695564337</v>
      </c>
      <c r="BE75" s="163">
        <f t="shared" si="51"/>
        <v>174062.05250989532</v>
      </c>
      <c r="BF75" s="163">
        <f t="shared" si="51"/>
        <v>179433.61856907926</v>
      </c>
      <c r="BG75" s="163">
        <f t="shared" si="51"/>
        <v>181746.37617789456</v>
      </c>
      <c r="BH75" s="163">
        <f t="shared" si="51"/>
        <v>184059.13378670986</v>
      </c>
      <c r="BI75" s="163">
        <f t="shared" si="51"/>
        <v>188958.57214914961</v>
      </c>
      <c r="BJ75" s="163">
        <f t="shared" si="51"/>
        <v>194303.41399908386</v>
      </c>
      <c r="BK75" s="163">
        <f t="shared" si="51"/>
        <v>196604.66535113889</v>
      </c>
      <c r="BL75" s="163">
        <f t="shared" si="51"/>
        <v>198905.91670319391</v>
      </c>
      <c r="BM75" s="163">
        <f t="shared" si="51"/>
        <v>203780.97975039764</v>
      </c>
      <c r="BN75" s="163">
        <f t="shared" si="51"/>
        <v>209099.23034734715</v>
      </c>
      <c r="BO75" s="163">
        <f t="shared" si="51"/>
        <v>211389.03268770041</v>
      </c>
      <c r="BP75" s="163">
        <f t="shared" si="51"/>
        <v>213678.83502805367</v>
      </c>
      <c r="BQ75" s="163">
        <f t="shared" si="51"/>
        <v>218529.64403024642</v>
      </c>
      <c r="BR75" s="163">
        <f t="shared" si="51"/>
        <v>223821.43566900215</v>
      </c>
      <c r="BS75" s="163">
        <f t="shared" si="51"/>
        <v>226099.84595791087</v>
      </c>
      <c r="BT75" s="163">
        <f t="shared" si="51"/>
        <v>228378.2562468196</v>
      </c>
      <c r="BU75" s="163">
        <f t="shared" si="51"/>
        <v>233204.931870892</v>
      </c>
      <c r="BV75" s="163">
        <f t="shared" ref="BV75:DA75" si="52" xml:space="preserve"> SUM(BV69:BV74)</f>
        <v>238470.39618806189</v>
      </c>
      <c r="BW75" s="163">
        <f t="shared" si="52"/>
        <v>240737.47110239894</v>
      </c>
      <c r="BX75" s="163">
        <f t="shared" si="52"/>
        <v>243004.54601673599</v>
      </c>
      <c r="BY75" s="163">
        <f t="shared" si="52"/>
        <v>247807.20832924583</v>
      </c>
      <c r="BZ75" s="163">
        <f t="shared" si="52"/>
        <v>253046.47630652931</v>
      </c>
      <c r="CA75" s="163">
        <f t="shared" si="52"/>
        <v>255302.27224119302</v>
      </c>
      <c r="CB75" s="163">
        <f t="shared" si="52"/>
        <v>257558.06817585672</v>
      </c>
      <c r="CC75" s="163">
        <f t="shared" si="52"/>
        <v>262336.83664601576</v>
      </c>
      <c r="CD75" s="163">
        <f t="shared" si="52"/>
        <v>267550.03861346201</v>
      </c>
      <c r="CE75" s="163">
        <f t="shared" si="52"/>
        <v>269794.61168277916</v>
      </c>
      <c r="CF75" s="163">
        <f t="shared" si="52"/>
        <v>272039.18475209631</v>
      </c>
      <c r="CG75" s="163">
        <f t="shared" si="52"/>
        <v>276794.17825474212</v>
      </c>
      <c r="CH75" s="163">
        <f t="shared" si="52"/>
        <v>281981.44389399211</v>
      </c>
      <c r="CI75" s="163">
        <f t="shared" si="52"/>
        <v>284214.84993311361</v>
      </c>
      <c r="CJ75" s="163">
        <f t="shared" si="52"/>
        <v>286448.25597223511</v>
      </c>
      <c r="CK75" s="163">
        <f t="shared" si="52"/>
        <v>291179.59279078816</v>
      </c>
      <c r="CL75" s="163">
        <f t="shared" si="52"/>
        <v>296341.05113830057</v>
      </c>
      <c r="CM75" s="163">
        <f t="shared" si="52"/>
        <v>298563.34570459061</v>
      </c>
      <c r="CN75" s="163">
        <f t="shared" si="52"/>
        <v>300785.64027088066</v>
      </c>
      <c r="CO75" s="163">
        <f t="shared" si="52"/>
        <v>305493.4381002867</v>
      </c>
      <c r="CP75" s="163">
        <f t="shared" si="52"/>
        <v>310629.21755054785</v>
      </c>
      <c r="CQ75" s="163">
        <f t="shared" si="52"/>
        <v>312840.45592496585</v>
      </c>
      <c r="CR75" s="163">
        <f t="shared" si="52"/>
        <v>315051.69429938385</v>
      </c>
      <c r="CS75" s="163">
        <f t="shared" si="52"/>
        <v>319736.0702490416</v>
      </c>
      <c r="CT75" s="163">
        <f t="shared" si="52"/>
        <v>324846.29855775915</v>
      </c>
      <c r="CU75" s="163">
        <f t="shared" si="52"/>
        <v>327046.53574623476</v>
      </c>
      <c r="CV75" s="163">
        <f t="shared" si="52"/>
        <v>329246.77293471037</v>
      </c>
      <c r="CW75" s="163">
        <f t="shared" si="52"/>
        <v>333907.84353138477</v>
      </c>
      <c r="CX75" s="163">
        <f t="shared" si="52"/>
        <v>338992.64781866589</v>
      </c>
      <c r="CY75" s="163">
        <f t="shared" si="52"/>
        <v>341181.93855346751</v>
      </c>
      <c r="CZ75" s="163">
        <f t="shared" si="52"/>
        <v>343371.22928826913</v>
      </c>
      <c r="DA75" s="163">
        <f t="shared" si="52"/>
        <v>348009.1104789899</v>
      </c>
      <c r="DB75" s="163">
        <f t="shared" ref="DB75:EA75" si="53" xml:space="preserve"> SUM(DB69:DB74)</f>
        <v>353068.61723250349</v>
      </c>
      <c r="DC75" s="163">
        <f t="shared" si="53"/>
        <v>355247.01597359963</v>
      </c>
      <c r="DD75" s="163">
        <f t="shared" si="53"/>
        <v>357425.41471469577</v>
      </c>
      <c r="DE75" s="163">
        <f t="shared" si="53"/>
        <v>362040.2218696418</v>
      </c>
      <c r="DF75" s="163">
        <f t="shared" si="53"/>
        <v>367074.55694776477</v>
      </c>
      <c r="DG75" s="163">
        <f t="shared" si="53"/>
        <v>369242.11788417882</v>
      </c>
      <c r="DH75" s="163">
        <f t="shared" si="53"/>
        <v>371409.67882059288</v>
      </c>
      <c r="DI75" s="163">
        <f t="shared" si="53"/>
        <v>371409.67882059288</v>
      </c>
      <c r="DJ75" s="163">
        <f t="shared" si="53"/>
        <v>371409.67882059288</v>
      </c>
      <c r="DK75" s="163">
        <f t="shared" si="53"/>
        <v>371409.67882059288</v>
      </c>
      <c r="DL75" s="163">
        <f t="shared" si="53"/>
        <v>371409.67882059288</v>
      </c>
      <c r="DM75" s="163">
        <f t="shared" si="53"/>
        <v>371409.67882059288</v>
      </c>
      <c r="DN75" s="163">
        <f t="shared" si="53"/>
        <v>371409.67882059288</v>
      </c>
      <c r="DO75" s="163">
        <f t="shared" si="53"/>
        <v>371409.67882059288</v>
      </c>
      <c r="DP75" s="163">
        <f t="shared" si="53"/>
        <v>371409.67882059288</v>
      </c>
      <c r="DQ75" s="163">
        <f t="shared" si="53"/>
        <v>371409.67882059288</v>
      </c>
      <c r="DR75" s="163">
        <f t="shared" si="53"/>
        <v>371409.67882059288</v>
      </c>
      <c r="DS75" s="163">
        <f t="shared" si="53"/>
        <v>371409.67882059288</v>
      </c>
      <c r="DT75" s="163">
        <f t="shared" si="53"/>
        <v>371409.67882059288</v>
      </c>
      <c r="DU75" s="163">
        <f t="shared" si="53"/>
        <v>371409.67882059288</v>
      </c>
      <c r="DV75" s="163">
        <f t="shared" si="53"/>
        <v>371409.67882059288</v>
      </c>
      <c r="DW75" s="163">
        <f t="shared" si="53"/>
        <v>371409.67882059288</v>
      </c>
      <c r="DX75" s="163">
        <f t="shared" si="53"/>
        <v>371409.67882059288</v>
      </c>
      <c r="DY75" s="163">
        <f t="shared" si="53"/>
        <v>371409.67882059288</v>
      </c>
      <c r="DZ75" s="163">
        <f t="shared" si="53"/>
        <v>371409.67882059288</v>
      </c>
      <c r="EA75" s="163">
        <f t="shared" si="53"/>
        <v>371409.67882059288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5201.625</v>
      </c>
      <c r="N80" s="190">
        <f t="shared" si="54"/>
        <v>10876.125</v>
      </c>
      <c r="O80" s="190">
        <f t="shared" si="54"/>
        <v>13319.3125</v>
      </c>
      <c r="P80" s="190">
        <f t="shared" si="54"/>
        <v>15762.5</v>
      </c>
      <c r="Q80" s="190">
        <f t="shared" si="54"/>
        <v>20938.246268656716</v>
      </c>
      <c r="R80" s="190">
        <f t="shared" si="54"/>
        <v>26584.514925373136</v>
      </c>
      <c r="S80" s="190">
        <f t="shared" si="54"/>
        <v>29015.547263681598</v>
      </c>
      <c r="T80" s="190">
        <f t="shared" si="54"/>
        <v>31446.579601990052</v>
      </c>
      <c r="U80" s="190">
        <f t="shared" si="54"/>
        <v>36596.575889210668</v>
      </c>
      <c r="V80" s="190">
        <f t="shared" si="54"/>
        <v>42214.753657087698</v>
      </c>
      <c r="W80" s="190">
        <f t="shared" si="54"/>
        <v>44633.691307145869</v>
      </c>
      <c r="X80" s="190">
        <f t="shared" si="54"/>
        <v>47052.628957204033</v>
      </c>
      <c r="Y80" s="190">
        <f t="shared" si="54"/>
        <v>52177.003372348918</v>
      </c>
      <c r="Z80" s="190">
        <f t="shared" si="54"/>
        <v>57767.230007052436</v>
      </c>
      <c r="AA80" s="190">
        <f t="shared" si="54"/>
        <v>60174.133141438673</v>
      </c>
      <c r="AB80" s="190">
        <f t="shared" si="54"/>
        <v>62581.03627582491</v>
      </c>
      <c r="AC80" s="190">
        <f t="shared" si="54"/>
        <v>67679.916290894456</v>
      </c>
      <c r="AD80" s="190">
        <f t="shared" si="54"/>
        <v>73242.330852788495</v>
      </c>
      <c r="AE80" s="190">
        <f t="shared" si="54"/>
        <v>75637.259344715116</v>
      </c>
      <c r="AF80" s="190">
        <f t="shared" si="54"/>
        <v>78032.187836641708</v>
      </c>
      <c r="AG80" s="190">
        <f t="shared" si="54"/>
        <v>83105.700289447224</v>
      </c>
      <c r="AH80" s="190">
        <f t="shared" si="54"/>
        <v>88640.441147053236</v>
      </c>
      <c r="AI80" s="190">
        <f t="shared" si="54"/>
        <v>91023.454571855837</v>
      </c>
      <c r="AJ80" s="190">
        <f t="shared" si="54"/>
        <v>93406.467996658423</v>
      </c>
      <c r="AK80" s="190">
        <f t="shared" si="54"/>
        <v>98454.739093977347</v>
      </c>
      <c r="AL80" s="190">
        <f t="shared" si="54"/>
        <v>103961.94392741617</v>
      </c>
      <c r="AM80" s="190">
        <f t="shared" si="54"/>
        <v>106333.10156403566</v>
      </c>
      <c r="AN80" s="190">
        <f t="shared" si="54"/>
        <v>108704.25920065517</v>
      </c>
      <c r="AO80" s="190">
        <f t="shared" si="54"/>
        <v>113727.41452137052</v>
      </c>
      <c r="AP80" s="190">
        <f t="shared" si="54"/>
        <v>119207.22032578726</v>
      </c>
      <c r="AQ80" s="190">
        <f t="shared" si="54"/>
        <v>121566.58115824446</v>
      </c>
      <c r="AR80" s="190">
        <f t="shared" si="54"/>
        <v>123925.94199070169</v>
      </c>
      <c r="AS80" s="190">
        <f t="shared" si="54"/>
        <v>128924.1064889259</v>
      </c>
      <c r="AT80" s="190">
        <f t="shared" si="54"/>
        <v>134376.6495778978</v>
      </c>
      <c r="AU80" s="190">
        <f t="shared" si="54"/>
        <v>136724.2722967607</v>
      </c>
      <c r="AV80" s="190">
        <f t="shared" si="54"/>
        <v>139071.89501562357</v>
      </c>
      <c r="AW80" s="190">
        <f t="shared" si="54"/>
        <v>144045.1930238069</v>
      </c>
      <c r="AX80" s="190">
        <f t="shared" si="54"/>
        <v>149470.60903273412</v>
      </c>
      <c r="AY80" s="190">
        <f t="shared" si="54"/>
        <v>151806.55203657781</v>
      </c>
      <c r="AZ80" s="190">
        <f t="shared" si="54"/>
        <v>154142.49504042149</v>
      </c>
      <c r="BA80" s="190">
        <f t="shared" si="54"/>
        <v>159091.05027244467</v>
      </c>
      <c r="BB80" s="190">
        <f t="shared" si="54"/>
        <v>164489.47416192453</v>
      </c>
      <c r="BC80" s="190">
        <f t="shared" si="54"/>
        <v>166813.7955587839</v>
      </c>
      <c r="BD80" s="190">
        <f t="shared" si="54"/>
        <v>169138.11695564329</v>
      </c>
      <c r="BE80" s="190">
        <f t="shared" si="54"/>
        <v>174062.05250989521</v>
      </c>
      <c r="BF80" s="190">
        <f t="shared" si="54"/>
        <v>179433.61856907915</v>
      </c>
      <c r="BG80" s="190">
        <f t="shared" si="54"/>
        <v>181746.37617789442</v>
      </c>
      <c r="BH80" s="190">
        <f t="shared" si="54"/>
        <v>184059.13378670972</v>
      </c>
      <c r="BI80" s="190">
        <f t="shared" si="54"/>
        <v>188958.57214914946</v>
      </c>
      <c r="BJ80" s="190">
        <f t="shared" si="54"/>
        <v>194303.41399908371</v>
      </c>
      <c r="BK80" s="190">
        <f t="shared" si="54"/>
        <v>196604.66535113874</v>
      </c>
      <c r="BL80" s="190">
        <f t="shared" si="54"/>
        <v>198905.91670319377</v>
      </c>
      <c r="BM80" s="190">
        <f t="shared" si="54"/>
        <v>203780.9797503975</v>
      </c>
      <c r="BN80" s="190">
        <f t="shared" si="54"/>
        <v>209099.23034734704</v>
      </c>
      <c r="BO80" s="190">
        <f t="shared" si="54"/>
        <v>211389.0326877003</v>
      </c>
      <c r="BP80" s="190">
        <f t="shared" si="54"/>
        <v>213678.83502805355</v>
      </c>
      <c r="BQ80" s="190">
        <f t="shared" si="54"/>
        <v>218529.64403024633</v>
      </c>
      <c r="BR80" s="190">
        <f t="shared" ref="BR80:EA80" si="55" xml:space="preserve"> BR$67</f>
        <v>223821.43566900204</v>
      </c>
      <c r="BS80" s="190">
        <f t="shared" si="55"/>
        <v>226099.84595791076</v>
      </c>
      <c r="BT80" s="190">
        <f t="shared" si="55"/>
        <v>228378.25624681948</v>
      </c>
      <c r="BU80" s="190">
        <f t="shared" si="55"/>
        <v>233204.93187089189</v>
      </c>
      <c r="BV80" s="190">
        <f t="shared" si="55"/>
        <v>238470.39618806177</v>
      </c>
      <c r="BW80" s="190">
        <f t="shared" si="55"/>
        <v>240737.47110239879</v>
      </c>
      <c r="BX80" s="190">
        <f t="shared" si="55"/>
        <v>243004.54601673581</v>
      </c>
      <c r="BY80" s="190">
        <f t="shared" si="55"/>
        <v>247807.20832924565</v>
      </c>
      <c r="BZ80" s="190">
        <f t="shared" si="55"/>
        <v>253046.4763065291</v>
      </c>
      <c r="CA80" s="190">
        <f t="shared" si="55"/>
        <v>255302.27224119284</v>
      </c>
      <c r="CB80" s="190">
        <f t="shared" si="55"/>
        <v>257558.06817585655</v>
      </c>
      <c r="CC80" s="190">
        <f t="shared" si="55"/>
        <v>262336.83664601558</v>
      </c>
      <c r="CD80" s="190">
        <f t="shared" si="55"/>
        <v>267550.03861346183</v>
      </c>
      <c r="CE80" s="190">
        <f t="shared" si="55"/>
        <v>269794.61168277892</v>
      </c>
      <c r="CF80" s="190">
        <f t="shared" si="55"/>
        <v>272039.18475209601</v>
      </c>
      <c r="CG80" s="190">
        <f t="shared" si="55"/>
        <v>276794.17825474183</v>
      </c>
      <c r="CH80" s="190">
        <f t="shared" si="55"/>
        <v>281981.44389399182</v>
      </c>
      <c r="CI80" s="190">
        <f t="shared" si="55"/>
        <v>284214.84993311332</v>
      </c>
      <c r="CJ80" s="190">
        <f t="shared" si="55"/>
        <v>286448.25597223482</v>
      </c>
      <c r="CK80" s="190">
        <f t="shared" si="55"/>
        <v>291179.59279078792</v>
      </c>
      <c r="CL80" s="190">
        <f t="shared" si="55"/>
        <v>296341.05113830033</v>
      </c>
      <c r="CM80" s="190">
        <f t="shared" si="55"/>
        <v>298563.34570459044</v>
      </c>
      <c r="CN80" s="190">
        <f t="shared" si="55"/>
        <v>300785.64027088054</v>
      </c>
      <c r="CO80" s="190">
        <f t="shared" si="55"/>
        <v>305493.43810028658</v>
      </c>
      <c r="CP80" s="190">
        <f t="shared" si="55"/>
        <v>310629.21755054768</v>
      </c>
      <c r="CQ80" s="190">
        <f t="shared" si="55"/>
        <v>312840.45592496567</v>
      </c>
      <c r="CR80" s="190">
        <f t="shared" si="55"/>
        <v>315051.69429938367</v>
      </c>
      <c r="CS80" s="190">
        <f t="shared" si="55"/>
        <v>319736.07024904137</v>
      </c>
      <c r="CT80" s="190">
        <f t="shared" si="55"/>
        <v>324846.29855775891</v>
      </c>
      <c r="CU80" s="190">
        <f t="shared" si="55"/>
        <v>327046.53574623453</v>
      </c>
      <c r="CV80" s="190">
        <f t="shared" si="55"/>
        <v>329246.77293471014</v>
      </c>
      <c r="CW80" s="190">
        <f t="shared" si="55"/>
        <v>333907.84353138454</v>
      </c>
      <c r="CX80" s="190">
        <f t="shared" si="55"/>
        <v>338992.64781866566</v>
      </c>
      <c r="CY80" s="190">
        <f t="shared" si="55"/>
        <v>341181.93855346722</v>
      </c>
      <c r="CZ80" s="190">
        <f t="shared" si="55"/>
        <v>343371.22928826883</v>
      </c>
      <c r="DA80" s="190">
        <f t="shared" si="55"/>
        <v>348009.11047898966</v>
      </c>
      <c r="DB80" s="190">
        <f t="shared" si="55"/>
        <v>353068.61723250319</v>
      </c>
      <c r="DC80" s="190">
        <f t="shared" si="55"/>
        <v>355247.01597359934</v>
      </c>
      <c r="DD80" s="190">
        <f t="shared" si="55"/>
        <v>357425.41471469542</v>
      </c>
      <c r="DE80" s="190">
        <f t="shared" si="55"/>
        <v>362040.22186964145</v>
      </c>
      <c r="DF80" s="190">
        <f t="shared" si="55"/>
        <v>367074.55694776442</v>
      </c>
      <c r="DG80" s="190">
        <f t="shared" si="55"/>
        <v>369242.11788417853</v>
      </c>
      <c r="DH80" s="190">
        <f t="shared" si="55"/>
        <v>371409.67882059258</v>
      </c>
      <c r="DI80" s="190">
        <f t="shared" si="55"/>
        <v>371409.67882059258</v>
      </c>
      <c r="DJ80" s="190">
        <f t="shared" si="55"/>
        <v>371409.67882059258</v>
      </c>
      <c r="DK80" s="190">
        <f t="shared" si="55"/>
        <v>371409.67882059258</v>
      </c>
      <c r="DL80" s="190">
        <f t="shared" si="55"/>
        <v>371409.67882059258</v>
      </c>
      <c r="DM80" s="190">
        <f t="shared" si="55"/>
        <v>371409.67882059258</v>
      </c>
      <c r="DN80" s="190">
        <f t="shared" si="55"/>
        <v>371409.67882059258</v>
      </c>
      <c r="DO80" s="190">
        <f t="shared" si="55"/>
        <v>371409.67882059258</v>
      </c>
      <c r="DP80" s="190">
        <f t="shared" si="55"/>
        <v>371409.67882059258</v>
      </c>
      <c r="DQ80" s="190">
        <f t="shared" si="55"/>
        <v>371409.67882059258</v>
      </c>
      <c r="DR80" s="190">
        <f t="shared" si="55"/>
        <v>371409.67882059258</v>
      </c>
      <c r="DS80" s="190">
        <f t="shared" si="55"/>
        <v>371409.67882059258</v>
      </c>
      <c r="DT80" s="190">
        <f t="shared" si="55"/>
        <v>371409.67882059258</v>
      </c>
      <c r="DU80" s="190">
        <f t="shared" si="55"/>
        <v>371409.67882059258</v>
      </c>
      <c r="DV80" s="190">
        <f t="shared" si="55"/>
        <v>371409.67882059258</v>
      </c>
      <c r="DW80" s="190">
        <f t="shared" si="55"/>
        <v>371409.67882059258</v>
      </c>
      <c r="DX80" s="190">
        <f t="shared" si="55"/>
        <v>371409.67882059258</v>
      </c>
      <c r="DY80" s="190">
        <f t="shared" si="55"/>
        <v>371409.67882059258</v>
      </c>
      <c r="DZ80" s="190">
        <f t="shared" si="55"/>
        <v>371409.67882059258</v>
      </c>
      <c r="EA80" s="190">
        <f t="shared" si="55"/>
        <v>371409.67882059258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5201.625</v>
      </c>
      <c r="N81" s="190">
        <f t="shared" ref="N81:AS81" si="57" xml:space="preserve"> N$75</f>
        <v>10876.125</v>
      </c>
      <c r="O81" s="190">
        <f t="shared" si="57"/>
        <v>13319.312499999998</v>
      </c>
      <c r="P81" s="190">
        <f t="shared" si="57"/>
        <v>15762.499999999998</v>
      </c>
      <c r="Q81" s="190">
        <f t="shared" si="57"/>
        <v>20938.246268656716</v>
      </c>
      <c r="R81" s="190">
        <f t="shared" si="57"/>
        <v>26584.514925373136</v>
      </c>
      <c r="S81" s="190">
        <f t="shared" si="57"/>
        <v>29015.547263681594</v>
      </c>
      <c r="T81" s="190">
        <f t="shared" si="57"/>
        <v>31446.579601990052</v>
      </c>
      <c r="U81" s="190">
        <f t="shared" si="57"/>
        <v>36596.575889210668</v>
      </c>
      <c r="V81" s="190">
        <f t="shared" si="57"/>
        <v>42214.753657087698</v>
      </c>
      <c r="W81" s="190">
        <f t="shared" si="57"/>
        <v>44633.691307145862</v>
      </c>
      <c r="X81" s="190">
        <f t="shared" si="57"/>
        <v>47052.628957204033</v>
      </c>
      <c r="Y81" s="190">
        <f t="shared" si="57"/>
        <v>52177.003372348925</v>
      </c>
      <c r="Z81" s="190">
        <f t="shared" si="57"/>
        <v>57767.230007052443</v>
      </c>
      <c r="AA81" s="190">
        <f t="shared" si="57"/>
        <v>60174.13314143868</v>
      </c>
      <c r="AB81" s="190">
        <f t="shared" si="57"/>
        <v>62581.036275824918</v>
      </c>
      <c r="AC81" s="190">
        <f t="shared" si="57"/>
        <v>67679.916290894456</v>
      </c>
      <c r="AD81" s="190">
        <f t="shared" si="57"/>
        <v>73242.330852788509</v>
      </c>
      <c r="AE81" s="190">
        <f t="shared" si="57"/>
        <v>75637.259344715116</v>
      </c>
      <c r="AF81" s="190">
        <f t="shared" si="57"/>
        <v>78032.187836641722</v>
      </c>
      <c r="AG81" s="190">
        <f t="shared" si="57"/>
        <v>83105.700289447239</v>
      </c>
      <c r="AH81" s="190">
        <f t="shared" si="57"/>
        <v>88640.441147053265</v>
      </c>
      <c r="AI81" s="190">
        <f t="shared" si="57"/>
        <v>91023.454571855851</v>
      </c>
      <c r="AJ81" s="190">
        <f t="shared" si="57"/>
        <v>93406.467996658437</v>
      </c>
      <c r="AK81" s="190">
        <f t="shared" si="57"/>
        <v>98454.739093977361</v>
      </c>
      <c r="AL81" s="190">
        <f t="shared" si="57"/>
        <v>103961.94392741619</v>
      </c>
      <c r="AM81" s="190">
        <f t="shared" si="57"/>
        <v>106333.10156403568</v>
      </c>
      <c r="AN81" s="190">
        <f t="shared" si="57"/>
        <v>108704.25920065517</v>
      </c>
      <c r="AO81" s="190">
        <f t="shared" si="57"/>
        <v>113727.41452137052</v>
      </c>
      <c r="AP81" s="190">
        <f t="shared" si="57"/>
        <v>119207.22032578726</v>
      </c>
      <c r="AQ81" s="190">
        <f t="shared" si="57"/>
        <v>121566.58115824447</v>
      </c>
      <c r="AR81" s="190">
        <f t="shared" si="57"/>
        <v>123925.94199070169</v>
      </c>
      <c r="AS81" s="190">
        <f t="shared" si="57"/>
        <v>128924.10648892591</v>
      </c>
      <c r="AT81" s="190">
        <f t="shared" ref="AT81:BY81" si="58" xml:space="preserve"> AT$75</f>
        <v>134376.6495778978</v>
      </c>
      <c r="AU81" s="190">
        <f t="shared" si="58"/>
        <v>136724.2722967607</v>
      </c>
      <c r="AV81" s="190">
        <f t="shared" si="58"/>
        <v>139071.8950156236</v>
      </c>
      <c r="AW81" s="190">
        <f t="shared" si="58"/>
        <v>144045.1930238069</v>
      </c>
      <c r="AX81" s="190">
        <f t="shared" si="58"/>
        <v>149470.60903273415</v>
      </c>
      <c r="AY81" s="190">
        <f t="shared" si="58"/>
        <v>151806.55203657784</v>
      </c>
      <c r="AZ81" s="190">
        <f t="shared" si="58"/>
        <v>154142.49504042152</v>
      </c>
      <c r="BA81" s="190">
        <f t="shared" si="58"/>
        <v>159091.05027244473</v>
      </c>
      <c r="BB81" s="190">
        <f t="shared" si="58"/>
        <v>164489.47416192459</v>
      </c>
      <c r="BC81" s="190">
        <f t="shared" si="58"/>
        <v>166813.79555878398</v>
      </c>
      <c r="BD81" s="190">
        <f t="shared" si="58"/>
        <v>169138.11695564337</v>
      </c>
      <c r="BE81" s="190">
        <f t="shared" si="58"/>
        <v>174062.05250989532</v>
      </c>
      <c r="BF81" s="190">
        <f t="shared" si="58"/>
        <v>179433.61856907926</v>
      </c>
      <c r="BG81" s="190">
        <f t="shared" si="58"/>
        <v>181746.37617789456</v>
      </c>
      <c r="BH81" s="190">
        <f t="shared" si="58"/>
        <v>184059.13378670986</v>
      </c>
      <c r="BI81" s="190">
        <f t="shared" si="58"/>
        <v>188958.57214914961</v>
      </c>
      <c r="BJ81" s="190">
        <f t="shared" si="58"/>
        <v>194303.41399908386</v>
      </c>
      <c r="BK81" s="190">
        <f t="shared" si="58"/>
        <v>196604.66535113889</v>
      </c>
      <c r="BL81" s="190">
        <f t="shared" si="58"/>
        <v>198905.91670319391</v>
      </c>
      <c r="BM81" s="190">
        <f t="shared" si="58"/>
        <v>203780.97975039764</v>
      </c>
      <c r="BN81" s="190">
        <f t="shared" si="58"/>
        <v>209099.23034734715</v>
      </c>
      <c r="BO81" s="190">
        <f t="shared" si="58"/>
        <v>211389.03268770041</v>
      </c>
      <c r="BP81" s="190">
        <f t="shared" si="58"/>
        <v>213678.83502805367</v>
      </c>
      <c r="BQ81" s="190">
        <f t="shared" si="58"/>
        <v>218529.64403024642</v>
      </c>
      <c r="BR81" s="190">
        <f t="shared" si="58"/>
        <v>223821.43566900215</v>
      </c>
      <c r="BS81" s="190">
        <f t="shared" si="58"/>
        <v>226099.84595791087</v>
      </c>
      <c r="BT81" s="190">
        <f t="shared" si="58"/>
        <v>228378.2562468196</v>
      </c>
      <c r="BU81" s="190">
        <f t="shared" si="58"/>
        <v>233204.931870892</v>
      </c>
      <c r="BV81" s="190">
        <f t="shared" si="58"/>
        <v>238470.39618806189</v>
      </c>
      <c r="BW81" s="190">
        <f t="shared" si="58"/>
        <v>240737.47110239894</v>
      </c>
      <c r="BX81" s="190">
        <f t="shared" si="58"/>
        <v>243004.54601673599</v>
      </c>
      <c r="BY81" s="190">
        <f t="shared" si="58"/>
        <v>247807.20832924583</v>
      </c>
      <c r="BZ81" s="190">
        <f t="shared" ref="BZ81:DE81" si="59" xml:space="preserve"> BZ$75</f>
        <v>253046.47630652931</v>
      </c>
      <c r="CA81" s="190">
        <f t="shared" si="59"/>
        <v>255302.27224119302</v>
      </c>
      <c r="CB81" s="190">
        <f t="shared" si="59"/>
        <v>257558.06817585672</v>
      </c>
      <c r="CC81" s="190">
        <f t="shared" si="59"/>
        <v>262336.83664601576</v>
      </c>
      <c r="CD81" s="190">
        <f t="shared" si="59"/>
        <v>267550.03861346201</v>
      </c>
      <c r="CE81" s="190">
        <f t="shared" si="59"/>
        <v>269794.61168277916</v>
      </c>
      <c r="CF81" s="190">
        <f t="shared" si="59"/>
        <v>272039.18475209631</v>
      </c>
      <c r="CG81" s="190">
        <f t="shared" si="59"/>
        <v>276794.17825474212</v>
      </c>
      <c r="CH81" s="190">
        <f t="shared" si="59"/>
        <v>281981.44389399211</v>
      </c>
      <c r="CI81" s="190">
        <f t="shared" si="59"/>
        <v>284214.84993311361</v>
      </c>
      <c r="CJ81" s="190">
        <f t="shared" si="59"/>
        <v>286448.25597223511</v>
      </c>
      <c r="CK81" s="190">
        <f t="shared" si="59"/>
        <v>291179.59279078816</v>
      </c>
      <c r="CL81" s="190">
        <f t="shared" si="59"/>
        <v>296341.05113830057</v>
      </c>
      <c r="CM81" s="190">
        <f t="shared" si="59"/>
        <v>298563.34570459061</v>
      </c>
      <c r="CN81" s="190">
        <f t="shared" si="59"/>
        <v>300785.64027088066</v>
      </c>
      <c r="CO81" s="190">
        <f t="shared" si="59"/>
        <v>305493.4381002867</v>
      </c>
      <c r="CP81" s="190">
        <f t="shared" si="59"/>
        <v>310629.21755054785</v>
      </c>
      <c r="CQ81" s="190">
        <f t="shared" si="59"/>
        <v>312840.45592496585</v>
      </c>
      <c r="CR81" s="190">
        <f t="shared" si="59"/>
        <v>315051.69429938385</v>
      </c>
      <c r="CS81" s="190">
        <f t="shared" si="59"/>
        <v>319736.0702490416</v>
      </c>
      <c r="CT81" s="190">
        <f t="shared" si="59"/>
        <v>324846.29855775915</v>
      </c>
      <c r="CU81" s="190">
        <f t="shared" si="59"/>
        <v>327046.53574623476</v>
      </c>
      <c r="CV81" s="190">
        <f t="shared" si="59"/>
        <v>329246.77293471037</v>
      </c>
      <c r="CW81" s="190">
        <f t="shared" si="59"/>
        <v>333907.84353138477</v>
      </c>
      <c r="CX81" s="190">
        <f t="shared" si="59"/>
        <v>338992.64781866589</v>
      </c>
      <c r="CY81" s="190">
        <f t="shared" si="59"/>
        <v>341181.93855346751</v>
      </c>
      <c r="CZ81" s="190">
        <f t="shared" si="59"/>
        <v>343371.22928826913</v>
      </c>
      <c r="DA81" s="190">
        <f t="shared" si="59"/>
        <v>348009.1104789899</v>
      </c>
      <c r="DB81" s="190">
        <f t="shared" si="59"/>
        <v>353068.61723250349</v>
      </c>
      <c r="DC81" s="190">
        <f t="shared" si="59"/>
        <v>355247.01597359963</v>
      </c>
      <c r="DD81" s="190">
        <f t="shared" si="59"/>
        <v>357425.41471469577</v>
      </c>
      <c r="DE81" s="190">
        <f t="shared" si="59"/>
        <v>362040.2218696418</v>
      </c>
      <c r="DF81" s="190">
        <f t="shared" ref="DF81:EA81" si="60" xml:space="preserve"> DF$75</f>
        <v>367074.55694776477</v>
      </c>
      <c r="DG81" s="190">
        <f t="shared" si="60"/>
        <v>369242.11788417882</v>
      </c>
      <c r="DH81" s="190">
        <f t="shared" si="60"/>
        <v>371409.67882059288</v>
      </c>
      <c r="DI81" s="190">
        <f t="shared" si="60"/>
        <v>371409.67882059288</v>
      </c>
      <c r="DJ81" s="190">
        <f t="shared" si="60"/>
        <v>371409.67882059288</v>
      </c>
      <c r="DK81" s="190">
        <f t="shared" si="60"/>
        <v>371409.67882059288</v>
      </c>
      <c r="DL81" s="190">
        <f t="shared" si="60"/>
        <v>371409.67882059288</v>
      </c>
      <c r="DM81" s="190">
        <f t="shared" si="60"/>
        <v>371409.67882059288</v>
      </c>
      <c r="DN81" s="190">
        <f t="shared" si="60"/>
        <v>371409.67882059288</v>
      </c>
      <c r="DO81" s="190">
        <f t="shared" si="60"/>
        <v>371409.67882059288</v>
      </c>
      <c r="DP81" s="190">
        <f t="shared" si="60"/>
        <v>371409.67882059288</v>
      </c>
      <c r="DQ81" s="190">
        <f t="shared" si="60"/>
        <v>371409.67882059288</v>
      </c>
      <c r="DR81" s="190">
        <f t="shared" si="60"/>
        <v>371409.67882059288</v>
      </c>
      <c r="DS81" s="190">
        <f t="shared" si="60"/>
        <v>371409.67882059288</v>
      </c>
      <c r="DT81" s="190">
        <f t="shared" si="60"/>
        <v>371409.67882059288</v>
      </c>
      <c r="DU81" s="190">
        <f t="shared" si="60"/>
        <v>371409.67882059288</v>
      </c>
      <c r="DV81" s="190">
        <f t="shared" si="60"/>
        <v>371409.67882059288</v>
      </c>
      <c r="DW81" s="190">
        <f t="shared" si="60"/>
        <v>371409.67882059288</v>
      </c>
      <c r="DX81" s="190">
        <f t="shared" si="60"/>
        <v>371409.67882059288</v>
      </c>
      <c r="DY81" s="190">
        <f t="shared" si="60"/>
        <v>371409.67882059288</v>
      </c>
      <c r="DZ81" s="190">
        <f t="shared" si="60"/>
        <v>371409.67882059288</v>
      </c>
      <c r="EA81" s="190">
        <f t="shared" si="60"/>
        <v>371409.67882059288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2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371409.67882059264</v>
      </c>
      <c r="I11" s="50"/>
      <c r="J11" s="50">
        <f t="shared" ref="J11:AN11" si="1">SUM(J9:J10)</f>
        <v>0</v>
      </c>
      <c r="K11" s="50">
        <f t="shared" si="1"/>
        <v>15762.499999999998</v>
      </c>
      <c r="L11" s="50">
        <f t="shared" si="1"/>
        <v>15684.07960199005</v>
      </c>
      <c r="M11" s="50">
        <f t="shared" si="1"/>
        <v>15606.049355213985</v>
      </c>
      <c r="N11" s="50">
        <f t="shared" si="1"/>
        <v>15528.407318620881</v>
      </c>
      <c r="O11" s="50">
        <f t="shared" si="1"/>
        <v>15451.151560816799</v>
      </c>
      <c r="P11" s="50">
        <f t="shared" si="1"/>
        <v>15374.280160016717</v>
      </c>
      <c r="Q11" s="50">
        <f t="shared" si="1"/>
        <v>15297.79120399674</v>
      </c>
      <c r="R11" s="50">
        <f t="shared" si="1"/>
        <v>15221.682790046505</v>
      </c>
      <c r="S11" s="50">
        <f t="shared" si="1"/>
        <v>15145.953024921899</v>
      </c>
      <c r="T11" s="50">
        <f t="shared" si="1"/>
        <v>15070.600024797912</v>
      </c>
      <c r="U11" s="50">
        <f t="shared" si="1"/>
        <v>14995.621915221804</v>
      </c>
      <c r="V11" s="50">
        <f t="shared" si="1"/>
        <v>14921.016831066472</v>
      </c>
      <c r="W11" s="50">
        <f t="shared" si="1"/>
        <v>14846.782916484057</v>
      </c>
      <c r="X11" s="50">
        <f t="shared" si="1"/>
        <v>14772.91832485976</v>
      </c>
      <c r="Y11" s="50">
        <f t="shared" si="1"/>
        <v>14699.421218765932</v>
      </c>
      <c r="Z11" s="50">
        <f t="shared" si="1"/>
        <v>14626.289769916357</v>
      </c>
      <c r="AA11" s="50">
        <f t="shared" si="1"/>
        <v>14553.52215912075</v>
      </c>
      <c r="AB11" s="50">
        <f t="shared" si="1"/>
        <v>14481.116576239556</v>
      </c>
      <c r="AC11" s="50">
        <f t="shared" si="1"/>
        <v>14409.071220138867</v>
      </c>
      <c r="AD11" s="50">
        <f t="shared" si="1"/>
        <v>14337.384298645638</v>
      </c>
      <c r="AE11" s="50">
        <f t="shared" si="1"/>
        <v>14266.054028503122</v>
      </c>
      <c r="AF11" s="50">
        <f t="shared" si="1"/>
        <v>14195.078635326496</v>
      </c>
      <c r="AG11" s="50">
        <f t="shared" si="1"/>
        <v>14124.456353558704</v>
      </c>
      <c r="AH11" s="50">
        <f t="shared" si="1"/>
        <v>14054.185426426575</v>
      </c>
      <c r="AI11" s="50">
        <f t="shared" si="1"/>
        <v>13984.264105897088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371409.67882059264</v>
      </c>
      <c r="I14" s="50"/>
      <c r="J14" s="50">
        <f t="shared" ref="J14:AN14" si="2" xml:space="preserve"> J11 + J13</f>
        <v>0</v>
      </c>
      <c r="K14" s="50">
        <f t="shared" si="2"/>
        <v>15762.499999999998</v>
      </c>
      <c r="L14" s="50">
        <f t="shared" si="2"/>
        <v>15684.07960199005</v>
      </c>
      <c r="M14" s="50">
        <f t="shared" si="2"/>
        <v>15606.049355213985</v>
      </c>
      <c r="N14" s="50">
        <f t="shared" si="2"/>
        <v>15528.407318620881</v>
      </c>
      <c r="O14" s="50">
        <f t="shared" si="2"/>
        <v>15451.151560816799</v>
      </c>
      <c r="P14" s="50">
        <f t="shared" si="2"/>
        <v>15374.280160016717</v>
      </c>
      <c r="Q14" s="50">
        <f t="shared" si="2"/>
        <v>15297.79120399674</v>
      </c>
      <c r="R14" s="50">
        <f t="shared" si="2"/>
        <v>15221.682790046505</v>
      </c>
      <c r="S14" s="50">
        <f t="shared" si="2"/>
        <v>15145.953024921899</v>
      </c>
      <c r="T14" s="50">
        <f t="shared" si="2"/>
        <v>15070.600024797912</v>
      </c>
      <c r="U14" s="50">
        <f t="shared" si="2"/>
        <v>14995.621915221804</v>
      </c>
      <c r="V14" s="50">
        <f t="shared" si="2"/>
        <v>14921.016831066472</v>
      </c>
      <c r="W14" s="50">
        <f t="shared" si="2"/>
        <v>14846.782916484057</v>
      </c>
      <c r="X14" s="50">
        <f t="shared" si="2"/>
        <v>14772.91832485976</v>
      </c>
      <c r="Y14" s="50">
        <f t="shared" si="2"/>
        <v>14699.421218765932</v>
      </c>
      <c r="Z14" s="50">
        <f t="shared" si="2"/>
        <v>14626.289769916357</v>
      </c>
      <c r="AA14" s="50">
        <f t="shared" si="2"/>
        <v>14553.52215912075</v>
      </c>
      <c r="AB14" s="50">
        <f t="shared" si="2"/>
        <v>14481.116576239556</v>
      </c>
      <c r="AC14" s="50">
        <f t="shared" si="2"/>
        <v>14409.071220138867</v>
      </c>
      <c r="AD14" s="50">
        <f t="shared" si="2"/>
        <v>14337.384298645638</v>
      </c>
      <c r="AE14" s="50">
        <f t="shared" si="2"/>
        <v>14266.054028503122</v>
      </c>
      <c r="AF14" s="50">
        <f t="shared" si="2"/>
        <v>14195.078635326496</v>
      </c>
      <c r="AG14" s="50">
        <f t="shared" si="2"/>
        <v>14124.456353558704</v>
      </c>
      <c r="AH14" s="50">
        <f t="shared" si="2"/>
        <v>14054.185426426575</v>
      </c>
      <c r="AI14" s="50">
        <f t="shared" si="2"/>
        <v>13984.264105897088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371409.67882059264</v>
      </c>
      <c r="I19" s="50"/>
      <c r="J19" s="50">
        <f t="shared" ref="J19:AN19" si="3" xml:space="preserve"> J14 + SUM(J16:J18)</f>
        <v>0</v>
      </c>
      <c r="K19" s="50">
        <f t="shared" si="3"/>
        <v>15762.499999999998</v>
      </c>
      <c r="L19" s="50">
        <f t="shared" si="3"/>
        <v>15684.07960199005</v>
      </c>
      <c r="M19" s="50">
        <f t="shared" si="3"/>
        <v>15606.049355213985</v>
      </c>
      <c r="N19" s="50">
        <f t="shared" si="3"/>
        <v>15528.407318620881</v>
      </c>
      <c r="O19" s="50">
        <f t="shared" si="3"/>
        <v>15451.151560816799</v>
      </c>
      <c r="P19" s="50">
        <f t="shared" si="3"/>
        <v>15374.280160016717</v>
      </c>
      <c r="Q19" s="50">
        <f t="shared" si="3"/>
        <v>15297.79120399674</v>
      </c>
      <c r="R19" s="50">
        <f t="shared" si="3"/>
        <v>15221.682790046505</v>
      </c>
      <c r="S19" s="50">
        <f t="shared" si="3"/>
        <v>15145.953024921899</v>
      </c>
      <c r="T19" s="50">
        <f t="shared" si="3"/>
        <v>15070.600024797912</v>
      </c>
      <c r="U19" s="50">
        <f t="shared" si="3"/>
        <v>14995.621915221804</v>
      </c>
      <c r="V19" s="50">
        <f t="shared" si="3"/>
        <v>14921.016831066472</v>
      </c>
      <c r="W19" s="50">
        <f t="shared" si="3"/>
        <v>14846.782916484057</v>
      </c>
      <c r="X19" s="50">
        <f t="shared" si="3"/>
        <v>14772.91832485976</v>
      </c>
      <c r="Y19" s="50">
        <f t="shared" si="3"/>
        <v>14699.421218765932</v>
      </c>
      <c r="Z19" s="50">
        <f t="shared" si="3"/>
        <v>14626.289769916357</v>
      </c>
      <c r="AA19" s="50">
        <f t="shared" si="3"/>
        <v>14553.52215912075</v>
      </c>
      <c r="AB19" s="50">
        <f t="shared" si="3"/>
        <v>14481.116576239556</v>
      </c>
      <c r="AC19" s="50">
        <f t="shared" si="3"/>
        <v>14409.071220138867</v>
      </c>
      <c r="AD19" s="50">
        <f t="shared" si="3"/>
        <v>14337.384298645638</v>
      </c>
      <c r="AE19" s="50">
        <f t="shared" si="3"/>
        <v>14266.054028503122</v>
      </c>
      <c r="AF19" s="50">
        <f t="shared" si="3"/>
        <v>14195.078635326496</v>
      </c>
      <c r="AG19" s="50">
        <f t="shared" si="3"/>
        <v>14124.456353558704</v>
      </c>
      <c r="AH19" s="50">
        <f t="shared" si="3"/>
        <v>14054.185426426575</v>
      </c>
      <c r="AI19" s="50">
        <f t="shared" si="3"/>
        <v>13984.264105897088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371409.67882059264</v>
      </c>
      <c r="I22" s="188"/>
      <c r="J22" s="188">
        <f t="shared" ref="J22:AN22" si="4" xml:space="preserve"> J19 + J21</f>
        <v>0</v>
      </c>
      <c r="K22" s="188">
        <f t="shared" si="4"/>
        <v>15762.499999999998</v>
      </c>
      <c r="L22" s="188">
        <f t="shared" si="4"/>
        <v>15684.07960199005</v>
      </c>
      <c r="M22" s="188">
        <f t="shared" si="4"/>
        <v>15606.049355213985</v>
      </c>
      <c r="N22" s="188">
        <f t="shared" si="4"/>
        <v>15528.407318620881</v>
      </c>
      <c r="O22" s="188">
        <f t="shared" si="4"/>
        <v>15451.151560816799</v>
      </c>
      <c r="P22" s="188">
        <f t="shared" si="4"/>
        <v>15374.280160016717</v>
      </c>
      <c r="Q22" s="188">
        <f t="shared" si="4"/>
        <v>15297.79120399674</v>
      </c>
      <c r="R22" s="188">
        <f t="shared" si="4"/>
        <v>15221.682790046505</v>
      </c>
      <c r="S22" s="188">
        <f t="shared" si="4"/>
        <v>15145.953024921899</v>
      </c>
      <c r="T22" s="188">
        <f t="shared" si="4"/>
        <v>15070.600024797912</v>
      </c>
      <c r="U22" s="188">
        <f t="shared" si="4"/>
        <v>14995.621915221804</v>
      </c>
      <c r="V22" s="188">
        <f t="shared" si="4"/>
        <v>14921.016831066472</v>
      </c>
      <c r="W22" s="188">
        <f t="shared" si="4"/>
        <v>14846.782916484057</v>
      </c>
      <c r="X22" s="188">
        <f t="shared" si="4"/>
        <v>14772.91832485976</v>
      </c>
      <c r="Y22" s="188">
        <f t="shared" si="4"/>
        <v>14699.421218765932</v>
      </c>
      <c r="Z22" s="188">
        <f t="shared" si="4"/>
        <v>14626.289769916357</v>
      </c>
      <c r="AA22" s="188">
        <f t="shared" si="4"/>
        <v>14553.52215912075</v>
      </c>
      <c r="AB22" s="188">
        <f t="shared" si="4"/>
        <v>14481.116576239556</v>
      </c>
      <c r="AC22" s="188">
        <f t="shared" si="4"/>
        <v>14409.071220138867</v>
      </c>
      <c r="AD22" s="188">
        <f t="shared" si="4"/>
        <v>14337.384298645638</v>
      </c>
      <c r="AE22" s="188">
        <f t="shared" si="4"/>
        <v>14266.054028503122</v>
      </c>
      <c r="AF22" s="188">
        <f t="shared" si="4"/>
        <v>14195.078635326496</v>
      </c>
      <c r="AG22" s="188">
        <f t="shared" si="4"/>
        <v>14124.456353558704</v>
      </c>
      <c r="AH22" s="188">
        <f t="shared" si="4"/>
        <v>14054.185426426575</v>
      </c>
      <c r="AI22" s="188">
        <f t="shared" si="4"/>
        <v>13984.264105897088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371409.67882059264</v>
      </c>
      <c r="I25" s="50"/>
      <c r="J25" s="50">
        <f t="shared" ref="J25:AN25" si="5" xml:space="preserve"> J22 + J24</f>
        <v>0</v>
      </c>
      <c r="K25" s="50">
        <f t="shared" si="5"/>
        <v>15762.499999999998</v>
      </c>
      <c r="L25" s="50">
        <f t="shared" si="5"/>
        <v>15684.07960199005</v>
      </c>
      <c r="M25" s="50">
        <f t="shared" si="5"/>
        <v>15606.049355213985</v>
      </c>
      <c r="N25" s="50">
        <f t="shared" si="5"/>
        <v>15528.407318620881</v>
      </c>
      <c r="O25" s="50">
        <f t="shared" si="5"/>
        <v>15451.151560816799</v>
      </c>
      <c r="P25" s="50">
        <f t="shared" si="5"/>
        <v>15374.280160016717</v>
      </c>
      <c r="Q25" s="50">
        <f t="shared" si="5"/>
        <v>15297.79120399674</v>
      </c>
      <c r="R25" s="50">
        <f t="shared" si="5"/>
        <v>15221.682790046505</v>
      </c>
      <c r="S25" s="50">
        <f t="shared" si="5"/>
        <v>15145.953024921899</v>
      </c>
      <c r="T25" s="50">
        <f t="shared" si="5"/>
        <v>15070.600024797912</v>
      </c>
      <c r="U25" s="50">
        <f t="shared" si="5"/>
        <v>14995.621915221804</v>
      </c>
      <c r="V25" s="50">
        <f t="shared" si="5"/>
        <v>14921.016831066472</v>
      </c>
      <c r="W25" s="50">
        <f t="shared" si="5"/>
        <v>14846.782916484057</v>
      </c>
      <c r="X25" s="50">
        <f t="shared" si="5"/>
        <v>14772.91832485976</v>
      </c>
      <c r="Y25" s="50">
        <f t="shared" si="5"/>
        <v>14699.421218765932</v>
      </c>
      <c r="Z25" s="50">
        <f t="shared" si="5"/>
        <v>14626.289769916357</v>
      </c>
      <c r="AA25" s="50">
        <f t="shared" si="5"/>
        <v>14553.52215912075</v>
      </c>
      <c r="AB25" s="50">
        <f t="shared" si="5"/>
        <v>14481.116576239556</v>
      </c>
      <c r="AC25" s="50">
        <f t="shared" si="5"/>
        <v>14409.071220138867</v>
      </c>
      <c r="AD25" s="50">
        <f t="shared" si="5"/>
        <v>14337.384298645638</v>
      </c>
      <c r="AE25" s="50">
        <f t="shared" si="5"/>
        <v>14266.054028503122</v>
      </c>
      <c r="AF25" s="50">
        <f t="shared" si="5"/>
        <v>14195.078635326496</v>
      </c>
      <c r="AG25" s="50">
        <f t="shared" si="5"/>
        <v>14124.456353558704</v>
      </c>
      <c r="AH25" s="50">
        <f t="shared" si="5"/>
        <v>14054.185426426575</v>
      </c>
      <c r="AI25" s="50">
        <f t="shared" si="5"/>
        <v>13984.264105897088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371409.67882059264</v>
      </c>
      <c r="I33" s="50"/>
      <c r="J33" s="50">
        <f t="shared" ref="J33:AN33" si="6">SUM(J30:J32)</f>
        <v>0</v>
      </c>
      <c r="K33" s="50">
        <f t="shared" si="6"/>
        <v>14133.708333333334</v>
      </c>
      <c r="L33" s="50">
        <f t="shared" si="6"/>
        <v>15692.183043117744</v>
      </c>
      <c r="M33" s="50">
        <f t="shared" si="6"/>
        <v>15631.833635659659</v>
      </c>
      <c r="N33" s="50">
        <f t="shared" si="6"/>
        <v>15518.709174123353</v>
      </c>
      <c r="O33" s="50">
        <f t="shared" si="6"/>
        <v>15459.134655789891</v>
      </c>
      <c r="P33" s="50">
        <f t="shared" si="6"/>
        <v>15382.223538099393</v>
      </c>
      <c r="Q33" s="50">
        <f t="shared" si="6"/>
        <v>15323.066181002461</v>
      </c>
      <c r="R33" s="50">
        <f t="shared" si="6"/>
        <v>15212.176207937702</v>
      </c>
      <c r="S33" s="50">
        <f t="shared" si="6"/>
        <v>15153.778433984777</v>
      </c>
      <c r="T33" s="50">
        <f t="shared" si="6"/>
        <v>15078.386501477391</v>
      </c>
      <c r="U33" s="50">
        <f t="shared" si="6"/>
        <v>15020.397648792725</v>
      </c>
      <c r="V33" s="50">
        <f t="shared" si="6"/>
        <v>14911.698027514469</v>
      </c>
      <c r="W33" s="50">
        <f t="shared" si="6"/>
        <v>14854.453754324239</v>
      </c>
      <c r="X33" s="50">
        <f t="shared" si="6"/>
        <v>14780.550999327603</v>
      </c>
      <c r="Y33" s="50">
        <f t="shared" si="6"/>
        <v>14723.707570197157</v>
      </c>
      <c r="Z33" s="50">
        <f t="shared" si="6"/>
        <v>14617.155035829282</v>
      </c>
      <c r="AA33" s="50">
        <f t="shared" si="6"/>
        <v>14561.041478902964</v>
      </c>
      <c r="AB33" s="50">
        <f t="shared" si="6"/>
        <v>14488.598486470613</v>
      </c>
      <c r="AC33" s="50">
        <f t="shared" si="6"/>
        <v>14432.877855940491</v>
      </c>
      <c r="AD33" s="50">
        <f t="shared" si="6"/>
        <v>14328.429998195386</v>
      </c>
      <c r="AE33" s="50">
        <f t="shared" si="6"/>
        <v>14273.424823084515</v>
      </c>
      <c r="AF33" s="50">
        <f t="shared" si="6"/>
        <v>14202.41275928808</v>
      </c>
      <c r="AG33" s="50">
        <f t="shared" si="6"/>
        <v>14147.792749303291</v>
      </c>
      <c r="AH33" s="50">
        <f t="shared" si="6"/>
        <v>14045.407995601643</v>
      </c>
      <c r="AI33" s="50">
        <f t="shared" si="6"/>
        <v>13991.489309018467</v>
      </c>
      <c r="AJ33" s="50">
        <f t="shared" si="6"/>
        <v>1445.0406242760323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371409.67882059264</v>
      </c>
      <c r="I37" s="50"/>
      <c r="J37" s="50">
        <f t="shared" ref="J37:AN37" si="7" xml:space="preserve"> J33 + SUM(J35:J36)</f>
        <v>0</v>
      </c>
      <c r="K37" s="50">
        <f t="shared" si="7"/>
        <v>14133.708333333334</v>
      </c>
      <c r="L37" s="50">
        <f t="shared" si="7"/>
        <v>15692.183043117744</v>
      </c>
      <c r="M37" s="50">
        <f t="shared" si="7"/>
        <v>15631.833635659659</v>
      </c>
      <c r="N37" s="50">
        <f t="shared" si="7"/>
        <v>15518.709174123353</v>
      </c>
      <c r="O37" s="50">
        <f t="shared" si="7"/>
        <v>15459.134655789891</v>
      </c>
      <c r="P37" s="50">
        <f t="shared" si="7"/>
        <v>15382.223538099393</v>
      </c>
      <c r="Q37" s="50">
        <f t="shared" si="7"/>
        <v>15323.066181002461</v>
      </c>
      <c r="R37" s="50">
        <f t="shared" si="7"/>
        <v>15212.176207937702</v>
      </c>
      <c r="S37" s="50">
        <f t="shared" si="7"/>
        <v>15153.778433984777</v>
      </c>
      <c r="T37" s="50">
        <f t="shared" si="7"/>
        <v>15078.386501477391</v>
      </c>
      <c r="U37" s="50">
        <f t="shared" si="7"/>
        <v>15020.397648792725</v>
      </c>
      <c r="V37" s="50">
        <f t="shared" si="7"/>
        <v>14911.698027514469</v>
      </c>
      <c r="W37" s="50">
        <f t="shared" si="7"/>
        <v>14854.453754324239</v>
      </c>
      <c r="X37" s="50">
        <f t="shared" si="7"/>
        <v>14780.550999327603</v>
      </c>
      <c r="Y37" s="50">
        <f t="shared" si="7"/>
        <v>14723.707570197157</v>
      </c>
      <c r="Z37" s="50">
        <f t="shared" si="7"/>
        <v>14617.155035829282</v>
      </c>
      <c r="AA37" s="50">
        <f t="shared" si="7"/>
        <v>14561.041478902964</v>
      </c>
      <c r="AB37" s="50">
        <f t="shared" si="7"/>
        <v>14488.598486470613</v>
      </c>
      <c r="AC37" s="50">
        <f t="shared" si="7"/>
        <v>14432.877855940491</v>
      </c>
      <c r="AD37" s="50">
        <f t="shared" si="7"/>
        <v>14328.429998195386</v>
      </c>
      <c r="AE37" s="50">
        <f t="shared" si="7"/>
        <v>14273.424823084515</v>
      </c>
      <c r="AF37" s="50">
        <f t="shared" si="7"/>
        <v>14202.41275928808</v>
      </c>
      <c r="AG37" s="50">
        <f t="shared" si="7"/>
        <v>14147.792749303291</v>
      </c>
      <c r="AH37" s="50">
        <f t="shared" si="7"/>
        <v>14045.407995601643</v>
      </c>
      <c r="AI37" s="50">
        <f t="shared" si="7"/>
        <v>13991.489309018467</v>
      </c>
      <c r="AJ37" s="50">
        <f t="shared" si="7"/>
        <v>1445.0406242760323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371409.67882059264</v>
      </c>
      <c r="I41" s="50"/>
      <c r="J41" s="50">
        <f t="shared" ref="J41:AN41" si="8" xml:space="preserve"> J37 + SUM(J39:J40)</f>
        <v>0</v>
      </c>
      <c r="K41" s="50">
        <f t="shared" si="8"/>
        <v>14133.708333333334</v>
      </c>
      <c r="L41" s="50">
        <f t="shared" si="8"/>
        <v>15692.183043117744</v>
      </c>
      <c r="M41" s="50">
        <f t="shared" si="8"/>
        <v>15631.833635659659</v>
      </c>
      <c r="N41" s="50">
        <f t="shared" si="8"/>
        <v>15518.709174123353</v>
      </c>
      <c r="O41" s="50">
        <f t="shared" si="8"/>
        <v>15459.134655789891</v>
      </c>
      <c r="P41" s="50">
        <f t="shared" si="8"/>
        <v>15382.223538099393</v>
      </c>
      <c r="Q41" s="50">
        <f t="shared" si="8"/>
        <v>15323.066181002461</v>
      </c>
      <c r="R41" s="50">
        <f t="shared" si="8"/>
        <v>15212.176207937702</v>
      </c>
      <c r="S41" s="50">
        <f t="shared" si="8"/>
        <v>15153.778433984777</v>
      </c>
      <c r="T41" s="50">
        <f t="shared" si="8"/>
        <v>15078.386501477391</v>
      </c>
      <c r="U41" s="50">
        <f t="shared" si="8"/>
        <v>15020.397648792725</v>
      </c>
      <c r="V41" s="50">
        <f t="shared" si="8"/>
        <v>14911.698027514469</v>
      </c>
      <c r="W41" s="50">
        <f t="shared" si="8"/>
        <v>14854.453754324239</v>
      </c>
      <c r="X41" s="50">
        <f t="shared" si="8"/>
        <v>14780.550999327603</v>
      </c>
      <c r="Y41" s="50">
        <f t="shared" si="8"/>
        <v>14723.707570197157</v>
      </c>
      <c r="Z41" s="50">
        <f t="shared" si="8"/>
        <v>14617.155035829282</v>
      </c>
      <c r="AA41" s="50">
        <f t="shared" si="8"/>
        <v>14561.041478902964</v>
      </c>
      <c r="AB41" s="50">
        <f t="shared" si="8"/>
        <v>14488.598486470613</v>
      </c>
      <c r="AC41" s="50">
        <f t="shared" si="8"/>
        <v>14432.877855940491</v>
      </c>
      <c r="AD41" s="50">
        <f t="shared" si="8"/>
        <v>14328.429998195386</v>
      </c>
      <c r="AE41" s="50">
        <f t="shared" si="8"/>
        <v>14273.424823084515</v>
      </c>
      <c r="AF41" s="50">
        <f t="shared" si="8"/>
        <v>14202.41275928808</v>
      </c>
      <c r="AG41" s="50">
        <f t="shared" si="8"/>
        <v>14147.792749303291</v>
      </c>
      <c r="AH41" s="50">
        <f t="shared" si="8"/>
        <v>14045.407995601643</v>
      </c>
      <c r="AI41" s="50">
        <f t="shared" si="8"/>
        <v>13991.489309018467</v>
      </c>
      <c r="AJ41" s="50">
        <f t="shared" si="8"/>
        <v>1445.0406242760323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371409.67882059264</v>
      </c>
      <c r="I46" s="50"/>
      <c r="J46" s="50">
        <f t="shared" ref="J46:AN46" si="9" xml:space="preserve"> J41 + SUM(J43:J45)</f>
        <v>0</v>
      </c>
      <c r="K46" s="50">
        <f t="shared" si="9"/>
        <v>14133.708333333334</v>
      </c>
      <c r="L46" s="50">
        <f t="shared" si="9"/>
        <v>15692.183043117744</v>
      </c>
      <c r="M46" s="50">
        <f t="shared" si="9"/>
        <v>15631.833635659659</v>
      </c>
      <c r="N46" s="50">
        <f t="shared" si="9"/>
        <v>15518.709174123353</v>
      </c>
      <c r="O46" s="50">
        <f t="shared" si="9"/>
        <v>15459.134655789891</v>
      </c>
      <c r="P46" s="50">
        <f t="shared" si="9"/>
        <v>15382.223538099393</v>
      </c>
      <c r="Q46" s="50">
        <f t="shared" si="9"/>
        <v>15323.066181002461</v>
      </c>
      <c r="R46" s="50">
        <f t="shared" si="9"/>
        <v>15212.176207937702</v>
      </c>
      <c r="S46" s="50">
        <f t="shared" si="9"/>
        <v>15153.778433984777</v>
      </c>
      <c r="T46" s="50">
        <f t="shared" si="9"/>
        <v>15078.386501477391</v>
      </c>
      <c r="U46" s="50">
        <f t="shared" si="9"/>
        <v>15020.397648792725</v>
      </c>
      <c r="V46" s="50">
        <f t="shared" si="9"/>
        <v>14911.698027514469</v>
      </c>
      <c r="W46" s="50">
        <f t="shared" si="9"/>
        <v>14854.453754324239</v>
      </c>
      <c r="X46" s="50">
        <f t="shared" si="9"/>
        <v>14780.550999327603</v>
      </c>
      <c r="Y46" s="50">
        <f t="shared" si="9"/>
        <v>14723.707570197157</v>
      </c>
      <c r="Z46" s="50">
        <f t="shared" si="9"/>
        <v>14617.155035829282</v>
      </c>
      <c r="AA46" s="50">
        <f t="shared" si="9"/>
        <v>14561.041478902964</v>
      </c>
      <c r="AB46" s="50">
        <f t="shared" si="9"/>
        <v>14488.598486470613</v>
      </c>
      <c r="AC46" s="50">
        <f t="shared" si="9"/>
        <v>14432.877855940491</v>
      </c>
      <c r="AD46" s="50">
        <f t="shared" si="9"/>
        <v>14328.429998195386</v>
      </c>
      <c r="AE46" s="50">
        <f t="shared" si="9"/>
        <v>14273.424823084515</v>
      </c>
      <c r="AF46" s="50">
        <f t="shared" si="9"/>
        <v>14202.41275928808</v>
      </c>
      <c r="AG46" s="50">
        <f t="shared" si="9"/>
        <v>14147.792749303291</v>
      </c>
      <c r="AH46" s="50">
        <f t="shared" si="9"/>
        <v>14045.407995601643</v>
      </c>
      <c r="AI46" s="50">
        <f t="shared" si="9"/>
        <v>13991.489309018467</v>
      </c>
      <c r="AJ46" s="50">
        <f t="shared" si="9"/>
        <v>1445.0406242760323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371409.67882059264</v>
      </c>
      <c r="I49" s="50"/>
      <c r="J49" s="50">
        <f t="shared" ref="J49:AN49" si="10" xml:space="preserve"> J46 + J48</f>
        <v>0</v>
      </c>
      <c r="K49" s="50">
        <f t="shared" si="10"/>
        <v>14133.708333333334</v>
      </c>
      <c r="L49" s="50">
        <f t="shared" si="10"/>
        <v>15692.183043117744</v>
      </c>
      <c r="M49" s="50">
        <f t="shared" si="10"/>
        <v>15631.833635659659</v>
      </c>
      <c r="N49" s="50">
        <f t="shared" si="10"/>
        <v>15518.709174123353</v>
      </c>
      <c r="O49" s="50">
        <f t="shared" si="10"/>
        <v>15459.134655789891</v>
      </c>
      <c r="P49" s="50">
        <f t="shared" si="10"/>
        <v>15382.223538099393</v>
      </c>
      <c r="Q49" s="50">
        <f t="shared" si="10"/>
        <v>15323.066181002461</v>
      </c>
      <c r="R49" s="50">
        <f t="shared" si="10"/>
        <v>15212.176207937702</v>
      </c>
      <c r="S49" s="50">
        <f t="shared" si="10"/>
        <v>15153.778433984777</v>
      </c>
      <c r="T49" s="50">
        <f t="shared" si="10"/>
        <v>15078.386501477391</v>
      </c>
      <c r="U49" s="50">
        <f t="shared" si="10"/>
        <v>15020.397648792725</v>
      </c>
      <c r="V49" s="50">
        <f t="shared" si="10"/>
        <v>14911.698027514469</v>
      </c>
      <c r="W49" s="50">
        <f t="shared" si="10"/>
        <v>14854.453754324239</v>
      </c>
      <c r="X49" s="50">
        <f t="shared" si="10"/>
        <v>14780.550999327603</v>
      </c>
      <c r="Y49" s="50">
        <f t="shared" si="10"/>
        <v>14723.707570197157</v>
      </c>
      <c r="Z49" s="50">
        <f t="shared" si="10"/>
        <v>14617.155035829282</v>
      </c>
      <c r="AA49" s="50">
        <f t="shared" si="10"/>
        <v>14561.041478902964</v>
      </c>
      <c r="AB49" s="50">
        <f t="shared" si="10"/>
        <v>14488.598486470613</v>
      </c>
      <c r="AC49" s="50">
        <f t="shared" si="10"/>
        <v>14432.877855940491</v>
      </c>
      <c r="AD49" s="50">
        <f t="shared" si="10"/>
        <v>14328.429998195386</v>
      </c>
      <c r="AE49" s="50">
        <f t="shared" si="10"/>
        <v>14273.424823084515</v>
      </c>
      <c r="AF49" s="50">
        <f t="shared" si="10"/>
        <v>14202.41275928808</v>
      </c>
      <c r="AG49" s="50">
        <f t="shared" si="10"/>
        <v>14147.792749303291</v>
      </c>
      <c r="AH49" s="50">
        <f t="shared" si="10"/>
        <v>14045.407995601643</v>
      </c>
      <c r="AI49" s="50">
        <f t="shared" si="10"/>
        <v>13991.489309018467</v>
      </c>
      <c r="AJ49" s="50">
        <f t="shared" si="10"/>
        <v>1445.0406242760323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371409.67882059264</v>
      </c>
      <c r="I52" s="50"/>
      <c r="J52" s="50">
        <f xml:space="preserve"> J49 + J51</f>
        <v>0</v>
      </c>
      <c r="K52" s="50">
        <f t="shared" ref="K52:AN52" si="11" xml:space="preserve"> K49 + K51</f>
        <v>14133.708333333334</v>
      </c>
      <c r="L52" s="50">
        <f t="shared" si="11"/>
        <v>15692.183043117744</v>
      </c>
      <c r="M52" s="50">
        <f t="shared" si="11"/>
        <v>15631.833635659659</v>
      </c>
      <c r="N52" s="50">
        <f t="shared" si="11"/>
        <v>15518.709174123353</v>
      </c>
      <c r="O52" s="50">
        <f t="shared" si="11"/>
        <v>15459.134655789891</v>
      </c>
      <c r="P52" s="50">
        <f t="shared" si="11"/>
        <v>15382.223538099393</v>
      </c>
      <c r="Q52" s="50">
        <f t="shared" si="11"/>
        <v>15323.066181002461</v>
      </c>
      <c r="R52" s="50">
        <f t="shared" si="11"/>
        <v>15212.176207937702</v>
      </c>
      <c r="S52" s="50">
        <f t="shared" si="11"/>
        <v>15153.778433984777</v>
      </c>
      <c r="T52" s="50">
        <f t="shared" si="11"/>
        <v>15078.386501477391</v>
      </c>
      <c r="U52" s="50">
        <f t="shared" si="11"/>
        <v>15020.397648792725</v>
      </c>
      <c r="V52" s="50">
        <f t="shared" si="11"/>
        <v>14911.698027514469</v>
      </c>
      <c r="W52" s="50">
        <f t="shared" si="11"/>
        <v>14854.453754324239</v>
      </c>
      <c r="X52" s="50">
        <f t="shared" si="11"/>
        <v>14780.550999327603</v>
      </c>
      <c r="Y52" s="50">
        <f t="shared" si="11"/>
        <v>14723.707570197157</v>
      </c>
      <c r="Z52" s="50">
        <f t="shared" si="11"/>
        <v>14617.155035829282</v>
      </c>
      <c r="AA52" s="50">
        <f t="shared" si="11"/>
        <v>14561.041478902964</v>
      </c>
      <c r="AB52" s="50">
        <f t="shared" si="11"/>
        <v>14488.598486470613</v>
      </c>
      <c r="AC52" s="50">
        <f t="shared" si="11"/>
        <v>14432.877855940491</v>
      </c>
      <c r="AD52" s="50">
        <f t="shared" si="11"/>
        <v>14328.429998195386</v>
      </c>
      <c r="AE52" s="50">
        <f t="shared" si="11"/>
        <v>14273.424823084515</v>
      </c>
      <c r="AF52" s="50">
        <f t="shared" si="11"/>
        <v>14202.41275928808</v>
      </c>
      <c r="AG52" s="50">
        <f t="shared" si="11"/>
        <v>14147.792749303291</v>
      </c>
      <c r="AH52" s="50">
        <f t="shared" si="11"/>
        <v>14045.407995601643</v>
      </c>
      <c r="AI52" s="50">
        <f t="shared" si="11"/>
        <v>13991.489309018467</v>
      </c>
      <c r="AJ52" s="50">
        <f t="shared" si="11"/>
        <v>1445.0406242760323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14133.708333333334</v>
      </c>
      <c r="M63" s="9">
        <f xml:space="preserve"> SUMIFS( 'FS Qtr'!$J63:$EA63, 'FS Qtr'!$J$2:$EA$2, 'FS Ann'!M$2)</f>
        <v>29825.89137645108</v>
      </c>
      <c r="N63" s="9">
        <f xml:space="preserve"> SUMIFS( 'FS Qtr'!$J63:$EA63, 'FS Qtr'!$J$2:$EA$2, 'FS Ann'!N$2)</f>
        <v>45457.725012110735</v>
      </c>
      <c r="O63" s="9">
        <f xml:space="preserve"> SUMIFS( 'FS Qtr'!$J63:$EA63, 'FS Qtr'!$J$2:$EA$2, 'FS Ann'!O$2)</f>
        <v>60976.434186234088</v>
      </c>
      <c r="P63" s="9">
        <f xml:space="preserve"> SUMIFS( 'FS Qtr'!$J63:$EA63, 'FS Qtr'!$J$2:$EA$2, 'FS Ann'!P$2)</f>
        <v>76435.568842023975</v>
      </c>
      <c r="Q63" s="9">
        <f xml:space="preserve"> SUMIFS( 'FS Qtr'!$J63:$EA63, 'FS Qtr'!$J$2:$EA$2, 'FS Ann'!Q$2)</f>
        <v>91817.792380123356</v>
      </c>
      <c r="R63" s="9">
        <f xml:space="preserve"> SUMIFS( 'FS Qtr'!$J63:$EA63, 'FS Qtr'!$J$2:$EA$2, 'FS Ann'!R$2)</f>
        <v>107140.85856112583</v>
      </c>
      <c r="S63" s="9">
        <f xml:space="preserve"> SUMIFS( 'FS Qtr'!$J63:$EA63, 'FS Qtr'!$J$2:$EA$2, 'FS Ann'!S$2)</f>
        <v>122353.03476906354</v>
      </c>
      <c r="T63" s="9">
        <f xml:space="preserve"> SUMIFS( 'FS Qtr'!$J63:$EA63, 'FS Qtr'!$J$2:$EA$2, 'FS Ann'!T$2)</f>
        <v>137506.81320304831</v>
      </c>
      <c r="U63" s="9">
        <f xml:space="preserve"> SUMIFS( 'FS Qtr'!$J63:$EA63, 'FS Qtr'!$J$2:$EA$2, 'FS Ann'!U$2)</f>
        <v>152585.1997045257</v>
      </c>
      <c r="V63" s="9">
        <f xml:space="preserve"> SUMIFS( 'FS Qtr'!$J63:$EA63, 'FS Qtr'!$J$2:$EA$2, 'FS Ann'!V$2)</f>
        <v>167605.59735331842</v>
      </c>
      <c r="W63" s="9">
        <f xml:space="preserve"> SUMIFS( 'FS Qtr'!$J63:$EA63, 'FS Qtr'!$J$2:$EA$2, 'FS Ann'!W$2)</f>
        <v>182517.29538083286</v>
      </c>
      <c r="X63" s="9">
        <f xml:space="preserve"> SUMIFS( 'FS Qtr'!$J63:$EA63, 'FS Qtr'!$J$2:$EA$2, 'FS Ann'!X$2)</f>
        <v>197371.74913515709</v>
      </c>
      <c r="Y63" s="9">
        <f xml:space="preserve"> SUMIFS( 'FS Qtr'!$J63:$EA63, 'FS Qtr'!$J$2:$EA$2, 'FS Ann'!Y$2)</f>
        <v>212152.30013448471</v>
      </c>
      <c r="Z63" s="9">
        <f xml:space="preserve"> SUMIFS( 'FS Qtr'!$J63:$EA63, 'FS Qtr'!$J$2:$EA$2, 'FS Ann'!Z$2)</f>
        <v>226876.00770468186</v>
      </c>
      <c r="AA63" s="9">
        <f xml:space="preserve"> SUMIFS( 'FS Qtr'!$J63:$EA63, 'FS Qtr'!$J$2:$EA$2, 'FS Ann'!AA$2)</f>
        <v>241493.16274051112</v>
      </c>
      <c r="AB63" s="9">
        <f xml:space="preserve"> SUMIFS( 'FS Qtr'!$J63:$EA63, 'FS Qtr'!$J$2:$EA$2, 'FS Ann'!AB$2)</f>
        <v>256054.20421941407</v>
      </c>
      <c r="AC63" s="9">
        <f xml:space="preserve"> SUMIFS( 'FS Qtr'!$J63:$EA63, 'FS Qtr'!$J$2:$EA$2, 'FS Ann'!AC$2)</f>
        <v>270542.80270588462</v>
      </c>
      <c r="AD63" s="9">
        <f xml:space="preserve"> SUMIFS( 'FS Qtr'!$J63:$EA63, 'FS Qtr'!$J$2:$EA$2, 'FS Ann'!AD$2)</f>
        <v>284975.68056182505</v>
      </c>
      <c r="AE63" s="9">
        <f xml:space="preserve"> SUMIFS( 'FS Qtr'!$J63:$EA63, 'FS Qtr'!$J$2:$EA$2, 'FS Ann'!AE$2)</f>
        <v>299304.11056002049</v>
      </c>
      <c r="AF63" s="9">
        <f xml:space="preserve"> SUMIFS( 'FS Qtr'!$J63:$EA63, 'FS Qtr'!$J$2:$EA$2, 'FS Ann'!AF$2)</f>
        <v>313577.53538310499</v>
      </c>
      <c r="AG63" s="9">
        <f xml:space="preserve"> SUMIFS( 'FS Qtr'!$J63:$EA63, 'FS Qtr'!$J$2:$EA$2, 'FS Ann'!AG$2)</f>
        <v>327779.94814239308</v>
      </c>
      <c r="AH63" s="9">
        <f xml:space="preserve"> SUMIFS( 'FS Qtr'!$J63:$EA63, 'FS Qtr'!$J$2:$EA$2, 'FS Ann'!AH$2)</f>
        <v>341927.74089169636</v>
      </c>
      <c r="AI63" s="9">
        <f xml:space="preserve"> SUMIFS( 'FS Qtr'!$J63:$EA63, 'FS Qtr'!$J$2:$EA$2, 'FS Ann'!AI$2)</f>
        <v>355973.14888729801</v>
      </c>
      <c r="AJ63" s="9">
        <f xml:space="preserve"> SUMIFS( 'FS Qtr'!$J63:$EA63, 'FS Qtr'!$J$2:$EA$2, 'FS Ann'!AJ$2)</f>
        <v>369964.63819631655</v>
      </c>
      <c r="AK63" s="9">
        <f xml:space="preserve"> SUMIFS( 'FS Qtr'!$J63:$EA63, 'FS Qtr'!$J$2:$EA$2, 'FS Ann'!AK$2)</f>
        <v>371409.67882059258</v>
      </c>
      <c r="AL63" s="9">
        <f xml:space="preserve"> SUMIFS( 'FS Qtr'!$J63:$EA63, 'FS Qtr'!$J$2:$EA$2, 'FS Ann'!AL$2)</f>
        <v>371409.67882059258</v>
      </c>
      <c r="AM63" s="9">
        <f xml:space="preserve"> SUMIFS( 'FS Qtr'!$J63:$EA63, 'FS Qtr'!$J$2:$EA$2, 'FS Ann'!AM$2)</f>
        <v>371409.67882059258</v>
      </c>
      <c r="AN63" s="9">
        <f xml:space="preserve"> SUMIFS( 'FS Qtr'!$J63:$EA63, 'FS Qtr'!$J$2:$EA$2, 'FS Ann'!AN$2)</f>
        <v>371409.67882059258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15762.5</v>
      </c>
      <c r="M65" s="50">
        <f t="shared" si="13"/>
        <v>31446.579601990052</v>
      </c>
      <c r="N65" s="50">
        <f t="shared" si="13"/>
        <v>47052.628957204033</v>
      </c>
      <c r="O65" s="50">
        <f t="shared" si="13"/>
        <v>62581.03627582491</v>
      </c>
      <c r="P65" s="50">
        <f t="shared" si="13"/>
        <v>78032.187836641708</v>
      </c>
      <c r="Q65" s="50">
        <f t="shared" si="13"/>
        <v>93406.467996658423</v>
      </c>
      <c r="R65" s="50">
        <f t="shared" si="13"/>
        <v>108704.25920065517</v>
      </c>
      <c r="S65" s="50">
        <f t="shared" si="13"/>
        <v>123925.94199070169</v>
      </c>
      <c r="T65" s="50">
        <f t="shared" si="13"/>
        <v>139071.89501562357</v>
      </c>
      <c r="U65" s="50">
        <f t="shared" si="13"/>
        <v>154142.49504042149</v>
      </c>
      <c r="V65" s="50">
        <f t="shared" si="13"/>
        <v>169138.11695564329</v>
      </c>
      <c r="W65" s="50">
        <f t="shared" si="13"/>
        <v>184059.13378670972</v>
      </c>
      <c r="X65" s="50">
        <f t="shared" si="13"/>
        <v>198905.91670319377</v>
      </c>
      <c r="Y65" s="50">
        <f t="shared" si="13"/>
        <v>213678.83502805355</v>
      </c>
      <c r="Z65" s="50">
        <f t="shared" si="13"/>
        <v>228378.25624681948</v>
      </c>
      <c r="AA65" s="50">
        <f t="shared" si="13"/>
        <v>243004.54601673581</v>
      </c>
      <c r="AB65" s="50">
        <f t="shared" si="13"/>
        <v>257558.06817585655</v>
      </c>
      <c r="AC65" s="50">
        <f t="shared" si="13"/>
        <v>272039.18475209601</v>
      </c>
      <c r="AD65" s="50">
        <f t="shared" si="13"/>
        <v>286448.25597223482</v>
      </c>
      <c r="AE65" s="50">
        <f t="shared" si="13"/>
        <v>300785.64027088054</v>
      </c>
      <c r="AF65" s="50">
        <f t="shared" si="13"/>
        <v>315051.69429938367</v>
      </c>
      <c r="AG65" s="50">
        <f t="shared" si="13"/>
        <v>329246.77293471014</v>
      </c>
      <c r="AH65" s="50">
        <f t="shared" si="13"/>
        <v>343371.22928826883</v>
      </c>
      <c r="AI65" s="50">
        <f t="shared" si="13"/>
        <v>357425.41471469542</v>
      </c>
      <c r="AJ65" s="50">
        <f t="shared" si="13"/>
        <v>371409.67882059258</v>
      </c>
      <c r="AK65" s="50">
        <f t="shared" si="13"/>
        <v>371409.67882059258</v>
      </c>
      <c r="AL65" s="50">
        <f t="shared" si="13"/>
        <v>371409.67882059258</v>
      </c>
      <c r="AM65" s="50">
        <f t="shared" si="13"/>
        <v>371409.67882059258</v>
      </c>
      <c r="AN65" s="50">
        <f t="shared" si="13"/>
        <v>371409.67882059258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15762.5</v>
      </c>
      <c r="M67" s="50">
        <f t="shared" si="14"/>
        <v>31446.579601990052</v>
      </c>
      <c r="N67" s="50">
        <f t="shared" si="14"/>
        <v>47052.628957204033</v>
      </c>
      <c r="O67" s="50">
        <f t="shared" si="14"/>
        <v>62581.03627582491</v>
      </c>
      <c r="P67" s="50">
        <f t="shared" si="14"/>
        <v>78032.187836641708</v>
      </c>
      <c r="Q67" s="50">
        <f t="shared" si="14"/>
        <v>93406.467996658423</v>
      </c>
      <c r="R67" s="50">
        <f t="shared" si="14"/>
        <v>108704.25920065517</v>
      </c>
      <c r="S67" s="50">
        <f t="shared" si="14"/>
        <v>123925.94199070169</v>
      </c>
      <c r="T67" s="50">
        <f t="shared" si="14"/>
        <v>139071.89501562357</v>
      </c>
      <c r="U67" s="50">
        <f t="shared" si="14"/>
        <v>154142.49504042149</v>
      </c>
      <c r="V67" s="50">
        <f t="shared" si="14"/>
        <v>169138.11695564329</v>
      </c>
      <c r="W67" s="50">
        <f t="shared" si="14"/>
        <v>184059.13378670972</v>
      </c>
      <c r="X67" s="50">
        <f t="shared" si="14"/>
        <v>198905.91670319377</v>
      </c>
      <c r="Y67" s="50">
        <f t="shared" si="14"/>
        <v>213678.83502805355</v>
      </c>
      <c r="Z67" s="50">
        <f t="shared" si="14"/>
        <v>228378.25624681948</v>
      </c>
      <c r="AA67" s="50">
        <f t="shared" si="14"/>
        <v>243004.54601673581</v>
      </c>
      <c r="AB67" s="50">
        <f t="shared" si="14"/>
        <v>257558.06817585655</v>
      </c>
      <c r="AC67" s="50">
        <f t="shared" si="14"/>
        <v>272039.18475209601</v>
      </c>
      <c r="AD67" s="50">
        <f t="shared" si="14"/>
        <v>286448.25597223482</v>
      </c>
      <c r="AE67" s="50">
        <f t="shared" si="14"/>
        <v>300785.64027088054</v>
      </c>
      <c r="AF67" s="50">
        <f t="shared" si="14"/>
        <v>315051.69429938367</v>
      </c>
      <c r="AG67" s="50">
        <f t="shared" si="14"/>
        <v>329246.77293471014</v>
      </c>
      <c r="AH67" s="50">
        <f t="shared" si="14"/>
        <v>343371.22928826883</v>
      </c>
      <c r="AI67" s="50">
        <f t="shared" si="14"/>
        <v>357425.41471469542</v>
      </c>
      <c r="AJ67" s="50">
        <f t="shared" si="14"/>
        <v>371409.67882059258</v>
      </c>
      <c r="AK67" s="50">
        <f t="shared" si="14"/>
        <v>371409.67882059258</v>
      </c>
      <c r="AL67" s="50">
        <f t="shared" si="14"/>
        <v>371409.67882059258</v>
      </c>
      <c r="AM67" s="50">
        <f t="shared" si="14"/>
        <v>371409.67882059258</v>
      </c>
      <c r="AN67" s="50">
        <f t="shared" si="14"/>
        <v>371409.67882059258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15762.499999999998</v>
      </c>
      <c r="M74" s="9">
        <f xml:space="preserve"> SUMIFS( 'FS Qtr'!$J74:$EA74, 'FS Qtr'!$J$2:$EA$2, 'FS Ann'!M$2)</f>
        <v>31446.579601990052</v>
      </c>
      <c r="N74" s="9">
        <f xml:space="preserve"> SUMIFS( 'FS Qtr'!$J74:$EA74, 'FS Qtr'!$J$2:$EA$2, 'FS Ann'!N$2)</f>
        <v>47052.628957204033</v>
      </c>
      <c r="O74" s="9">
        <f xml:space="preserve"> SUMIFS( 'FS Qtr'!$J74:$EA74, 'FS Qtr'!$J$2:$EA$2, 'FS Ann'!O$2)</f>
        <v>62581.036275824918</v>
      </c>
      <c r="P74" s="9">
        <f xml:space="preserve"> SUMIFS( 'FS Qtr'!$J74:$EA74, 'FS Qtr'!$J$2:$EA$2, 'FS Ann'!P$2)</f>
        <v>78032.187836641722</v>
      </c>
      <c r="Q74" s="9">
        <f xml:space="preserve"> SUMIFS( 'FS Qtr'!$J74:$EA74, 'FS Qtr'!$J$2:$EA$2, 'FS Ann'!Q$2)</f>
        <v>93406.467996658437</v>
      </c>
      <c r="R74" s="9">
        <f xml:space="preserve"> SUMIFS( 'FS Qtr'!$J74:$EA74, 'FS Qtr'!$J$2:$EA$2, 'FS Ann'!R$2)</f>
        <v>108704.25920065517</v>
      </c>
      <c r="S74" s="9">
        <f xml:space="preserve"> SUMIFS( 'FS Qtr'!$J74:$EA74, 'FS Qtr'!$J$2:$EA$2, 'FS Ann'!S$2)</f>
        <v>123925.94199070169</v>
      </c>
      <c r="T74" s="9">
        <f xml:space="preserve"> SUMIFS( 'FS Qtr'!$J74:$EA74, 'FS Qtr'!$J$2:$EA$2, 'FS Ann'!T$2)</f>
        <v>139071.8950156236</v>
      </c>
      <c r="U74" s="9">
        <f xml:space="preserve"> SUMIFS( 'FS Qtr'!$J74:$EA74, 'FS Qtr'!$J$2:$EA$2, 'FS Ann'!U$2)</f>
        <v>154142.49504042152</v>
      </c>
      <c r="V74" s="9">
        <f xml:space="preserve"> SUMIFS( 'FS Qtr'!$J74:$EA74, 'FS Qtr'!$J$2:$EA$2, 'FS Ann'!V$2)</f>
        <v>169138.11695564337</v>
      </c>
      <c r="W74" s="9">
        <f xml:space="preserve"> SUMIFS( 'FS Qtr'!$J74:$EA74, 'FS Qtr'!$J$2:$EA$2, 'FS Ann'!W$2)</f>
        <v>184059.13378670986</v>
      </c>
      <c r="X74" s="9">
        <f xml:space="preserve"> SUMIFS( 'FS Qtr'!$J74:$EA74, 'FS Qtr'!$J$2:$EA$2, 'FS Ann'!X$2)</f>
        <v>198905.91670319391</v>
      </c>
      <c r="Y74" s="9">
        <f xml:space="preserve"> SUMIFS( 'FS Qtr'!$J74:$EA74, 'FS Qtr'!$J$2:$EA$2, 'FS Ann'!Y$2)</f>
        <v>213678.83502805367</v>
      </c>
      <c r="Z74" s="9">
        <f xml:space="preserve"> SUMIFS( 'FS Qtr'!$J74:$EA74, 'FS Qtr'!$J$2:$EA$2, 'FS Ann'!Z$2)</f>
        <v>228378.2562468196</v>
      </c>
      <c r="AA74" s="9">
        <f xml:space="preserve"> SUMIFS( 'FS Qtr'!$J74:$EA74, 'FS Qtr'!$J$2:$EA$2, 'FS Ann'!AA$2)</f>
        <v>243004.54601673599</v>
      </c>
      <c r="AB74" s="9">
        <f xml:space="preserve"> SUMIFS( 'FS Qtr'!$J74:$EA74, 'FS Qtr'!$J$2:$EA$2, 'FS Ann'!AB$2)</f>
        <v>257558.06817585672</v>
      </c>
      <c r="AC74" s="9">
        <f xml:space="preserve"> SUMIFS( 'FS Qtr'!$J74:$EA74, 'FS Qtr'!$J$2:$EA$2, 'FS Ann'!AC$2)</f>
        <v>272039.18475209631</v>
      </c>
      <c r="AD74" s="9">
        <f xml:space="preserve"> SUMIFS( 'FS Qtr'!$J74:$EA74, 'FS Qtr'!$J$2:$EA$2, 'FS Ann'!AD$2)</f>
        <v>286448.25597223511</v>
      </c>
      <c r="AE74" s="9">
        <f xml:space="preserve"> SUMIFS( 'FS Qtr'!$J74:$EA74, 'FS Qtr'!$J$2:$EA$2, 'FS Ann'!AE$2)</f>
        <v>300785.64027088066</v>
      </c>
      <c r="AF74" s="9">
        <f xml:space="preserve"> SUMIFS( 'FS Qtr'!$J74:$EA74, 'FS Qtr'!$J$2:$EA$2, 'FS Ann'!AF$2)</f>
        <v>315051.69429938385</v>
      </c>
      <c r="AG74" s="9">
        <f xml:space="preserve"> SUMIFS( 'FS Qtr'!$J74:$EA74, 'FS Qtr'!$J$2:$EA$2, 'FS Ann'!AG$2)</f>
        <v>329246.77293471037</v>
      </c>
      <c r="AH74" s="9">
        <f xml:space="preserve"> SUMIFS( 'FS Qtr'!$J74:$EA74, 'FS Qtr'!$J$2:$EA$2, 'FS Ann'!AH$2)</f>
        <v>343371.22928826913</v>
      </c>
      <c r="AI74" s="9">
        <f xml:space="preserve"> SUMIFS( 'FS Qtr'!$J74:$EA74, 'FS Qtr'!$J$2:$EA$2, 'FS Ann'!AI$2)</f>
        <v>357425.41471469577</v>
      </c>
      <c r="AJ74" s="9">
        <f xml:space="preserve"> SUMIFS( 'FS Qtr'!$J74:$EA74, 'FS Qtr'!$J$2:$EA$2, 'FS Ann'!AJ$2)</f>
        <v>371409.67882059288</v>
      </c>
      <c r="AK74" s="9">
        <f xml:space="preserve"> SUMIFS( 'FS Qtr'!$J74:$EA74, 'FS Qtr'!$J$2:$EA$2, 'FS Ann'!AK$2)</f>
        <v>371409.67882059288</v>
      </c>
      <c r="AL74" s="9">
        <f xml:space="preserve"> SUMIFS( 'FS Qtr'!$J74:$EA74, 'FS Qtr'!$J$2:$EA$2, 'FS Ann'!AL$2)</f>
        <v>371409.67882059288</v>
      </c>
      <c r="AM74" s="9">
        <f xml:space="preserve"> SUMIFS( 'FS Qtr'!$J74:$EA74, 'FS Qtr'!$J$2:$EA$2, 'FS Ann'!AM$2)</f>
        <v>371409.67882059288</v>
      </c>
      <c r="AN74" s="9">
        <f xml:space="preserve"> SUMIFS( 'FS Qtr'!$J74:$EA74, 'FS Qtr'!$J$2:$EA$2, 'FS Ann'!AN$2)</f>
        <v>371409.67882059288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15762.499999999998</v>
      </c>
      <c r="M75" s="50">
        <f t="shared" si="15"/>
        <v>31446.579601990052</v>
      </c>
      <c r="N75" s="50">
        <f t="shared" si="15"/>
        <v>47052.628957204033</v>
      </c>
      <c r="O75" s="50">
        <f t="shared" si="15"/>
        <v>62581.036275824918</v>
      </c>
      <c r="P75" s="50">
        <f t="shared" si="15"/>
        <v>78032.187836641722</v>
      </c>
      <c r="Q75" s="50">
        <f t="shared" si="15"/>
        <v>93406.467996658437</v>
      </c>
      <c r="R75" s="50">
        <f t="shared" si="15"/>
        <v>108704.25920065517</v>
      </c>
      <c r="S75" s="50">
        <f t="shared" si="15"/>
        <v>123925.94199070169</v>
      </c>
      <c r="T75" s="50">
        <f t="shared" si="15"/>
        <v>139071.8950156236</v>
      </c>
      <c r="U75" s="50">
        <f t="shared" si="15"/>
        <v>154142.49504042152</v>
      </c>
      <c r="V75" s="50">
        <f t="shared" si="15"/>
        <v>169138.11695564337</v>
      </c>
      <c r="W75" s="50">
        <f t="shared" si="15"/>
        <v>184059.13378670986</v>
      </c>
      <c r="X75" s="50">
        <f t="shared" si="15"/>
        <v>198905.91670319391</v>
      </c>
      <c r="Y75" s="50">
        <f t="shared" si="15"/>
        <v>213678.83502805367</v>
      </c>
      <c r="Z75" s="50">
        <f t="shared" si="15"/>
        <v>228378.2562468196</v>
      </c>
      <c r="AA75" s="50">
        <f t="shared" si="15"/>
        <v>243004.54601673599</v>
      </c>
      <c r="AB75" s="50">
        <f t="shared" si="15"/>
        <v>257558.06817585672</v>
      </c>
      <c r="AC75" s="50">
        <f t="shared" si="15"/>
        <v>272039.18475209631</v>
      </c>
      <c r="AD75" s="50">
        <f t="shared" si="15"/>
        <v>286448.25597223511</v>
      </c>
      <c r="AE75" s="50">
        <f t="shared" si="15"/>
        <v>300785.64027088066</v>
      </c>
      <c r="AF75" s="50">
        <f t="shared" si="15"/>
        <v>315051.69429938385</v>
      </c>
      <c r="AG75" s="50">
        <f t="shared" si="15"/>
        <v>329246.77293471037</v>
      </c>
      <c r="AH75" s="50">
        <f t="shared" si="15"/>
        <v>343371.22928826913</v>
      </c>
      <c r="AI75" s="50">
        <f t="shared" si="15"/>
        <v>357425.41471469577</v>
      </c>
      <c r="AJ75" s="50">
        <f t="shared" si="15"/>
        <v>371409.67882059288</v>
      </c>
      <c r="AK75" s="50">
        <f t="shared" si="15"/>
        <v>371409.67882059288</v>
      </c>
      <c r="AL75" s="50">
        <f t="shared" si="15"/>
        <v>371409.67882059288</v>
      </c>
      <c r="AM75" s="50">
        <f t="shared" si="15"/>
        <v>371409.67882059288</v>
      </c>
      <c r="AN75" s="50">
        <f t="shared" si="15"/>
        <v>371409.67882059288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15762.5</v>
      </c>
      <c r="M80" s="113">
        <f t="shared" si="16"/>
        <v>31446.579601990052</v>
      </c>
      <c r="N80" s="113">
        <f t="shared" si="16"/>
        <v>47052.628957204033</v>
      </c>
      <c r="O80" s="113">
        <f t="shared" si="16"/>
        <v>62581.03627582491</v>
      </c>
      <c r="P80" s="113">
        <f t="shared" si="16"/>
        <v>78032.187836641708</v>
      </c>
      <c r="Q80" s="113">
        <f t="shared" si="16"/>
        <v>93406.467996658423</v>
      </c>
      <c r="R80" s="113">
        <f t="shared" si="16"/>
        <v>108704.25920065517</v>
      </c>
      <c r="S80" s="113">
        <f t="shared" si="16"/>
        <v>123925.94199070169</v>
      </c>
      <c r="T80" s="113">
        <f t="shared" si="16"/>
        <v>139071.89501562357</v>
      </c>
      <c r="U80" s="113">
        <f t="shared" si="16"/>
        <v>154142.49504042149</v>
      </c>
      <c r="V80" s="113">
        <f t="shared" si="16"/>
        <v>169138.11695564329</v>
      </c>
      <c r="W80" s="113">
        <f t="shared" si="16"/>
        <v>184059.13378670972</v>
      </c>
      <c r="X80" s="113">
        <f t="shared" si="16"/>
        <v>198905.91670319377</v>
      </c>
      <c r="Y80" s="113">
        <f t="shared" si="16"/>
        <v>213678.83502805355</v>
      </c>
      <c r="Z80" s="113">
        <f t="shared" si="16"/>
        <v>228378.25624681948</v>
      </c>
      <c r="AA80" s="113">
        <f t="shared" si="16"/>
        <v>243004.54601673581</v>
      </c>
      <c r="AB80" s="113">
        <f t="shared" si="16"/>
        <v>257558.06817585655</v>
      </c>
      <c r="AC80" s="113">
        <f t="shared" si="16"/>
        <v>272039.18475209601</v>
      </c>
      <c r="AD80" s="113">
        <f t="shared" si="16"/>
        <v>286448.25597223482</v>
      </c>
      <c r="AE80" s="113">
        <f t="shared" si="16"/>
        <v>300785.64027088054</v>
      </c>
      <c r="AF80" s="113">
        <f t="shared" si="16"/>
        <v>315051.69429938367</v>
      </c>
      <c r="AG80" s="113">
        <f t="shared" si="16"/>
        <v>329246.77293471014</v>
      </c>
      <c r="AH80" s="113">
        <f t="shared" si="16"/>
        <v>343371.22928826883</v>
      </c>
      <c r="AI80" s="113">
        <f t="shared" si="16"/>
        <v>357425.41471469542</v>
      </c>
      <c r="AJ80" s="113">
        <f t="shared" si="16"/>
        <v>371409.67882059258</v>
      </c>
      <c r="AK80" s="113">
        <f t="shared" ref="AK80:AN80" si="17" xml:space="preserve"> AK$67</f>
        <v>371409.67882059258</v>
      </c>
      <c r="AL80" s="113">
        <f t="shared" si="17"/>
        <v>371409.67882059258</v>
      </c>
      <c r="AM80" s="113">
        <f t="shared" si="17"/>
        <v>371409.67882059258</v>
      </c>
      <c r="AN80" s="113">
        <f t="shared" si="17"/>
        <v>371409.67882059258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15762.499999999998</v>
      </c>
      <c r="M81" s="113">
        <f t="shared" si="18"/>
        <v>31446.579601990052</v>
      </c>
      <c r="N81" s="113">
        <f t="shared" si="18"/>
        <v>47052.628957204033</v>
      </c>
      <c r="O81" s="113">
        <f t="shared" si="18"/>
        <v>62581.036275824918</v>
      </c>
      <c r="P81" s="113">
        <f t="shared" si="18"/>
        <v>78032.187836641722</v>
      </c>
      <c r="Q81" s="113">
        <f t="shared" si="18"/>
        <v>93406.467996658437</v>
      </c>
      <c r="R81" s="113">
        <f t="shared" si="18"/>
        <v>108704.25920065517</v>
      </c>
      <c r="S81" s="113">
        <f t="shared" si="18"/>
        <v>123925.94199070169</v>
      </c>
      <c r="T81" s="113">
        <f t="shared" si="18"/>
        <v>139071.8950156236</v>
      </c>
      <c r="U81" s="113">
        <f t="shared" si="18"/>
        <v>154142.49504042152</v>
      </c>
      <c r="V81" s="113">
        <f t="shared" si="18"/>
        <v>169138.11695564337</v>
      </c>
      <c r="W81" s="113">
        <f t="shared" si="18"/>
        <v>184059.13378670986</v>
      </c>
      <c r="X81" s="113">
        <f t="shared" si="18"/>
        <v>198905.91670319391</v>
      </c>
      <c r="Y81" s="113">
        <f t="shared" si="18"/>
        <v>213678.83502805367</v>
      </c>
      <c r="Z81" s="113">
        <f t="shared" si="18"/>
        <v>228378.2562468196</v>
      </c>
      <c r="AA81" s="113">
        <f t="shared" si="18"/>
        <v>243004.54601673599</v>
      </c>
      <c r="AB81" s="113">
        <f t="shared" si="18"/>
        <v>257558.06817585672</v>
      </c>
      <c r="AC81" s="113">
        <f t="shared" si="18"/>
        <v>272039.18475209631</v>
      </c>
      <c r="AD81" s="113">
        <f t="shared" si="18"/>
        <v>286448.25597223511</v>
      </c>
      <c r="AE81" s="113">
        <f t="shared" si="18"/>
        <v>300785.64027088066</v>
      </c>
      <c r="AF81" s="113">
        <f t="shared" si="18"/>
        <v>315051.69429938385</v>
      </c>
      <c r="AG81" s="113">
        <f t="shared" si="18"/>
        <v>329246.77293471037</v>
      </c>
      <c r="AH81" s="113">
        <f t="shared" si="18"/>
        <v>343371.22928826913</v>
      </c>
      <c r="AI81" s="113">
        <f t="shared" si="18"/>
        <v>357425.41471469577</v>
      </c>
      <c r="AJ81" s="113">
        <f t="shared" si="18"/>
        <v>371409.67882059288</v>
      </c>
      <c r="AK81" s="113">
        <f t="shared" ref="AK81:AN81" si="19" xml:space="preserve"> AK$75</f>
        <v>371409.67882059288</v>
      </c>
      <c r="AL81" s="113">
        <f t="shared" si="19"/>
        <v>371409.67882059288</v>
      </c>
      <c r="AM81" s="113">
        <f t="shared" si="19"/>
        <v>371409.67882059288</v>
      </c>
      <c r="AN81" s="113">
        <f t="shared" si="19"/>
        <v>371409.67882059288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T73"/>
  <sheetViews>
    <sheetView showGridLines="0" defaultGridColor="0" colorId="22" zoomScale="90" zoomScaleNormal="90" workbookViewId="0">
      <pane xSplit="9" ySplit="5" topLeftCell="J45" activePane="bottomRight" state="frozen"/>
      <selection activeCell="E45" sqref="E45"/>
      <selection pane="topRight" activeCell="E45" sqref="E45"/>
      <selection pane="bottomLeft" activeCell="E45" sqref="E45"/>
      <selection pane="bottomRight" activeCell="J67" sqref="J67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18" width="12.53125" style="67" customWidth="1"/>
    <col min="19" max="19" width="0.46484375" style="114" customWidth="1"/>
    <col min="20" max="20" width="0" hidden="1" customWidth="1"/>
    <col min="21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</row>
    <row r="2" spans="1:19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44566</v>
      </c>
      <c r="J2" s="312">
        <f xml:space="preserve"> COUNTIF(J6:J73, "tu")</f>
        <v>0</v>
      </c>
      <c r="N2" s="219">
        <v>44564</v>
      </c>
      <c r="O2" s="219">
        <v>44564</v>
      </c>
      <c r="P2" s="219">
        <v>44564</v>
      </c>
      <c r="Q2" s="219"/>
      <c r="R2" s="219"/>
    </row>
    <row r="3" spans="1:19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/>
      <c r="R3" s="218"/>
      <c r="S3" s="139"/>
    </row>
    <row r="4" spans="1:19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115"/>
    </row>
    <row r="5" spans="1:19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5</v>
      </c>
      <c r="I5" s="72"/>
      <c r="J5" s="314">
        <f xml:space="preserve"> MATCH($H$5, M5:S5, 0)</f>
        <v>2</v>
      </c>
      <c r="K5" s="261" t="s">
        <v>65</v>
      </c>
      <c r="L5" s="259" t="s">
        <v>66</v>
      </c>
      <c r="M5" s="116"/>
      <c r="N5" s="220">
        <v>5</v>
      </c>
      <c r="O5" s="220">
        <v>4</v>
      </c>
      <c r="P5" s="220">
        <v>3</v>
      </c>
      <c r="Q5" s="220">
        <v>2</v>
      </c>
      <c r="R5" s="220">
        <v>1</v>
      </c>
      <c r="S5" s="116"/>
    </row>
    <row r="6" spans="1:19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16"/>
    </row>
    <row r="7" spans="1:19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116"/>
    </row>
    <row r="8" spans="1:19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116"/>
    </row>
    <row r="9" spans="1:19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</row>
    <row r="10" spans="1:19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INDEX(M10:S10, $J$5)</f>
        <v>0</v>
      </c>
      <c r="L10" s="81">
        <f xml:space="preserve"> IF(ABS(K10) &gt; TRK_TOL, IF(INDEX(M10:S10, $J$5) = 0, 0, H10 / INDEX(M10:S10, $J$5) - 1), 0)</f>
        <v>0</v>
      </c>
      <c r="M10" s="239"/>
      <c r="N10" s="257"/>
      <c r="O10" s="257"/>
      <c r="P10" s="257"/>
      <c r="Q10" s="257"/>
      <c r="R10" s="257"/>
      <c r="S10" s="239"/>
    </row>
    <row r="11" spans="1:19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INDEX(M11:S11, $J$5)</f>
        <v>0</v>
      </c>
      <c r="L11" s="81">
        <f xml:space="preserve"> IF(ABS(K11) &gt; TRK_TOL, IF(INDEX(M11:S11, $J$5) = 0, 0, H11 / INDEX(M11:S11, $J$5) - 1), 0)</f>
        <v>0</v>
      </c>
      <c r="M11" s="271"/>
      <c r="N11" s="267"/>
      <c r="O11" s="267"/>
      <c r="P11" s="267"/>
      <c r="Q11" s="267"/>
      <c r="R11" s="267"/>
      <c r="S11" s="271"/>
    </row>
    <row r="12" spans="1:19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INDEX(M12:S12, $J$5)</f>
        <v>0</v>
      </c>
      <c r="L12" s="81">
        <f xml:space="preserve"> IF(ABS(K12) &gt; TRK_TOL, IF(INDEX(M12:S12, $J$5) = 0, 0, H12 / INDEX(M12:S12, $J$5) - 1), 0)</f>
        <v>0</v>
      </c>
      <c r="M12" s="271"/>
      <c r="N12" s="267"/>
      <c r="O12" s="267"/>
      <c r="P12" s="267"/>
      <c r="Q12" s="267"/>
      <c r="R12" s="267"/>
      <c r="S12" s="271"/>
    </row>
    <row r="13" spans="1:19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INDEX(M13:S13, $J$5)</f>
        <v>0</v>
      </c>
      <c r="L13" s="81">
        <f xml:space="preserve"> IF(ABS(K13) &gt; TRK_TOL, IF(INDEX(M13:S13, $J$5) = 0, 0, H13 / INDEX(M13:S13, $J$5) - 1), 0)</f>
        <v>0</v>
      </c>
      <c r="M13" s="239"/>
      <c r="N13" s="257"/>
      <c r="O13" s="257"/>
      <c r="P13" s="257"/>
      <c r="Q13" s="257"/>
      <c r="R13" s="257"/>
      <c r="S13" s="239"/>
    </row>
    <row r="14" spans="1:19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136"/>
    </row>
    <row r="15" spans="1:19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131"/>
    </row>
    <row r="16" spans="1:19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131"/>
    </row>
    <row r="17" spans="1:19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131"/>
    </row>
    <row r="18" spans="1:19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</row>
    <row r="19" spans="1:19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INDEX(M19:S19, $J$5)</f>
        <v>0</v>
      </c>
      <c r="L19" s="274">
        <f xml:space="preserve"> IF(ABS(K19) &gt; TRK_TOL, IF(INDEX(M19:S19, $J$5) = 0, 0, H19 / INDEX(M19:S19, $J$5) - 1), 0)</f>
        <v>0</v>
      </c>
      <c r="M19" s="280"/>
      <c r="N19" s="281">
        <v>371409.67882059288</v>
      </c>
      <c r="O19" s="281">
        <v>371409.67882059288</v>
      </c>
      <c r="P19" s="281">
        <v>0</v>
      </c>
      <c r="Q19" s="281"/>
      <c r="R19" s="281"/>
      <c r="S19" s="280"/>
    </row>
    <row r="20" spans="1:19" outlineLevel="1" x14ac:dyDescent="0.35">
      <c r="A20" s="323"/>
      <c r="B20" s="324"/>
      <c r="C20" s="325"/>
      <c r="D20" s="279"/>
      <c r="E20" s="279" t="str">
        <f xml:space="preserve"> 'FS Qtr'!E10</f>
        <v>[O&amp;M]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0</v>
      </c>
      <c r="I20" s="279"/>
      <c r="J20" s="316" t="str">
        <f xml:space="preserve"> IF(ABS(K20) &gt; TRK_TOL, "tu", "vw")</f>
        <v>vw</v>
      </c>
      <c r="K20" s="149">
        <f xml:space="preserve"> H20 - INDEX(M20:S20, $J$5)</f>
        <v>0</v>
      </c>
      <c r="L20" s="274">
        <f xml:space="preserve"> IF(ABS(K20) &gt; TRK_TOL, IF(INDEX(M20:S20, $J$5) = 0, 0, H20 / INDEX(M20:S20, $J$5) - 1), 0)</f>
        <v>0</v>
      </c>
      <c r="M20" s="282"/>
      <c r="N20" s="281">
        <v>0</v>
      </c>
      <c r="O20" s="281">
        <v>0</v>
      </c>
      <c r="P20" s="281">
        <v>0</v>
      </c>
      <c r="Q20" s="281"/>
      <c r="R20" s="281"/>
      <c r="S20" s="282"/>
    </row>
    <row r="21" spans="1:19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371409.67882059288</v>
      </c>
      <c r="I21" s="283"/>
      <c r="J21" s="318" t="str">
        <f xml:space="preserve"> IF(ABS(K21) &gt; TRK_TOL, "tu", "vw")</f>
        <v>vw</v>
      </c>
      <c r="K21" s="284">
        <f xml:space="preserve"> H21 - INDEX(M21:S21, $J$5)</f>
        <v>0</v>
      </c>
      <c r="L21" s="285">
        <f xml:space="preserve"> IF(ABS(K21) &gt; TRK_TOL, IF(INDEX(M21:S21, $J$5) = 0, 0, H21 / INDEX(M21:S21, $J$5) - 1), 0)</f>
        <v>0</v>
      </c>
      <c r="M21" s="286"/>
      <c r="N21" s="287">
        <v>371409.67882059288</v>
      </c>
      <c r="O21" s="287">
        <v>371409.67882059288</v>
      </c>
      <c r="P21" s="287">
        <v>10000</v>
      </c>
      <c r="Q21" s="287"/>
      <c r="R21" s="287"/>
      <c r="S21" s="286"/>
    </row>
    <row r="22" spans="1:19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0"/>
    </row>
    <row r="23" spans="1:19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INDEX(M23:S23, $J$5)</f>
        <v>0</v>
      </c>
      <c r="L23" s="274">
        <f xml:space="preserve"> IF(ABS(K23) &gt; TRK_TOL, IF(INDEX(M23:S23, $J$5) = 0, 0, H23 / INDEX(M23:S23, $J$5) - 1), 0)</f>
        <v>0</v>
      </c>
      <c r="M23" s="280"/>
      <c r="N23" s="281">
        <v>0</v>
      </c>
      <c r="O23" s="281">
        <v>0</v>
      </c>
      <c r="P23" s="281">
        <v>0</v>
      </c>
      <c r="Q23" s="281"/>
      <c r="R23" s="281"/>
      <c r="S23" s="280"/>
    </row>
    <row r="24" spans="1:19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371409.67882059288</v>
      </c>
      <c r="I24" s="283"/>
      <c r="J24" s="318" t="str">
        <f xml:space="preserve"> IF(ABS(K24) &gt; TRK_TOL, "tu", "vw")</f>
        <v>vw</v>
      </c>
      <c r="K24" s="284">
        <f xml:space="preserve"> H24 - INDEX(M24:S24, $J$5)</f>
        <v>0</v>
      </c>
      <c r="L24" s="285">
        <f xml:space="preserve"> IF(ABS(K24) &gt; TRK_TOL, IF(INDEX(M24:S24, $J$5) = 0, 0, H24 / INDEX(M24:S24, $J$5) - 1), 0)</f>
        <v>0</v>
      </c>
      <c r="M24" s="288"/>
      <c r="N24" s="287">
        <v>371409.67882059288</v>
      </c>
      <c r="O24" s="287">
        <v>371409.67882059288</v>
      </c>
      <c r="P24" s="287">
        <v>10000</v>
      </c>
      <c r="Q24" s="287"/>
      <c r="R24" s="287"/>
      <c r="S24" s="288"/>
    </row>
    <row r="25" spans="1:19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0"/>
    </row>
    <row r="26" spans="1:19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INDEX(M26:S26, $J$5)</f>
        <v>0</v>
      </c>
      <c r="L26" s="274">
        <f xml:space="preserve"> IF(ABS(K26) &gt; TRK_TOL, IF(INDEX(M26:S26, $J$5) = 0, 0, H26 / INDEX(M26:S26, $J$5) - 1), 0)</f>
        <v>0</v>
      </c>
      <c r="M26" s="289"/>
      <c r="N26" s="281">
        <v>0</v>
      </c>
      <c r="O26" s="281">
        <v>0</v>
      </c>
      <c r="P26" s="281">
        <v>0</v>
      </c>
      <c r="Q26" s="281"/>
      <c r="R26" s="281"/>
      <c r="S26" s="289"/>
    </row>
    <row r="27" spans="1:19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INDEX(M27:S27, $J$5)</f>
        <v>0</v>
      </c>
      <c r="L27" s="274">
        <f xml:space="preserve"> IF(ABS(K27) &gt; TRK_TOL, IF(INDEX(M27:S27, $J$5) = 0, 0, H27 / INDEX(M27:S27, $J$5) - 1), 0)</f>
        <v>0</v>
      </c>
      <c r="M27" s="289"/>
      <c r="N27" s="281">
        <v>0</v>
      </c>
      <c r="O27" s="281">
        <v>0</v>
      </c>
      <c r="P27" s="281">
        <v>0</v>
      </c>
      <c r="Q27" s="281"/>
      <c r="R27" s="281"/>
      <c r="S27" s="289"/>
    </row>
    <row r="28" spans="1:19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INDEX(M28:S28, $J$5)</f>
        <v>0</v>
      </c>
      <c r="L28" s="274">
        <f xml:space="preserve"> IF(ABS(K28) &gt; TRK_TOL, IF(INDEX(M28:S28, $J$5) = 0, 0, H28 / INDEX(M28:S28, $J$5) - 1), 0)</f>
        <v>0</v>
      </c>
      <c r="M28" s="291"/>
      <c r="N28" s="281">
        <v>0</v>
      </c>
      <c r="O28" s="281">
        <v>0</v>
      </c>
      <c r="P28" s="281">
        <v>0</v>
      </c>
      <c r="Q28" s="281"/>
      <c r="R28" s="281"/>
      <c r="S28" s="291"/>
    </row>
    <row r="29" spans="1:19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371409.67882059288</v>
      </c>
      <c r="I29" s="321"/>
      <c r="J29" s="318" t="str">
        <f xml:space="preserve"> IF(ABS(K29) &gt; TRK_TOL, "tu", "vw")</f>
        <v>vw</v>
      </c>
      <c r="K29" s="284">
        <f xml:space="preserve"> H29 - INDEX(M29:S29, $J$5)</f>
        <v>0</v>
      </c>
      <c r="L29" s="285">
        <f xml:space="preserve"> IF(ABS(K29) &gt; TRK_TOL, IF(INDEX(M29:S29, $J$5) = 0, 0, H29 / INDEX(M29:S29, $J$5) - 1), 0)</f>
        <v>0</v>
      </c>
      <c r="M29" s="286"/>
      <c r="N29" s="287">
        <v>371409.67882059288</v>
      </c>
      <c r="O29" s="287">
        <v>371409.67882059288</v>
      </c>
      <c r="P29" s="287">
        <v>10000</v>
      </c>
      <c r="Q29" s="287"/>
      <c r="R29" s="287"/>
      <c r="S29" s="286"/>
    </row>
    <row r="30" spans="1:19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91"/>
    </row>
    <row r="31" spans="1:19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INDEX(M31:S31, $J$5)</f>
        <v>0</v>
      </c>
      <c r="L31" s="274">
        <f xml:space="preserve"> IF(ABS(K31) &gt; TRK_TOL, IF(INDEX(M31:S31, $J$5) = 0, 0, H31 / INDEX(M31:S31, $J$5) - 1), 0)</f>
        <v>0</v>
      </c>
      <c r="M31" s="291"/>
      <c r="N31" s="281">
        <v>0</v>
      </c>
      <c r="O31" s="281">
        <v>0</v>
      </c>
      <c r="P31" s="281">
        <v>0</v>
      </c>
      <c r="Q31" s="281"/>
      <c r="R31" s="281"/>
      <c r="S31" s="291"/>
    </row>
    <row r="32" spans="1:19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371409.67882059288</v>
      </c>
      <c r="I32" s="321"/>
      <c r="J32" s="318" t="str">
        <f xml:space="preserve"> IF(ABS(K32) &gt; TRK_TOL, "tu", "vw")</f>
        <v>vw</v>
      </c>
      <c r="K32" s="284">
        <f xml:space="preserve"> H32 - INDEX(M32:S32, $J$5)</f>
        <v>0</v>
      </c>
      <c r="L32" s="285">
        <f xml:space="preserve"> IF(ABS(K32) &gt; TRK_TOL, IF(INDEX(M32:S32, $J$5) = 0, 0, H32 / INDEX(M32:S32, $J$5) - 1), 0)</f>
        <v>0</v>
      </c>
      <c r="M32" s="286"/>
      <c r="N32" s="287">
        <v>371409.67882059288</v>
      </c>
      <c r="O32" s="287">
        <v>371409.67882059288</v>
      </c>
      <c r="P32" s="287">
        <v>10000</v>
      </c>
      <c r="Q32" s="287"/>
      <c r="R32" s="287"/>
      <c r="S32" s="286"/>
    </row>
    <row r="33" spans="1:19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91"/>
    </row>
    <row r="34" spans="1:19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INDEX(M34:S34, $J$5)</f>
        <v>0</v>
      </c>
      <c r="L34" s="274">
        <f xml:space="preserve"> IF(ABS(K34) &gt; TRK_TOL, IF(INDEX(M34:S34, $J$5) = 0, 0, H34 / INDEX(M34:S34, $J$5) - 1), 0)</f>
        <v>0</v>
      </c>
      <c r="M34" s="291"/>
      <c r="N34" s="281">
        <v>0</v>
      </c>
      <c r="O34" s="281">
        <v>0</v>
      </c>
      <c r="P34" s="281">
        <v>0</v>
      </c>
      <c r="Q34" s="281"/>
      <c r="R34" s="281"/>
      <c r="S34" s="291"/>
    </row>
    <row r="35" spans="1:19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371409.67882059288</v>
      </c>
      <c r="I35" s="283"/>
      <c r="J35" s="318" t="str">
        <f xml:space="preserve"> IF(ABS(K35) &gt; TRK_TOL, "tu", "vw")</f>
        <v>vw</v>
      </c>
      <c r="K35" s="284">
        <f xml:space="preserve"> H35 - INDEX(M35:S35, $J$5)</f>
        <v>0</v>
      </c>
      <c r="L35" s="285">
        <f xml:space="preserve"> IF(ABS(K35) &gt; TRK_TOL, IF(INDEX(M35:S35, $J$5) = 0, 0, H35 / INDEX(M35:S35, $J$5) - 1), 0)</f>
        <v>0</v>
      </c>
      <c r="M35" s="288"/>
      <c r="N35" s="344">
        <v>371409.67882059288</v>
      </c>
      <c r="O35" s="344">
        <v>371409.67882059288</v>
      </c>
      <c r="P35" s="344">
        <v>10000</v>
      </c>
      <c r="Q35" s="344"/>
      <c r="R35" s="344"/>
      <c r="S35" s="288"/>
    </row>
    <row r="36" spans="1:19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80"/>
    </row>
    <row r="37" spans="1:19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80"/>
    </row>
    <row r="38" spans="1:19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80"/>
    </row>
    <row r="39" spans="1:19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80"/>
    </row>
    <row r="40" spans="1:19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INDEX(M40:S40, $J$5)</f>
        <v>0</v>
      </c>
      <c r="L40" s="274">
        <f xml:space="preserve"> IF(ABS(K40) &gt; TRK_TOL, IF(INDEX(M40:S40, $J$5) = 0, 0, H40 / INDEX(M40:S40, $J$5) - 1), 0)</f>
        <v>0</v>
      </c>
      <c r="M40" s="289"/>
      <c r="N40" s="281">
        <v>371409.67882059258</v>
      </c>
      <c r="O40" s="281">
        <v>0</v>
      </c>
      <c r="P40" s="281">
        <v>0</v>
      </c>
      <c r="Q40" s="281"/>
      <c r="R40" s="281"/>
      <c r="S40" s="289"/>
    </row>
    <row r="41" spans="1:19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0</v>
      </c>
      <c r="I41" s="279"/>
      <c r="J41" s="316" t="str">
        <f xml:space="preserve"> IF(ABS(K41) &gt; TRK_TOL, "tu", "vw")</f>
        <v>vw</v>
      </c>
      <c r="K41" s="149">
        <f xml:space="preserve"> H41 - INDEX(M41:S41, $J$5)</f>
        <v>0</v>
      </c>
      <c r="L41" s="274">
        <f xml:space="preserve"> IF(ABS(K41) &gt; TRK_TOL, IF(INDEX(M41:S41, $J$5) = 0, 0, H41 / INDEX(M41:S41, $J$5) - 1), 0)</f>
        <v>0</v>
      </c>
      <c r="M41" s="289"/>
      <c r="N41" s="281">
        <v>0</v>
      </c>
      <c r="O41" s="281">
        <v>0</v>
      </c>
      <c r="P41" s="281">
        <v>0</v>
      </c>
      <c r="Q41" s="281"/>
      <c r="R41" s="281"/>
      <c r="S41" s="289"/>
    </row>
    <row r="42" spans="1:19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INDEX(M42:S42, $J$5)</f>
        <v>0</v>
      </c>
      <c r="L42" s="274">
        <f xml:space="preserve"> IF(ABS(K42) &gt; TRK_TOL, IF(INDEX(M42:S42, $J$5) = 0, 0, H42 / INDEX(M42:S42, $J$5) - 1), 0)</f>
        <v>0</v>
      </c>
      <c r="M42" s="289"/>
      <c r="N42" s="281">
        <v>0</v>
      </c>
      <c r="O42" s="281">
        <v>0</v>
      </c>
      <c r="P42" s="281">
        <v>0</v>
      </c>
      <c r="Q42" s="281"/>
      <c r="R42" s="281"/>
      <c r="S42" s="289"/>
    </row>
    <row r="43" spans="1:19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371409.67882059258</v>
      </c>
      <c r="I43" s="283"/>
      <c r="J43" s="318" t="str">
        <f xml:space="preserve"> IF(ABS(K43) &gt; TRK_TOL, "tu", "vw")</f>
        <v>vw</v>
      </c>
      <c r="K43" s="284">
        <f xml:space="preserve"> H43 - INDEX(M43:S43, $J$5)</f>
        <v>0</v>
      </c>
      <c r="L43" s="285">
        <f xml:space="preserve"> IF(ABS(K43) &gt; TRK_TOL, IF(INDEX(M43:S43, $J$5) = 0, 0, H43 / INDEX(M43:S43, $J$5) - 1), 0)</f>
        <v>0</v>
      </c>
      <c r="M43" s="286"/>
      <c r="N43" s="287">
        <v>371409.67882059258</v>
      </c>
      <c r="O43" s="287">
        <v>10000</v>
      </c>
      <c r="P43" s="287">
        <v>10000</v>
      </c>
      <c r="Q43" s="287"/>
      <c r="R43" s="287"/>
      <c r="S43" s="286"/>
    </row>
    <row r="44" spans="1:19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9"/>
    </row>
    <row r="45" spans="1:19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INDEX(M45:S45, $J$5)</f>
        <v>0</v>
      </c>
      <c r="L45" s="274">
        <f xml:space="preserve"> IF(ABS(K45) &gt; TRK_TOL, IF(INDEX(M45:S45, $J$5) = 0, 0, H45 / INDEX(M45:S45, $J$5) - 1), 0)</f>
        <v>0</v>
      </c>
      <c r="M45" s="289"/>
      <c r="N45" s="281">
        <v>0</v>
      </c>
      <c r="O45" s="281">
        <v>0</v>
      </c>
      <c r="P45" s="281">
        <v>0</v>
      </c>
      <c r="Q45" s="281"/>
      <c r="R45" s="281"/>
      <c r="S45" s="289"/>
    </row>
    <row r="46" spans="1:19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INDEX(M46:S46, $J$5)</f>
        <v>0</v>
      </c>
      <c r="L46" s="274">
        <f xml:space="preserve"> IF(ABS(K46) &gt; TRK_TOL, IF(INDEX(M46:S46, $J$5) = 0, 0, H46 / INDEX(M46:S46, $J$5) - 1), 0)</f>
        <v>0</v>
      </c>
      <c r="M46" s="289"/>
      <c r="N46" s="281">
        <v>0</v>
      </c>
      <c r="O46" s="281">
        <v>0</v>
      </c>
      <c r="P46" s="281">
        <v>0</v>
      </c>
      <c r="Q46" s="281"/>
      <c r="R46" s="281"/>
      <c r="S46" s="289"/>
    </row>
    <row r="47" spans="1:19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371409.67882059258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371409.67882059258</v>
      </c>
      <c r="O47" s="287">
        <v>10000</v>
      </c>
      <c r="P47" s="287">
        <v>10000</v>
      </c>
      <c r="Q47" s="287"/>
      <c r="R47" s="287"/>
      <c r="S47" s="286"/>
    </row>
    <row r="48" spans="1:19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9"/>
    </row>
    <row r="49" spans="1:19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INDEX(M49:S49, $J$5)</f>
        <v>0</v>
      </c>
      <c r="L49" s="274">
        <f xml:space="preserve"> IF(ABS(K49) &gt; TRK_TOL, IF(INDEX(M49:S49, $J$5) = 0, 0, H49 / INDEX(M49:S49, $J$5) - 1), 0)</f>
        <v>0</v>
      </c>
      <c r="M49" s="291"/>
      <c r="N49" s="281">
        <v>0</v>
      </c>
      <c r="O49" s="281">
        <v>0</v>
      </c>
      <c r="P49" s="281">
        <v>0</v>
      </c>
      <c r="Q49" s="281"/>
      <c r="R49" s="281"/>
      <c r="S49" s="291"/>
    </row>
    <row r="50" spans="1:19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INDEX(M50:S50, $J$5)</f>
        <v>0</v>
      </c>
      <c r="L50" s="274">
        <f xml:space="preserve"> IF(ABS(K50) &gt; TRK_TOL, IF(INDEX(M50:S50, $J$5) = 0, 0, H50 / INDEX(M50:S50, $J$5) - 1), 0)</f>
        <v>0</v>
      </c>
      <c r="M50" s="291"/>
      <c r="N50" s="281">
        <v>0</v>
      </c>
      <c r="O50" s="281">
        <v>0</v>
      </c>
      <c r="P50" s="281">
        <v>0</v>
      </c>
      <c r="Q50" s="281"/>
      <c r="R50" s="281"/>
      <c r="S50" s="291"/>
    </row>
    <row r="51" spans="1:19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INDEX(M51:S51, $J$5)</f>
        <v>0</v>
      </c>
      <c r="L51" s="274">
        <f xml:space="preserve"> IF(ABS(K51) &gt; TRK_TOL, IF(INDEX(M51:S51, $J$5) = 0, 0, H51 / INDEX(M51:S51, $J$5) - 1), 0)</f>
        <v>0</v>
      </c>
      <c r="M51" s="291"/>
      <c r="N51" s="281">
        <v>0</v>
      </c>
      <c r="O51" s="281">
        <v>0</v>
      </c>
      <c r="P51" s="281">
        <v>0</v>
      </c>
      <c r="Q51" s="281"/>
      <c r="R51" s="281"/>
      <c r="S51" s="291"/>
    </row>
    <row r="52" spans="1:19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371409.67882059258</v>
      </c>
      <c r="I52" s="283"/>
      <c r="J52" s="318" t="str">
        <f xml:space="preserve"> IF(ABS(K52) &gt; TRK_TOL, "tu", "vw")</f>
        <v>vw</v>
      </c>
      <c r="K52" s="284">
        <f xml:space="preserve"> H52 - INDEX(M52:S52, $J$5)</f>
        <v>0</v>
      </c>
      <c r="L52" s="285">
        <f xml:space="preserve"> IF(ABS(K52) &gt; TRK_TOL, IF(INDEX(M52:S52, $J$5) = 0, 0, H52 / INDEX(M52:S52, $J$5) - 1), 0)</f>
        <v>0</v>
      </c>
      <c r="M52" s="286"/>
      <c r="N52" s="287">
        <v>371409.67882059258</v>
      </c>
      <c r="O52" s="287">
        <v>10000</v>
      </c>
      <c r="P52" s="287">
        <v>10000</v>
      </c>
      <c r="Q52" s="287"/>
      <c r="R52" s="287"/>
      <c r="S52" s="286"/>
    </row>
    <row r="53" spans="1:19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91"/>
    </row>
    <row r="54" spans="1:19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INDEX(M54:S54, $J$5)</f>
        <v>0</v>
      </c>
      <c r="L54" s="274">
        <f xml:space="preserve"> IF(ABS(K54) &gt; TRK_TOL, IF(INDEX(M54:S54, $J$5) = 0, 0, H54 / INDEX(M54:S54, $J$5) - 1), 0)</f>
        <v>0</v>
      </c>
      <c r="M54" s="291"/>
      <c r="N54" s="281">
        <v>0</v>
      </c>
      <c r="O54" s="281">
        <v>0</v>
      </c>
      <c r="P54" s="281">
        <v>0</v>
      </c>
      <c r="Q54" s="281"/>
      <c r="R54" s="281"/>
      <c r="S54" s="291"/>
    </row>
    <row r="55" spans="1:19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INDEX(M55:S55, $J$5)</f>
        <v>0</v>
      </c>
      <c r="L55" s="274">
        <f xml:space="preserve"> IF(ABS(K55) &gt; TRK_TOL, IF(INDEX(M55:S55, $J$5) = 0, 0, H55 / INDEX(M55:S55, $J$5) - 1), 0)</f>
        <v>0</v>
      </c>
      <c r="M55" s="291"/>
      <c r="N55" s="281">
        <v>0</v>
      </c>
      <c r="O55" s="281">
        <v>0</v>
      </c>
      <c r="P55" s="281">
        <v>0</v>
      </c>
      <c r="Q55" s="281"/>
      <c r="R55" s="281"/>
      <c r="S55" s="291"/>
    </row>
    <row r="56" spans="1:19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INDEX(M56:S56, $J$5)</f>
        <v>0</v>
      </c>
      <c r="L56" s="274">
        <f xml:space="preserve"> IF(ABS(K56) &gt; TRK_TOL, IF(INDEX(M56:S56, $J$5) = 0, 0, H56 / INDEX(M56:S56, $J$5) - 1), 0)</f>
        <v>0</v>
      </c>
      <c r="M56" s="291"/>
      <c r="N56" s="281">
        <v>0</v>
      </c>
      <c r="O56" s="281">
        <v>0</v>
      </c>
      <c r="P56" s="281">
        <v>0</v>
      </c>
      <c r="Q56" s="281"/>
      <c r="R56" s="281"/>
      <c r="S56" s="291"/>
    </row>
    <row r="57" spans="1:19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371409.67882059258</v>
      </c>
      <c r="I57" s="283"/>
      <c r="J57" s="318" t="str">
        <f xml:space="preserve"> IF(ABS(K57) &gt; TRK_TOL, "tu", "vw")</f>
        <v>vw</v>
      </c>
      <c r="K57" s="284">
        <f xml:space="preserve"> H57 - INDEX(M57:S57, $J$5)</f>
        <v>0</v>
      </c>
      <c r="L57" s="285">
        <f xml:space="preserve"> IF(ABS(K57) &gt; TRK_TOL, IF(INDEX(M57:S57, $J$5) = 0, 0, H57 / INDEX(M57:S57, $J$5) - 1), 0)</f>
        <v>0</v>
      </c>
      <c r="M57" s="286"/>
      <c r="N57" s="287">
        <v>371409.67882059258</v>
      </c>
      <c r="O57" s="287">
        <v>10000</v>
      </c>
      <c r="P57" s="287">
        <v>10000</v>
      </c>
      <c r="Q57" s="287"/>
      <c r="R57" s="287"/>
      <c r="S57" s="286"/>
    </row>
    <row r="58" spans="1:19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91"/>
    </row>
    <row r="59" spans="1:19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INDEX(M59:S59, $J$5)</f>
        <v>0</v>
      </c>
      <c r="L59" s="274">
        <f xml:space="preserve"> IF(ABS(K59) &gt; TRK_TOL, IF(INDEX(M59:S59, $J$5) = 0, 0, H59 / INDEX(M59:S59, $J$5) - 1), 0)</f>
        <v>0</v>
      </c>
      <c r="M59" s="291"/>
      <c r="N59" s="281">
        <v>0</v>
      </c>
      <c r="O59" s="281">
        <v>0</v>
      </c>
      <c r="P59" s="281">
        <v>0</v>
      </c>
      <c r="Q59" s="281"/>
      <c r="R59" s="281"/>
      <c r="S59" s="291"/>
    </row>
    <row r="60" spans="1:19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371409.67882059258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371409.67882059258</v>
      </c>
      <c r="O60" s="287">
        <v>10000</v>
      </c>
      <c r="P60" s="287">
        <v>10000</v>
      </c>
      <c r="Q60" s="287"/>
      <c r="R60" s="287"/>
      <c r="S60" s="286"/>
    </row>
    <row r="61" spans="1:19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91"/>
    </row>
    <row r="62" spans="1:19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INDEX(M62:S62, $J$5)</f>
        <v>0</v>
      </c>
      <c r="L62" s="274">
        <f xml:space="preserve"> IF(ABS(K62) &gt; TRK_TOL, IF(INDEX(M62:S62, $J$5) = 0, 0, H62 / INDEX(M62:S62, $J$5) - 1), 0)</f>
        <v>0</v>
      </c>
      <c r="M62" s="291"/>
      <c r="N62" s="281">
        <v>0</v>
      </c>
      <c r="O62" s="281">
        <v>0</v>
      </c>
      <c r="P62" s="281">
        <v>0</v>
      </c>
      <c r="Q62" s="281"/>
      <c r="R62" s="281"/>
      <c r="S62" s="291"/>
    </row>
    <row r="63" spans="1:19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371409.67882059258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371409.67882059258</v>
      </c>
      <c r="O63" s="287">
        <v>10000</v>
      </c>
      <c r="P63" s="287">
        <v>10000</v>
      </c>
      <c r="Q63" s="287"/>
      <c r="R63" s="287"/>
      <c r="S63" s="286"/>
    </row>
    <row r="64" spans="1:19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91"/>
    </row>
    <row r="65" spans="1:19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9"/>
    </row>
    <row r="66" spans="1:19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89"/>
    </row>
    <row r="67" spans="1:19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44566.529923379632</v>
      </c>
      <c r="I67" s="292"/>
      <c r="K67" s="151"/>
      <c r="L67" s="276"/>
      <c r="M67" s="289"/>
      <c r="N67" s="300">
        <v>44564.56703564815</v>
      </c>
      <c r="O67" s="300">
        <v>44564.437968171296</v>
      </c>
      <c r="P67" s="300">
        <v>44564.41158414352</v>
      </c>
      <c r="Q67" s="300">
        <v>43909.144523958334</v>
      </c>
      <c r="R67" s="300"/>
      <c r="S67" s="289"/>
    </row>
    <row r="68" spans="1:19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AR END 01a.xlsx</v>
      </c>
      <c r="I68" s="292"/>
      <c r="K68" s="151"/>
      <c r="L68" s="276"/>
      <c r="M68" s="289"/>
      <c r="N68" s="303" t="s">
        <v>211</v>
      </c>
      <c r="O68" s="303" t="s">
        <v>194</v>
      </c>
      <c r="P68" s="303" t="s">
        <v>172</v>
      </c>
      <c r="Q68" s="303" t="s">
        <v>119</v>
      </c>
      <c r="R68" s="303"/>
      <c r="S68" s="289"/>
    </row>
    <row r="69" spans="1:19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89"/>
    </row>
    <row r="70" spans="1:19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89"/>
    </row>
    <row r="73" spans="1:19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4" sqref="A1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InpC</vt:lpstr>
      <vt:lpstr>Time</vt:lpstr>
      <vt:lpstr>Ops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2023-09-21T09:39:10Z</dcterms:modified>
</cp:coreProperties>
</file>