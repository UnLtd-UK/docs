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098C57D6-D31F-48DF-9B8E-31EB094BA2D1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Output!$E$67:$X$67</definedName>
    <definedName name="SMU">InpC!$F$61</definedName>
    <definedName name="TrackActive">Output!$H$5</definedName>
    <definedName name="TrackLiveResults">Output!$H$6:$H$74</definedName>
    <definedName name="TrackStoredResults">Output!$M$5:$X$5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82" l="1"/>
  <c r="F13" i="265"/>
  <c r="F13" i="277" s="1"/>
  <c r="G13" i="265"/>
  <c r="I13" i="265"/>
  <c r="G16" i="282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G11" i="282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F62" i="269"/>
  <c r="E62" i="269"/>
  <c r="J60" i="269"/>
  <c r="F60" i="269"/>
  <c r="E60" i="269"/>
  <c r="H59" i="269"/>
  <c r="F59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4" i="269"/>
  <c r="E34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K13" i="269" s="1"/>
  <c r="H2" i="269"/>
  <c r="I81" i="277"/>
  <c r="H81" i="277"/>
  <c r="F81" i="277"/>
  <c r="E81" i="277"/>
  <c r="I80" i="277"/>
  <c r="H80" i="277"/>
  <c r="F80" i="277"/>
  <c r="E80" i="277"/>
  <c r="G75" i="277"/>
  <c r="G81" i="277" s="1"/>
  <c r="F74" i="277"/>
  <c r="E74" i="277"/>
  <c r="F73" i="277"/>
  <c r="E73" i="277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F63" i="277"/>
  <c r="E63" i="277"/>
  <c r="G60" i="277"/>
  <c r="G52" i="277"/>
  <c r="F51" i="277"/>
  <c r="E51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F24" i="277"/>
  <c r="E24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E74" i="265"/>
  <c r="I73" i="265"/>
  <c r="H73" i="265"/>
  <c r="F73" i="265"/>
  <c r="E73" i="265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E63" i="265"/>
  <c r="G60" i="265"/>
  <c r="I59" i="265"/>
  <c r="H59" i="265"/>
  <c r="F59" i="265"/>
  <c r="F59" i="277" s="1"/>
  <c r="E59" i="265"/>
  <c r="E59" i="277" s="1"/>
  <c r="G53" i="265"/>
  <c r="I52" i="265"/>
  <c r="F52" i="265"/>
  <c r="E52" i="265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E24" i="265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57" i="280"/>
  <c r="G52" i="265" s="1"/>
  <c r="G51" i="277" s="1"/>
  <c r="E57" i="280"/>
  <c r="G56" i="280"/>
  <c r="G14" i="286" s="1"/>
  <c r="I55" i="280"/>
  <c r="H55" i="280"/>
  <c r="F55" i="280"/>
  <c r="E55" i="280"/>
  <c r="I54" i="280"/>
  <c r="H54" i="280"/>
  <c r="F54" i="280"/>
  <c r="E54" i="280"/>
  <c r="G51" i="280"/>
  <c r="G55" i="280" s="1"/>
  <c r="I50" i="280"/>
  <c r="G50" i="280"/>
  <c r="F50" i="280"/>
  <c r="E50" i="280"/>
  <c r="J49" i="280"/>
  <c r="I49" i="280"/>
  <c r="H49" i="280"/>
  <c r="F49" i="280"/>
  <c r="E49" i="280"/>
  <c r="G46" i="280"/>
  <c r="G54" i="280" s="1"/>
  <c r="I45" i="280"/>
  <c r="G45" i="280"/>
  <c r="F45" i="280"/>
  <c r="E45" i="280"/>
  <c r="J44" i="280"/>
  <c r="I44" i="280"/>
  <c r="H44" i="280"/>
  <c r="F44" i="280"/>
  <c r="E44" i="280"/>
  <c r="G39" i="280"/>
  <c r="G63" i="265" s="1"/>
  <c r="G63" i="277" s="1"/>
  <c r="I38" i="280"/>
  <c r="G38" i="280"/>
  <c r="F38" i="280"/>
  <c r="E38" i="280"/>
  <c r="I37" i="280"/>
  <c r="G37" i="280"/>
  <c r="F37" i="280"/>
  <c r="E37" i="280"/>
  <c r="J36" i="280"/>
  <c r="G36" i="280"/>
  <c r="G49" i="280" s="1"/>
  <c r="I34" i="280"/>
  <c r="G34" i="280"/>
  <c r="F34" i="280"/>
  <c r="E34" i="280"/>
  <c r="E33" i="280"/>
  <c r="G28" i="280"/>
  <c r="G74" i="265" s="1"/>
  <c r="G74" i="277" s="1"/>
  <c r="I27" i="280"/>
  <c r="G27" i="280"/>
  <c r="F27" i="280"/>
  <c r="E27" i="280"/>
  <c r="I26" i="280"/>
  <c r="G26" i="280"/>
  <c r="F26" i="280"/>
  <c r="E26" i="280"/>
  <c r="J25" i="280"/>
  <c r="G25" i="280"/>
  <c r="G44" i="280" s="1"/>
  <c r="I23" i="280"/>
  <c r="G23" i="280"/>
  <c r="F23" i="280"/>
  <c r="E23" i="280"/>
  <c r="E22" i="280"/>
  <c r="G16" i="280"/>
  <c r="G73" i="265" s="1"/>
  <c r="G73" i="277" s="1"/>
  <c r="J13" i="280"/>
  <c r="G13" i="280"/>
  <c r="I11" i="280"/>
  <c r="G11" i="280"/>
  <c r="F11" i="280"/>
  <c r="E11" i="280"/>
  <c r="E10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33" i="280" s="1"/>
  <c r="G46" i="48"/>
  <c r="G22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K67" i="269" l="1"/>
  <c r="E23" i="269"/>
  <c r="E13" i="277"/>
  <c r="K27" i="269"/>
  <c r="K31" i="269"/>
  <c r="J31" i="269" s="1"/>
  <c r="K45" i="269"/>
  <c r="K50" i="269"/>
  <c r="J50" i="269" s="1"/>
  <c r="K54" i="269"/>
  <c r="K56" i="269"/>
  <c r="J56" i="269" s="1"/>
  <c r="F39" i="48"/>
  <c r="I39" i="48" s="1" a="1"/>
  <c r="I39" i="48" s="1"/>
  <c r="K26" i="269"/>
  <c r="J26" i="269" s="1"/>
  <c r="K28" i="269"/>
  <c r="K42" i="269"/>
  <c r="J42" i="269" s="1"/>
  <c r="K46" i="269"/>
  <c r="K49" i="269"/>
  <c r="J49" i="269" s="1"/>
  <c r="K51" i="269"/>
  <c r="K55" i="269"/>
  <c r="J55" i="269" s="1"/>
  <c r="K59" i="269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0" i="280"/>
  <c r="F51" i="48"/>
  <c r="F50" i="48"/>
  <c r="F49" i="48"/>
  <c r="F118" i="281" s="1"/>
  <c r="F48" i="48"/>
  <c r="F47" i="48"/>
  <c r="F33" i="280" s="1"/>
  <c r="F46" i="48"/>
  <c r="F22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J45" i="269"/>
  <c r="L46" i="269"/>
  <c r="J46" i="269"/>
  <c r="L50" i="269"/>
  <c r="L51" i="269"/>
  <c r="J51" i="269"/>
  <c r="L59" i="269"/>
  <c r="J59" i="269"/>
  <c r="L13" i="269"/>
  <c r="J13" i="269"/>
  <c r="L26" i="269"/>
  <c r="L27" i="269"/>
  <c r="J27" i="269"/>
  <c r="L28" i="269"/>
  <c r="J28" i="269"/>
  <c r="L42" i="269"/>
  <c r="L54" i="269"/>
  <c r="J54" i="269"/>
  <c r="L55" i="269"/>
  <c r="L56" i="269"/>
  <c r="K12" i="269"/>
  <c r="K11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L49" i="269" l="1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0" i="280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L12" i="269"/>
  <c r="J12" i="269"/>
  <c r="L11" i="269"/>
  <c r="J11" i="269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34" i="280"/>
  <c r="J23" i="280"/>
  <c r="J11" i="280"/>
  <c r="J16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23" i="280"/>
  <c r="K11" i="280"/>
  <c r="K21" i="282"/>
  <c r="K34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34" i="280"/>
  <c r="L39" i="280" s="1"/>
  <c r="L23" i="280"/>
  <c r="L28" i="280" s="1"/>
  <c r="L11" i="280"/>
  <c r="L16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13" i="280"/>
  <c r="K16" i="280" s="1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O25" i="282" l="1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45" i="280"/>
  <c r="K26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K73" i="265"/>
  <c r="L13" i="280"/>
  <c r="L59" i="265"/>
  <c r="M23" i="282"/>
  <c r="L74" i="265"/>
  <c r="M25" i="280"/>
  <c r="M44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34" i="280"/>
  <c r="M119" i="281"/>
  <c r="M23" i="280"/>
  <c r="M11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13" i="280"/>
  <c r="L63" i="265"/>
  <c r="M36" i="280"/>
  <c r="M49" i="280" s="1"/>
  <c r="P2" i="277"/>
  <c r="P51" i="273"/>
  <c r="Q13" i="286"/>
  <c r="Q56" i="273"/>
  <c r="Q47" i="273"/>
  <c r="Q48" i="273" s="1"/>
  <c r="Q37" i="273"/>
  <c r="Q19" i="273"/>
  <c r="Q20" i="273" s="1"/>
  <c r="P25" i="282" l="1"/>
  <c r="P16" i="282"/>
  <c r="M26" i="282"/>
  <c r="N23" i="282" s="1"/>
  <c r="J53" i="281"/>
  <c r="J62" i="281" s="1"/>
  <c r="J63" i="281" s="1"/>
  <c r="M16" i="280"/>
  <c r="M73" i="265" s="1"/>
  <c r="N13" i="280"/>
  <c r="J11" i="265"/>
  <c r="P4" i="277"/>
  <c r="L65" i="265"/>
  <c r="L75" i="265"/>
  <c r="L81" i="265" s="1"/>
  <c r="N15" i="275"/>
  <c r="N20" i="275" s="1"/>
  <c r="O17" i="275" s="1"/>
  <c r="N12" i="286"/>
  <c r="N34" i="280"/>
  <c r="N23" i="280"/>
  <c r="N11" i="280"/>
  <c r="N16" i="280" s="1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23" i="280"/>
  <c r="O11" i="280"/>
  <c r="O21" i="282"/>
  <c r="O34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26" i="280"/>
  <c r="L45" i="280"/>
  <c r="N121" i="273"/>
  <c r="M124" i="273"/>
  <c r="K112" i="281"/>
  <c r="K113" i="281" s="1"/>
  <c r="L66" i="273"/>
  <c r="L67" i="273" s="1"/>
  <c r="M60" i="273"/>
  <c r="Q25" i="282" l="1"/>
  <c r="Q16" i="282"/>
  <c r="Q13" i="265" s="1"/>
  <c r="P13" i="265"/>
  <c r="J30" i="265"/>
  <c r="N73" i="265"/>
  <c r="O13" i="280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34" i="280"/>
  <c r="P23" i="280"/>
  <c r="P11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O16" i="280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R25" i="282" l="1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34" i="280"/>
  <c r="Q119" i="281"/>
  <c r="Q23" i="280"/>
  <c r="Q11" i="280"/>
  <c r="Q21" i="282"/>
  <c r="Q81" i="281"/>
  <c r="Q58" i="281"/>
  <c r="Q79" i="273"/>
  <c r="R80" i="273" s="1"/>
  <c r="Q57" i="273"/>
  <c r="O73" i="265"/>
  <c r="P13" i="280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P16" i="280"/>
  <c r="K31" i="265"/>
  <c r="L83" i="265"/>
  <c r="L82" i="265"/>
  <c r="S25" i="282" l="1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34" i="280"/>
  <c r="R23" i="280"/>
  <c r="R11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45" i="280"/>
  <c r="N26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P73" i="265"/>
  <c r="Q13" i="280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Q16" i="280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T25" i="282" l="1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Q73" i="265"/>
  <c r="R13" i="280"/>
  <c r="R16" i="280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45" i="280"/>
  <c r="J46" i="280" s="1"/>
  <c r="J54" i="280" s="1"/>
  <c r="J26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25" i="282" l="1"/>
  <c r="U16" i="282"/>
  <c r="U13" i="265" s="1"/>
  <c r="R73" i="265"/>
  <c r="S13" i="280"/>
  <c r="N69" i="265"/>
  <c r="O121" i="281"/>
  <c r="M30" i="265"/>
  <c r="M62" i="281"/>
  <c r="M63" i="281" s="1"/>
  <c r="T15" i="275"/>
  <c r="T12" i="286"/>
  <c r="T34" i="280"/>
  <c r="T23" i="280"/>
  <c r="T11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23" i="280"/>
  <c r="S11" i="280"/>
  <c r="S16" i="280" s="1"/>
  <c r="S21" i="282"/>
  <c r="S34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V25" i="282" l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S73" i="265"/>
  <c r="T13" i="280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26" i="280"/>
  <c r="P45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0" i="280"/>
  <c r="J51" i="280" s="1"/>
  <c r="J55" i="280" s="1"/>
  <c r="J56" i="280" s="1"/>
  <c r="J37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16" i="280"/>
  <c r="T20" i="275"/>
  <c r="U17" i="275" s="1"/>
  <c r="M64" i="265"/>
  <c r="N60" i="281"/>
  <c r="O112" i="281"/>
  <c r="O113" i="281" s="1"/>
  <c r="W25" i="282" l="1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T73" i="265"/>
  <c r="U13" i="280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57" i="280"/>
  <c r="J38" i="280"/>
  <c r="J39" i="280" s="1"/>
  <c r="J27" i="280"/>
  <c r="J28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34" i="280"/>
  <c r="U119" i="281"/>
  <c r="U23" i="280"/>
  <c r="U11" i="280"/>
  <c r="U21" i="282"/>
  <c r="U81" i="281"/>
  <c r="U58" i="281"/>
  <c r="U79" i="273"/>
  <c r="V80" i="273" s="1"/>
  <c r="V58" i="273" s="1"/>
  <c r="U57" i="273"/>
  <c r="T124" i="273"/>
  <c r="U121" i="273"/>
  <c r="Q45" i="280"/>
  <c r="Q26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50" i="280"/>
  <c r="M51" i="280" s="1"/>
  <c r="M55" i="280" s="1"/>
  <c r="M37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X25" i="282" l="1"/>
  <c r="X16" i="282"/>
  <c r="X13" i="265" s="1"/>
  <c r="U16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45" i="280"/>
  <c r="R26" i="280"/>
  <c r="V15" i="275"/>
  <c r="V20" i="275" s="1"/>
  <c r="W17" i="275" s="1"/>
  <c r="V12" i="286"/>
  <c r="V34" i="280"/>
  <c r="V23" i="280"/>
  <c r="V11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36" i="280"/>
  <c r="M45" i="280"/>
  <c r="M46" i="280" s="1"/>
  <c r="M54" i="280" s="1"/>
  <c r="M56" i="280" s="1"/>
  <c r="M26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U73" i="265"/>
  <c r="V13" i="280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25" i="280"/>
  <c r="J18" i="286"/>
  <c r="S45" i="280"/>
  <c r="S26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Y25" i="282" l="1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44" i="280"/>
  <c r="K46" i="280" s="1"/>
  <c r="K54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57" i="280"/>
  <c r="M14" i="286"/>
  <c r="M16" i="286" s="1"/>
  <c r="M18" i="286" s="1"/>
  <c r="M38" i="280"/>
  <c r="M39" i="280" s="1"/>
  <c r="M27" i="280"/>
  <c r="M28" i="280" s="1"/>
  <c r="K49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V16" i="280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23" i="280"/>
  <c r="W11" i="280"/>
  <c r="W21" i="282"/>
  <c r="W34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0" i="280"/>
  <c r="K37" i="280"/>
  <c r="V26" i="282"/>
  <c r="Z25" i="282" l="1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25" i="280"/>
  <c r="T14" i="265"/>
  <c r="O45" i="280"/>
  <c r="O26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51" i="280"/>
  <c r="K55" i="280" s="1"/>
  <c r="M63" i="265"/>
  <c r="M65" i="265" s="1"/>
  <c r="M67" i="265" s="1"/>
  <c r="M80" i="265" s="1"/>
  <c r="N36" i="280"/>
  <c r="M52" i="265"/>
  <c r="M24" i="265"/>
  <c r="L50" i="265"/>
  <c r="K56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73" i="265"/>
  <c r="W13" i="280"/>
  <c r="W16" i="280" s="1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34" i="280"/>
  <c r="X23" i="280"/>
  <c r="X11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AA25" i="282" l="1"/>
  <c r="AA16" i="282"/>
  <c r="AA13" i="265" s="1"/>
  <c r="T76" i="281"/>
  <c r="T78" i="281" s="1"/>
  <c r="T85" i="281" s="1"/>
  <c r="T86" i="281" s="1"/>
  <c r="U83" i="281" s="1"/>
  <c r="W73" i="265"/>
  <c r="X13" i="280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57" i="280"/>
  <c r="K14" i="286"/>
  <c r="K16" i="286" s="1"/>
  <c r="K38" i="280"/>
  <c r="K39" i="280" s="1"/>
  <c r="K27" i="280"/>
  <c r="K28" i="280" s="1"/>
  <c r="M25" i="265"/>
  <c r="N49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44" i="280"/>
  <c r="N46" i="280" s="1"/>
  <c r="N54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X16" i="280"/>
  <c r="V45" i="280"/>
  <c r="V26" i="280"/>
  <c r="N47" i="265"/>
  <c r="O30" i="265"/>
  <c r="O33" i="265" s="1"/>
  <c r="O62" i="281"/>
  <c r="O63" i="281" s="1"/>
  <c r="L50" i="280"/>
  <c r="L37" i="280"/>
  <c r="M53" i="265"/>
  <c r="M82" i="265"/>
  <c r="M83" i="265"/>
  <c r="Y15" i="275"/>
  <c r="Y20" i="275" s="1"/>
  <c r="Z17" i="275" s="1"/>
  <c r="Y12" i="286"/>
  <c r="Y34" i="280"/>
  <c r="Y119" i="281"/>
  <c r="Y23" i="280"/>
  <c r="Y11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45" i="280"/>
  <c r="U26" i="280"/>
  <c r="AB25" i="282" l="1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36" i="280"/>
  <c r="L49" i="280" s="1"/>
  <c r="L51" i="280" s="1"/>
  <c r="L55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73" i="265"/>
  <c r="Y13" i="280"/>
  <c r="Y16" i="280" s="1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34" i="280"/>
  <c r="Z23" i="280"/>
  <c r="Z11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25" i="280"/>
  <c r="L44" i="280" s="1"/>
  <c r="L46" i="280" s="1"/>
  <c r="L54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AC25" i="282" l="1"/>
  <c r="AC16" i="282"/>
  <c r="AC13" i="265" s="1"/>
  <c r="L56" i="280"/>
  <c r="L14" i="286" s="1"/>
  <c r="L16" i="286" s="1"/>
  <c r="AA15" i="275"/>
  <c r="AA20" i="275" s="1"/>
  <c r="AB17" i="275" s="1"/>
  <c r="AA12" i="286"/>
  <c r="AA23" i="280"/>
  <c r="AA11" i="280"/>
  <c r="AA21" i="282"/>
  <c r="AA34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26" i="280"/>
  <c r="T45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L38" i="280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0" i="280"/>
  <c r="N51" i="280" s="1"/>
  <c r="N55" i="280" s="1"/>
  <c r="N56" i="280" s="1"/>
  <c r="N37" i="280"/>
  <c r="Y73" i="265"/>
  <c r="Z13" i="280"/>
  <c r="Z16" i="280" s="1"/>
  <c r="AB15" i="275"/>
  <c r="AB20" i="275" s="1"/>
  <c r="AC17" i="275" s="1"/>
  <c r="AB12" i="286"/>
  <c r="AB34" i="280"/>
  <c r="AB23" i="280"/>
  <c r="AB11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26" i="280"/>
  <c r="X45" i="280"/>
  <c r="V76" i="281"/>
  <c r="V78" i="281" s="1"/>
  <c r="V85" i="281" s="1"/>
  <c r="V86" i="281" s="1"/>
  <c r="W83" i="281" s="1"/>
  <c r="L57" i="280" l="1"/>
  <c r="AD25" i="282"/>
  <c r="AD16" i="282"/>
  <c r="AD13" i="265" s="1"/>
  <c r="L27" i="280"/>
  <c r="Z73" i="265"/>
  <c r="AA13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57" i="280"/>
  <c r="N38" i="280"/>
  <c r="N39" i="280" s="1"/>
  <c r="N27" i="280"/>
  <c r="N28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A16" i="280"/>
  <c r="AC76" i="273"/>
  <c r="L24" i="265"/>
  <c r="L52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AE25" i="282" l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36" i="280"/>
  <c r="AD15" i="275"/>
  <c r="AD12" i="286"/>
  <c r="AD34" i="280"/>
  <c r="AD23" i="280"/>
  <c r="AD11" i="280"/>
  <c r="AD21" i="282"/>
  <c r="AD119" i="281"/>
  <c r="AD81" i="281"/>
  <c r="AD58" i="281"/>
  <c r="AD57" i="273"/>
  <c r="AD79" i="273"/>
  <c r="AE80" i="273" s="1"/>
  <c r="AE58" i="273" s="1"/>
  <c r="AA73" i="265"/>
  <c r="AB13" i="280"/>
  <c r="AB16" i="280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25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34" i="280"/>
  <c r="AC119" i="281"/>
  <c r="AC23" i="280"/>
  <c r="AC11" i="280"/>
  <c r="AC21" i="282"/>
  <c r="AC81" i="281"/>
  <c r="AC58" i="281"/>
  <c r="AC79" i="273"/>
  <c r="AD80" i="273" s="1"/>
  <c r="AD58" i="273" s="1"/>
  <c r="AC57" i="273"/>
  <c r="R112" i="281"/>
  <c r="R113" i="281" s="1"/>
  <c r="Z45" i="280"/>
  <c r="Z26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45" i="280"/>
  <c r="W26" i="280"/>
  <c r="P50" i="280"/>
  <c r="P37" i="280"/>
  <c r="Y45" i="280"/>
  <c r="Y26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AF25" i="282" l="1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44" i="280"/>
  <c r="O46" i="280" s="1"/>
  <c r="O54" i="280" s="1"/>
  <c r="AE130" i="273"/>
  <c r="AE38" i="273"/>
  <c r="AF39" i="273" s="1"/>
  <c r="AF41" i="273" s="1"/>
  <c r="Q52" i="281"/>
  <c r="Q53" i="281" s="1"/>
  <c r="O37" i="280"/>
  <c r="O50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B73" i="265"/>
  <c r="AC13" i="280"/>
  <c r="AC16" i="280" s="1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49" i="280"/>
  <c r="O51" i="280" s="1"/>
  <c r="O55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G25" i="282" l="1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C73" i="265"/>
  <c r="AD13" i="280"/>
  <c r="AD16" i="280" s="1"/>
  <c r="AD12" i="281"/>
  <c r="AD14" i="281" s="1"/>
  <c r="AD28" i="281" s="1"/>
  <c r="AE132" i="273"/>
  <c r="AE15" i="275"/>
  <c r="AE20" i="275" s="1"/>
  <c r="AF17" i="275" s="1"/>
  <c r="AE12" i="286"/>
  <c r="AE23" i="280"/>
  <c r="AE11" i="280"/>
  <c r="AE21" i="282"/>
  <c r="AE34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45" i="280"/>
  <c r="AA26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34" i="280"/>
  <c r="AF23" i="280"/>
  <c r="AF11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56" i="280"/>
  <c r="R69" i="265"/>
  <c r="S121" i="281"/>
  <c r="AH25" i="282" l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57" i="280"/>
  <c r="O14" i="286"/>
  <c r="O16" i="286" s="1"/>
  <c r="O38" i="280"/>
  <c r="O39" i="280" s="1"/>
  <c r="O27" i="280"/>
  <c r="O28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26" i="280"/>
  <c r="AB45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50" i="280"/>
  <c r="Q37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45" i="280"/>
  <c r="AC26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AD73" i="265"/>
  <c r="AE13" i="280"/>
  <c r="AE16" i="280" s="1"/>
  <c r="AI25" i="282" l="1"/>
  <c r="AI16" i="282"/>
  <c r="AI13" i="265" s="1"/>
  <c r="AE30" i="281"/>
  <c r="AE36" i="281" s="1"/>
  <c r="AE38" i="281" s="1"/>
  <c r="AE73" i="265"/>
  <c r="AF13" i="280"/>
  <c r="AF16" i="280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34" i="280"/>
  <c r="AG119" i="281"/>
  <c r="AG23" i="280"/>
  <c r="AG11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36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25" i="280"/>
  <c r="O18" i="286"/>
  <c r="AJ25" i="282" l="1"/>
  <c r="AJ16" i="282"/>
  <c r="AJ13" i="265" s="1"/>
  <c r="AC76" i="281"/>
  <c r="AC78" i="281" s="1"/>
  <c r="AC85" i="281" s="1"/>
  <c r="AC86" i="281" s="1"/>
  <c r="AD83" i="281" s="1"/>
  <c r="P44" i="280"/>
  <c r="P46" i="280" s="1"/>
  <c r="P54" i="280" s="1"/>
  <c r="AH15" i="275"/>
  <c r="AH20" i="275" s="1"/>
  <c r="AI17" i="275" s="1"/>
  <c r="AH12" i="286"/>
  <c r="AH34" i="280"/>
  <c r="AH23" i="280"/>
  <c r="AH11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45" i="280"/>
  <c r="AD26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F73" i="265"/>
  <c r="AG13" i="280"/>
  <c r="AG16" i="280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45" i="280"/>
  <c r="AE26" i="280"/>
  <c r="P49" i="280"/>
  <c r="P51" i="280" s="1"/>
  <c r="P55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K25" i="282" l="1"/>
  <c r="AK16" i="282"/>
  <c r="AK13" i="265" s="1"/>
  <c r="AJ15" i="275"/>
  <c r="AJ12" i="286"/>
  <c r="AJ34" i="280"/>
  <c r="AJ23" i="280"/>
  <c r="AJ11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23" i="280"/>
  <c r="AI11" i="280"/>
  <c r="AI21" i="282"/>
  <c r="AI34" i="280"/>
  <c r="AI119" i="281"/>
  <c r="AI81" i="281"/>
  <c r="AI58" i="281"/>
  <c r="AI79" i="273"/>
  <c r="AJ80" i="273" s="1"/>
  <c r="AJ58" i="273" s="1"/>
  <c r="AI57" i="273"/>
  <c r="R64" i="265"/>
  <c r="S60" i="281"/>
  <c r="P56" i="280"/>
  <c r="AH21" i="281"/>
  <c r="AH23" i="281" s="1"/>
  <c r="AH29" i="281" s="1"/>
  <c r="AI126" i="273"/>
  <c r="AJ52" i="273"/>
  <c r="AJ42" i="273"/>
  <c r="AG73" i="265"/>
  <c r="AH13" i="280"/>
  <c r="AH16" i="280" s="1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0" i="280"/>
  <c r="R37" i="280"/>
  <c r="AH124" i="273"/>
  <c r="AI121" i="273"/>
  <c r="AH26" i="282"/>
  <c r="AD76" i="281"/>
  <c r="AD78" i="281" s="1"/>
  <c r="AD85" i="281" s="1"/>
  <c r="AD86" i="281" s="1"/>
  <c r="AE83" i="281" s="1"/>
  <c r="AL25" i="282" l="1"/>
  <c r="AL16" i="282"/>
  <c r="AL13" i="265" s="1"/>
  <c r="AK15" i="275"/>
  <c r="AK12" i="286"/>
  <c r="AK34" i="280"/>
  <c r="AK119" i="281"/>
  <c r="AK23" i="280"/>
  <c r="AK11" i="280"/>
  <c r="AK21" i="282"/>
  <c r="AK81" i="281"/>
  <c r="AK58" i="281"/>
  <c r="AK79" i="273"/>
  <c r="AL80" i="273" s="1"/>
  <c r="AL58" i="273" s="1"/>
  <c r="AK57" i="273"/>
  <c r="AH73" i="265"/>
  <c r="AI13" i="280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57" i="280"/>
  <c r="P27" i="280"/>
  <c r="P28" i="280" s="1"/>
  <c r="P38" i="280"/>
  <c r="P39" i="280" s="1"/>
  <c r="S52" i="281"/>
  <c r="S53" i="281" s="1"/>
  <c r="AI16" i="280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26" i="280"/>
  <c r="AF45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M25" i="282" l="1"/>
  <c r="AM16" i="282"/>
  <c r="AM13" i="265" s="1"/>
  <c r="AK4" i="275"/>
  <c r="AK4" i="265"/>
  <c r="AK4" i="286"/>
  <c r="AK4" i="280"/>
  <c r="AK4" i="282"/>
  <c r="AK4" i="281"/>
  <c r="AK4" i="273"/>
  <c r="AG45" i="280"/>
  <c r="AG26" i="280"/>
  <c r="AI59" i="265"/>
  <c r="AI60" i="265" s="1"/>
  <c r="AJ23" i="282"/>
  <c r="AJ26" i="282" s="1"/>
  <c r="AL15" i="275"/>
  <c r="AL12" i="286"/>
  <c r="AL34" i="280"/>
  <c r="AL23" i="280"/>
  <c r="AL11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36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45" i="280"/>
  <c r="AH26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AI73" i="265"/>
  <c r="AJ13" i="280"/>
  <c r="AJ16" i="280" s="1"/>
  <c r="S30" i="265"/>
  <c r="S33" i="265" s="1"/>
  <c r="S37" i="265" s="1"/>
  <c r="S42" i="265" s="1"/>
  <c r="S47" i="265" s="1"/>
  <c r="S50" i="265" s="1"/>
  <c r="S62" i="281"/>
  <c r="S63" i="281" s="1"/>
  <c r="P74" i="265"/>
  <c r="Q25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AN25" i="282" l="1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50" i="280"/>
  <c r="S37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44" i="280"/>
  <c r="Q46" i="280" s="1"/>
  <c r="Q54" i="280" s="1"/>
  <c r="S64" i="265"/>
  <c r="T60" i="281"/>
  <c r="AJ73" i="265"/>
  <c r="AK13" i="280"/>
  <c r="AK16" i="280" s="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49" i="280"/>
  <c r="Q51" i="280" s="1"/>
  <c r="Q55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AO25" i="282" l="1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56" i="280"/>
  <c r="AJ26" i="280"/>
  <c r="AJ45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23" i="280"/>
  <c r="AM11" i="280"/>
  <c r="AM21" i="282"/>
  <c r="AM34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K73" i="265"/>
  <c r="AL13" i="280"/>
  <c r="AL16" i="280" s="1"/>
  <c r="T52" i="281"/>
  <c r="T53" i="281" s="1"/>
  <c r="AN76" i="273"/>
  <c r="AI45" i="280"/>
  <c r="AI26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AP25" i="282" l="1"/>
  <c r="AP16" i="282"/>
  <c r="AP13" i="265" s="1"/>
  <c r="AO15" i="275"/>
  <c r="AO12" i="286"/>
  <c r="AO34" i="280"/>
  <c r="AO119" i="281"/>
  <c r="AO23" i="280"/>
  <c r="AO11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34" i="280"/>
  <c r="AN23" i="280"/>
  <c r="AN11" i="280"/>
  <c r="AN21" i="282"/>
  <c r="AN119" i="281"/>
  <c r="AN81" i="281"/>
  <c r="AN58" i="281"/>
  <c r="AN57" i="273"/>
  <c r="AN79" i="273"/>
  <c r="AO80" i="273" s="1"/>
  <c r="AO58" i="273" s="1"/>
  <c r="AL73" i="265"/>
  <c r="AM13" i="280"/>
  <c r="AM16" i="280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57" i="280"/>
  <c r="Q14" i="286"/>
  <c r="Q16" i="286" s="1"/>
  <c r="Q18" i="286" s="1"/>
  <c r="Q38" i="280"/>
  <c r="Q39" i="280" s="1"/>
  <c r="Q27" i="280"/>
  <c r="Q28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Q25" i="282" l="1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AM73" i="265"/>
  <c r="AN13" i="280"/>
  <c r="Q74" i="265"/>
  <c r="Q75" i="265" s="1"/>
  <c r="Q81" i="265" s="1"/>
  <c r="R25" i="280"/>
  <c r="AK45" i="280"/>
  <c r="AK26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36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0" i="280"/>
  <c r="T37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N16" i="280"/>
  <c r="AL45" i="280"/>
  <c r="AL26" i="280"/>
  <c r="AR25" i="282" l="1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N73" i="265"/>
  <c r="AO13" i="280"/>
  <c r="AO16" i="280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34" i="280"/>
  <c r="AP23" i="280"/>
  <c r="AP11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49" i="280"/>
  <c r="R51" i="280" s="1"/>
  <c r="R55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44" i="280"/>
  <c r="R46" i="280" s="1"/>
  <c r="R54" i="280" s="1"/>
  <c r="R56" i="280" s="1"/>
  <c r="AQ76" i="273"/>
  <c r="AS25" i="282" l="1"/>
  <c r="AS16" i="282"/>
  <c r="AS13" i="265" s="1"/>
  <c r="R14" i="286"/>
  <c r="R16" i="286" s="1"/>
  <c r="R18" i="286" s="1"/>
  <c r="R57" i="280"/>
  <c r="R38" i="280"/>
  <c r="R39" i="280" s="1"/>
  <c r="R27" i="280"/>
  <c r="R28" i="280" s="1"/>
  <c r="AM45" i="280"/>
  <c r="AM26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O73" i="265"/>
  <c r="AP13" i="280"/>
  <c r="AQ15" i="275"/>
  <c r="AQ20" i="275" s="1"/>
  <c r="AR17" i="275" s="1"/>
  <c r="AQ12" i="286"/>
  <c r="AQ23" i="280"/>
  <c r="AQ11" i="280"/>
  <c r="AQ21" i="282"/>
  <c r="AQ34" i="280"/>
  <c r="AQ119" i="281"/>
  <c r="AQ81" i="281"/>
  <c r="AQ58" i="281"/>
  <c r="AQ79" i="273"/>
  <c r="AR80" i="273" s="1"/>
  <c r="AR58" i="273" s="1"/>
  <c r="AQ57" i="273"/>
  <c r="AR15" i="275"/>
  <c r="AR12" i="286"/>
  <c r="AR34" i="280"/>
  <c r="AR23" i="280"/>
  <c r="AR11" i="280"/>
  <c r="AR21" i="282"/>
  <c r="AR119" i="281"/>
  <c r="AR81" i="281"/>
  <c r="AR58" i="281"/>
  <c r="AR57" i="273"/>
  <c r="AR79" i="273"/>
  <c r="AS80" i="273" s="1"/>
  <c r="AS58" i="273" s="1"/>
  <c r="V69" i="265"/>
  <c r="W121" i="281"/>
  <c r="AN26" i="280"/>
  <c r="AN45" i="280"/>
  <c r="AP16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T25" i="282" l="1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P73" i="265"/>
  <c r="AQ13" i="280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0" i="280"/>
  <c r="U37" i="280"/>
  <c r="R74" i="265"/>
  <c r="R75" i="265" s="1"/>
  <c r="R81" i="265" s="1"/>
  <c r="S25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Q16" i="280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36" i="280"/>
  <c r="AU25" i="282" l="1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34" i="280"/>
  <c r="AS119" i="281"/>
  <c r="AS23" i="280"/>
  <c r="AS11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Q73" i="265"/>
  <c r="AR13" i="280"/>
  <c r="AR16" i="280" s="1"/>
  <c r="AO45" i="280"/>
  <c r="AO26" i="280"/>
  <c r="S44" i="280"/>
  <c r="S46" i="280" s="1"/>
  <c r="S54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45" i="280"/>
  <c r="AP26" i="280"/>
  <c r="AQ59" i="265"/>
  <c r="AQ60" i="265" s="1"/>
  <c r="AR23" i="282"/>
  <c r="AR26" i="282" s="1"/>
  <c r="AT46" i="281"/>
  <c r="AT106" i="281"/>
  <c r="AT72" i="281"/>
  <c r="S49" i="280"/>
  <c r="S51" i="280" s="1"/>
  <c r="S55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34" i="280"/>
  <c r="AT23" i="280"/>
  <c r="AT11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V25" i="282" l="1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56" i="280"/>
  <c r="AR73" i="265"/>
  <c r="AS13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45" i="280"/>
  <c r="AQ26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S16" i="280"/>
  <c r="AT121" i="273"/>
  <c r="AS124" i="273"/>
  <c r="AO76" i="281"/>
  <c r="AO78" i="281" s="1"/>
  <c r="AO85" i="281" s="1"/>
  <c r="AO86" i="281" s="1"/>
  <c r="AP83" i="281" s="1"/>
  <c r="AW25" i="282" l="1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57" i="280"/>
  <c r="S14" i="286"/>
  <c r="S16" i="286" s="1"/>
  <c r="S18" i="286" s="1"/>
  <c r="S38" i="280"/>
  <c r="S39" i="280" s="1"/>
  <c r="S27" i="280"/>
  <c r="S28" i="280" s="1"/>
  <c r="AU15" i="275"/>
  <c r="AU20" i="275" s="1"/>
  <c r="AV17" i="275" s="1"/>
  <c r="AU12" i="286"/>
  <c r="AU23" i="280"/>
  <c r="AU11" i="280"/>
  <c r="AU21" i="282"/>
  <c r="AU34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S73" i="265"/>
  <c r="AT13" i="280"/>
  <c r="AT16" i="280" s="1"/>
  <c r="AV130" i="273"/>
  <c r="AV38" i="273"/>
  <c r="AW39" i="273" s="1"/>
  <c r="AW41" i="273" s="1"/>
  <c r="X112" i="281"/>
  <c r="X113" i="281" s="1"/>
  <c r="V50" i="280"/>
  <c r="V37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X25" i="282" l="1"/>
  <c r="AX16" i="282"/>
  <c r="AX13" i="265" s="1"/>
  <c r="AW15" i="275"/>
  <c r="AW12" i="286"/>
  <c r="AW34" i="280"/>
  <c r="AW119" i="281"/>
  <c r="AW23" i="280"/>
  <c r="AW11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73" i="265"/>
  <c r="AU13" i="280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34" i="280"/>
  <c r="AV23" i="280"/>
  <c r="AV11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U16" i="280"/>
  <c r="S74" i="265"/>
  <c r="S75" i="265" s="1"/>
  <c r="S81" i="265" s="1"/>
  <c r="T25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36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26" i="280"/>
  <c r="AR45" i="280"/>
  <c r="AY25" i="282" l="1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34" i="280"/>
  <c r="AX23" i="280"/>
  <c r="AX11" i="280"/>
  <c r="AX21" i="282"/>
  <c r="AX119" i="281"/>
  <c r="AX81" i="281"/>
  <c r="AX58" i="281"/>
  <c r="AX57" i="273"/>
  <c r="AX79" i="273"/>
  <c r="AY80" i="273" s="1"/>
  <c r="AY58" i="273" s="1"/>
  <c r="AV124" i="273"/>
  <c r="AW121" i="273"/>
  <c r="T49" i="280"/>
  <c r="T51" i="280" s="1"/>
  <c r="T55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44" i="280"/>
  <c r="T46" i="280" s="1"/>
  <c r="T54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45" i="280"/>
  <c r="AS26" i="280"/>
  <c r="AU73" i="265"/>
  <c r="AV13" i="280"/>
  <c r="AV16" i="280" s="1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45" i="280"/>
  <c r="AT26" i="280"/>
  <c r="AR76" i="281"/>
  <c r="AR78" i="281" s="1"/>
  <c r="AR85" i="281" s="1"/>
  <c r="AR86" i="281" s="1"/>
  <c r="AS83" i="281" s="1"/>
  <c r="AW20" i="275"/>
  <c r="AX17" i="275" s="1"/>
  <c r="AZ25" i="282" l="1"/>
  <c r="AZ16" i="282"/>
  <c r="AZ13" i="265" s="1"/>
  <c r="T56" i="280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AV73" i="265"/>
  <c r="AW13" i="280"/>
  <c r="AW16" i="280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57" i="280"/>
  <c r="T27" i="280"/>
  <c r="T28" i="280" s="1"/>
  <c r="T38" i="280"/>
  <c r="T39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37" i="280"/>
  <c r="W50" i="280"/>
  <c r="BA25" i="282" l="1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36" i="280"/>
  <c r="T24" i="265"/>
  <c r="T25" i="265" s="1"/>
  <c r="T52" i="265"/>
  <c r="T53" i="265" s="1"/>
  <c r="AX124" i="273"/>
  <c r="AY121" i="273"/>
  <c r="T74" i="265"/>
  <c r="T75" i="265" s="1"/>
  <c r="T81" i="265" s="1"/>
  <c r="U25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26" i="280"/>
  <c r="AV45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73" i="265"/>
  <c r="AX13" i="280"/>
  <c r="AX16" i="280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45" i="280"/>
  <c r="AU26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23" i="280"/>
  <c r="AY11" i="280"/>
  <c r="AY21" i="282"/>
  <c r="AY34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B25" i="282" l="1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49" i="280"/>
  <c r="U51" i="280" s="1"/>
  <c r="U55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X73" i="265"/>
  <c r="AY13" i="280"/>
  <c r="AY16" i="280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34" i="280"/>
  <c r="AZ23" i="280"/>
  <c r="AZ11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44" i="280"/>
  <c r="U46" i="280" s="1"/>
  <c r="U54" i="280" s="1"/>
  <c r="AZ121" i="273"/>
  <c r="AY124" i="273"/>
  <c r="T83" i="265"/>
  <c r="T82" i="265"/>
  <c r="BC25" i="282" l="1"/>
  <c r="BC16" i="282"/>
  <c r="BC13" i="265" s="1"/>
  <c r="U56" i="280"/>
  <c r="AY59" i="265"/>
  <c r="AY60" i="265" s="1"/>
  <c r="AZ23" i="282"/>
  <c r="AZ26" i="282" s="1"/>
  <c r="BB15" i="275"/>
  <c r="BB12" i="286"/>
  <c r="BB34" i="280"/>
  <c r="BB23" i="280"/>
  <c r="BB11" i="280"/>
  <c r="BB21" i="282"/>
  <c r="BB119" i="281"/>
  <c r="BB81" i="281"/>
  <c r="BB58" i="281"/>
  <c r="BB57" i="273"/>
  <c r="BB79" i="273"/>
  <c r="BC80" i="273" s="1"/>
  <c r="BC58" i="273" s="1"/>
  <c r="AY73" i="265"/>
  <c r="AZ13" i="280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50" i="280"/>
  <c r="X37" i="280"/>
  <c r="AZ124" i="273"/>
  <c r="BA121" i="273"/>
  <c r="U57" i="280"/>
  <c r="U14" i="286"/>
  <c r="U16" i="286" s="1"/>
  <c r="U18" i="286" s="1"/>
  <c r="U38" i="280"/>
  <c r="U39" i="280" s="1"/>
  <c r="U27" i="280"/>
  <c r="U28" i="280" s="1"/>
  <c r="AX3" i="275"/>
  <c r="AX3" i="265"/>
  <c r="AX3" i="286"/>
  <c r="AX3" i="280"/>
  <c r="AX3" i="282"/>
  <c r="AX50" i="273"/>
  <c r="AX3" i="281"/>
  <c r="AX3" i="273"/>
  <c r="AZ16" i="280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45" i="280"/>
  <c r="AW26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34" i="280"/>
  <c r="BA119" i="281"/>
  <c r="BA23" i="280"/>
  <c r="BA11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45" i="280"/>
  <c r="AX26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BD25" i="282" l="1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23" i="280"/>
  <c r="BC11" i="280"/>
  <c r="BC21" i="282"/>
  <c r="BC34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AZ73" i="265"/>
  <c r="BA13" i="280"/>
  <c r="BA16" i="280" s="1"/>
  <c r="U63" i="265"/>
  <c r="U65" i="265" s="1"/>
  <c r="U67" i="265" s="1"/>
  <c r="U80" i="265" s="1"/>
  <c r="V36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25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BE25" i="282" l="1"/>
  <c r="BE16" i="282"/>
  <c r="BE13" i="265" s="1"/>
  <c r="BA73" i="265"/>
  <c r="BB13" i="280"/>
  <c r="BB16" i="280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45" i="280"/>
  <c r="AY26" i="280"/>
  <c r="BD15" i="275"/>
  <c r="BD12" i="286"/>
  <c r="BD34" i="280"/>
  <c r="BD23" i="280"/>
  <c r="BD11" i="280"/>
  <c r="BD21" i="282"/>
  <c r="BD119" i="281"/>
  <c r="BD81" i="281"/>
  <c r="BD58" i="281"/>
  <c r="BD57" i="273"/>
  <c r="BD79" i="273"/>
  <c r="BE80" i="273" s="1"/>
  <c r="BE58" i="273" s="1"/>
  <c r="V44" i="280"/>
  <c r="V46" i="280" s="1"/>
  <c r="V54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49" i="280"/>
  <c r="V51" i="280" s="1"/>
  <c r="V55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26" i="280"/>
  <c r="AZ45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BF25" i="282" l="1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0" i="280"/>
  <c r="Y37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B73" i="265"/>
  <c r="BC13" i="280"/>
  <c r="BC16" i="280" s="1"/>
  <c r="BE15" i="275"/>
  <c r="BE12" i="286"/>
  <c r="BE34" i="280"/>
  <c r="BE119" i="281"/>
  <c r="BE23" i="280"/>
  <c r="BE11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45" i="280"/>
  <c r="BA26" i="280"/>
  <c r="V56" i="280"/>
  <c r="BA3" i="275"/>
  <c r="BA3" i="265"/>
  <c r="BA3" i="286"/>
  <c r="BA3" i="280"/>
  <c r="BA3" i="282"/>
  <c r="BA3" i="281"/>
  <c r="BA50" i="273"/>
  <c r="BA3" i="273"/>
  <c r="BG25" i="282" l="1"/>
  <c r="BG16" i="282"/>
  <c r="BG13" i="265" s="1"/>
  <c r="BE20" i="275"/>
  <c r="BF17" i="275" s="1"/>
  <c r="V14" i="286"/>
  <c r="V16" i="286" s="1"/>
  <c r="V18" i="286" s="1"/>
  <c r="V57" i="280"/>
  <c r="V38" i="280"/>
  <c r="V39" i="280" s="1"/>
  <c r="V27" i="280"/>
  <c r="V28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73" i="265"/>
  <c r="BD13" i="280"/>
  <c r="BD16" i="280" s="1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45" i="280"/>
  <c r="BB26" i="280"/>
  <c r="BH25" i="282" l="1"/>
  <c r="BH16" i="282"/>
  <c r="BH13" i="265" s="1"/>
  <c r="BG15" i="275"/>
  <c r="BG12" i="286"/>
  <c r="BG23" i="280"/>
  <c r="BG11" i="280"/>
  <c r="BG21" i="282"/>
  <c r="BG34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34" i="280"/>
  <c r="BF23" i="280"/>
  <c r="BF11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45" i="280"/>
  <c r="BC26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36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D73" i="265"/>
  <c r="BE13" i="280"/>
  <c r="BE16" i="280" s="1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25" i="280"/>
  <c r="V24" i="265"/>
  <c r="V25" i="265" s="1"/>
  <c r="V52" i="265"/>
  <c r="V53" i="265" s="1"/>
  <c r="BI25" i="282" l="1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E73" i="265"/>
  <c r="BF13" i="280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49" i="280"/>
  <c r="W51" i="280" s="1"/>
  <c r="W55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BF16" i="280"/>
  <c r="W44" i="280"/>
  <c r="W46" i="280" s="1"/>
  <c r="W54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50" i="280"/>
  <c r="Z37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BJ25" i="282" l="1"/>
  <c r="BJ16" i="282"/>
  <c r="BJ13" i="265" s="1"/>
  <c r="W56" i="280"/>
  <c r="W57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W27" i="280"/>
  <c r="W28" i="280" s="1"/>
  <c r="BF73" i="265"/>
  <c r="BG13" i="280"/>
  <c r="BG16" i="280" s="1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34" i="280"/>
  <c r="BH23" i="280"/>
  <c r="BH11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26" i="280"/>
  <c r="BD45" i="280"/>
  <c r="W14" i="286" l="1"/>
  <c r="W16" i="286" s="1"/>
  <c r="W18" i="286" s="1"/>
  <c r="BK25" i="282"/>
  <c r="BK16" i="282"/>
  <c r="BK13" i="265" s="1"/>
  <c r="W38" i="280"/>
  <c r="W39" i="280" s="1"/>
  <c r="X36" i="280" s="1"/>
  <c r="BJ15" i="275"/>
  <c r="BJ12" i="286"/>
  <c r="BJ34" i="280"/>
  <c r="BJ23" i="280"/>
  <c r="BJ11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34" i="280"/>
  <c r="BI119" i="281"/>
  <c r="BI23" i="280"/>
  <c r="BI11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45" i="280"/>
  <c r="BF26" i="280"/>
  <c r="BE45" i="280"/>
  <c r="BE26" i="280"/>
  <c r="BG73" i="265"/>
  <c r="BH13" i="280"/>
  <c r="W74" i="265"/>
  <c r="W75" i="265" s="1"/>
  <c r="W81" i="265" s="1"/>
  <c r="X25" i="280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H16" i="280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BL25" i="282" l="1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49" i="280"/>
  <c r="X51" i="280" s="1"/>
  <c r="X55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0" i="280"/>
  <c r="AA37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H73" i="265"/>
  <c r="BI13" i="280"/>
  <c r="BI16" i="280" s="1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44" i="280"/>
  <c r="X46" i="280" s="1"/>
  <c r="X54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M25" i="282" l="1"/>
  <c r="BM16" i="282"/>
  <c r="BM13" i="265" s="1"/>
  <c r="X56" i="280"/>
  <c r="X14" i="286" s="1"/>
  <c r="X16" i="286" s="1"/>
  <c r="X18" i="286" s="1"/>
  <c r="BI73" i="265"/>
  <c r="BJ13" i="280"/>
  <c r="BJ16" i="280" s="1"/>
  <c r="X38" i="280"/>
  <c r="X39" i="280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23" i="280"/>
  <c r="BK11" i="280"/>
  <c r="BK21" i="282"/>
  <c r="BK34" i="280"/>
  <c r="BK119" i="281"/>
  <c r="BK81" i="281"/>
  <c r="BK58" i="281"/>
  <c r="BK79" i="273"/>
  <c r="BL80" i="273" s="1"/>
  <c r="BL58" i="273" s="1"/>
  <c r="BK57" i="273"/>
  <c r="BG45" i="280"/>
  <c r="BG26" i="280"/>
  <c r="BL15" i="275"/>
  <c r="BL12" i="286"/>
  <c r="BL34" i="280"/>
  <c r="BL23" i="280"/>
  <c r="BL11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X57" i="280" l="1"/>
  <c r="BN25" i="282"/>
  <c r="BN16" i="282"/>
  <c r="BN13" i="265" s="1"/>
  <c r="BL20" i="275"/>
  <c r="BM17" i="275" s="1"/>
  <c r="X27" i="280"/>
  <c r="X28" i="280" s="1"/>
  <c r="BG76" i="281"/>
  <c r="BG78" i="281" s="1"/>
  <c r="BG85" i="281" s="1"/>
  <c r="BG86" i="281" s="1"/>
  <c r="BH83" i="281" s="1"/>
  <c r="BH26" i="280"/>
  <c r="BH45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45" i="280"/>
  <c r="BI26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Y36" i="280"/>
  <c r="X24" i="265"/>
  <c r="X25" i="265" s="1"/>
  <c r="X52" i="265"/>
  <c r="X53" i="265" s="1"/>
  <c r="BJ73" i="265"/>
  <c r="BK13" i="280"/>
  <c r="BK16" i="280" s="1"/>
  <c r="BM15" i="275"/>
  <c r="BM20" i="275" s="1"/>
  <c r="BN17" i="275" s="1"/>
  <c r="BM12" i="286"/>
  <c r="BM34" i="280"/>
  <c r="BM119" i="281"/>
  <c r="BM23" i="280"/>
  <c r="BM11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X74" i="265"/>
  <c r="X75" i="265" s="1"/>
  <c r="X81" i="265" s="1"/>
  <c r="Y25" i="280"/>
  <c r="BO25" i="282" l="1"/>
  <c r="BO16" i="282"/>
  <c r="BO13" i="265" s="1"/>
  <c r="BK30" i="281"/>
  <c r="BK36" i="281" s="1"/>
  <c r="BK38" i="281" s="1"/>
  <c r="BK73" i="265"/>
  <c r="BL13" i="280"/>
  <c r="BL16" i="280" s="1"/>
  <c r="BH76" i="281"/>
  <c r="BH78" i="281" s="1"/>
  <c r="BH85" i="281" s="1"/>
  <c r="BH86" i="281" s="1"/>
  <c r="BI83" i="281" s="1"/>
  <c r="BN15" i="275"/>
  <c r="BN20" i="275" s="1"/>
  <c r="BO17" i="275" s="1"/>
  <c r="BN12" i="286"/>
  <c r="BN34" i="280"/>
  <c r="BN23" i="280"/>
  <c r="BN11" i="280"/>
  <c r="BN21" i="282"/>
  <c r="BN119" i="281"/>
  <c r="BN81" i="281"/>
  <c r="BN58" i="281"/>
  <c r="BN57" i="273"/>
  <c r="BN79" i="273"/>
  <c r="BO80" i="273" s="1"/>
  <c r="BO58" i="273" s="1"/>
  <c r="AB64" i="265"/>
  <c r="AC60" i="281"/>
  <c r="Y44" i="280"/>
  <c r="Y46" i="280" s="1"/>
  <c r="Y54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50" i="280"/>
  <c r="AB37" i="280"/>
  <c r="BJ3" i="275"/>
  <c r="BJ3" i="265"/>
  <c r="BJ3" i="286"/>
  <c r="BJ3" i="280"/>
  <c r="BJ3" i="282"/>
  <c r="BJ50" i="273"/>
  <c r="BJ3" i="281"/>
  <c r="BJ3" i="273"/>
  <c r="BN46" i="281"/>
  <c r="BN106" i="281"/>
  <c r="BN72" i="281"/>
  <c r="Y49" i="280"/>
  <c r="Y51" i="280" s="1"/>
  <c r="Y55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BP25" i="282" l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45" i="280"/>
  <c r="BJ26" i="280"/>
  <c r="Y56" i="280"/>
  <c r="BL73" i="265"/>
  <c r="BM13" i="280"/>
  <c r="BM16" i="280" s="1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45" i="280"/>
  <c r="BK26" i="280"/>
  <c r="BO76" i="273"/>
  <c r="BL59" i="265"/>
  <c r="BL60" i="265" s="1"/>
  <c r="BM23" i="282"/>
  <c r="BM26" i="282" s="1"/>
  <c r="AC52" i="281"/>
  <c r="AC53" i="281" s="1"/>
  <c r="BQ25" i="282" l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23" i="280"/>
  <c r="BO11" i="280"/>
  <c r="BO21" i="282"/>
  <c r="BO34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34" i="280"/>
  <c r="BP23" i="280"/>
  <c r="BP11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26" i="280"/>
  <c r="BL45" i="280"/>
  <c r="BN124" i="273"/>
  <c r="BO121" i="273"/>
  <c r="BN12" i="281"/>
  <c r="BN14" i="281" s="1"/>
  <c r="BN28" i="281" s="1"/>
  <c r="BO132" i="273"/>
  <c r="BM73" i="265"/>
  <c r="BN13" i="280"/>
  <c r="BN16" i="280" s="1"/>
  <c r="Y57" i="280"/>
  <c r="Y14" i="286"/>
  <c r="Y16" i="286" s="1"/>
  <c r="Y18" i="286" s="1"/>
  <c r="Y38" i="280"/>
  <c r="Y39" i="280" s="1"/>
  <c r="Y27" i="280"/>
  <c r="Y28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BR25" i="282" l="1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36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25" i="280"/>
  <c r="BN73" i="265"/>
  <c r="BO13" i="280"/>
  <c r="BO16" i="280" s="1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45" i="280"/>
  <c r="BM26" i="280"/>
  <c r="AE112" i="281"/>
  <c r="AE113" i="281" s="1"/>
  <c r="BO26" i="282"/>
  <c r="AC50" i="280"/>
  <c r="AC37" i="280"/>
  <c r="BS25" i="282" l="1"/>
  <c r="BS16" i="282"/>
  <c r="BS13" i="265" s="1"/>
  <c r="BO73" i="265"/>
  <c r="BP13" i="280"/>
  <c r="BP16" i="280" s="1"/>
  <c r="BR15" i="275"/>
  <c r="BR12" i="286"/>
  <c r="BR34" i="280"/>
  <c r="BR23" i="280"/>
  <c r="BR11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44" i="280"/>
  <c r="Z46" i="280" s="1"/>
  <c r="Z54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49" i="280"/>
  <c r="Z51" i="280" s="1"/>
  <c r="Z55" i="280" s="1"/>
  <c r="BQ15" i="275"/>
  <c r="BQ20" i="275" s="1"/>
  <c r="BR17" i="275" s="1"/>
  <c r="BQ12" i="286"/>
  <c r="BQ34" i="280"/>
  <c r="BQ119" i="281"/>
  <c r="BQ23" i="280"/>
  <c r="BQ11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BT25" i="282" l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56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P73" i="265"/>
  <c r="BQ13" i="280"/>
  <c r="BQ16" i="280" s="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45" i="280"/>
  <c r="BO26" i="280"/>
  <c r="BS15" i="275"/>
  <c r="BS12" i="286"/>
  <c r="BS23" i="280"/>
  <c r="BS11" i="280"/>
  <c r="BS21" i="282"/>
  <c r="BS34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45" i="280"/>
  <c r="BN26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U25" i="282" l="1"/>
  <c r="BU16" i="282"/>
  <c r="BU13" i="265" s="1"/>
  <c r="BQ59" i="265"/>
  <c r="BQ60" i="265" s="1"/>
  <c r="BR23" i="282"/>
  <c r="BR26" i="282" s="1"/>
  <c r="BQ73" i="265"/>
  <c r="BR13" i="280"/>
  <c r="BR16" i="280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50" i="280"/>
  <c r="AD37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57" i="280"/>
  <c r="Z38" i="280"/>
  <c r="Z39" i="280" s="1"/>
  <c r="Z27" i="280"/>
  <c r="Z28" i="280" s="1"/>
  <c r="BV136" i="273"/>
  <c r="BV24" i="273"/>
  <c r="BV25" i="273" s="1"/>
  <c r="BV108" i="273" s="1"/>
  <c r="BV109" i="273" s="1"/>
  <c r="BV14" i="282" s="1"/>
  <c r="BV15" i="282" s="1"/>
  <c r="BV25" i="282" l="1"/>
  <c r="BV16" i="282"/>
  <c r="BV13" i="265" s="1"/>
  <c r="BR30" i="281"/>
  <c r="BR36" i="281" s="1"/>
  <c r="BR38" i="281" s="1"/>
  <c r="BU15" i="275"/>
  <c r="BU12" i="286"/>
  <c r="BU34" i="280"/>
  <c r="BU119" i="281"/>
  <c r="BU23" i="280"/>
  <c r="BU11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25" i="280"/>
  <c r="Z24" i="265"/>
  <c r="Z25" i="265" s="1"/>
  <c r="Z52" i="265"/>
  <c r="Z53" i="265" s="1"/>
  <c r="BT15" i="275"/>
  <c r="BT20" i="275" s="1"/>
  <c r="BU17" i="275" s="1"/>
  <c r="BT12" i="286"/>
  <c r="BT34" i="280"/>
  <c r="BT23" i="280"/>
  <c r="BT11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36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26" i="280"/>
  <c r="BP45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73" i="265"/>
  <c r="BS13" i="280"/>
  <c r="BS16" i="280" s="1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45" i="280"/>
  <c r="BQ26" i="280"/>
  <c r="BW25" i="282" l="1"/>
  <c r="BW16" i="282"/>
  <c r="BW13" i="265" s="1"/>
  <c r="BR45" i="280"/>
  <c r="BR26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S73" i="265"/>
  <c r="BT13" i="280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44" i="280"/>
  <c r="AA46" i="280" s="1"/>
  <c r="AA54" i="280" s="1"/>
  <c r="BV46" i="281"/>
  <c r="BV106" i="281"/>
  <c r="BV72" i="281"/>
  <c r="BV15" i="275"/>
  <c r="BV12" i="286"/>
  <c r="BV34" i="280"/>
  <c r="BV23" i="280"/>
  <c r="BV11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49" i="280"/>
  <c r="AA51" i="280" s="1"/>
  <c r="AA55" i="280" s="1"/>
  <c r="BT16" i="280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BX25" i="282" l="1"/>
  <c r="BX16" i="282"/>
  <c r="BX13" i="265" s="1"/>
  <c r="BV122" i="281"/>
  <c r="BV105" i="281"/>
  <c r="BV107" i="281" s="1"/>
  <c r="BV111" i="281" s="1"/>
  <c r="BV98" i="281"/>
  <c r="BV10" i="265" s="1"/>
  <c r="BV110" i="281"/>
  <c r="BT73" i="265"/>
  <c r="BU13" i="280"/>
  <c r="BU16" i="280" s="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37" i="280"/>
  <c r="AE50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56" i="280"/>
  <c r="BV4" i="275"/>
  <c r="BV4" i="265"/>
  <c r="BV4" i="286"/>
  <c r="BV4" i="280"/>
  <c r="BV4" i="282"/>
  <c r="BV4" i="281"/>
  <c r="BV4" i="273"/>
  <c r="AG112" i="281"/>
  <c r="AG113" i="281" s="1"/>
  <c r="BY25" i="282" l="1"/>
  <c r="BY16" i="282"/>
  <c r="BY13" i="265" s="1"/>
  <c r="BX15" i="275"/>
  <c r="BX12" i="286"/>
  <c r="BX34" i="280"/>
  <c r="BX23" i="280"/>
  <c r="BX11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57" i="280"/>
  <c r="AA14" i="286"/>
  <c r="AA16" i="286" s="1"/>
  <c r="AA18" i="286" s="1"/>
  <c r="AA38" i="280"/>
  <c r="AA39" i="280" s="1"/>
  <c r="AA27" i="280"/>
  <c r="AA28" i="280" s="1"/>
  <c r="AG123" i="281"/>
  <c r="AG124" i="281" s="1"/>
  <c r="AG114" i="281"/>
  <c r="AG31" i="265" s="1"/>
  <c r="BW15" i="275"/>
  <c r="BW20" i="275" s="1"/>
  <c r="BX17" i="275" s="1"/>
  <c r="BW12" i="286"/>
  <c r="BW23" i="280"/>
  <c r="BW11" i="280"/>
  <c r="BW21" i="282"/>
  <c r="BW34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BU73" i="265"/>
  <c r="BV13" i="280"/>
  <c r="BV16" i="280" s="1"/>
  <c r="CB5" i="275"/>
  <c r="CB5" i="265"/>
  <c r="CB5" i="286"/>
  <c r="CB5" i="280"/>
  <c r="CB5" i="282"/>
  <c r="CB5" i="281"/>
  <c r="CB13" i="273"/>
  <c r="CB14" i="273" s="1"/>
  <c r="CB5" i="273"/>
  <c r="CC10" i="273"/>
  <c r="BT26" i="280"/>
  <c r="BT45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45" i="280"/>
  <c r="BS26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Z25" i="282" l="1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73" i="265"/>
  <c r="BW13" i="280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BW16" i="280"/>
  <c r="AA63" i="265"/>
  <c r="AA65" i="265" s="1"/>
  <c r="AA67" i="265" s="1"/>
  <c r="AA80" i="265" s="1"/>
  <c r="AB36" i="280"/>
  <c r="AA52" i="265"/>
  <c r="AA53" i="265" s="1"/>
  <c r="AA24" i="265"/>
  <c r="AA25" i="265" s="1"/>
  <c r="BY106" i="281"/>
  <c r="BY72" i="281"/>
  <c r="BY46" i="281"/>
  <c r="BY15" i="275"/>
  <c r="BY12" i="286"/>
  <c r="BY34" i="280"/>
  <c r="BY119" i="281"/>
  <c r="BY23" i="280"/>
  <c r="BY11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25" i="280"/>
  <c r="BS76" i="281"/>
  <c r="BS78" i="281" s="1"/>
  <c r="BS85" i="281" s="1"/>
  <c r="BS86" i="281" s="1"/>
  <c r="BT83" i="281" s="1"/>
  <c r="BX20" i="275"/>
  <c r="BY17" i="275" s="1"/>
  <c r="CA25" i="282" l="1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44" i="280"/>
  <c r="AB46" i="280" s="1"/>
  <c r="AB54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BW73" i="265"/>
  <c r="BX13" i="280"/>
  <c r="BX16" i="280" s="1"/>
  <c r="AF50" i="280"/>
  <c r="AF37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49" i="280"/>
  <c r="AB51" i="280" s="1"/>
  <c r="AB55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45" i="280"/>
  <c r="BU26" i="280"/>
  <c r="BY110" i="281"/>
  <c r="BY105" i="281"/>
  <c r="BY107" i="281" s="1"/>
  <c r="BY111" i="281" s="1"/>
  <c r="BY98" i="281"/>
  <c r="BY10" i="265" s="1"/>
  <c r="BY122" i="281"/>
  <c r="CB25" i="282" l="1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45" i="280"/>
  <c r="BW26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45" i="280"/>
  <c r="BV26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34" i="280"/>
  <c r="BZ23" i="280"/>
  <c r="BZ11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X73" i="265"/>
  <c r="BY13" i="280"/>
  <c r="BY16" i="280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56" i="280"/>
  <c r="CC25" i="282" l="1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BY73" i="265"/>
  <c r="BZ13" i="280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BZ16" i="280"/>
  <c r="CB15" i="275"/>
  <c r="CB12" i="286"/>
  <c r="CB34" i="280"/>
  <c r="CB23" i="280"/>
  <c r="CB11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57" i="280"/>
  <c r="AB27" i="280"/>
  <c r="AB28" i="280" s="1"/>
  <c r="AB38" i="280"/>
  <c r="AB39" i="280" s="1"/>
  <c r="CB52" i="273"/>
  <c r="CB42" i="273"/>
  <c r="AH69" i="265"/>
  <c r="AI121" i="281"/>
  <c r="CA15" i="275"/>
  <c r="CA20" i="275" s="1"/>
  <c r="CB17" i="275" s="1"/>
  <c r="CA12" i="286"/>
  <c r="CA23" i="280"/>
  <c r="CA11" i="280"/>
  <c r="CA21" i="282"/>
  <c r="CA34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CD25" i="282" l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34" i="280"/>
  <c r="CC119" i="281"/>
  <c r="CC23" i="280"/>
  <c r="CC11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25" i="280"/>
  <c r="AG50" i="280"/>
  <c r="AG37" i="280"/>
  <c r="BX26" i="280"/>
  <c r="BX45" i="280"/>
  <c r="BZ73" i="265"/>
  <c r="CA13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CA16" i="280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36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45" i="280"/>
  <c r="BY26" i="280"/>
  <c r="CE25" i="282" l="1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44" i="280"/>
  <c r="AC46" i="280" s="1"/>
  <c r="AC54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34" i="280"/>
  <c r="CD23" i="280"/>
  <c r="CD11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49" i="280"/>
  <c r="AC51" i="280" s="1"/>
  <c r="AC55" i="280" s="1"/>
  <c r="AI123" i="281"/>
  <c r="AI124" i="281" s="1"/>
  <c r="AI114" i="281"/>
  <c r="AI31" i="265" s="1"/>
  <c r="CA73" i="265"/>
  <c r="CB13" i="280"/>
  <c r="CB16" i="280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F25" i="282" l="1"/>
  <c r="CF16" i="282"/>
  <c r="CF13" i="265" s="1"/>
  <c r="CE15" i="275"/>
  <c r="CE12" i="286"/>
  <c r="CE23" i="280"/>
  <c r="CE11" i="280"/>
  <c r="CE21" i="282"/>
  <c r="CE34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45" i="280"/>
  <c r="CA26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56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CB73" i="265"/>
  <c r="CC13" i="280"/>
  <c r="CC16" i="280" s="1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45" i="280"/>
  <c r="BZ26" i="280"/>
  <c r="CG25" i="282" l="1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50" i="280"/>
  <c r="AH37" i="280"/>
  <c r="CF15" i="275"/>
  <c r="CF12" i="286"/>
  <c r="CF34" i="280"/>
  <c r="CF23" i="280"/>
  <c r="CF11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57" i="280"/>
  <c r="AC14" i="286"/>
  <c r="AC16" i="286" s="1"/>
  <c r="AC18" i="286" s="1"/>
  <c r="AC38" i="280"/>
  <c r="AC39" i="280" s="1"/>
  <c r="AC27" i="280"/>
  <c r="AC28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C73" i="265"/>
  <c r="CD13" i="280"/>
  <c r="CD16" i="280" s="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CH25" i="282" l="1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26" i="280"/>
  <c r="CB45" i="280"/>
  <c r="CD73" i="265"/>
  <c r="CE13" i="280"/>
  <c r="CE16" i="280" s="1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36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25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45" i="280"/>
  <c r="CC26" i="280"/>
  <c r="CI25" i="282" l="1"/>
  <c r="CI16" i="282"/>
  <c r="CI13" i="265" s="1"/>
  <c r="CH15" i="275"/>
  <c r="CH12" i="286"/>
  <c r="CH34" i="280"/>
  <c r="CH23" i="280"/>
  <c r="CH11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34" i="280"/>
  <c r="CG119" i="281"/>
  <c r="CG23" i="280"/>
  <c r="CG11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44" i="280"/>
  <c r="AD46" i="280" s="1"/>
  <c r="AD54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49" i="280"/>
  <c r="AD51" i="280" s="1"/>
  <c r="AD55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CE73" i="265"/>
  <c r="CF13" i="280"/>
  <c r="CF16" i="280" s="1"/>
  <c r="CJ25" i="282" l="1"/>
  <c r="CJ16" i="282"/>
  <c r="CJ13" i="265" s="1"/>
  <c r="CF30" i="281"/>
  <c r="CF36" i="281" s="1"/>
  <c r="CF38" i="281" s="1"/>
  <c r="CI15" i="275"/>
  <c r="CI12" i="286"/>
  <c r="CI23" i="280"/>
  <c r="CI11" i="280"/>
  <c r="CI21" i="282"/>
  <c r="CI34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F73" i="265"/>
  <c r="CG13" i="280"/>
  <c r="CI130" i="273"/>
  <c r="CI38" i="273"/>
  <c r="CJ39" i="273" s="1"/>
  <c r="CJ41" i="273" s="1"/>
  <c r="CF66" i="273"/>
  <c r="CF67" i="273" s="1"/>
  <c r="CG60" i="273"/>
  <c r="AD56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45" i="280"/>
  <c r="CE26" i="280"/>
  <c r="AI50" i="280"/>
  <c r="AI37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45" i="280"/>
  <c r="CD26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G16" i="280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K25" i="282" l="1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26" i="280"/>
  <c r="CF45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CG73" i="265"/>
  <c r="CH13" i="280"/>
  <c r="CH16" i="280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57" i="280"/>
  <c r="AD38" i="280"/>
  <c r="AD39" i="280" s="1"/>
  <c r="AD27" i="280"/>
  <c r="AD28" i="280" s="1"/>
  <c r="CF3" i="275"/>
  <c r="CF3" i="265"/>
  <c r="CF3" i="286"/>
  <c r="CF3" i="280"/>
  <c r="CF3" i="282"/>
  <c r="CF3" i="281"/>
  <c r="CF50" i="273"/>
  <c r="CF3" i="273"/>
  <c r="CI20" i="275"/>
  <c r="CJ17" i="275" s="1"/>
  <c r="CL25" i="282" l="1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25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34" i="280"/>
  <c r="CJ23" i="280"/>
  <c r="CJ11" i="280"/>
  <c r="CJ21" i="282"/>
  <c r="CJ119" i="281"/>
  <c r="CJ81" i="281"/>
  <c r="CJ58" i="281"/>
  <c r="CJ57" i="273"/>
  <c r="CJ79" i="273"/>
  <c r="CK80" i="273" s="1"/>
  <c r="CK58" i="273" s="1"/>
  <c r="CG45" i="280"/>
  <c r="CG26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H73" i="265"/>
  <c r="CI13" i="280"/>
  <c r="CI16" i="280" s="1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36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CM25" i="282" l="1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34" i="280"/>
  <c r="CK119" i="281"/>
  <c r="CK23" i="280"/>
  <c r="CK11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49" i="280"/>
  <c r="AE51" i="280" s="1"/>
  <c r="AE55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I73" i="265"/>
  <c r="CJ13" i="280"/>
  <c r="CJ16" i="280" s="1"/>
  <c r="CK110" i="281"/>
  <c r="CK105" i="281"/>
  <c r="CK107" i="281" s="1"/>
  <c r="CK111" i="281" s="1"/>
  <c r="CK98" i="281"/>
  <c r="CK10" i="265" s="1"/>
  <c r="CK122" i="281"/>
  <c r="CL52" i="273"/>
  <c r="CL42" i="273"/>
  <c r="AJ50" i="280"/>
  <c r="AJ37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44" i="280"/>
  <c r="AE46" i="280" s="1"/>
  <c r="AE54" i="280" s="1"/>
  <c r="AE56" i="280" s="1"/>
  <c r="AJ64" i="265"/>
  <c r="AK60" i="281"/>
  <c r="CL15" i="275"/>
  <c r="CL20" i="275" s="1"/>
  <c r="CM17" i="275" s="1"/>
  <c r="CL12" i="286"/>
  <c r="CL34" i="280"/>
  <c r="CL23" i="280"/>
  <c r="CL11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CN25" i="282" l="1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45" i="280"/>
  <c r="CH26" i="280"/>
  <c r="CJ73" i="265"/>
  <c r="CK13" i="280"/>
  <c r="CK16" i="280" s="1"/>
  <c r="CI45" i="280"/>
  <c r="CI26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23" i="280"/>
  <c r="CM11" i="280"/>
  <c r="CM21" i="282"/>
  <c r="CM34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57" i="280"/>
  <c r="AE14" i="286"/>
  <c r="AE16" i="286" s="1"/>
  <c r="AE18" i="286" s="1"/>
  <c r="AE38" i="280"/>
  <c r="AE39" i="280" s="1"/>
  <c r="AE27" i="280"/>
  <c r="AE28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CO25" i="282" l="1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25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26" i="280"/>
  <c r="CJ45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36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73" i="265"/>
  <c r="CL13" i="280"/>
  <c r="CL16" i="280" s="1"/>
  <c r="CK66" i="273"/>
  <c r="CK67" i="273" s="1"/>
  <c r="CL60" i="273"/>
  <c r="CP25" i="282" l="1"/>
  <c r="CP16" i="282"/>
  <c r="CP13" i="265" s="1"/>
  <c r="CI76" i="281"/>
  <c r="CI78" i="281" s="1"/>
  <c r="CI85" i="281" s="1"/>
  <c r="CI86" i="281" s="1"/>
  <c r="CJ83" i="281" s="1"/>
  <c r="CO15" i="275"/>
  <c r="CO12" i="286"/>
  <c r="CO34" i="280"/>
  <c r="CO119" i="281"/>
  <c r="CO23" i="280"/>
  <c r="CO11" i="280"/>
  <c r="CO21" i="282"/>
  <c r="CO81" i="281"/>
  <c r="CO58" i="281"/>
  <c r="CO79" i="273"/>
  <c r="CP80" i="273" s="1"/>
  <c r="CP58" i="273" s="1"/>
  <c r="CO57" i="273"/>
  <c r="CL66" i="273"/>
  <c r="CL67" i="273" s="1"/>
  <c r="CM60" i="273"/>
  <c r="CL73" i="265"/>
  <c r="CM13" i="280"/>
  <c r="CM16" i="280" s="1"/>
  <c r="CN15" i="275"/>
  <c r="CN20" i="275" s="1"/>
  <c r="CO17" i="275" s="1"/>
  <c r="CN12" i="286"/>
  <c r="CN34" i="280"/>
  <c r="CN23" i="280"/>
  <c r="CN11" i="280"/>
  <c r="CN21" i="282"/>
  <c r="CN119" i="281"/>
  <c r="CN81" i="281"/>
  <c r="CN58" i="281"/>
  <c r="CN57" i="273"/>
  <c r="CN79" i="273"/>
  <c r="CO80" i="273" s="1"/>
  <c r="CO58" i="273" s="1"/>
  <c r="AF49" i="280"/>
  <c r="AF51" i="280" s="1"/>
  <c r="AF55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44" i="280"/>
  <c r="AF46" i="280" s="1"/>
  <c r="AF54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0" i="280"/>
  <c r="AK37" i="280"/>
  <c r="CN122" i="281"/>
  <c r="CN105" i="281"/>
  <c r="CN107" i="281" s="1"/>
  <c r="CN111" i="281" s="1"/>
  <c r="CN98" i="281"/>
  <c r="CN10" i="265" s="1"/>
  <c r="CN110" i="281"/>
  <c r="CQ25" i="282" l="1"/>
  <c r="CQ16" i="282"/>
  <c r="CQ13" i="265" s="1"/>
  <c r="AF56" i="280"/>
  <c r="CJ76" i="281"/>
  <c r="CJ78" i="281" s="1"/>
  <c r="CJ85" i="281" s="1"/>
  <c r="CJ86" i="281" s="1"/>
  <c r="CK83" i="281" s="1"/>
  <c r="CP15" i="275"/>
  <c r="CP12" i="286"/>
  <c r="CP34" i="280"/>
  <c r="CP23" i="280"/>
  <c r="CP11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45" i="280"/>
  <c r="CL26" i="280"/>
  <c r="CK45" i="280"/>
  <c r="CK26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14" i="286"/>
  <c r="AF16" i="286" s="1"/>
  <c r="AF18" i="286" s="1"/>
  <c r="AF57" i="280"/>
  <c r="AF27" i="280"/>
  <c r="AF28" i="280" s="1"/>
  <c r="AF38" i="280"/>
  <c r="AF39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73" i="265"/>
  <c r="CN13" i="280"/>
  <c r="CN16" i="280" s="1"/>
  <c r="CM66" i="273"/>
  <c r="CM67" i="273" s="1"/>
  <c r="CN60" i="273"/>
  <c r="CO20" i="275"/>
  <c r="CP17" i="275" s="1"/>
  <c r="CR25" i="282" l="1"/>
  <c r="CR16" i="282"/>
  <c r="CR13" i="265" s="1"/>
  <c r="CN73" i="265"/>
  <c r="CO13" i="280"/>
  <c r="CO16" i="280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36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23" i="280"/>
  <c r="CQ11" i="280"/>
  <c r="CQ21" i="282"/>
  <c r="CQ34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25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CS25" i="282" l="1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34" i="280"/>
  <c r="CR23" i="280"/>
  <c r="CR11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45" i="280"/>
  <c r="CM26" i="280"/>
  <c r="CR130" i="273"/>
  <c r="CR38" i="273"/>
  <c r="CS39" i="273" s="1"/>
  <c r="CS41" i="273" s="1"/>
  <c r="AG44" i="280"/>
  <c r="AG46" i="280" s="1"/>
  <c r="AG54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CO73" i="265"/>
  <c r="CP13" i="280"/>
  <c r="CP16" i="280" s="1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0" i="280"/>
  <c r="AL37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49" i="280"/>
  <c r="AG51" i="280" s="1"/>
  <c r="AG55" i="280" s="1"/>
  <c r="CT136" i="273"/>
  <c r="CT24" i="273"/>
  <c r="CT25" i="273" s="1"/>
  <c r="CT108" i="273" s="1"/>
  <c r="CT109" i="273" s="1"/>
  <c r="CT14" i="282" s="1"/>
  <c r="CT15" i="282" s="1"/>
  <c r="CT25" i="282" l="1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P73" i="265"/>
  <c r="CQ13" i="280"/>
  <c r="CQ16" i="280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26" i="280"/>
  <c r="CN45" i="280"/>
  <c r="AG56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CU25" i="282" l="1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57" i="280"/>
  <c r="AG14" i="286"/>
  <c r="AG16" i="286" s="1"/>
  <c r="AG18" i="286" s="1"/>
  <c r="AG38" i="280"/>
  <c r="AG39" i="280" s="1"/>
  <c r="AG27" i="280"/>
  <c r="AG28" i="280" s="1"/>
  <c r="CP45" i="280"/>
  <c r="CP26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CQ73" i="265"/>
  <c r="CR13" i="280"/>
  <c r="CR16" i="280" s="1"/>
  <c r="AN69" i="265"/>
  <c r="AO121" i="281"/>
  <c r="CS15" i="275"/>
  <c r="CS20" i="275" s="1"/>
  <c r="CT17" i="275" s="1"/>
  <c r="CS12" i="286"/>
  <c r="CS34" i="280"/>
  <c r="CS119" i="281"/>
  <c r="CS23" i="280"/>
  <c r="CS11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45" i="280"/>
  <c r="CO26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CV25" i="282" l="1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23" i="280"/>
  <c r="CU11" i="280"/>
  <c r="CU21" i="282"/>
  <c r="CU34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R73" i="265"/>
  <c r="CS13" i="280"/>
  <c r="CS16" i="280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36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34" i="280"/>
  <c r="CT23" i="280"/>
  <c r="CT11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37" i="280"/>
  <c r="AM50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25" i="280"/>
  <c r="CW25" i="282" l="1"/>
  <c r="CW16" i="282"/>
  <c r="CW13" i="265" s="1"/>
  <c r="CV15" i="275"/>
  <c r="CV12" i="286"/>
  <c r="CV34" i="280"/>
  <c r="CV23" i="280"/>
  <c r="CV11" i="280"/>
  <c r="CV21" i="282"/>
  <c r="CV119" i="281"/>
  <c r="CV81" i="281"/>
  <c r="CV58" i="281"/>
  <c r="CV57" i="273"/>
  <c r="CV79" i="273"/>
  <c r="CW80" i="273" s="1"/>
  <c r="CW58" i="273" s="1"/>
  <c r="CS73" i="265"/>
  <c r="CT13" i="280"/>
  <c r="CP76" i="281"/>
  <c r="CP78" i="281" s="1"/>
  <c r="CP85" i="281" s="1"/>
  <c r="CP86" i="281" s="1"/>
  <c r="CQ83" i="281" s="1"/>
  <c r="AH44" i="280"/>
  <c r="AH46" i="280" s="1"/>
  <c r="AH54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49" i="280"/>
  <c r="AH51" i="280" s="1"/>
  <c r="AH55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45" i="280"/>
  <c r="CQ26" i="280"/>
  <c r="CS59" i="265"/>
  <c r="CS60" i="265" s="1"/>
  <c r="CT23" i="282"/>
  <c r="CT26" i="282" s="1"/>
  <c r="CV106" i="281"/>
  <c r="CV46" i="281"/>
  <c r="CV72" i="281"/>
  <c r="CT16" i="280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CX25" i="282" l="1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T73" i="265"/>
  <c r="CU13" i="280"/>
  <c r="CU16" i="280" s="1"/>
  <c r="CW15" i="275"/>
  <c r="CW12" i="286"/>
  <c r="CW34" i="280"/>
  <c r="CW119" i="281"/>
  <c r="CW23" i="280"/>
  <c r="CW11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26" i="280"/>
  <c r="CR45" i="280"/>
  <c r="AH56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CY25" i="282" l="1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50" i="280"/>
  <c r="AN37" i="280"/>
  <c r="CS45" i="280"/>
  <c r="CS26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45" i="280"/>
  <c r="CT26" i="280"/>
  <c r="CX15" i="275"/>
  <c r="CX12" i="286"/>
  <c r="CX34" i="280"/>
  <c r="CX23" i="280"/>
  <c r="CX11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57" i="280"/>
  <c r="AH38" i="280"/>
  <c r="AH39" i="280" s="1"/>
  <c r="AH27" i="280"/>
  <c r="AH28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73" i="265"/>
  <c r="CV13" i="280"/>
  <c r="CV16" i="280" s="1"/>
  <c r="CU59" i="265"/>
  <c r="CU60" i="265" s="1"/>
  <c r="CV23" i="282"/>
  <c r="CV26" i="282" s="1"/>
  <c r="CZ25" i="282" l="1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36" i="280"/>
  <c r="AO52" i="281"/>
  <c r="AO53" i="281" s="1"/>
  <c r="CU45" i="280"/>
  <c r="CU26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V73" i="265"/>
  <c r="CW13" i="280"/>
  <c r="CW16" i="280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25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DA25" i="282" l="1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44" i="280"/>
  <c r="AI46" i="280" s="1"/>
  <c r="AI54" i="280" s="1"/>
  <c r="CZ130" i="273"/>
  <c r="CZ38" i="273"/>
  <c r="DA39" i="273" s="1"/>
  <c r="DA41" i="273" s="1"/>
  <c r="CZ52" i="273"/>
  <c r="CZ42" i="273"/>
  <c r="CW30" i="281"/>
  <c r="CW36" i="281" s="1"/>
  <c r="CW38" i="281" s="1"/>
  <c r="CW73" i="265"/>
  <c r="CX13" i="280"/>
  <c r="CX16" i="280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49" i="280"/>
  <c r="AI51" i="280" s="1"/>
  <c r="AI55" i="280" s="1"/>
  <c r="CY110" i="281"/>
  <c r="CY122" i="281"/>
  <c r="CY105" i="281"/>
  <c r="CY107" i="281" s="1"/>
  <c r="CY111" i="281" s="1"/>
  <c r="CY98" i="281"/>
  <c r="CY10" i="265" s="1"/>
  <c r="CV26" i="280"/>
  <c r="CV45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23" i="280"/>
  <c r="CY11" i="280"/>
  <c r="CY21" i="282"/>
  <c r="CY34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DB25" i="282" l="1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50" i="280"/>
  <c r="AO37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34" i="280"/>
  <c r="CZ23" i="280"/>
  <c r="CZ11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34" i="280"/>
  <c r="DA119" i="281"/>
  <c r="DA23" i="280"/>
  <c r="DA11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X73" i="265"/>
  <c r="CY13" i="280"/>
  <c r="CY16" i="280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56" i="280"/>
  <c r="CW3" i="275"/>
  <c r="CW3" i="265"/>
  <c r="CW3" i="286"/>
  <c r="CW3" i="280"/>
  <c r="CW3" i="282"/>
  <c r="CW3" i="281"/>
  <c r="CW50" i="273"/>
  <c r="CW3" i="273"/>
  <c r="DC25" i="282" l="1"/>
  <c r="DC16" i="282"/>
  <c r="DC13" i="265" s="1"/>
  <c r="CY73" i="265"/>
  <c r="CZ13" i="280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Z16" i="280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57" i="280"/>
  <c r="AI14" i="286"/>
  <c r="AI16" i="286" s="1"/>
  <c r="AI18" i="286" s="1"/>
  <c r="AI38" i="280"/>
  <c r="AI39" i="280" s="1"/>
  <c r="AI27" i="280"/>
  <c r="AI28" i="280" s="1"/>
  <c r="CW45" i="280"/>
  <c r="CW26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DD25" i="282" l="1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25" i="280"/>
  <c r="DB121" i="273"/>
  <c r="DA124" i="273"/>
  <c r="DC130" i="273"/>
  <c r="DC38" i="273"/>
  <c r="DD39" i="273" s="1"/>
  <c r="DD41" i="273" s="1"/>
  <c r="CX45" i="280"/>
  <c r="CX26" i="280"/>
  <c r="CZ73" i="265"/>
  <c r="DA13" i="280"/>
  <c r="DA16" i="280" s="1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34" i="280"/>
  <c r="DB23" i="280"/>
  <c r="DB11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36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DE25" i="282" l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23" i="280"/>
  <c r="DC11" i="280"/>
  <c r="DC21" i="282"/>
  <c r="DC34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34" i="280"/>
  <c r="DD23" i="280"/>
  <c r="DD11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A73" i="265"/>
  <c r="DB13" i="280"/>
  <c r="DB16" i="280" s="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49" i="280"/>
  <c r="AJ51" i="280" s="1"/>
  <c r="AJ55" i="280" s="1"/>
  <c r="DC4" i="275"/>
  <c r="DC4" i="265"/>
  <c r="DC4" i="286"/>
  <c r="DC4" i="280"/>
  <c r="DC4" i="282"/>
  <c r="DC4" i="281"/>
  <c r="DC4" i="273"/>
  <c r="CY45" i="280"/>
  <c r="CY26" i="280"/>
  <c r="DB21" i="281"/>
  <c r="DB23" i="281" s="1"/>
  <c r="DB29" i="281" s="1"/>
  <c r="DC126" i="273"/>
  <c r="DB26" i="282"/>
  <c r="DA30" i="281"/>
  <c r="DA36" i="281" s="1"/>
  <c r="DA38" i="281" s="1"/>
  <c r="AP50" i="280"/>
  <c r="AP37" i="280"/>
  <c r="AJ44" i="280"/>
  <c r="AJ46" i="280" s="1"/>
  <c r="AJ54" i="280" s="1"/>
  <c r="AJ56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DF25" i="282" l="1"/>
  <c r="DF16" i="282"/>
  <c r="DF13" i="265" s="1"/>
  <c r="DB73" i="265"/>
  <c r="DC13" i="280"/>
  <c r="DC16" i="280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57" i="280"/>
  <c r="AJ27" i="280"/>
  <c r="AJ28" i="280" s="1"/>
  <c r="AJ38" i="280"/>
  <c r="AJ39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26" i="280"/>
  <c r="CZ45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G25" i="282" l="1"/>
  <c r="DG16" i="282"/>
  <c r="DG13" i="265" s="1"/>
  <c r="DC30" i="281"/>
  <c r="DC36" i="281" s="1"/>
  <c r="DC38" i="281" s="1"/>
  <c r="DC59" i="265"/>
  <c r="DC60" i="265" s="1"/>
  <c r="DD23" i="282"/>
  <c r="DD26" i="282" s="1"/>
  <c r="DC73" i="265"/>
  <c r="DD13" i="280"/>
  <c r="DD16" i="280" s="1"/>
  <c r="DE15" i="275"/>
  <c r="DE20" i="275" s="1"/>
  <c r="DF17" i="275" s="1"/>
  <c r="DE12" i="286"/>
  <c r="DE34" i="280"/>
  <c r="DE119" i="281"/>
  <c r="DE23" i="280"/>
  <c r="DE11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36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45" i="280"/>
  <c r="DA26" i="280"/>
  <c r="AJ74" i="265"/>
  <c r="AJ75" i="265" s="1"/>
  <c r="AJ81" i="265" s="1"/>
  <c r="AK25" i="280"/>
  <c r="DJ5" i="275"/>
  <c r="DJ5" i="265"/>
  <c r="DJ5" i="286"/>
  <c r="DJ5" i="280"/>
  <c r="DJ5" i="282"/>
  <c r="DJ5" i="281"/>
  <c r="DJ13" i="273"/>
  <c r="DJ14" i="273" s="1"/>
  <c r="DJ5" i="273"/>
  <c r="DK10" i="273"/>
  <c r="DH25" i="282" l="1"/>
  <c r="DH16" i="282"/>
  <c r="DH13" i="265" s="1"/>
  <c r="DD30" i="281"/>
  <c r="DD36" i="281" s="1"/>
  <c r="DD38" i="281" s="1"/>
  <c r="DD84" i="281" s="1"/>
  <c r="DG15" i="275"/>
  <c r="DG12" i="286"/>
  <c r="DG23" i="280"/>
  <c r="DG11" i="280"/>
  <c r="DG21" i="282"/>
  <c r="DG34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44" i="280"/>
  <c r="AK46" i="280" s="1"/>
  <c r="AK54" i="280" s="1"/>
  <c r="AQ50" i="280"/>
  <c r="AQ37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45" i="280"/>
  <c r="DB26" i="280"/>
  <c r="AJ83" i="265"/>
  <c r="AJ82" i="265"/>
  <c r="DF15" i="275"/>
  <c r="DF20" i="275" s="1"/>
  <c r="DG17" i="275" s="1"/>
  <c r="DF12" i="286"/>
  <c r="DF34" i="280"/>
  <c r="DF23" i="280"/>
  <c r="DF11" i="280"/>
  <c r="DF21" i="282"/>
  <c r="DF119" i="281"/>
  <c r="DF81" i="281"/>
  <c r="DF58" i="281"/>
  <c r="DF57" i="273"/>
  <c r="DF79" i="273"/>
  <c r="DG80" i="273" s="1"/>
  <c r="DG58" i="273" s="1"/>
  <c r="DC45" i="280"/>
  <c r="DC26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73" i="265"/>
  <c r="DE13" i="280"/>
  <c r="DE16" i="280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49" i="280"/>
  <c r="AK51" i="280" s="1"/>
  <c r="AK55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DI25" i="282" l="1"/>
  <c r="DI16" i="282"/>
  <c r="DI13" i="265" s="1"/>
  <c r="DD45" i="281"/>
  <c r="DD47" i="281" s="1"/>
  <c r="DD51" i="281" s="1"/>
  <c r="DD61" i="281"/>
  <c r="AK56" i="280"/>
  <c r="AK57" i="280" s="1"/>
  <c r="DE30" i="281"/>
  <c r="DE36" i="281" s="1"/>
  <c r="DE38" i="281" s="1"/>
  <c r="DE59" i="265"/>
  <c r="DE60" i="265" s="1"/>
  <c r="DF23" i="282"/>
  <c r="DE73" i="265"/>
  <c r="DF13" i="280"/>
  <c r="DB76" i="281"/>
  <c r="DB78" i="281" s="1"/>
  <c r="DB85" i="281" s="1"/>
  <c r="DB86" i="281" s="1"/>
  <c r="DC83" i="281" s="1"/>
  <c r="DH15" i="275"/>
  <c r="DH12" i="286"/>
  <c r="DH34" i="280"/>
  <c r="DH23" i="280"/>
  <c r="DH11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F16" i="280"/>
  <c r="AK14" i="286"/>
  <c r="AK16" i="286" s="1"/>
  <c r="AK18" i="286" s="1"/>
  <c r="AK27" i="280"/>
  <c r="AK28" i="280" s="1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26" i="280"/>
  <c r="DD45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DJ25" i="282" l="1"/>
  <c r="DJ16" i="282"/>
  <c r="DJ13" i="265" s="1"/>
  <c r="AK38" i="280"/>
  <c r="AK39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45" i="280"/>
  <c r="DE26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K74" i="265"/>
  <c r="AK75" i="265" s="1"/>
  <c r="AK81" i="265" s="1"/>
  <c r="AL25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36" i="280"/>
  <c r="AK52" i="265"/>
  <c r="AK53" i="265" s="1"/>
  <c r="AK24" i="265"/>
  <c r="AK25" i="265" s="1"/>
  <c r="DF73" i="265"/>
  <c r="DG13" i="280"/>
  <c r="DG16" i="280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K25" i="282" l="1"/>
  <c r="DK16" i="282"/>
  <c r="DK13" i="265" s="1"/>
  <c r="AR64" i="265"/>
  <c r="AS60" i="281"/>
  <c r="AL49" i="280"/>
  <c r="AL51" i="280" s="1"/>
  <c r="AL55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34" i="280"/>
  <c r="DI119" i="281"/>
  <c r="DI23" i="280"/>
  <c r="DI11" i="280"/>
  <c r="DI21" i="282"/>
  <c r="DI81" i="281"/>
  <c r="DI58" i="281"/>
  <c r="DI79" i="273"/>
  <c r="DJ80" i="273" s="1"/>
  <c r="DJ58" i="273" s="1"/>
  <c r="DI57" i="273"/>
  <c r="AR50" i="280"/>
  <c r="AR37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G73" i="265"/>
  <c r="DH13" i="280"/>
  <c r="DH16" i="280" s="1"/>
  <c r="DI4" i="275"/>
  <c r="DI4" i="265"/>
  <c r="DI4" i="286"/>
  <c r="DI4" i="280"/>
  <c r="DI4" i="282"/>
  <c r="DI4" i="281"/>
  <c r="DI4" i="273"/>
  <c r="DG66" i="273"/>
  <c r="DG67" i="273" s="1"/>
  <c r="DH60" i="273"/>
  <c r="AL44" i="280"/>
  <c r="AL46" i="280" s="1"/>
  <c r="AL54" i="280" s="1"/>
  <c r="AL56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45" i="280"/>
  <c r="DF26" i="280"/>
  <c r="DJ76" i="273"/>
  <c r="DH12" i="281"/>
  <c r="DH14" i="281" s="1"/>
  <c r="DH28" i="281" s="1"/>
  <c r="DH30" i="281" s="1"/>
  <c r="DH36" i="281" s="1"/>
  <c r="DH38" i="281" s="1"/>
  <c r="DI132" i="273"/>
  <c r="DL25" i="282" l="1"/>
  <c r="DL16" i="282"/>
  <c r="DL13" i="265" s="1"/>
  <c r="DJ30" i="281"/>
  <c r="DJ36" i="281" s="1"/>
  <c r="DJ38" i="281" s="1"/>
  <c r="DJ9" i="265" s="1"/>
  <c r="DK15" i="275"/>
  <c r="DK12" i="286"/>
  <c r="DK23" i="280"/>
  <c r="DK11" i="280"/>
  <c r="DK21" i="282"/>
  <c r="DK34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34" i="280"/>
  <c r="DJ23" i="280"/>
  <c r="DJ11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57" i="280"/>
  <c r="AL38" i="280"/>
  <c r="AL39" i="280" s="1"/>
  <c r="AL27" i="280"/>
  <c r="AL28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H73" i="265"/>
  <c r="DI13" i="280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I16" i="280"/>
  <c r="DJ126" i="273"/>
  <c r="DI21" i="281"/>
  <c r="DM136" i="273"/>
  <c r="DM24" i="273"/>
  <c r="DM25" i="273" s="1"/>
  <c r="DM108" i="273" s="1"/>
  <c r="DM109" i="273" s="1"/>
  <c r="DM14" i="282" s="1"/>
  <c r="DM15" i="282" s="1"/>
  <c r="DM25" i="282" l="1"/>
  <c r="DM16" i="282"/>
  <c r="DM13" i="265" s="1"/>
  <c r="DJ11" i="265"/>
  <c r="DJ14" i="265" s="1"/>
  <c r="DJ19" i="265" s="1"/>
  <c r="DJ22" i="265" s="1"/>
  <c r="DJ26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34" i="280"/>
  <c r="DL23" i="280"/>
  <c r="DL11" i="280"/>
  <c r="DL21" i="282"/>
  <c r="DL119" i="281"/>
  <c r="DL81" i="281"/>
  <c r="DL58" i="281"/>
  <c r="DL57" i="273"/>
  <c r="DL79" i="273"/>
  <c r="DM80" i="273" s="1"/>
  <c r="DM58" i="273" s="1"/>
  <c r="DJ45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45" i="280"/>
  <c r="DG26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25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I73" i="265"/>
  <c r="DJ13" i="280"/>
  <c r="DJ16" i="280" s="1"/>
  <c r="DK38" i="281"/>
  <c r="DK110" i="281"/>
  <c r="DK122" i="281"/>
  <c r="DK105" i="281"/>
  <c r="DK107" i="281" s="1"/>
  <c r="DK111" i="281" s="1"/>
  <c r="DK98" i="281"/>
  <c r="DK10" i="265" s="1"/>
  <c r="DI45" i="280"/>
  <c r="DI26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26" i="280"/>
  <c r="DH45" i="280"/>
  <c r="AL63" i="265"/>
  <c r="AL65" i="265" s="1"/>
  <c r="AL67" i="265" s="1"/>
  <c r="AL80" i="265" s="1"/>
  <c r="AM36" i="280"/>
  <c r="DJ26" i="282"/>
  <c r="DK20" i="275"/>
  <c r="DL17" i="275" s="1"/>
  <c r="DN25" i="282" l="1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DJ73" i="265"/>
  <c r="DK13" i="280"/>
  <c r="DK16" i="280" s="1"/>
  <c r="AM44" i="280"/>
  <c r="AM46" i="280" s="1"/>
  <c r="AM54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49" i="280"/>
  <c r="AM51" i="280" s="1"/>
  <c r="AM55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0" i="280"/>
  <c r="AS37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DO25" i="282" l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34" i="280"/>
  <c r="DN23" i="280"/>
  <c r="DN11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K73" i="265"/>
  <c r="DL13" i="280"/>
  <c r="DL16" i="280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34" i="280"/>
  <c r="DM119" i="281"/>
  <c r="DM23" i="280"/>
  <c r="DM11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56" i="280"/>
  <c r="DK45" i="280"/>
  <c r="DK26" i="280"/>
  <c r="DP25" i="282" l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23" i="280"/>
  <c r="DO11" i="280"/>
  <c r="DO21" i="282"/>
  <c r="DO34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L73" i="265"/>
  <c r="DM13" i="280"/>
  <c r="DM16" i="280" s="1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57" i="280"/>
  <c r="AM14" i="286"/>
  <c r="AM16" i="286" s="1"/>
  <c r="AM18" i="286" s="1"/>
  <c r="AM38" i="280"/>
  <c r="AM39" i="280" s="1"/>
  <c r="AM27" i="280"/>
  <c r="AM28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26" i="280"/>
  <c r="DL45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Q25" i="282" l="1"/>
  <c r="DQ16" i="282"/>
  <c r="DQ13" i="265" s="1"/>
  <c r="DM59" i="265"/>
  <c r="DM60" i="265" s="1"/>
  <c r="DN23" i="282"/>
  <c r="DN26" i="282" s="1"/>
  <c r="DM73" i="265"/>
  <c r="DN13" i="280"/>
  <c r="DN16" i="280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34" i="280"/>
  <c r="DP23" i="280"/>
  <c r="DP11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25" i="280"/>
  <c r="DM45" i="280"/>
  <c r="DM26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36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50" i="280"/>
  <c r="AT37" i="280"/>
  <c r="DP52" i="273"/>
  <c r="DP42" i="273"/>
  <c r="DR25" i="282" l="1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49" i="280"/>
  <c r="AN51" i="280" s="1"/>
  <c r="AN55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44" i="280"/>
  <c r="AN46" i="280" s="1"/>
  <c r="AN54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45" i="280"/>
  <c r="DN26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73" i="265"/>
  <c r="DO13" i="280"/>
  <c r="DO16" i="280" s="1"/>
  <c r="DN59" i="265"/>
  <c r="DN60" i="265" s="1"/>
  <c r="DO23" i="282"/>
  <c r="DO26" i="282" s="1"/>
  <c r="DS25" i="282" l="1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34" i="280"/>
  <c r="DR23" i="280"/>
  <c r="DR11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O73" i="265"/>
  <c r="DP13" i="280"/>
  <c r="DP16" i="280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34" i="280"/>
  <c r="DQ119" i="281"/>
  <c r="DQ23" i="280"/>
  <c r="DQ11" i="280"/>
  <c r="DQ21" i="282"/>
  <c r="DQ81" i="281"/>
  <c r="DQ58" i="281"/>
  <c r="DQ79" i="273"/>
  <c r="DR80" i="273" s="1"/>
  <c r="DR58" i="273" s="1"/>
  <c r="DQ57" i="273"/>
  <c r="AN56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45" i="280"/>
  <c r="DO26" i="280"/>
  <c r="DT25" i="282" l="1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26" i="280"/>
  <c r="DP45" i="280"/>
  <c r="AN14" i="286"/>
  <c r="AN16" i="286" s="1"/>
  <c r="AN18" i="286" s="1"/>
  <c r="AN57" i="280"/>
  <c r="AN27" i="280"/>
  <c r="AN28" i="280" s="1"/>
  <c r="AN38" i="280"/>
  <c r="AN39" i="280" s="1"/>
  <c r="DS130" i="273"/>
  <c r="DS38" i="273"/>
  <c r="DT39" i="273" s="1"/>
  <c r="DT41" i="273" s="1"/>
  <c r="DS15" i="275"/>
  <c r="DS12" i="286"/>
  <c r="DS23" i="280"/>
  <c r="DS11" i="280"/>
  <c r="DS21" i="282"/>
  <c r="DS34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37" i="280"/>
  <c r="AU50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73" i="265"/>
  <c r="DQ13" i="280"/>
  <c r="DQ16" i="280" s="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DS30" i="281" l="1"/>
  <c r="DS36" i="281" s="1"/>
  <c r="DU25" i="282"/>
  <c r="DU16" i="282"/>
  <c r="DU13" i="265" s="1"/>
  <c r="DQ59" i="265"/>
  <c r="DQ60" i="265" s="1"/>
  <c r="DR23" i="282"/>
  <c r="DR26" i="282" s="1"/>
  <c r="DQ73" i="265"/>
  <c r="DR13" i="280"/>
  <c r="DR16" i="280" s="1"/>
  <c r="DR12" i="281"/>
  <c r="DS132" i="273"/>
  <c r="DQ45" i="280"/>
  <c r="DQ26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36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25" i="280"/>
  <c r="DT130" i="273"/>
  <c r="DT38" i="273"/>
  <c r="DU39" i="273" s="1"/>
  <c r="DU41" i="273" s="1"/>
  <c r="DV25" i="282" l="1"/>
  <c r="DV16" i="282"/>
  <c r="DV13" i="265" s="1"/>
  <c r="DO76" i="281"/>
  <c r="DO78" i="281" s="1"/>
  <c r="DO85" i="281" s="1"/>
  <c r="DO86" i="281" s="1"/>
  <c r="DP83" i="281" s="1"/>
  <c r="DU52" i="273"/>
  <c r="DU42" i="273"/>
  <c r="AO44" i="280"/>
  <c r="AO46" i="280" s="1"/>
  <c r="AO54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34" i="280"/>
  <c r="DU119" i="281"/>
  <c r="DU23" i="280"/>
  <c r="DU11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73" i="265"/>
  <c r="DS13" i="280"/>
  <c r="DS16" i="280" s="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34" i="280"/>
  <c r="DT23" i="280"/>
  <c r="DT11" i="280"/>
  <c r="DT21" i="282"/>
  <c r="DT119" i="281"/>
  <c r="DT81" i="281"/>
  <c r="DT58" i="281"/>
  <c r="DT57" i="273"/>
  <c r="DT79" i="273"/>
  <c r="DU80" i="273" s="1"/>
  <c r="DU58" i="273" s="1"/>
  <c r="DR45" i="280"/>
  <c r="DR26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49" i="280"/>
  <c r="AO51" i="280" s="1"/>
  <c r="AO55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DW25" i="282" l="1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34" i="280"/>
  <c r="DV23" i="280"/>
  <c r="DV11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DS73" i="265"/>
  <c r="DT13" i="280"/>
  <c r="DT16" i="280" s="1"/>
  <c r="AV64" i="265"/>
  <c r="AW60" i="281"/>
  <c r="DS45" i="280"/>
  <c r="DS26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50" i="280"/>
  <c r="AV37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56" i="280"/>
  <c r="DX25" i="282" l="1"/>
  <c r="DX16" i="282"/>
  <c r="DX13" i="265" s="1"/>
  <c r="DU84" i="281"/>
  <c r="DV20" i="275"/>
  <c r="DW17" i="275" s="1"/>
  <c r="DV30" i="281"/>
  <c r="DV36" i="281" s="1"/>
  <c r="DV38" i="281" s="1"/>
  <c r="DV84" i="281" s="1"/>
  <c r="DT73" i="265"/>
  <c r="DU13" i="280"/>
  <c r="DU16" i="280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57" i="280"/>
  <c r="AO14" i="286"/>
  <c r="AO16" i="286" s="1"/>
  <c r="AO18" i="286" s="1"/>
  <c r="AO38" i="280"/>
  <c r="AO39" i="280" s="1"/>
  <c r="AO27" i="280"/>
  <c r="AO28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26" i="280"/>
  <c r="DT45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Y25" i="282" l="1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25" i="280"/>
  <c r="DW4" i="275"/>
  <c r="DW4" i="265"/>
  <c r="DW4" i="286"/>
  <c r="DW4" i="280"/>
  <c r="DW4" i="282"/>
  <c r="DW4" i="281"/>
  <c r="DW4" i="273"/>
  <c r="DU45" i="280"/>
  <c r="DU26" i="280"/>
  <c r="DX15" i="275"/>
  <c r="DX12" i="286"/>
  <c r="DX34" i="280"/>
  <c r="DX23" i="280"/>
  <c r="DX11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U73" i="265"/>
  <c r="DV13" i="280"/>
  <c r="DV16" i="280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23" i="280"/>
  <c r="DW11" i="280"/>
  <c r="DW21" i="282"/>
  <c r="DW34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36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DZ25" i="282" l="1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0" i="280"/>
  <c r="AW37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34" i="280"/>
  <c r="DY119" i="281"/>
  <c r="DY23" i="280"/>
  <c r="DY11" i="280"/>
  <c r="DY21" i="282"/>
  <c r="DY81" i="281"/>
  <c r="DY58" i="281"/>
  <c r="DY79" i="273"/>
  <c r="DZ80" i="273" s="1"/>
  <c r="DZ58" i="273" s="1"/>
  <c r="DY57" i="273"/>
  <c r="DV73" i="265"/>
  <c r="DW13" i="280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45" i="280"/>
  <c r="DV26" i="280"/>
  <c r="AP49" i="280"/>
  <c r="AP51" i="280" s="1"/>
  <c r="AP55" i="280" s="1"/>
  <c r="H13" i="286"/>
  <c r="H37" i="273"/>
  <c r="H56" i="273"/>
  <c r="H47" i="273"/>
  <c r="H19" i="273"/>
  <c r="DW16" i="280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44" i="280"/>
  <c r="AP46" i="280" s="1"/>
  <c r="AP54" i="280" s="1"/>
  <c r="DU3" i="275"/>
  <c r="DU3" i="265"/>
  <c r="DU3" i="286"/>
  <c r="DU3" i="280"/>
  <c r="DU3" i="282"/>
  <c r="DU3" i="281"/>
  <c r="DU50" i="273"/>
  <c r="DU3" i="273"/>
  <c r="AP56" i="280" l="1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AP57" i="280"/>
  <c r="AP27" i="280"/>
  <c r="AP28" i="280" s="1"/>
  <c r="DZ15" i="275"/>
  <c r="DZ12" i="286"/>
  <c r="DZ34" i="280"/>
  <c r="DZ23" i="280"/>
  <c r="DZ11" i="280"/>
  <c r="DZ21" i="282"/>
  <c r="DZ119" i="281"/>
  <c r="DZ81" i="281"/>
  <c r="DZ58" i="281"/>
  <c r="DZ57" i="273"/>
  <c r="DZ79" i="273"/>
  <c r="EA80" i="273" s="1"/>
  <c r="DW73" i="265"/>
  <c r="DX13" i="280"/>
  <c r="DX16" i="280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45" i="280"/>
  <c r="DW26" i="280"/>
  <c r="DX124" i="273"/>
  <c r="DY121" i="273"/>
  <c r="DX12" i="281"/>
  <c r="DY132" i="273"/>
  <c r="AP38" i="280" l="1"/>
  <c r="AP3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AC73" i="277"/>
  <c r="Z71" i="277"/>
  <c r="Z72" i="277"/>
  <c r="Y70" i="277"/>
  <c r="Z59" i="277"/>
  <c r="Z60" i="277" s="1"/>
  <c r="Y72" i="277"/>
  <c r="Z70" i="277"/>
  <c r="Y59" i="277"/>
  <c r="Y60" i="277" s="1"/>
  <c r="AA73" i="277"/>
  <c r="L64" i="277"/>
  <c r="Y73" i="277"/>
  <c r="Y71" i="277"/>
  <c r="Z73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B73" i="277"/>
  <c r="AD73" i="277"/>
  <c r="AD59" i="277"/>
  <c r="AD60" i="277" s="1"/>
  <c r="AD70" i="277"/>
  <c r="AD72" i="277"/>
  <c r="AD71" i="277"/>
  <c r="AE72" i="277"/>
  <c r="AE59" i="277"/>
  <c r="AE60" i="277" s="1"/>
  <c r="AE71" i="277"/>
  <c r="AH71" i="277"/>
  <c r="AF73" i="277"/>
  <c r="AF72" i="277"/>
  <c r="AF70" i="277"/>
  <c r="AG71" i="277"/>
  <c r="AF59" i="277"/>
  <c r="AF60" i="277" s="1"/>
  <c r="AE70" i="277"/>
  <c r="AE73" i="277"/>
  <c r="AF71" i="277"/>
  <c r="L63" i="277"/>
  <c r="L65" i="277" s="1"/>
  <c r="L67" i="277" s="1"/>
  <c r="L80" i="277" s="1"/>
  <c r="AG72" i="277"/>
  <c r="AG73" i="277"/>
  <c r="AG70" i="277"/>
  <c r="AJ72" i="277"/>
  <c r="AG59" i="277"/>
  <c r="AG60" i="277" s="1"/>
  <c r="AJ73" i="277"/>
  <c r="AI72" i="277"/>
  <c r="AI71" i="277"/>
  <c r="AI73" i="277"/>
  <c r="AJ70" i="277"/>
  <c r="AI70" i="277"/>
  <c r="AH73" i="277"/>
  <c r="AI59" i="277"/>
  <c r="AI60" i="277" s="1"/>
  <c r="AH70" i="277"/>
  <c r="AH72" i="277"/>
  <c r="AH59" i="277"/>
  <c r="AH60" i="277" s="1"/>
  <c r="AJ71" i="277"/>
  <c r="L74" i="277"/>
  <c r="AK70" i="277"/>
  <c r="AK73" i="277"/>
  <c r="AK59" i="277"/>
  <c r="AK60" i="277" s="1"/>
  <c r="AJ59" i="277"/>
  <c r="AJ60" i="277" s="1"/>
  <c r="AK71" i="277"/>
  <c r="AL59" i="277"/>
  <c r="AL60" i="277" s="1"/>
  <c r="AK72" i="277"/>
  <c r="AL71" i="277"/>
  <c r="AM73" i="277"/>
  <c r="AL72" i="277"/>
  <c r="AN71" i="277"/>
  <c r="AL70" i="277"/>
  <c r="AL73" i="277"/>
  <c r="AM72" i="277"/>
  <c r="AM70" i="277"/>
  <c r="AN72" i="277"/>
  <c r="AM71" i="277"/>
  <c r="AM59" i="277"/>
  <c r="AM60" i="277" s="1"/>
  <c r="AN70" i="277"/>
  <c r="EA15" i="275"/>
  <c r="EA20" i="275" s="1"/>
  <c r="EA12" i="286"/>
  <c r="EA23" i="280"/>
  <c r="EA11" i="280"/>
  <c r="EA21" i="282"/>
  <c r="EA34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25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26" i="280"/>
  <c r="DX45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DX73" i="265"/>
  <c r="AN73" i="277" s="1"/>
  <c r="DY13" i="280"/>
  <c r="DY16" i="280" s="1"/>
  <c r="EA58" i="273"/>
  <c r="H80" i="273"/>
  <c r="H58" i="273" s="1"/>
  <c r="AP63" i="265"/>
  <c r="AP65" i="265" s="1"/>
  <c r="AP67" i="265" s="1"/>
  <c r="AP80" i="265" s="1"/>
  <c r="AQ36" i="280"/>
  <c r="J23" i="269" l="1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49" i="280"/>
  <c r="AQ51" i="280" s="1"/>
  <c r="AQ55" i="280" s="1"/>
  <c r="DY66" i="273"/>
  <c r="DY67" i="273" s="1"/>
  <c r="DZ60" i="273"/>
  <c r="R67" i="277"/>
  <c r="R80" i="277" s="1"/>
  <c r="Q67" i="277"/>
  <c r="Q80" i="277" s="1"/>
  <c r="DY73" i="265"/>
  <c r="DZ13" i="280"/>
  <c r="DZ16" i="280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0" i="280"/>
  <c r="AX37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45" i="280"/>
  <c r="DY26" i="280"/>
  <c r="DY59" i="265"/>
  <c r="DY60" i="265" s="1"/>
  <c r="DZ23" i="282"/>
  <c r="DZ26" i="282" s="1"/>
  <c r="AQ44" i="280"/>
  <c r="AQ46" i="280" s="1"/>
  <c r="AQ54" i="280" s="1"/>
  <c r="AQ56" i="280" s="1"/>
  <c r="AX64" i="265"/>
  <c r="AY60" i="281"/>
  <c r="H15" i="275"/>
  <c r="H12" i="286"/>
  <c r="H34" i="280"/>
  <c r="H23" i="280"/>
  <c r="H11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P83" i="277" l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45" i="280"/>
  <c r="DZ26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48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8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48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48" i="277"/>
  <c r="AC18" i="277"/>
  <c r="AD10" i="277"/>
  <c r="AD18" i="277"/>
  <c r="AC43" i="277"/>
  <c r="AC40" i="277"/>
  <c r="AC45" i="277"/>
  <c r="AC35" i="277"/>
  <c r="AD48" i="277"/>
  <c r="AD35" i="277"/>
  <c r="AD45" i="277"/>
  <c r="AC44" i="277"/>
  <c r="AC9" i="277"/>
  <c r="AC39" i="277"/>
  <c r="AC10" i="277"/>
  <c r="AE10" i="277"/>
  <c r="AE32" i="277"/>
  <c r="AE48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8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48" i="277"/>
  <c r="AI48" i="277"/>
  <c r="AG9" i="277"/>
  <c r="AG21" i="277"/>
  <c r="AG45" i="277"/>
  <c r="AG16" i="277"/>
  <c r="AH43" i="277"/>
  <c r="AH13" i="277"/>
  <c r="AH16" i="277"/>
  <c r="AI21" i="277"/>
  <c r="AH44" i="277"/>
  <c r="AI35" i="277"/>
  <c r="AH48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48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K48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M48" i="277"/>
  <c r="AL45" i="277"/>
  <c r="AM43" i="277"/>
  <c r="AN16" i="277"/>
  <c r="AL18" i="277"/>
  <c r="AM35" i="277"/>
  <c r="AN35" i="277"/>
  <c r="AN44" i="277"/>
  <c r="AL35" i="277"/>
  <c r="AL13" i="277"/>
  <c r="AM9" i="277"/>
  <c r="AN48" i="277"/>
  <c r="AN39" i="277"/>
  <c r="AM16" i="277"/>
  <c r="AN43" i="277"/>
  <c r="AL10" i="277"/>
  <c r="AM18" i="277"/>
  <c r="AL32" i="277"/>
  <c r="AL48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57" i="280"/>
  <c r="AQ14" i="286"/>
  <c r="AQ16" i="286" s="1"/>
  <c r="AQ18" i="286" s="1"/>
  <c r="AQ38" i="280"/>
  <c r="AQ39" i="280" s="1"/>
  <c r="AQ27" i="280"/>
  <c r="AQ28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DZ73" i="265"/>
  <c r="EA13" i="280"/>
  <c r="EA16" i="280" s="1"/>
  <c r="EA73" i="265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S14" i="277" l="1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36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25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H48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DY76" i="281" l="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44" i="280"/>
  <c r="AR46" i="280" s="1"/>
  <c r="AR54" i="280" s="1"/>
  <c r="BA112" i="281"/>
  <c r="BA113" i="281" s="1"/>
  <c r="AQ25" i="265"/>
  <c r="AR49" i="280"/>
  <c r="AR51" i="280" s="1"/>
  <c r="AR55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DZ76" i="281" l="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56" i="280"/>
  <c r="AY50" i="280"/>
  <c r="AY37" i="280"/>
  <c r="EA76" i="281" l="1"/>
  <c r="EA78" i="281" s="1"/>
  <c r="EA85" i="281" s="1"/>
  <c r="EA86" i="281" s="1"/>
  <c r="AR14" i="286"/>
  <c r="AR16" i="286" s="1"/>
  <c r="AR18" i="286" s="1"/>
  <c r="AR57" i="280"/>
  <c r="AR27" i="280"/>
  <c r="AR28" i="280" s="1"/>
  <c r="AR38" i="280"/>
  <c r="AR39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AN19" i="277" l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25" i="280"/>
  <c r="AZ64" i="265"/>
  <c r="U64" i="277" s="1"/>
  <c r="BA60" i="281"/>
  <c r="L24" i="269"/>
  <c r="J24" i="269"/>
  <c r="BB112" i="281"/>
  <c r="BB113" i="281" s="1"/>
  <c r="AR63" i="265"/>
  <c r="AS36" i="280"/>
  <c r="AR24" i="265"/>
  <c r="AR52" i="265"/>
  <c r="AR75" i="265" l="1"/>
  <c r="AR81" i="265" s="1"/>
  <c r="S74" i="277"/>
  <c r="S75" i="277" s="1"/>
  <c r="S81" i="277" s="1"/>
  <c r="L29" i="269"/>
  <c r="J29" i="269"/>
  <c r="AR53" i="265"/>
  <c r="R51" i="277"/>
  <c r="R52" i="277" s="1"/>
  <c r="AS49" i="280"/>
  <c r="AS51" i="280" s="1"/>
  <c r="AS55" i="280" s="1"/>
  <c r="BA52" i="281"/>
  <c r="BA53" i="281" s="1"/>
  <c r="AS44" i="280"/>
  <c r="AS46" i="280" s="1"/>
  <c r="AS54" i="280" s="1"/>
  <c r="AS56" i="280" s="1"/>
  <c r="EA45" i="280"/>
  <c r="EA26" i="280"/>
  <c r="H22" i="265"/>
  <c r="AZ50" i="280"/>
  <c r="AZ37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S83" i="277" l="1"/>
  <c r="S82" i="277"/>
  <c r="AR83" i="265"/>
  <c r="AR82" i="265"/>
  <c r="H22" i="277"/>
  <c r="AS57" i="280"/>
  <c r="AS14" i="286"/>
  <c r="AS16" i="286" s="1"/>
  <c r="AS18" i="286" s="1"/>
  <c r="AS38" i="280"/>
  <c r="AS39" i="280" s="1"/>
  <c r="AS27" i="280"/>
  <c r="AS28" i="280" s="1"/>
  <c r="BA30" i="265"/>
  <c r="BA62" i="281"/>
  <c r="BA63" i="281" s="1"/>
  <c r="BB69" i="265"/>
  <c r="BC121" i="281"/>
  <c r="H32" i="269"/>
  <c r="K32" i="269" s="1"/>
  <c r="H45" i="280"/>
  <c r="H26" i="280"/>
  <c r="BC112" i="281" l="1"/>
  <c r="BC113" i="281" s="1"/>
  <c r="BA64" i="265"/>
  <c r="BB60" i="281"/>
  <c r="AS74" i="265"/>
  <c r="AS75" i="265" s="1"/>
  <c r="AS81" i="265" s="1"/>
  <c r="AT25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36" i="280"/>
  <c r="AS52" i="265"/>
  <c r="AS24" i="265"/>
  <c r="AS25" i="265" l="1"/>
  <c r="AT49" i="280"/>
  <c r="AT51" i="280" s="1"/>
  <c r="AT55" i="280" s="1"/>
  <c r="AS53" i="265"/>
  <c r="AS82" i="265"/>
  <c r="AS83" i="265"/>
  <c r="BA50" i="280"/>
  <c r="BA37" i="280"/>
  <c r="AT44" i="280"/>
  <c r="AT46" i="280" s="1"/>
  <c r="AT54" i="280" s="1"/>
  <c r="AT56" i="280" s="1"/>
  <c r="BB52" i="281"/>
  <c r="BB53" i="281" s="1"/>
  <c r="BC123" i="281"/>
  <c r="BC124" i="281" s="1"/>
  <c r="BC114" i="281"/>
  <c r="BC31" i="265" s="1"/>
  <c r="BB30" i="265" l="1"/>
  <c r="BB62" i="281"/>
  <c r="BB63" i="281" s="1"/>
  <c r="BC69" i="265"/>
  <c r="BD121" i="281"/>
  <c r="AT14" i="286"/>
  <c r="AT16" i="286" s="1"/>
  <c r="AT18" i="286" s="1"/>
  <c r="AT57" i="280"/>
  <c r="AT38" i="280"/>
  <c r="AT39" i="280" s="1"/>
  <c r="AT27" i="280"/>
  <c r="AT28" i="280" s="1"/>
  <c r="AT63" i="265" l="1"/>
  <c r="AT65" i="265" s="1"/>
  <c r="AT67" i="265" s="1"/>
  <c r="AT80" i="265" s="1"/>
  <c r="AU36" i="280"/>
  <c r="AT74" i="265"/>
  <c r="AT75" i="265" s="1"/>
  <c r="AT81" i="265" s="1"/>
  <c r="AU25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D114" i="281" l="1"/>
  <c r="BD31" i="265" s="1"/>
  <c r="BD123" i="281"/>
  <c r="BD124" i="281" s="1"/>
  <c r="BB50" i="280"/>
  <c r="BB37" i="280"/>
  <c r="BC52" i="281"/>
  <c r="BC53" i="281" s="1"/>
  <c r="AT53" i="265"/>
  <c r="AU44" i="280"/>
  <c r="AU46" i="280" s="1"/>
  <c r="AU54" i="280" s="1"/>
  <c r="AU49" i="280"/>
  <c r="AU51" i="280" s="1"/>
  <c r="AU55" i="280" s="1"/>
  <c r="AT25" i="265"/>
  <c r="AT83" i="265"/>
  <c r="AT82" i="265"/>
  <c r="AU56" i="280" l="1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37" i="265" s="1"/>
  <c r="BC42" i="265" s="1"/>
  <c r="BC47" i="265" s="1"/>
  <c r="BC50" i="265" s="1"/>
  <c r="AU57" i="280"/>
  <c r="AU14" i="286"/>
  <c r="AU16" i="286" s="1"/>
  <c r="AU18" i="286" s="1"/>
  <c r="AU38" i="280"/>
  <c r="AU39" i="280" s="1"/>
  <c r="AU27" i="280"/>
  <c r="AU28" i="280" s="1"/>
  <c r="BD52" i="281" l="1"/>
  <c r="BD53" i="281" s="1"/>
  <c r="AU74" i="265"/>
  <c r="AU75" i="265" s="1"/>
  <c r="AU81" i="265" s="1"/>
  <c r="AV25" i="280"/>
  <c r="AU63" i="265"/>
  <c r="AU65" i="265" s="1"/>
  <c r="AU67" i="265" s="1"/>
  <c r="AU80" i="265" s="1"/>
  <c r="AV36" i="280"/>
  <c r="AU52" i="265"/>
  <c r="AU24" i="265"/>
  <c r="BC37" i="280"/>
  <c r="BC50" i="280"/>
  <c r="BE123" i="281"/>
  <c r="BE124" i="281" s="1"/>
  <c r="BE114" i="281"/>
  <c r="BE31" i="265" s="1"/>
  <c r="AU53" i="265" l="1"/>
  <c r="AU82" i="265"/>
  <c r="AU83" i="265"/>
  <c r="BD30" i="265"/>
  <c r="BD62" i="281"/>
  <c r="BD63" i="281" s="1"/>
  <c r="BE69" i="265"/>
  <c r="BF121" i="281"/>
  <c r="AU25" i="265"/>
  <c r="AV49" i="280"/>
  <c r="AV51" i="280" s="1"/>
  <c r="AV55" i="280" s="1"/>
  <c r="AV44" i="280"/>
  <c r="AV46" i="280" s="1"/>
  <c r="AV54" i="280" s="1"/>
  <c r="AV56" i="280" l="1"/>
  <c r="AV57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AV38" i="280" l="1"/>
  <c r="AV39" i="280" s="1"/>
  <c r="AV63" i="265" s="1"/>
  <c r="AV27" i="280"/>
  <c r="AV28" i="280" s="1"/>
  <c r="AV74" i="265" s="1"/>
  <c r="BD50" i="280"/>
  <c r="BD37" i="280"/>
  <c r="AW36" i="280"/>
  <c r="AV24" i="265"/>
  <c r="AV52" i="265"/>
  <c r="BE52" i="281"/>
  <c r="BE53" i="281" s="1"/>
  <c r="BF114" i="281"/>
  <c r="BF31" i="265" s="1"/>
  <c r="BF123" i="281"/>
  <c r="BF124" i="281" s="1"/>
  <c r="AW25" i="280" l="1"/>
  <c r="BF69" i="265"/>
  <c r="BG121" i="281"/>
  <c r="AV53" i="265"/>
  <c r="S51" i="277"/>
  <c r="S52" i="277" s="1"/>
  <c r="AW49" i="280"/>
  <c r="AW51" i="280" s="1"/>
  <c r="AW55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AW56" i="280" l="1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AW38" i="280" l="1"/>
  <c r="AW39" i="280" s="1"/>
  <c r="AX36" i="280" s="1"/>
  <c r="AW57" i="280"/>
  <c r="AW27" i="280"/>
  <c r="AW28" i="280" s="1"/>
  <c r="AW74" i="265" s="1"/>
  <c r="AW75" i="265" s="1"/>
  <c r="AW81" i="265" s="1"/>
  <c r="BF52" i="281"/>
  <c r="BF53" i="281" s="1"/>
  <c r="BE50" i="280"/>
  <c r="BE37" i="280"/>
  <c r="AW52" i="265"/>
  <c r="AW24" i="265"/>
  <c r="BG123" i="281"/>
  <c r="BG124" i="281" s="1"/>
  <c r="BG114" i="281"/>
  <c r="BG31" i="265" s="1"/>
  <c r="AW63" i="265" l="1"/>
  <c r="AW65" i="265" s="1"/>
  <c r="AW67" i="265" s="1"/>
  <c r="AW80" i="265" s="1"/>
  <c r="AW82" i="265" s="1"/>
  <c r="AX25" i="280"/>
  <c r="BG69" i="265"/>
  <c r="BH121" i="281"/>
  <c r="AW53" i="265"/>
  <c r="AX44" i="280"/>
  <c r="AX46" i="280" s="1"/>
  <c r="AX54" i="280" s="1"/>
  <c r="AW25" i="265"/>
  <c r="AX49" i="280"/>
  <c r="AX51" i="280" s="1"/>
  <c r="AX55" i="280" s="1"/>
  <c r="BF30" i="265"/>
  <c r="BF62" i="281"/>
  <c r="BF63" i="281" s="1"/>
  <c r="AW83" i="265" l="1"/>
  <c r="BH112" i="281"/>
  <c r="BH113" i="281" s="1"/>
  <c r="BF64" i="265"/>
  <c r="BG60" i="281"/>
  <c r="BF33" i="265"/>
  <c r="BF37" i="265" s="1"/>
  <c r="BF42" i="265" s="1"/>
  <c r="BF47" i="265" s="1"/>
  <c r="BF50" i="265" s="1"/>
  <c r="AX56" i="280"/>
  <c r="BG52" i="281" l="1"/>
  <c r="BG53" i="281" s="1"/>
  <c r="AX14" i="286"/>
  <c r="AX16" i="286" s="1"/>
  <c r="AX18" i="286" s="1"/>
  <c r="AX57" i="280"/>
  <c r="AX38" i="280"/>
  <c r="AX39" i="280" s="1"/>
  <c r="AX27" i="280"/>
  <c r="AX28" i="280" s="1"/>
  <c r="BF50" i="280"/>
  <c r="BF37" i="280"/>
  <c r="BH114" i="281"/>
  <c r="BH31" i="265" s="1"/>
  <c r="BH123" i="281"/>
  <c r="BH124" i="281" s="1"/>
  <c r="BH69" i="265" l="1"/>
  <c r="BI121" i="281"/>
  <c r="AX74" i="265"/>
  <c r="AX75" i="265" s="1"/>
  <c r="AX81" i="265" s="1"/>
  <c r="AY25" i="280"/>
  <c r="AX24" i="265"/>
  <c r="AX52" i="265"/>
  <c r="AX63" i="265"/>
  <c r="AX65" i="265" s="1"/>
  <c r="AX67" i="265" s="1"/>
  <c r="AX80" i="265" s="1"/>
  <c r="AY36" i="280"/>
  <c r="BG30" i="265"/>
  <c r="BG62" i="281"/>
  <c r="BG63" i="281" s="1"/>
  <c r="BG33" i="265" l="1"/>
  <c r="BG37" i="265" s="1"/>
  <c r="BG42" i="265" s="1"/>
  <c r="BG47" i="265" s="1"/>
  <c r="BG50" i="265" s="1"/>
  <c r="BG64" i="265"/>
  <c r="BH60" i="281"/>
  <c r="AY49" i="280"/>
  <c r="AY51" i="280" s="1"/>
  <c r="AY55" i="280" s="1"/>
  <c r="AX53" i="265"/>
  <c r="AY44" i="280"/>
  <c r="AY46" i="280" s="1"/>
  <c r="AY54" i="280" s="1"/>
  <c r="AY56" i="280" s="1"/>
  <c r="BI112" i="281"/>
  <c r="BI113" i="281" s="1"/>
  <c r="AX83" i="265"/>
  <c r="AX82" i="265"/>
  <c r="AX25" i="265"/>
  <c r="W69" i="277"/>
  <c r="BH52" i="281" l="1"/>
  <c r="BH53" i="281" s="1"/>
  <c r="BI123" i="281"/>
  <c r="BI124" i="281" s="1"/>
  <c r="BI114" i="281"/>
  <c r="BI31" i="265" s="1"/>
  <c r="AY57" i="280"/>
  <c r="AY14" i="286"/>
  <c r="AY16" i="286" s="1"/>
  <c r="AY18" i="286" s="1"/>
  <c r="AY38" i="280"/>
  <c r="AY39" i="280" s="1"/>
  <c r="AY27" i="280"/>
  <c r="AY28" i="280" s="1"/>
  <c r="BG50" i="280"/>
  <c r="BG37" i="280"/>
  <c r="AY74" i="265" l="1"/>
  <c r="AY75" i="265" s="1"/>
  <c r="AY81" i="265" s="1"/>
  <c r="AZ25" i="280"/>
  <c r="AY63" i="265"/>
  <c r="AY65" i="265" s="1"/>
  <c r="AY67" i="265" s="1"/>
  <c r="AY80" i="265" s="1"/>
  <c r="AZ36" i="280"/>
  <c r="AY52" i="265"/>
  <c r="AY24" i="265"/>
  <c r="BI69" i="265"/>
  <c r="BJ121" i="281"/>
  <c r="BH30" i="265"/>
  <c r="BH62" i="281"/>
  <c r="BH63" i="281" s="1"/>
  <c r="AY82" i="265" l="1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49" i="280"/>
  <c r="AZ51" i="280" s="1"/>
  <c r="AZ55" i="280" s="1"/>
  <c r="AZ44" i="280"/>
  <c r="AZ46" i="280" s="1"/>
  <c r="AZ54" i="280" s="1"/>
  <c r="BH64" i="265"/>
  <c r="W64" i="277" s="1"/>
  <c r="BI60" i="281"/>
  <c r="AY53" i="265"/>
  <c r="AZ56" i="280" l="1"/>
  <c r="AZ57" i="280" s="1"/>
  <c r="BI52" i="281"/>
  <c r="BI53" i="281" s="1"/>
  <c r="AZ14" i="286"/>
  <c r="AZ16" i="286" s="1"/>
  <c r="AZ18" i="286" s="1"/>
  <c r="AZ27" i="280"/>
  <c r="AZ28" i="280" s="1"/>
  <c r="BJ114" i="281"/>
  <c r="BJ31" i="265" s="1"/>
  <c r="BJ123" i="281"/>
  <c r="BJ124" i="281" s="1"/>
  <c r="BH50" i="280"/>
  <c r="BH37" i="280"/>
  <c r="AZ38" i="280" l="1"/>
  <c r="AZ39" i="280" s="1"/>
  <c r="AZ63" i="265" s="1"/>
  <c r="AZ74" i="265"/>
  <c r="BA25" i="280"/>
  <c r="BJ69" i="265"/>
  <c r="BK121" i="281"/>
  <c r="BA36" i="280"/>
  <c r="AZ24" i="265"/>
  <c r="AZ52" i="265"/>
  <c r="BI30" i="265"/>
  <c r="BI62" i="281"/>
  <c r="BI63" i="281" s="1"/>
  <c r="BI64" i="265" l="1"/>
  <c r="BJ60" i="281"/>
  <c r="AZ53" i="265"/>
  <c r="T51" i="277"/>
  <c r="T52" i="277" s="1"/>
  <c r="BA49" i="280"/>
  <c r="BA51" i="280" s="1"/>
  <c r="BA55" i="280" s="1"/>
  <c r="BK112" i="281"/>
  <c r="BK113" i="281" s="1"/>
  <c r="BA44" i="280"/>
  <c r="BA46" i="280" s="1"/>
  <c r="BA54" i="280" s="1"/>
  <c r="BA56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BJ52" i="281" l="1"/>
  <c r="BJ53" i="281" s="1"/>
  <c r="U83" i="277"/>
  <c r="U82" i="277"/>
  <c r="AZ83" i="265"/>
  <c r="AZ82" i="265"/>
  <c r="BI50" i="280"/>
  <c r="BI37" i="280"/>
  <c r="BA57" i="280"/>
  <c r="BA14" i="286"/>
  <c r="BA16" i="286" s="1"/>
  <c r="BA18" i="286" s="1"/>
  <c r="BA38" i="280"/>
  <c r="BA39" i="280" s="1"/>
  <c r="BA27" i="280"/>
  <c r="BA28" i="280" s="1"/>
  <c r="BK123" i="281"/>
  <c r="BK124" i="281" s="1"/>
  <c r="BK114" i="281"/>
  <c r="BK31" i="265" s="1"/>
  <c r="BK69" i="265" l="1"/>
  <c r="BL121" i="281"/>
  <c r="BA63" i="265"/>
  <c r="BA65" i="265" s="1"/>
  <c r="BA67" i="265" s="1"/>
  <c r="BA80" i="265" s="1"/>
  <c r="BB36" i="280"/>
  <c r="BA52" i="265"/>
  <c r="BA24" i="265"/>
  <c r="BA74" i="265"/>
  <c r="BA75" i="265" s="1"/>
  <c r="BA81" i="265" s="1"/>
  <c r="BB25" i="280"/>
  <c r="BJ30" i="265"/>
  <c r="BJ62" i="281"/>
  <c r="BJ63" i="281" s="1"/>
  <c r="BJ64" i="265" l="1"/>
  <c r="BK60" i="281"/>
  <c r="BB44" i="280"/>
  <c r="BB46" i="280" s="1"/>
  <c r="BB54" i="280" s="1"/>
  <c r="BA25" i="265"/>
  <c r="BB49" i="280"/>
  <c r="BB51" i="280" s="1"/>
  <c r="BB55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BK52" i="281" l="1"/>
  <c r="BK53" i="281" s="1"/>
  <c r="BJ50" i="280"/>
  <c r="BJ37" i="280"/>
  <c r="BL114" i="281"/>
  <c r="BL31" i="265" s="1"/>
  <c r="BL123" i="281"/>
  <c r="BL124" i="281" s="1"/>
  <c r="BB56" i="280"/>
  <c r="BB14" i="286" l="1"/>
  <c r="BB16" i="286" s="1"/>
  <c r="BB18" i="286" s="1"/>
  <c r="BB57" i="280"/>
  <c r="BB38" i="280"/>
  <c r="BB39" i="280" s="1"/>
  <c r="BB27" i="280"/>
  <c r="BB28" i="280" s="1"/>
  <c r="BL69" i="265"/>
  <c r="BM121" i="281"/>
  <c r="BK30" i="265"/>
  <c r="BK62" i="281"/>
  <c r="BK63" i="281" s="1"/>
  <c r="BK33" i="265" l="1"/>
  <c r="BK37" i="265" s="1"/>
  <c r="BK42" i="265" s="1"/>
  <c r="BK47" i="265" s="1"/>
  <c r="BK50" i="265" s="1"/>
  <c r="BB63" i="265"/>
  <c r="BB65" i="265" s="1"/>
  <c r="BB67" i="265" s="1"/>
  <c r="BB80" i="265" s="1"/>
  <c r="BC36" i="280"/>
  <c r="BK64" i="265"/>
  <c r="BL60" i="281"/>
  <c r="BM112" i="281"/>
  <c r="BM113" i="281" s="1"/>
  <c r="BB74" i="265"/>
  <c r="BB75" i="265" s="1"/>
  <c r="BB81" i="265" s="1"/>
  <c r="BC25" i="280"/>
  <c r="BB24" i="265"/>
  <c r="BB52" i="265"/>
  <c r="X69" i="277"/>
  <c r="BL52" i="281" l="1"/>
  <c r="BL53" i="281" s="1"/>
  <c r="BC49" i="280"/>
  <c r="BC51" i="280" s="1"/>
  <c r="BC55" i="280" s="1"/>
  <c r="BB53" i="265"/>
  <c r="BC44" i="280"/>
  <c r="BC46" i="280" s="1"/>
  <c r="BC54" i="280" s="1"/>
  <c r="BC56" i="280" s="1"/>
  <c r="BB25" i="265"/>
  <c r="BM123" i="281"/>
  <c r="BM124" i="281" s="1"/>
  <c r="BM114" i="281"/>
  <c r="BM31" i="265" s="1"/>
  <c r="BB83" i="265"/>
  <c r="BB82" i="265"/>
  <c r="BK37" i="280"/>
  <c r="BK50" i="280"/>
  <c r="BM69" i="265" l="1"/>
  <c r="BN121" i="281"/>
  <c r="BC57" i="280"/>
  <c r="BC14" i="286"/>
  <c r="BC16" i="286" s="1"/>
  <c r="BC18" i="286" s="1"/>
  <c r="BC38" i="280"/>
  <c r="BC39" i="280" s="1"/>
  <c r="BC27" i="280"/>
  <c r="BC28" i="280" s="1"/>
  <c r="BL30" i="265"/>
  <c r="BL62" i="281"/>
  <c r="BL63" i="281" s="1"/>
  <c r="BL64" i="265" l="1"/>
  <c r="X64" i="277" s="1"/>
  <c r="BM60" i="281"/>
  <c r="BC74" i="265"/>
  <c r="BC75" i="265" s="1"/>
  <c r="BC81" i="265" s="1"/>
  <c r="BD25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36" i="280"/>
  <c r="BC52" i="265"/>
  <c r="BC24" i="265"/>
  <c r="BC53" i="265" l="1"/>
  <c r="BL50" i="280"/>
  <c r="BL37" i="280"/>
  <c r="BC25" i="265"/>
  <c r="BD49" i="280"/>
  <c r="BD51" i="280" s="1"/>
  <c r="BD55" i="280" s="1"/>
  <c r="BD44" i="280"/>
  <c r="BD46" i="280" s="1"/>
  <c r="BD54" i="280" s="1"/>
  <c r="BM52" i="281"/>
  <c r="BM53" i="281" s="1"/>
  <c r="BC82" i="265"/>
  <c r="BC83" i="265"/>
  <c r="BN114" i="281"/>
  <c r="BN31" i="265" s="1"/>
  <c r="BN123" i="281"/>
  <c r="BN124" i="281" s="1"/>
  <c r="BD56" i="280" l="1"/>
  <c r="BD14" i="286" s="1"/>
  <c r="BD16" i="286" s="1"/>
  <c r="BD18" i="286" s="1"/>
  <c r="BN69" i="265"/>
  <c r="BO121" i="281"/>
  <c r="BM30" i="265"/>
  <c r="BM62" i="281"/>
  <c r="BM63" i="281" s="1"/>
  <c r="BD38" i="280" l="1"/>
  <c r="BD39" i="280" s="1"/>
  <c r="BD63" i="265" s="1"/>
  <c r="BD57" i="280"/>
  <c r="BD24" i="265" s="1"/>
  <c r="BD27" i="280"/>
  <c r="BD28" i="280" s="1"/>
  <c r="BD74" i="265" s="1"/>
  <c r="BE36" i="280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BE25" i="280" l="1"/>
  <c r="BE44" i="280" s="1"/>
  <c r="BE46" i="280" s="1"/>
  <c r="BE54" i="280" s="1"/>
  <c r="BN52" i="281"/>
  <c r="BN53" i="281" s="1"/>
  <c r="BD53" i="265"/>
  <c r="U51" i="277"/>
  <c r="BE49" i="280"/>
  <c r="BE51" i="280" s="1"/>
  <c r="BE55" i="280" s="1"/>
  <c r="BO123" i="281"/>
  <c r="BO124" i="281" s="1"/>
  <c r="BO114" i="281"/>
  <c r="BO31" i="265" s="1"/>
  <c r="BM50" i="280"/>
  <c r="BM37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BD83" i="265" l="1"/>
  <c r="BD82" i="265"/>
  <c r="V83" i="277"/>
  <c r="V82" i="277"/>
  <c r="BO69" i="265"/>
  <c r="BP121" i="281"/>
  <c r="BN30" i="265"/>
  <c r="BN62" i="281"/>
  <c r="BN63" i="281" s="1"/>
  <c r="BE56" i="280"/>
  <c r="BN64" i="265" l="1"/>
  <c r="BO60" i="281"/>
  <c r="BP112" i="281"/>
  <c r="BP113" i="281" s="1"/>
  <c r="BE57" i="280"/>
  <c r="BE14" i="286"/>
  <c r="BE16" i="286" s="1"/>
  <c r="BE18" i="286" s="1"/>
  <c r="BE38" i="280"/>
  <c r="BE39" i="280" s="1"/>
  <c r="BE27" i="280"/>
  <c r="BE28" i="280" s="1"/>
  <c r="BN33" i="265"/>
  <c r="BN37" i="265" s="1"/>
  <c r="BN42" i="265" s="1"/>
  <c r="BN47" i="265" s="1"/>
  <c r="BN50" i="265" s="1"/>
  <c r="BE74" i="265" l="1"/>
  <c r="BE75" i="265" s="1"/>
  <c r="BE81" i="265" s="1"/>
  <c r="BF25" i="280"/>
  <c r="BO52" i="281"/>
  <c r="BO53" i="281" s="1"/>
  <c r="BN50" i="280"/>
  <c r="BN37" i="280"/>
  <c r="BE63" i="265"/>
  <c r="BE65" i="265" s="1"/>
  <c r="BE67" i="265" s="1"/>
  <c r="BE80" i="265" s="1"/>
  <c r="BF36" i="280"/>
  <c r="BE52" i="265"/>
  <c r="BE24" i="265"/>
  <c r="BP114" i="281"/>
  <c r="BP31" i="265" s="1"/>
  <c r="BP123" i="281"/>
  <c r="BP124" i="281" s="1"/>
  <c r="BE25" i="265" l="1"/>
  <c r="BE53" i="265"/>
  <c r="BE82" i="265"/>
  <c r="BE83" i="265"/>
  <c r="BF44" i="280"/>
  <c r="BF46" i="280" s="1"/>
  <c r="BF54" i="280" s="1"/>
  <c r="BP69" i="265"/>
  <c r="BQ121" i="281"/>
  <c r="BF49" i="280"/>
  <c r="BF51" i="280" s="1"/>
  <c r="BF55" i="280" s="1"/>
  <c r="BO30" i="265"/>
  <c r="BO62" i="281"/>
  <c r="BO63" i="281" s="1"/>
  <c r="BO33" i="265" l="1"/>
  <c r="BO37" i="265" s="1"/>
  <c r="BO42" i="265" s="1"/>
  <c r="BO47" i="265" s="1"/>
  <c r="BO50" i="265" s="1"/>
  <c r="Y69" i="277"/>
  <c r="BO64" i="265"/>
  <c r="BP60" i="281"/>
  <c r="BQ112" i="281"/>
  <c r="BQ113" i="281" s="1"/>
  <c r="BF56" i="280"/>
  <c r="BP52" i="281" l="1"/>
  <c r="BP53" i="281" s="1"/>
  <c r="BF14" i="286"/>
  <c r="BF16" i="286" s="1"/>
  <c r="BF18" i="286" s="1"/>
  <c r="BF57" i="280"/>
  <c r="BF38" i="280"/>
  <c r="BF39" i="280" s="1"/>
  <c r="BF27" i="280"/>
  <c r="BF28" i="280" s="1"/>
  <c r="BQ123" i="281"/>
  <c r="BQ124" i="281" s="1"/>
  <c r="BQ114" i="281"/>
  <c r="BQ31" i="265" s="1"/>
  <c r="BO50" i="280"/>
  <c r="BO37" i="280"/>
  <c r="BQ69" i="265" l="1"/>
  <c r="BR121" i="281"/>
  <c r="BF63" i="265"/>
  <c r="BF65" i="265" s="1"/>
  <c r="BF67" i="265" s="1"/>
  <c r="BF80" i="265" s="1"/>
  <c r="BG36" i="280"/>
  <c r="BP30" i="265"/>
  <c r="BP62" i="281"/>
  <c r="BP63" i="281" s="1"/>
  <c r="BF74" i="265"/>
  <c r="BF75" i="265" s="1"/>
  <c r="BF81" i="265" s="1"/>
  <c r="BG25" i="280"/>
  <c r="BF24" i="265"/>
  <c r="BF52" i="265"/>
  <c r="BF53" i="265" l="1"/>
  <c r="BG44" i="280"/>
  <c r="BG46" i="280" s="1"/>
  <c r="BG54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49" i="280"/>
  <c r="BG51" i="280" s="1"/>
  <c r="BG55" i="280" s="1"/>
  <c r="BR112" i="281"/>
  <c r="BR113" i="281" s="1"/>
  <c r="BF83" i="265"/>
  <c r="BF82" i="265"/>
  <c r="BQ52" i="281" l="1"/>
  <c r="BQ53" i="281" s="1"/>
  <c r="BR114" i="281"/>
  <c r="BR31" i="265" s="1"/>
  <c r="BR123" i="281"/>
  <c r="BR124" i="281" s="1"/>
  <c r="BP50" i="280"/>
  <c r="BP37" i="280"/>
  <c r="BG56" i="280"/>
  <c r="BQ30" i="265" l="1"/>
  <c r="BQ62" i="281"/>
  <c r="BQ63" i="281" s="1"/>
  <c r="BG57" i="280"/>
  <c r="BG14" i="286"/>
  <c r="BG16" i="286" s="1"/>
  <c r="BG18" i="286" s="1"/>
  <c r="BG38" i="280"/>
  <c r="BG39" i="280" s="1"/>
  <c r="BG27" i="280"/>
  <c r="BG28" i="280" s="1"/>
  <c r="BR69" i="265"/>
  <c r="BS121" i="281"/>
  <c r="BS112" i="281" l="1"/>
  <c r="BS113" i="281" s="1"/>
  <c r="BG74" i="265"/>
  <c r="BG75" i="265" s="1"/>
  <c r="BG81" i="265" s="1"/>
  <c r="BH25" i="280"/>
  <c r="BQ64" i="265"/>
  <c r="BR60" i="281"/>
  <c r="BG63" i="265"/>
  <c r="BG65" i="265" s="1"/>
  <c r="BG67" i="265" s="1"/>
  <c r="BG80" i="265" s="1"/>
  <c r="BH36" i="280"/>
  <c r="BG52" i="265"/>
  <c r="BG24" i="265"/>
  <c r="BQ33" i="265"/>
  <c r="BQ37" i="265" s="1"/>
  <c r="BQ42" i="265" s="1"/>
  <c r="BQ47" i="265" s="1"/>
  <c r="BQ50" i="265" s="1"/>
  <c r="BQ50" i="280" l="1"/>
  <c r="BQ37" i="280"/>
  <c r="BG53" i="265"/>
  <c r="BG82" i="265"/>
  <c r="BG83" i="265"/>
  <c r="BR52" i="281"/>
  <c r="BR53" i="281" s="1"/>
  <c r="BH44" i="280"/>
  <c r="BH46" i="280" s="1"/>
  <c r="BH54" i="280" s="1"/>
  <c r="BG25" i="265"/>
  <c r="BH49" i="280"/>
  <c r="BH51" i="280" s="1"/>
  <c r="BH55" i="280" s="1"/>
  <c r="BS123" i="281"/>
  <c r="BS124" i="281" s="1"/>
  <c r="BS114" i="281"/>
  <c r="BS31" i="265" s="1"/>
  <c r="BS69" i="265" l="1"/>
  <c r="BT121" i="281"/>
  <c r="BH56" i="280"/>
  <c r="BR30" i="265"/>
  <c r="BR62" i="281"/>
  <c r="BR63" i="281" s="1"/>
  <c r="BH14" i="286" l="1"/>
  <c r="BH16" i="286" s="1"/>
  <c r="BH18" i="286" s="1"/>
  <c r="BH57" i="280"/>
  <c r="BH27" i="280"/>
  <c r="BH28" i="280" s="1"/>
  <c r="BH38" i="280"/>
  <c r="BH39" i="280" s="1"/>
  <c r="BR33" i="265"/>
  <c r="BR37" i="265" s="1"/>
  <c r="BR42" i="265" s="1"/>
  <c r="BR47" i="265" s="1"/>
  <c r="BR50" i="265" s="1"/>
  <c r="BT112" i="281"/>
  <c r="BT113" i="281" s="1"/>
  <c r="BR64" i="265"/>
  <c r="BS60" i="281"/>
  <c r="BH63" i="265" l="1"/>
  <c r="BI36" i="280"/>
  <c r="BH24" i="265"/>
  <c r="BH52" i="265"/>
  <c r="BS52" i="281"/>
  <c r="BS53" i="281" s="1"/>
  <c r="BT114" i="281"/>
  <c r="BT31" i="265" s="1"/>
  <c r="BT123" i="281"/>
  <c r="BT124" i="281" s="1"/>
  <c r="BR50" i="280"/>
  <c r="BR37" i="280"/>
  <c r="BH74" i="265"/>
  <c r="BI25" i="280"/>
  <c r="BI44" i="280" l="1"/>
  <c r="BI46" i="280" s="1"/>
  <c r="BI54" i="280" s="1"/>
  <c r="W74" i="277"/>
  <c r="W75" i="277" s="1"/>
  <c r="W81" i="277" s="1"/>
  <c r="BH75" i="265"/>
  <c r="BH81" i="265" s="1"/>
  <c r="BT69" i="265"/>
  <c r="BU121" i="281"/>
  <c r="BH53" i="265"/>
  <c r="V51" i="277"/>
  <c r="BI49" i="280"/>
  <c r="BI51" i="280" s="1"/>
  <c r="BI55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BS64" i="265" l="1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56" i="280"/>
  <c r="BT52" i="281" l="1"/>
  <c r="BT53" i="281" s="1"/>
  <c r="BI57" i="280"/>
  <c r="BI14" i="286"/>
  <c r="BI16" i="286" s="1"/>
  <c r="BI18" i="286" s="1"/>
  <c r="BI38" i="280"/>
  <c r="BI39" i="280" s="1"/>
  <c r="BI27" i="280"/>
  <c r="BI28" i="280" s="1"/>
  <c r="BS37" i="280"/>
  <c r="BS50" i="280"/>
  <c r="BU123" i="281"/>
  <c r="BU124" i="281" s="1"/>
  <c r="BU114" i="281"/>
  <c r="BU31" i="265" s="1"/>
  <c r="BI63" i="265" l="1"/>
  <c r="BI65" i="265" s="1"/>
  <c r="BI67" i="265" s="1"/>
  <c r="BI80" i="265" s="1"/>
  <c r="BJ36" i="280"/>
  <c r="BI52" i="265"/>
  <c r="BI24" i="265"/>
  <c r="BU69" i="265"/>
  <c r="BV121" i="281"/>
  <c r="BI74" i="265"/>
  <c r="BI75" i="265" s="1"/>
  <c r="BI81" i="265" s="1"/>
  <c r="BJ25" i="280"/>
  <c r="BT30" i="265"/>
  <c r="BT62" i="281"/>
  <c r="BT63" i="281" s="1"/>
  <c r="BT64" i="265" l="1"/>
  <c r="Z64" i="277" s="1"/>
  <c r="BU60" i="281"/>
  <c r="BJ44" i="280"/>
  <c r="BJ46" i="280" s="1"/>
  <c r="BJ54" i="280" s="1"/>
  <c r="BV112" i="281"/>
  <c r="BV113" i="281" s="1"/>
  <c r="BI25" i="265"/>
  <c r="BJ49" i="280"/>
  <c r="BJ51" i="280" s="1"/>
  <c r="BJ55" i="280" s="1"/>
  <c r="BT33" i="265"/>
  <c r="BT37" i="265" s="1"/>
  <c r="BT42" i="265" s="1"/>
  <c r="BT47" i="265" s="1"/>
  <c r="BT50" i="265" s="1"/>
  <c r="Y30" i="277"/>
  <c r="BI53" i="265"/>
  <c r="BI82" i="265"/>
  <c r="BI83" i="265"/>
  <c r="BU52" i="281" l="1"/>
  <c r="BU53" i="281" s="1"/>
  <c r="BT50" i="280"/>
  <c r="BT37" i="280"/>
  <c r="BV114" i="281"/>
  <c r="BV31" i="265" s="1"/>
  <c r="BV123" i="281"/>
  <c r="BV124" i="281" s="1"/>
  <c r="BJ56" i="280"/>
  <c r="BV69" i="265" l="1"/>
  <c r="BW121" i="281"/>
  <c r="BU30" i="265"/>
  <c r="BU62" i="281"/>
  <c r="BU63" i="281" s="1"/>
  <c r="BJ14" i="286"/>
  <c r="BJ16" i="286" s="1"/>
  <c r="BJ18" i="286" s="1"/>
  <c r="BJ57" i="280"/>
  <c r="BJ38" i="280"/>
  <c r="BJ39" i="280" s="1"/>
  <c r="BJ27" i="280"/>
  <c r="BJ28" i="280" s="1"/>
  <c r="BJ74" i="265" l="1"/>
  <c r="BJ75" i="265" s="1"/>
  <c r="BJ81" i="265" s="1"/>
  <c r="BK25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36" i="280"/>
  <c r="BU33" i="265"/>
  <c r="BU37" i="265" s="1"/>
  <c r="BU42" i="265" s="1"/>
  <c r="BU47" i="265" s="1"/>
  <c r="BU50" i="265" s="1"/>
  <c r="BK49" i="280" l="1"/>
  <c r="BK51" i="280" s="1"/>
  <c r="BK55" i="280" s="1"/>
  <c r="BV52" i="281"/>
  <c r="BV53" i="281" s="1"/>
  <c r="BJ53" i="265"/>
  <c r="BK44" i="280"/>
  <c r="BK46" i="280" s="1"/>
  <c r="BK54" i="280" s="1"/>
  <c r="BU50" i="280"/>
  <c r="BU37" i="280"/>
  <c r="BJ83" i="265"/>
  <c r="BJ82" i="265"/>
  <c r="BW123" i="281"/>
  <c r="BW124" i="281" s="1"/>
  <c r="BW114" i="281"/>
  <c r="BW31" i="265" s="1"/>
  <c r="BJ25" i="265"/>
  <c r="BK56" i="280" l="1"/>
  <c r="BK57" i="280" s="1"/>
  <c r="BW69" i="265"/>
  <c r="BX121" i="281"/>
  <c r="BV30" i="265"/>
  <c r="BV62" i="281"/>
  <c r="BV63" i="281" s="1"/>
  <c r="BK27" i="280" l="1"/>
  <c r="BK28" i="280" s="1"/>
  <c r="BK14" i="286"/>
  <c r="BK16" i="286" s="1"/>
  <c r="BK18" i="286" s="1"/>
  <c r="BK38" i="280"/>
  <c r="BK39" i="280" s="1"/>
  <c r="BK63" i="265" s="1"/>
  <c r="BK65" i="265" s="1"/>
  <c r="BK67" i="265" s="1"/>
  <c r="BK80" i="265" s="1"/>
  <c r="BV64" i="265"/>
  <c r="BW60" i="281"/>
  <c r="BK74" i="265"/>
  <c r="BK75" i="265" s="1"/>
  <c r="BK81" i="265" s="1"/>
  <c r="BL25" i="280"/>
  <c r="BX112" i="281"/>
  <c r="BX113" i="281" s="1"/>
  <c r="BV33" i="265"/>
  <c r="BV37" i="265" s="1"/>
  <c r="BV42" i="265" s="1"/>
  <c r="BV47" i="265" s="1"/>
  <c r="BV50" i="265" s="1"/>
  <c r="BL36" i="280"/>
  <c r="BK52" i="265"/>
  <c r="BK24" i="265"/>
  <c r="BL44" i="280" l="1"/>
  <c r="BL46" i="280" s="1"/>
  <c r="BL54" i="280" s="1"/>
  <c r="BW52" i="281"/>
  <c r="BW53" i="281" s="1"/>
  <c r="BK25" i="265"/>
  <c r="BL49" i="280"/>
  <c r="BL51" i="280" s="1"/>
  <c r="BL55" i="280" s="1"/>
  <c r="BK53" i="265"/>
  <c r="BK82" i="265"/>
  <c r="BK83" i="265"/>
  <c r="BV50" i="280"/>
  <c r="BV37" i="280"/>
  <c r="BX114" i="281"/>
  <c r="BX31" i="265" s="1"/>
  <c r="BX123" i="281"/>
  <c r="BX124" i="281" s="1"/>
  <c r="BX69" i="265" l="1"/>
  <c r="BY121" i="281"/>
  <c r="BW30" i="265"/>
  <c r="BW62" i="281"/>
  <c r="BW63" i="281" s="1"/>
  <c r="BL56" i="280"/>
  <c r="BW64" i="265" l="1"/>
  <c r="BX60" i="281"/>
  <c r="BY112" i="281"/>
  <c r="BY113" i="281" s="1"/>
  <c r="BL14" i="286"/>
  <c r="BL16" i="286" s="1"/>
  <c r="BL18" i="286" s="1"/>
  <c r="BL57" i="280"/>
  <c r="BL27" i="280"/>
  <c r="BL28" i="280" s="1"/>
  <c r="BL38" i="280"/>
  <c r="BL39" i="280" s="1"/>
  <c r="BW33" i="265"/>
  <c r="BW37" i="265" s="1"/>
  <c r="BW42" i="265" s="1"/>
  <c r="BW47" i="265" s="1"/>
  <c r="BW50" i="265" s="1"/>
  <c r="AA69" i="277"/>
  <c r="BL63" i="265" l="1"/>
  <c r="BM36" i="280"/>
  <c r="BL24" i="265"/>
  <c r="BL52" i="265"/>
  <c r="BX52" i="281"/>
  <c r="BX53" i="281" s="1"/>
  <c r="BW50" i="280"/>
  <c r="BW37" i="280"/>
  <c r="BL74" i="265"/>
  <c r="BM25" i="280"/>
  <c r="BY123" i="281"/>
  <c r="BY124" i="281" s="1"/>
  <c r="BY114" i="281"/>
  <c r="BY31" i="265" s="1"/>
  <c r="BM44" i="280" l="1"/>
  <c r="BM46" i="280" s="1"/>
  <c r="BM54" i="280" s="1"/>
  <c r="BL53" i="265"/>
  <c r="W51" i="277"/>
  <c r="BM49" i="280"/>
  <c r="BM51" i="280" s="1"/>
  <c r="BM55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X83" i="277" l="1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56" i="280"/>
  <c r="BM57" i="280" l="1"/>
  <c r="BM14" i="286"/>
  <c r="BM16" i="286" s="1"/>
  <c r="BM18" i="286" s="1"/>
  <c r="BM38" i="280"/>
  <c r="BM39" i="280" s="1"/>
  <c r="BM27" i="280"/>
  <c r="BM28" i="280" s="1"/>
  <c r="BY52" i="281"/>
  <c r="BY53" i="281" s="1"/>
  <c r="BX50" i="280"/>
  <c r="BX37" i="280"/>
  <c r="BZ114" i="281"/>
  <c r="BZ31" i="265" s="1"/>
  <c r="BZ123" i="281"/>
  <c r="BZ124" i="281" s="1"/>
  <c r="BZ69" i="265" l="1"/>
  <c r="CA121" i="281"/>
  <c r="BY30" i="265"/>
  <c r="BY62" i="281"/>
  <c r="BY63" i="281" s="1"/>
  <c r="BM74" i="265"/>
  <c r="BM75" i="265" s="1"/>
  <c r="BM81" i="265" s="1"/>
  <c r="BN25" i="280"/>
  <c r="BM63" i="265"/>
  <c r="BM65" i="265" s="1"/>
  <c r="BM67" i="265" s="1"/>
  <c r="BM80" i="265" s="1"/>
  <c r="BN36" i="280"/>
  <c r="BM52" i="265"/>
  <c r="BM24" i="265"/>
  <c r="BM25" i="265" l="1"/>
  <c r="BN49" i="280"/>
  <c r="BN51" i="280" s="1"/>
  <c r="BN55" i="280" s="1"/>
  <c r="BM53" i="265"/>
  <c r="BM82" i="265"/>
  <c r="BM83" i="265"/>
  <c r="BN44" i="280"/>
  <c r="BN46" i="280" s="1"/>
  <c r="BN54" i="280" s="1"/>
  <c r="BN56" i="280" s="1"/>
  <c r="BY64" i="265"/>
  <c r="BZ60" i="281"/>
  <c r="CA112" i="281"/>
  <c r="CA113" i="281" s="1"/>
  <c r="BY33" i="265"/>
  <c r="BY37" i="265" s="1"/>
  <c r="BY42" i="265" s="1"/>
  <c r="BY47" i="265" s="1"/>
  <c r="BY50" i="265" s="1"/>
  <c r="BZ52" i="281" l="1"/>
  <c r="BZ53" i="281" s="1"/>
  <c r="BY50" i="280"/>
  <c r="BY37" i="280"/>
  <c r="CA123" i="281"/>
  <c r="CA124" i="281" s="1"/>
  <c r="CA114" i="281"/>
  <c r="CA31" i="265" s="1"/>
  <c r="BN14" i="286"/>
  <c r="BN16" i="286" s="1"/>
  <c r="BN18" i="286" s="1"/>
  <c r="BN57" i="280"/>
  <c r="BN38" i="280"/>
  <c r="BN39" i="280" s="1"/>
  <c r="BN27" i="280"/>
  <c r="BN28" i="280" s="1"/>
  <c r="BN63" i="265" l="1"/>
  <c r="BN65" i="265" s="1"/>
  <c r="BN67" i="265" s="1"/>
  <c r="BN80" i="265" s="1"/>
  <c r="BO36" i="280"/>
  <c r="CA69" i="265"/>
  <c r="CB121" i="281"/>
  <c r="BN74" i="265"/>
  <c r="BN75" i="265" s="1"/>
  <c r="BN81" i="265" s="1"/>
  <c r="BO25" i="280"/>
  <c r="BN24" i="265"/>
  <c r="BN52" i="265"/>
  <c r="BZ30" i="265"/>
  <c r="BZ62" i="281"/>
  <c r="BZ63" i="281" s="1"/>
  <c r="BZ33" i="265" l="1"/>
  <c r="BZ37" i="265" s="1"/>
  <c r="BZ42" i="265" s="1"/>
  <c r="BZ47" i="265" s="1"/>
  <c r="BZ50" i="265" s="1"/>
  <c r="BZ64" i="265"/>
  <c r="CA60" i="281"/>
  <c r="BN53" i="265"/>
  <c r="BO44" i="280"/>
  <c r="BO46" i="280" s="1"/>
  <c r="BO54" i="280" s="1"/>
  <c r="CB112" i="281"/>
  <c r="CB113" i="281" s="1"/>
  <c r="BO49" i="280"/>
  <c r="BO51" i="280" s="1"/>
  <c r="BO55" i="280" s="1"/>
  <c r="BN25" i="265"/>
  <c r="BN83" i="265"/>
  <c r="BN82" i="265"/>
  <c r="CA52" i="281" l="1"/>
  <c r="CA53" i="281" s="1"/>
  <c r="CB114" i="281"/>
  <c r="CB31" i="265" s="1"/>
  <c r="CB123" i="281"/>
  <c r="CB124" i="281" s="1"/>
  <c r="BO56" i="280"/>
  <c r="BZ50" i="280"/>
  <c r="BZ37" i="280"/>
  <c r="CB69" i="265" l="1"/>
  <c r="CC121" i="281"/>
  <c r="BO57" i="280"/>
  <c r="BO14" i="286"/>
  <c r="BO16" i="286" s="1"/>
  <c r="BO18" i="286" s="1"/>
  <c r="BO38" i="280"/>
  <c r="BO39" i="280" s="1"/>
  <c r="BO27" i="280"/>
  <c r="BO28" i="280" s="1"/>
  <c r="CA30" i="265"/>
  <c r="CA62" i="281"/>
  <c r="CA63" i="281" s="1"/>
  <c r="BO74" i="265" l="1"/>
  <c r="BO75" i="265" s="1"/>
  <c r="BO81" i="265" s="1"/>
  <c r="BP25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36" i="280"/>
  <c r="BO52" i="265"/>
  <c r="BO24" i="265"/>
  <c r="AB69" i="277"/>
  <c r="CB52" i="281" l="1"/>
  <c r="CB53" i="281" s="1"/>
  <c r="BP44" i="280"/>
  <c r="BP46" i="280" s="1"/>
  <c r="BP54" i="280" s="1"/>
  <c r="BO25" i="265"/>
  <c r="BP49" i="280"/>
  <c r="BP51" i="280" s="1"/>
  <c r="BP55" i="280" s="1"/>
  <c r="BO53" i="265"/>
  <c r="BO82" i="265"/>
  <c r="BO83" i="265"/>
  <c r="CA37" i="280"/>
  <c r="CA50" i="280"/>
  <c r="CC123" i="281"/>
  <c r="CC124" i="281" s="1"/>
  <c r="CC114" i="281"/>
  <c r="CC31" i="265" s="1"/>
  <c r="BP56" i="280" l="1"/>
  <c r="BP14" i="286" s="1"/>
  <c r="BP16" i="286" s="1"/>
  <c r="BP18" i="286" s="1"/>
  <c r="CC69" i="265"/>
  <c r="CD121" i="281"/>
  <c r="CB30" i="265"/>
  <c r="CB62" i="281"/>
  <c r="CB63" i="281" s="1"/>
  <c r="BP38" i="280" l="1"/>
  <c r="BP39" i="280" s="1"/>
  <c r="BP27" i="280"/>
  <c r="BP28" i="280" s="1"/>
  <c r="BQ25" i="280" s="1"/>
  <c r="BP57" i="280"/>
  <c r="CB64" i="265"/>
  <c r="AB64" i="277" s="1"/>
  <c r="CC60" i="281"/>
  <c r="BP63" i="265"/>
  <c r="BQ36" i="280"/>
  <c r="BP24" i="265"/>
  <c r="BP52" i="265"/>
  <c r="CB33" i="265"/>
  <c r="CB37" i="265" s="1"/>
  <c r="CB42" i="265" s="1"/>
  <c r="CB47" i="265" s="1"/>
  <c r="CB50" i="265" s="1"/>
  <c r="AA30" i="277"/>
  <c r="BP74" i="265"/>
  <c r="CD112" i="281"/>
  <c r="CD113" i="281" s="1"/>
  <c r="CD114" i="281" l="1"/>
  <c r="CD31" i="265" s="1"/>
  <c r="CD123" i="281"/>
  <c r="CD124" i="281" s="1"/>
  <c r="Y74" i="277"/>
  <c r="Y75" i="277" s="1"/>
  <c r="Y81" i="277" s="1"/>
  <c r="BP75" i="265"/>
  <c r="BP81" i="265" s="1"/>
  <c r="BQ44" i="280"/>
  <c r="BQ46" i="280" s="1"/>
  <c r="BQ54" i="280" s="1"/>
  <c r="BP53" i="265"/>
  <c r="X51" i="277"/>
  <c r="BQ49" i="280"/>
  <c r="BQ51" i="280" s="1"/>
  <c r="BQ55" i="280" s="1"/>
  <c r="CC52" i="281"/>
  <c r="CC53" i="281" s="1"/>
  <c r="CB50" i="280"/>
  <c r="CB37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BQ56" i="280" l="1"/>
  <c r="BQ57" i="280" s="1"/>
  <c r="BP83" i="265"/>
  <c r="BP82" i="265"/>
  <c r="Y83" i="277"/>
  <c r="Y82" i="277"/>
  <c r="CC30" i="265"/>
  <c r="CC62" i="281"/>
  <c r="CC63" i="281" s="1"/>
  <c r="CD69" i="265"/>
  <c r="CE121" i="281"/>
  <c r="BQ27" i="280" l="1"/>
  <c r="BQ28" i="280" s="1"/>
  <c r="BQ74" i="265" s="1"/>
  <c r="BQ75" i="265" s="1"/>
  <c r="BQ81" i="265" s="1"/>
  <c r="BQ14" i="286"/>
  <c r="BQ16" i="286" s="1"/>
  <c r="BQ18" i="286" s="1"/>
  <c r="BQ38" i="280"/>
  <c r="BQ39" i="280" s="1"/>
  <c r="BR36" i="280" s="1"/>
  <c r="BR25" i="280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BQ63" i="265" l="1"/>
  <c r="BQ65" i="265" s="1"/>
  <c r="BQ67" i="265" s="1"/>
  <c r="BQ80" i="265" s="1"/>
  <c r="BQ53" i="265"/>
  <c r="CC50" i="280"/>
  <c r="CC37" i="280"/>
  <c r="BQ25" i="265"/>
  <c r="BR49" i="280"/>
  <c r="BR51" i="280" s="1"/>
  <c r="BR55" i="280" s="1"/>
  <c r="CD52" i="281"/>
  <c r="CD53" i="281" s="1"/>
  <c r="BR44" i="280"/>
  <c r="BR46" i="280" s="1"/>
  <c r="BR54" i="280" s="1"/>
  <c r="BR56" i="280" s="1"/>
  <c r="BQ82" i="265"/>
  <c r="BQ83" i="265"/>
  <c r="CE123" i="281"/>
  <c r="CE124" i="281" s="1"/>
  <c r="CE114" i="281"/>
  <c r="CE31" i="265" s="1"/>
  <c r="CE69" i="265" l="1"/>
  <c r="CF121" i="281"/>
  <c r="BR14" i="286"/>
  <c r="BR16" i="286" s="1"/>
  <c r="BR18" i="286" s="1"/>
  <c r="BR57" i="280"/>
  <c r="BR38" i="280"/>
  <c r="BR39" i="280" s="1"/>
  <c r="BR27" i="280"/>
  <c r="BR28" i="280" s="1"/>
  <c r="CD30" i="265"/>
  <c r="CD62" i="281"/>
  <c r="CD63" i="281" s="1"/>
  <c r="CD33" i="265" l="1"/>
  <c r="CD37" i="265" s="1"/>
  <c r="CD42" i="265" s="1"/>
  <c r="CD47" i="265" s="1"/>
  <c r="CD50" i="265" s="1"/>
  <c r="BR63" i="265"/>
  <c r="BR65" i="265" s="1"/>
  <c r="BR67" i="265" s="1"/>
  <c r="BR80" i="265" s="1"/>
  <c r="BS36" i="280"/>
  <c r="CD64" i="265"/>
  <c r="CE60" i="281"/>
  <c r="BR74" i="265"/>
  <c r="BR75" i="265" s="1"/>
  <c r="BR81" i="265" s="1"/>
  <c r="BS25" i="280"/>
  <c r="BR24" i="265"/>
  <c r="BR52" i="265"/>
  <c r="CF112" i="281"/>
  <c r="CF113" i="281" s="1"/>
  <c r="BS44" i="280" l="1"/>
  <c r="BS46" i="280" s="1"/>
  <c r="BS54" i="280" s="1"/>
  <c r="BS49" i="280"/>
  <c r="BS51" i="280" s="1"/>
  <c r="BS55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0" i="280"/>
  <c r="CD37" i="280"/>
  <c r="CF69" i="265" l="1"/>
  <c r="CG121" i="281"/>
  <c r="CE30" i="265"/>
  <c r="CE62" i="281"/>
  <c r="CE63" i="281" s="1"/>
  <c r="BS56" i="280"/>
  <c r="CE33" i="265" l="1"/>
  <c r="CE37" i="265" s="1"/>
  <c r="CE42" i="265" s="1"/>
  <c r="CE47" i="265" s="1"/>
  <c r="CE50" i="265" s="1"/>
  <c r="CE64" i="265"/>
  <c r="CF60" i="281"/>
  <c r="CG112" i="281"/>
  <c r="CG113" i="281" s="1"/>
  <c r="BS57" i="280"/>
  <c r="BS14" i="286"/>
  <c r="BS16" i="286" s="1"/>
  <c r="BS18" i="286" s="1"/>
  <c r="BS38" i="280"/>
  <c r="BS39" i="280" s="1"/>
  <c r="BS27" i="280"/>
  <c r="BS28" i="280" s="1"/>
  <c r="AC69" i="277"/>
  <c r="BS74" i="265" l="1"/>
  <c r="BS75" i="265" s="1"/>
  <c r="BS81" i="265" s="1"/>
  <c r="BT25" i="280"/>
  <c r="CF52" i="281"/>
  <c r="CF53" i="281" s="1"/>
  <c r="BS63" i="265"/>
  <c r="BS65" i="265" s="1"/>
  <c r="BS67" i="265" s="1"/>
  <c r="BS80" i="265" s="1"/>
  <c r="BT36" i="280"/>
  <c r="BS52" i="265"/>
  <c r="BS24" i="265"/>
  <c r="CG123" i="281"/>
  <c r="CG124" i="281" s="1"/>
  <c r="CG114" i="281"/>
  <c r="CG31" i="265" s="1"/>
  <c r="CE50" i="280"/>
  <c r="CE37" i="280"/>
  <c r="CG69" i="265" l="1"/>
  <c r="CH121" i="281"/>
  <c r="BS53" i="265"/>
  <c r="BS82" i="265"/>
  <c r="BS83" i="265"/>
  <c r="CF30" i="265"/>
  <c r="CF62" i="281"/>
  <c r="CF63" i="281" s="1"/>
  <c r="BS25" i="265"/>
  <c r="BT49" i="280"/>
  <c r="BT51" i="280" s="1"/>
  <c r="BT55" i="280" s="1"/>
  <c r="BT44" i="280"/>
  <c r="BT46" i="280" s="1"/>
  <c r="BT54" i="280" s="1"/>
  <c r="BT56" i="280" l="1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BT38" i="280" l="1"/>
  <c r="BT39" i="280" s="1"/>
  <c r="BT57" i="280"/>
  <c r="BT24" i="265" s="1"/>
  <c r="BT27" i="280"/>
  <c r="BT28" i="280" s="1"/>
  <c r="BU25" i="280" s="1"/>
  <c r="CF50" i="280"/>
  <c r="CF37" i="280"/>
  <c r="CH114" i="281"/>
  <c r="CH31" i="265" s="1"/>
  <c r="CH123" i="281"/>
  <c r="CH124" i="281" s="1"/>
  <c r="CG52" i="281"/>
  <c r="CG53" i="281" s="1"/>
  <c r="BT63" i="265"/>
  <c r="BU36" i="280"/>
  <c r="BT74" i="265"/>
  <c r="BT52" i="265" l="1"/>
  <c r="BU44" i="280"/>
  <c r="BU46" i="280" s="1"/>
  <c r="BU54" i="280" s="1"/>
  <c r="BT53" i="265"/>
  <c r="Y51" i="277"/>
  <c r="BU49" i="280"/>
  <c r="BU51" i="280" s="1"/>
  <c r="BU55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CI112" i="281" l="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56" i="280"/>
  <c r="Z83" i="277"/>
  <c r="Z82" i="277"/>
  <c r="BU57" i="280" l="1"/>
  <c r="BU14" i="286"/>
  <c r="BU16" i="286" s="1"/>
  <c r="BU18" i="286" s="1"/>
  <c r="BU38" i="280"/>
  <c r="BU39" i="280" s="1"/>
  <c r="BU27" i="280"/>
  <c r="BU28" i="280" s="1"/>
  <c r="CG50" i="280"/>
  <c r="CG37" i="280"/>
  <c r="CH52" i="28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BU74" i="265"/>
  <c r="BU75" i="265" s="1"/>
  <c r="BU81" i="265" s="1"/>
  <c r="BV25" i="280"/>
  <c r="BU63" i="265"/>
  <c r="BU65" i="265" s="1"/>
  <c r="BU67" i="265" s="1"/>
  <c r="BU80" i="265" s="1"/>
  <c r="BV36" i="280"/>
  <c r="BU52" i="265"/>
  <c r="BU24" i="265"/>
  <c r="BU82" i="265" l="1"/>
  <c r="BU83" i="265"/>
  <c r="BU25" i="265"/>
  <c r="BV49" i="280"/>
  <c r="BV51" i="280" s="1"/>
  <c r="BV55" i="280" s="1"/>
  <c r="BV44" i="280"/>
  <c r="BV46" i="280" s="1"/>
  <c r="BV54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BV56" i="280" l="1"/>
  <c r="CI52" i="281"/>
  <c r="CI53" i="281" s="1"/>
  <c r="CH50" i="280"/>
  <c r="CH37" i="280"/>
  <c r="CJ114" i="281"/>
  <c r="CJ31" i="265" s="1"/>
  <c r="CJ123" i="281"/>
  <c r="CJ124" i="281" s="1"/>
  <c r="BV14" i="286"/>
  <c r="BV16" i="286" s="1"/>
  <c r="BV18" i="286" s="1"/>
  <c r="BV57" i="280"/>
  <c r="BV38" i="280"/>
  <c r="BV39" i="280" s="1"/>
  <c r="BV27" i="280"/>
  <c r="BV28" i="280" s="1"/>
  <c r="BV63" i="265" l="1"/>
  <c r="BV65" i="265" s="1"/>
  <c r="BV67" i="265" s="1"/>
  <c r="BV80" i="265" s="1"/>
  <c r="BW36" i="280"/>
  <c r="BV74" i="265"/>
  <c r="BV75" i="265" s="1"/>
  <c r="BV81" i="265" s="1"/>
  <c r="BW25" i="280"/>
  <c r="BV24" i="265"/>
  <c r="BV52" i="265"/>
  <c r="CJ69" i="265"/>
  <c r="CK121" i="281"/>
  <c r="CI30" i="265"/>
  <c r="CI62" i="281"/>
  <c r="CI63" i="281" s="1"/>
  <c r="CI33" i="265" l="1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44" i="280"/>
  <c r="BW46" i="280" s="1"/>
  <c r="BW54" i="280" s="1"/>
  <c r="BW49" i="280"/>
  <c r="BW51" i="280" s="1"/>
  <c r="BW55" i="280" s="1"/>
  <c r="BV83" i="265"/>
  <c r="BV82" i="265"/>
  <c r="CJ52" i="281" l="1"/>
  <c r="CJ53" i="281" s="1"/>
  <c r="BW56" i="280"/>
  <c r="CK123" i="281"/>
  <c r="CK124" i="281" s="1"/>
  <c r="CK114" i="281"/>
  <c r="CK31" i="265" s="1"/>
  <c r="CI37" i="280"/>
  <c r="CI50" i="280"/>
  <c r="BW57" i="280" l="1"/>
  <c r="BW14" i="286"/>
  <c r="BW16" i="286" s="1"/>
  <c r="BW18" i="286" s="1"/>
  <c r="BW38" i="280"/>
  <c r="BW39" i="280" s="1"/>
  <c r="BW27" i="280"/>
  <c r="BW28" i="280" s="1"/>
  <c r="CJ30" i="265"/>
  <c r="CJ62" i="281"/>
  <c r="CJ63" i="281" s="1"/>
  <c r="CK69" i="265"/>
  <c r="CL121" i="281"/>
  <c r="CL112" i="281" l="1"/>
  <c r="CL113" i="281" s="1"/>
  <c r="CJ64" i="265"/>
  <c r="AD64" i="277" s="1"/>
  <c r="CK60" i="281"/>
  <c r="BW74" i="265"/>
  <c r="BW75" i="265" s="1"/>
  <c r="BW81" i="265" s="1"/>
  <c r="BX25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36" i="280"/>
  <c r="BW52" i="265"/>
  <c r="BW24" i="265"/>
  <c r="BW53" i="265" l="1"/>
  <c r="BW82" i="265"/>
  <c r="BW83" i="265"/>
  <c r="CJ50" i="280"/>
  <c r="CJ37" i="280"/>
  <c r="BX44" i="280"/>
  <c r="BX46" i="280" s="1"/>
  <c r="BX54" i="280" s="1"/>
  <c r="CK52" i="281"/>
  <c r="CK53" i="281" s="1"/>
  <c r="BW25" i="265"/>
  <c r="BX49" i="280"/>
  <c r="BX51" i="280" s="1"/>
  <c r="BX55" i="280" s="1"/>
  <c r="CL114" i="281"/>
  <c r="CL31" i="265" s="1"/>
  <c r="CL123" i="281"/>
  <c r="CL124" i="281" s="1"/>
  <c r="CL69" i="265" l="1"/>
  <c r="CM121" i="281"/>
  <c r="CK30" i="265"/>
  <c r="CK62" i="281"/>
  <c r="CK63" i="281" s="1"/>
  <c r="BX56" i="280"/>
  <c r="BX14" i="286" l="1"/>
  <c r="BX16" i="286" s="1"/>
  <c r="BX18" i="286" s="1"/>
  <c r="BX57" i="280"/>
  <c r="BX27" i="280"/>
  <c r="BX28" i="280" s="1"/>
  <c r="BX38" i="280"/>
  <c r="BX39" i="280" s="1"/>
  <c r="CK33" i="265"/>
  <c r="CK37" i="265" s="1"/>
  <c r="CK42" i="265" s="1"/>
  <c r="CK47" i="265" s="1"/>
  <c r="CK50" i="265" s="1"/>
  <c r="CM112" i="281"/>
  <c r="CM113" i="281" s="1"/>
  <c r="CK64" i="265"/>
  <c r="CL60" i="281"/>
  <c r="BX63" i="265" l="1"/>
  <c r="BY36" i="280"/>
  <c r="BX24" i="265"/>
  <c r="BX52" i="265"/>
  <c r="CL52" i="281"/>
  <c r="CL53" i="281" s="1"/>
  <c r="CM123" i="281"/>
  <c r="CM124" i="281" s="1"/>
  <c r="CM114" i="281"/>
  <c r="CM31" i="265" s="1"/>
  <c r="CK50" i="280"/>
  <c r="CK37" i="280"/>
  <c r="BX74" i="265"/>
  <c r="BY25" i="280"/>
  <c r="BY44" i="280" l="1"/>
  <c r="BY46" i="280" s="1"/>
  <c r="BY54" i="280" s="1"/>
  <c r="AA74" i="277"/>
  <c r="AA75" i="277" s="1"/>
  <c r="AA81" i="277" s="1"/>
  <c r="BX75" i="265"/>
  <c r="BX81" i="265" s="1"/>
  <c r="BX53" i="265"/>
  <c r="Z51" i="277"/>
  <c r="BY49" i="280"/>
  <c r="BY51" i="280" s="1"/>
  <c r="BY55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CL64" i="265" l="1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56" i="280"/>
  <c r="CM52" i="281" l="1"/>
  <c r="CM53" i="281" s="1"/>
  <c r="BY57" i="280"/>
  <c r="BY14" i="286"/>
  <c r="BY16" i="286" s="1"/>
  <c r="BY18" i="286" s="1"/>
  <c r="BY38" i="280"/>
  <c r="BY39" i="280" s="1"/>
  <c r="BY27" i="280"/>
  <c r="BY28" i="280" s="1"/>
  <c r="CL50" i="280"/>
  <c r="CL37" i="280"/>
  <c r="CN114" i="281"/>
  <c r="CN31" i="265" s="1"/>
  <c r="CN123" i="281"/>
  <c r="CN124" i="281" s="1"/>
  <c r="BY74" i="265" l="1"/>
  <c r="BY75" i="265" s="1"/>
  <c r="BY81" i="265" s="1"/>
  <c r="BZ25" i="280"/>
  <c r="CN69" i="265"/>
  <c r="CO121" i="281"/>
  <c r="BY63" i="265"/>
  <c r="BY65" i="265" s="1"/>
  <c r="BY67" i="265" s="1"/>
  <c r="BY80" i="265" s="1"/>
  <c r="BZ36" i="280"/>
  <c r="BY52" i="265"/>
  <c r="BY24" i="265"/>
  <c r="CM30" i="265"/>
  <c r="CM62" i="281"/>
  <c r="CM63" i="281" s="1"/>
  <c r="BY82" i="265" l="1"/>
  <c r="BY83" i="265"/>
  <c r="CM64" i="265"/>
  <c r="CN60" i="281"/>
  <c r="BY25" i="265"/>
  <c r="BZ49" i="280"/>
  <c r="BZ51" i="280" s="1"/>
  <c r="BZ55" i="280" s="1"/>
  <c r="CO112" i="281"/>
  <c r="CO113" i="281" s="1"/>
  <c r="BZ44" i="280"/>
  <c r="BZ46" i="280" s="1"/>
  <c r="BZ54" i="280" s="1"/>
  <c r="BZ56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0" i="280"/>
  <c r="CM37" i="280"/>
  <c r="BZ14" i="286"/>
  <c r="BZ16" i="286" s="1"/>
  <c r="BZ18" i="286" s="1"/>
  <c r="BZ57" i="280"/>
  <c r="BZ38" i="280"/>
  <c r="BZ39" i="280" s="1"/>
  <c r="BZ27" i="280"/>
  <c r="BZ28" i="280" s="1"/>
  <c r="CO123" i="281"/>
  <c r="CO124" i="281" s="1"/>
  <c r="CO114" i="281"/>
  <c r="CO31" i="265" s="1"/>
  <c r="BZ74" i="265" l="1"/>
  <c r="BZ75" i="265" s="1"/>
  <c r="BZ81" i="265" s="1"/>
  <c r="CA25" i="280"/>
  <c r="BZ24" i="265"/>
  <c r="BZ52" i="265"/>
  <c r="CO69" i="265"/>
  <c r="CP121" i="281"/>
  <c r="BZ63" i="265"/>
  <c r="BZ65" i="265" s="1"/>
  <c r="BZ67" i="265" s="1"/>
  <c r="BZ80" i="265" s="1"/>
  <c r="CA36" i="280"/>
  <c r="CN30" i="265"/>
  <c r="CN62" i="281"/>
  <c r="CN63" i="281" s="1"/>
  <c r="CN64" i="265" l="1"/>
  <c r="AE64" i="277" s="1"/>
  <c r="CO60" i="281"/>
  <c r="CA49" i="280"/>
  <c r="CA51" i="280" s="1"/>
  <c r="CA55" i="280" s="1"/>
  <c r="CP112" i="281"/>
  <c r="CP113" i="281" s="1"/>
  <c r="BZ53" i="265"/>
  <c r="CA44" i="280"/>
  <c r="CA46" i="280" s="1"/>
  <c r="CA54" i="280" s="1"/>
  <c r="CN33" i="265"/>
  <c r="CN37" i="265" s="1"/>
  <c r="CN42" i="265" s="1"/>
  <c r="CN47" i="265" s="1"/>
  <c r="CN50" i="265" s="1"/>
  <c r="AD30" i="277"/>
  <c r="BZ83" i="265"/>
  <c r="BZ82" i="265"/>
  <c r="BZ25" i="265"/>
  <c r="CA56" i="280" l="1"/>
  <c r="CA14" i="286" s="1"/>
  <c r="CA16" i="286" s="1"/>
  <c r="CA18" i="286" s="1"/>
  <c r="CO52" i="281"/>
  <c r="CO53" i="281" s="1"/>
  <c r="CN50" i="280"/>
  <c r="CN37" i="280"/>
  <c r="CP114" i="281"/>
  <c r="CP31" i="265" s="1"/>
  <c r="CP123" i="281"/>
  <c r="CP124" i="281" s="1"/>
  <c r="CA27" i="280" l="1"/>
  <c r="CA28" i="280" s="1"/>
  <c r="CA74" i="265" s="1"/>
  <c r="CA75" i="265" s="1"/>
  <c r="CA81" i="265" s="1"/>
  <c r="CA57" i="280"/>
  <c r="CA38" i="280"/>
  <c r="CA39" i="280" s="1"/>
  <c r="CA63" i="265" s="1"/>
  <c r="CA65" i="265" s="1"/>
  <c r="CA67" i="265" s="1"/>
  <c r="CA80" i="265" s="1"/>
  <c r="CP69" i="265"/>
  <c r="CQ121" i="281"/>
  <c r="CB25" i="280"/>
  <c r="CO30" i="265"/>
  <c r="CO62" i="281"/>
  <c r="CO63" i="281" s="1"/>
  <c r="CA52" i="265"/>
  <c r="CA24" i="265"/>
  <c r="CB36" i="280" l="1"/>
  <c r="CA25" i="265"/>
  <c r="CB49" i="280"/>
  <c r="CB51" i="280" s="1"/>
  <c r="CB55" i="280" s="1"/>
  <c r="CA53" i="265"/>
  <c r="CA82" i="265"/>
  <c r="CA83" i="265"/>
  <c r="CO64" i="265"/>
  <c r="CP60" i="281"/>
  <c r="CB44" i="280"/>
  <c r="CB46" i="280" s="1"/>
  <c r="CB54" i="280" s="1"/>
  <c r="CB56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0" i="280"/>
  <c r="CO37" i="280"/>
  <c r="CQ123" i="281"/>
  <c r="CQ124" i="281" s="1"/>
  <c r="CQ114" i="281"/>
  <c r="CQ31" i="265" s="1"/>
  <c r="CB14" i="286"/>
  <c r="CB16" i="286" s="1"/>
  <c r="CB18" i="286" s="1"/>
  <c r="CB57" i="280"/>
  <c r="CB27" i="280"/>
  <c r="CB28" i="280" s="1"/>
  <c r="CB38" i="280"/>
  <c r="CB39" i="280" s="1"/>
  <c r="CB74" i="265" l="1"/>
  <c r="CC25" i="280"/>
  <c r="CQ69" i="265"/>
  <c r="CR121" i="281"/>
  <c r="CB63" i="265"/>
  <c r="CC36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49" i="280"/>
  <c r="CC51" i="280" s="1"/>
  <c r="CC55" i="280" s="1"/>
  <c r="CR112" i="281"/>
  <c r="CR113" i="281" s="1"/>
  <c r="CC44" i="280"/>
  <c r="CC46" i="280" s="1"/>
  <c r="CC54" i="280" s="1"/>
  <c r="CC56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57" i="280"/>
  <c r="CC14" i="286"/>
  <c r="CC16" i="286" s="1"/>
  <c r="CC18" i="286" s="1"/>
  <c r="CC38" i="280"/>
  <c r="CC39" i="280" s="1"/>
  <c r="CC27" i="280"/>
  <c r="CC28" i="280" s="1"/>
  <c r="CR114" i="281"/>
  <c r="CR31" i="265" s="1"/>
  <c r="CR123" i="281"/>
  <c r="CR124" i="281" s="1"/>
  <c r="CB83" i="265"/>
  <c r="CB82" i="265"/>
  <c r="CP50" i="280"/>
  <c r="CP37" i="280"/>
  <c r="CR69" i="265" l="1"/>
  <c r="CS121" i="281"/>
  <c r="CC74" i="265"/>
  <c r="CC75" i="265" s="1"/>
  <c r="CC81" i="265" s="1"/>
  <c r="CD25" i="280"/>
  <c r="CC63" i="265"/>
  <c r="CC65" i="265" s="1"/>
  <c r="CC67" i="265" s="1"/>
  <c r="CC80" i="265" s="1"/>
  <c r="CD36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49" i="280"/>
  <c r="CD51" i="280" s="1"/>
  <c r="CD55" i="280" s="1"/>
  <c r="CD44" i="280"/>
  <c r="CD46" i="280" s="1"/>
  <c r="CD54" i="280" s="1"/>
  <c r="CD56" i="280" s="1"/>
  <c r="CS112" i="281"/>
  <c r="CS113" i="281" s="1"/>
  <c r="CC82" i="265"/>
  <c r="CC83" i="265"/>
  <c r="AF69" i="277"/>
  <c r="CR52" i="281" l="1"/>
  <c r="CR53" i="281" s="1"/>
  <c r="CS123" i="281"/>
  <c r="CS124" i="281" s="1"/>
  <c r="CS114" i="281"/>
  <c r="CS31" i="265" s="1"/>
  <c r="CD14" i="286"/>
  <c r="CD16" i="286" s="1"/>
  <c r="CD18" i="286" s="1"/>
  <c r="CD57" i="280"/>
  <c r="CD38" i="280"/>
  <c r="CD39" i="280" s="1"/>
  <c r="CD27" i="280"/>
  <c r="CD28" i="280" s="1"/>
  <c r="CQ37" i="280"/>
  <c r="CQ50" i="280"/>
  <c r="CD74" i="265" l="1"/>
  <c r="CD75" i="265" s="1"/>
  <c r="CD81" i="265" s="1"/>
  <c r="CE25" i="280"/>
  <c r="CD24" i="265"/>
  <c r="CD52" i="265"/>
  <c r="CD63" i="265"/>
  <c r="CD65" i="265" s="1"/>
  <c r="CD67" i="265" s="1"/>
  <c r="CD80" i="265" s="1"/>
  <c r="CE36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49" i="280"/>
  <c r="CE51" i="280" s="1"/>
  <c r="CE55" i="280" s="1"/>
  <c r="CD53" i="265"/>
  <c r="CE44" i="280"/>
  <c r="CE46" i="280" s="1"/>
  <c r="CE54" i="280" s="1"/>
  <c r="CE56" i="280" s="1"/>
  <c r="CD25" i="265"/>
  <c r="CS52" i="281" l="1"/>
  <c r="CS53" i="281" s="1"/>
  <c r="CE57" i="280"/>
  <c r="CE14" i="286"/>
  <c r="CE16" i="286" s="1"/>
  <c r="CE18" i="286" s="1"/>
  <c r="CE38" i="280"/>
  <c r="CE39" i="280" s="1"/>
  <c r="CE27" i="280"/>
  <c r="CE28" i="280" s="1"/>
  <c r="CT114" i="281"/>
  <c r="CT31" i="265" s="1"/>
  <c r="CT123" i="281"/>
  <c r="CT124" i="281" s="1"/>
  <c r="CR50" i="280"/>
  <c r="CR37" i="280"/>
  <c r="CE63" i="265" l="1"/>
  <c r="CE65" i="265" s="1"/>
  <c r="CE67" i="265" s="1"/>
  <c r="CE80" i="265" s="1"/>
  <c r="CF36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25" i="280"/>
  <c r="CF44" i="280" l="1"/>
  <c r="CF46" i="280" s="1"/>
  <c r="CF54" i="280" s="1"/>
  <c r="CU112" i="281"/>
  <c r="CU113" i="281" s="1"/>
  <c r="CS64" i="265"/>
  <c r="CT60" i="281"/>
  <c r="CE25" i="265"/>
  <c r="CF49" i="280"/>
  <c r="CF51" i="280" s="1"/>
  <c r="CF55" i="280" s="1"/>
  <c r="CS33" i="265"/>
  <c r="CS37" i="265" s="1"/>
  <c r="CS42" i="265" s="1"/>
  <c r="CS47" i="265" s="1"/>
  <c r="CS50" i="265" s="1"/>
  <c r="CE53" i="265"/>
  <c r="CE82" i="265"/>
  <c r="CE83" i="265"/>
  <c r="CS50" i="280" l="1"/>
  <c r="CS37" i="280"/>
  <c r="CT52" i="281"/>
  <c r="CT53" i="281" s="1"/>
  <c r="CU123" i="281"/>
  <c r="CU124" i="281" s="1"/>
  <c r="CU114" i="281"/>
  <c r="CU31" i="265" s="1"/>
  <c r="CF56" i="280"/>
  <c r="CF14" i="286" l="1"/>
  <c r="CF16" i="286" s="1"/>
  <c r="CF18" i="286" s="1"/>
  <c r="CF57" i="280"/>
  <c r="CF27" i="280"/>
  <c r="CF28" i="280" s="1"/>
  <c r="CF38" i="280"/>
  <c r="CF39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36" i="280"/>
  <c r="CF24" i="265"/>
  <c r="CF52" i="265"/>
  <c r="CF74" i="265"/>
  <c r="CG25" i="280"/>
  <c r="AC74" i="277" l="1"/>
  <c r="AC75" i="277" s="1"/>
  <c r="AC81" i="277" s="1"/>
  <c r="CF75" i="265"/>
  <c r="CF81" i="265" s="1"/>
  <c r="CF53" i="265"/>
  <c r="AB51" i="277"/>
  <c r="CG49" i="280"/>
  <c r="CG51" i="280" s="1"/>
  <c r="CG55" i="280" s="1"/>
  <c r="CU52" i="281"/>
  <c r="CU53" i="281" s="1"/>
  <c r="CG44" i="280"/>
  <c r="CG46" i="280" s="1"/>
  <c r="CG54" i="280" s="1"/>
  <c r="CG56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0" i="280"/>
  <c r="CT37" i="280"/>
  <c r="CV69" i="265" l="1"/>
  <c r="CW121" i="281"/>
  <c r="AC83" i="277"/>
  <c r="AC82" i="277"/>
  <c r="CF83" i="265"/>
  <c r="CF82" i="265"/>
  <c r="CG57" i="280"/>
  <c r="CG14" i="286"/>
  <c r="CG16" i="286" s="1"/>
  <c r="CG18" i="286" s="1"/>
  <c r="CG38" i="280"/>
  <c r="CG39" i="280" s="1"/>
  <c r="CG27" i="280"/>
  <c r="CG28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25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36" i="280"/>
  <c r="CG52" i="265"/>
  <c r="CG24" i="265"/>
  <c r="AG69" i="277"/>
  <c r="CH44" i="280" l="1"/>
  <c r="CH46" i="280" s="1"/>
  <c r="CH54" i="280" s="1"/>
  <c r="CV52" i="281"/>
  <c r="CV53" i="281" s="1"/>
  <c r="CG25" i="265"/>
  <c r="CH49" i="280"/>
  <c r="CH51" i="280" s="1"/>
  <c r="CH55" i="280" s="1"/>
  <c r="CG53" i="265"/>
  <c r="CG82" i="265"/>
  <c r="CG83" i="265"/>
  <c r="CU50" i="280"/>
  <c r="CU37" i="280"/>
  <c r="CW123" i="281"/>
  <c r="CW124" i="281" s="1"/>
  <c r="CW114" i="281"/>
  <c r="CW31" i="265" s="1"/>
  <c r="CW69" i="265" l="1"/>
  <c r="CX121" i="281"/>
  <c r="CV30" i="265"/>
  <c r="CV62" i="281"/>
  <c r="CV63" i="281" s="1"/>
  <c r="CH56" i="280"/>
  <c r="CV64" i="265" l="1"/>
  <c r="AG64" i="277" s="1"/>
  <c r="CW60" i="281"/>
  <c r="CX112" i="281"/>
  <c r="CX113" i="281" s="1"/>
  <c r="CH14" i="286"/>
  <c r="CH16" i="286" s="1"/>
  <c r="CH18" i="286" s="1"/>
  <c r="CH57" i="280"/>
  <c r="CH38" i="280"/>
  <c r="CH39" i="280" s="1"/>
  <c r="CH27" i="280"/>
  <c r="CH28" i="280" s="1"/>
  <c r="CV33" i="265"/>
  <c r="CV37" i="265" s="1"/>
  <c r="CV42" i="265" s="1"/>
  <c r="CV47" i="265" s="1"/>
  <c r="CV50" i="265" s="1"/>
  <c r="AF30" i="277"/>
  <c r="CV50" i="280" l="1"/>
  <c r="CV37" i="280"/>
  <c r="CH63" i="265"/>
  <c r="CH65" i="265" s="1"/>
  <c r="CH67" i="265" s="1"/>
  <c r="CH80" i="265" s="1"/>
  <c r="CI36" i="280"/>
  <c r="CH74" i="265"/>
  <c r="CH75" i="265" s="1"/>
  <c r="CH81" i="265" s="1"/>
  <c r="CI25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44" i="280"/>
  <c r="CI46" i="280" s="1"/>
  <c r="CI54" i="280" s="1"/>
  <c r="CH83" i="265"/>
  <c r="CH82" i="265"/>
  <c r="CW30" i="265"/>
  <c r="CW62" i="281"/>
  <c r="CW63" i="281" s="1"/>
  <c r="CH25" i="265"/>
  <c r="CI49" i="280"/>
  <c r="CI51" i="280" s="1"/>
  <c r="CI55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56" i="280"/>
  <c r="CX52" i="281" l="1"/>
  <c r="CX53" i="281" s="1"/>
  <c r="CI57" i="280"/>
  <c r="CI14" i="286"/>
  <c r="CI16" i="286" s="1"/>
  <c r="CI18" i="286" s="1"/>
  <c r="CI38" i="280"/>
  <c r="CI39" i="280" s="1"/>
  <c r="CI27" i="280"/>
  <c r="CI28" i="280" s="1"/>
  <c r="CY123" i="281"/>
  <c r="CY124" i="281" s="1"/>
  <c r="CY114" i="281"/>
  <c r="CY31" i="265" s="1"/>
  <c r="CW50" i="280"/>
  <c r="CW37" i="280"/>
  <c r="CI74" i="265" l="1"/>
  <c r="CI75" i="265" s="1"/>
  <c r="CI81" i="265" s="1"/>
  <c r="CJ25" i="280"/>
  <c r="CY69" i="265"/>
  <c r="CZ121" i="281"/>
  <c r="CI63" i="265"/>
  <c r="CI65" i="265" s="1"/>
  <c r="CI67" i="265" s="1"/>
  <c r="CI80" i="265" s="1"/>
  <c r="CJ36" i="280"/>
  <c r="CI52" i="265"/>
  <c r="CI24" i="265"/>
  <c r="CX30" i="265"/>
  <c r="CX62" i="281"/>
  <c r="CX63" i="281" s="1"/>
  <c r="CI82" i="265" l="1"/>
  <c r="CI83" i="265"/>
  <c r="CX64" i="265"/>
  <c r="CY60" i="281"/>
  <c r="CI25" i="265"/>
  <c r="CJ49" i="280"/>
  <c r="CJ51" i="280" s="1"/>
  <c r="CJ55" i="280" s="1"/>
  <c r="CZ112" i="281"/>
  <c r="CZ113" i="281" s="1"/>
  <c r="CJ44" i="280"/>
  <c r="CJ46" i="280" s="1"/>
  <c r="CJ54" i="280" s="1"/>
  <c r="CJ56" i="280" s="1"/>
  <c r="CX33" i="265"/>
  <c r="CX37" i="265" s="1"/>
  <c r="CX42" i="265" s="1"/>
  <c r="CX47" i="265" s="1"/>
  <c r="CX50" i="265" s="1"/>
  <c r="CI53" i="265"/>
  <c r="CY52" i="281" l="1"/>
  <c r="CY53" i="281" s="1"/>
  <c r="CX50" i="280"/>
  <c r="CX37" i="280"/>
  <c r="CJ14" i="286"/>
  <c r="CJ16" i="286" s="1"/>
  <c r="CJ18" i="286" s="1"/>
  <c r="CJ57" i="280"/>
  <c r="CJ27" i="280"/>
  <c r="CJ28" i="280" s="1"/>
  <c r="CJ38" i="280"/>
  <c r="CJ39" i="280" s="1"/>
  <c r="CZ114" i="281"/>
  <c r="CZ31" i="265" s="1"/>
  <c r="CZ123" i="281"/>
  <c r="CZ124" i="281" s="1"/>
  <c r="CJ74" i="265" l="1"/>
  <c r="CK25" i="280"/>
  <c r="CZ69" i="265"/>
  <c r="DA121" i="281"/>
  <c r="CJ63" i="265"/>
  <c r="CK36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49" i="280"/>
  <c r="CK51" i="280" s="1"/>
  <c r="CK55" i="280" s="1"/>
  <c r="DA112" i="281"/>
  <c r="DA113" i="281" s="1"/>
  <c r="CK44" i="280"/>
  <c r="CK46" i="280" s="1"/>
  <c r="CK54" i="280" s="1"/>
  <c r="CK56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37" i="280"/>
  <c r="CY50" i="280"/>
  <c r="CK57" i="280"/>
  <c r="CK14" i="286"/>
  <c r="CK16" i="286" s="1"/>
  <c r="CK18" i="286" s="1"/>
  <c r="CK38" i="280"/>
  <c r="CK39" i="280" s="1"/>
  <c r="CK27" i="280"/>
  <c r="CK28" i="280" s="1"/>
  <c r="DA123" i="281"/>
  <c r="DA124" i="281" s="1"/>
  <c r="DA114" i="281"/>
  <c r="DA31" i="265" s="1"/>
  <c r="CK74" i="265" l="1"/>
  <c r="CK75" i="265" s="1"/>
  <c r="CK81" i="265" s="1"/>
  <c r="CL25" i="280"/>
  <c r="DA69" i="265"/>
  <c r="DB121" i="281"/>
  <c r="CK63" i="265"/>
  <c r="CK65" i="265" s="1"/>
  <c r="CK67" i="265" s="1"/>
  <c r="CK80" i="265" s="1"/>
  <c r="CL36" i="280"/>
  <c r="CK52" i="265"/>
  <c r="CK24" i="265"/>
  <c r="CZ30" i="265"/>
  <c r="CZ62" i="281"/>
  <c r="CZ63" i="281" s="1"/>
  <c r="CZ64" i="265" l="1"/>
  <c r="AH64" i="277" s="1"/>
  <c r="DA60" i="281"/>
  <c r="CK25" i="265"/>
  <c r="CL49" i="280"/>
  <c r="CL51" i="280" s="1"/>
  <c r="CL55" i="280" s="1"/>
  <c r="DB112" i="281"/>
  <c r="DB113" i="281" s="1"/>
  <c r="CL44" i="280"/>
  <c r="CL46" i="280" s="1"/>
  <c r="CL54" i="280" s="1"/>
  <c r="CL56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0" i="280"/>
  <c r="CZ37" i="280"/>
  <c r="CL14" i="286"/>
  <c r="CL16" i="286" s="1"/>
  <c r="CL18" i="286" s="1"/>
  <c r="CL57" i="280"/>
  <c r="CL38" i="280"/>
  <c r="CL39" i="280" s="1"/>
  <c r="CL27" i="280"/>
  <c r="CL28" i="280" s="1"/>
  <c r="DB114" i="281"/>
  <c r="DB31" i="265" s="1"/>
  <c r="DB123" i="281"/>
  <c r="DB124" i="281" s="1"/>
  <c r="CL63" i="265" l="1"/>
  <c r="CL65" i="265" s="1"/>
  <c r="CL67" i="265" s="1"/>
  <c r="CL80" i="265" s="1"/>
  <c r="CM36" i="280"/>
  <c r="DB69" i="265"/>
  <c r="DC121" i="281"/>
  <c r="CL74" i="265"/>
  <c r="CL75" i="265" s="1"/>
  <c r="CL81" i="265" s="1"/>
  <c r="CM25" i="280"/>
  <c r="CL24" i="265"/>
  <c r="CL52" i="265"/>
  <c r="DA30" i="265"/>
  <c r="DA62" i="281"/>
  <c r="DA63" i="281" s="1"/>
  <c r="DA64" i="265" l="1"/>
  <c r="DB60" i="281"/>
  <c r="CL53" i="265"/>
  <c r="CM44" i="280"/>
  <c r="CM46" i="280" s="1"/>
  <c r="CM54" i="280" s="1"/>
  <c r="DC112" i="281"/>
  <c r="DC113" i="281" s="1"/>
  <c r="CM49" i="280"/>
  <c r="CM51" i="280" s="1"/>
  <c r="CM55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0" i="280"/>
  <c r="DA37" i="280"/>
  <c r="DC123" i="281"/>
  <c r="DC124" i="281" s="1"/>
  <c r="DC114" i="281"/>
  <c r="DC31" i="265" s="1"/>
  <c r="CM56" i="280"/>
  <c r="CM57" i="280" l="1"/>
  <c r="CM14" i="286"/>
  <c r="CM16" i="286" s="1"/>
  <c r="CM18" i="286" s="1"/>
  <c r="CM38" i="280"/>
  <c r="CM39" i="280" s="1"/>
  <c r="CM27" i="280"/>
  <c r="CM28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25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36" i="280"/>
  <c r="CM52" i="265"/>
  <c r="CM24" i="265"/>
  <c r="CN44" i="280" l="1"/>
  <c r="CN46" i="280" s="1"/>
  <c r="CN54" i="280" s="1"/>
  <c r="DC52" i="281"/>
  <c r="DC53" i="281" s="1"/>
  <c r="CM53" i="265"/>
  <c r="CM82" i="265"/>
  <c r="CM83" i="265"/>
  <c r="CM25" i="265"/>
  <c r="CN49" i="280"/>
  <c r="CN51" i="280" s="1"/>
  <c r="CN55" i="280" s="1"/>
  <c r="DB50" i="280"/>
  <c r="DB37" i="280"/>
  <c r="DD114" i="281"/>
  <c r="DD31" i="265" s="1"/>
  <c r="DD123" i="281"/>
  <c r="DD124" i="281" s="1"/>
  <c r="DD69" i="265" l="1"/>
  <c r="DE121" i="281"/>
  <c r="DC30" i="265"/>
  <c r="DC62" i="281"/>
  <c r="DC63" i="281" s="1"/>
  <c r="CN56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57" i="280"/>
  <c r="CN27" i="280"/>
  <c r="CN28" i="280" s="1"/>
  <c r="CN38" i="280"/>
  <c r="CN39" i="280" s="1"/>
  <c r="AI69" i="277"/>
  <c r="CN24" i="265" l="1"/>
  <c r="CN52" i="265"/>
  <c r="CN63" i="265"/>
  <c r="CO36" i="280"/>
  <c r="DD52" i="281"/>
  <c r="DD53" i="281" s="1"/>
  <c r="CN74" i="265"/>
  <c r="CO25" i="280"/>
  <c r="DE123" i="281"/>
  <c r="DE124" i="281" s="1"/>
  <c r="DE114" i="281"/>
  <c r="DE31" i="265" s="1"/>
  <c r="DC50" i="280"/>
  <c r="DC37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44" i="280"/>
  <c r="CO46" i="280" s="1"/>
  <c r="CO54" i="280" s="1"/>
  <c r="CO49" i="280"/>
  <c r="CO51" i="280" s="1"/>
  <c r="CO55" i="280" s="1"/>
  <c r="CN53" i="265"/>
  <c r="AD51" i="277"/>
  <c r="CO56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0" i="280" l="1"/>
  <c r="DD37" i="280"/>
  <c r="DF114" i="281"/>
  <c r="DF31" i="265" s="1"/>
  <c r="DF123" i="281"/>
  <c r="DF124" i="281" s="1"/>
  <c r="DE52" i="281"/>
  <c r="DE53" i="281" s="1"/>
  <c r="CO57" i="280"/>
  <c r="CO14" i="286"/>
  <c r="CO16" i="286" s="1"/>
  <c r="CO18" i="286" s="1"/>
  <c r="CO38" i="280"/>
  <c r="CO39" i="280" s="1"/>
  <c r="CO27" i="280"/>
  <c r="CO28" i="280" s="1"/>
  <c r="CO74" i="265" l="1"/>
  <c r="CO75" i="265" s="1"/>
  <c r="CO81" i="265" s="1"/>
  <c r="CP25" i="280"/>
  <c r="CO63" i="265"/>
  <c r="CO65" i="265" s="1"/>
  <c r="CO67" i="265" s="1"/>
  <c r="CO80" i="265" s="1"/>
  <c r="CP36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49" i="280"/>
  <c r="CP51" i="280" s="1"/>
  <c r="CP55" i="280" s="1"/>
  <c r="CP44" i="280"/>
  <c r="CP46" i="280" s="1"/>
  <c r="CP54" i="280" s="1"/>
  <c r="DE33" i="265"/>
  <c r="DE37" i="265" s="1"/>
  <c r="DE42" i="265" s="1"/>
  <c r="DE47" i="265" s="1"/>
  <c r="DE50" i="265" s="1"/>
  <c r="CO53" i="265"/>
  <c r="CO82" i="265"/>
  <c r="CO83" i="265"/>
  <c r="CP56" i="280" l="1"/>
  <c r="CP57" i="280" s="1"/>
  <c r="DE50" i="280"/>
  <c r="DE37" i="280"/>
  <c r="DF52" i="281"/>
  <c r="DF53" i="281" s="1"/>
  <c r="DG123" i="281"/>
  <c r="DG124" i="281" s="1"/>
  <c r="DG114" i="281"/>
  <c r="DG31" i="265" s="1"/>
  <c r="CP14" i="286" l="1"/>
  <c r="CP16" i="286" s="1"/>
  <c r="CP18" i="286" s="1"/>
  <c r="CP38" i="280"/>
  <c r="CP39" i="280" s="1"/>
  <c r="CQ36" i="280" s="1"/>
  <c r="CP27" i="280"/>
  <c r="CP28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25" i="280"/>
  <c r="CP25" i="265"/>
  <c r="DF33" i="265"/>
  <c r="DF37" i="265" s="1"/>
  <c r="DF42" i="265" s="1"/>
  <c r="DF47" i="265" s="1"/>
  <c r="DF50" i="265" s="1"/>
  <c r="CP53" i="265"/>
  <c r="CQ44" i="280"/>
  <c r="CQ46" i="280" s="1"/>
  <c r="CQ54" i="280" s="1"/>
  <c r="DF64" i="265"/>
  <c r="DG60" i="281"/>
  <c r="CQ49" i="280"/>
  <c r="CQ51" i="280" s="1"/>
  <c r="CQ55" i="280" s="1"/>
  <c r="DH112" i="281"/>
  <c r="DH113" i="281" s="1"/>
  <c r="CP83" i="265"/>
  <c r="DG52" i="281" l="1"/>
  <c r="DG53" i="281" s="1"/>
  <c r="DH114" i="281"/>
  <c r="DH31" i="265" s="1"/>
  <c r="DH123" i="281"/>
  <c r="DH124" i="281" s="1"/>
  <c r="CQ56" i="280"/>
  <c r="DF50" i="280"/>
  <c r="DF37" i="280"/>
  <c r="DH69" i="265" l="1"/>
  <c r="DI121" i="281"/>
  <c r="CQ57" i="280"/>
  <c r="CQ14" i="286"/>
  <c r="CQ16" i="286" s="1"/>
  <c r="CQ18" i="286" s="1"/>
  <c r="CQ38" i="280"/>
  <c r="CQ39" i="280" s="1"/>
  <c r="CQ27" i="280"/>
  <c r="CQ28" i="280" s="1"/>
  <c r="DG30" i="265"/>
  <c r="DG62" i="281"/>
  <c r="DG63" i="281" s="1"/>
  <c r="CQ74" i="265" l="1"/>
  <c r="CQ75" i="265" s="1"/>
  <c r="CQ81" i="265" s="1"/>
  <c r="CR25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36" i="280"/>
  <c r="CQ52" i="265"/>
  <c r="CQ24" i="265"/>
  <c r="AJ69" i="277"/>
  <c r="DH52" i="281" l="1"/>
  <c r="DH53" i="281" s="1"/>
  <c r="CR44" i="280"/>
  <c r="CR46" i="280" s="1"/>
  <c r="CR54" i="280" s="1"/>
  <c r="CQ25" i="265"/>
  <c r="CR49" i="280"/>
  <c r="CR51" i="280" s="1"/>
  <c r="CR55" i="280" s="1"/>
  <c r="CQ53" i="265"/>
  <c r="CQ82" i="265"/>
  <c r="CQ83" i="265"/>
  <c r="DG37" i="280"/>
  <c r="DG50" i="280"/>
  <c r="DI123" i="281"/>
  <c r="DI124" i="281" s="1"/>
  <c r="DI114" i="281"/>
  <c r="DI31" i="265" s="1"/>
  <c r="CR56" i="280" l="1"/>
  <c r="CR14" i="286" s="1"/>
  <c r="CR16" i="286" s="1"/>
  <c r="CR18" i="286" s="1"/>
  <c r="DI69" i="265"/>
  <c r="DJ121" i="281"/>
  <c r="DH30" i="265"/>
  <c r="DH62" i="281"/>
  <c r="DH63" i="281" s="1"/>
  <c r="CR38" i="280" l="1"/>
  <c r="CR39" i="280" s="1"/>
  <c r="CR63" i="265" s="1"/>
  <c r="CR57" i="280"/>
  <c r="CR27" i="280"/>
  <c r="CR28" i="280" s="1"/>
  <c r="CR74" i="265" s="1"/>
  <c r="DH64" i="265"/>
  <c r="AJ64" i="277" s="1"/>
  <c r="DI60" i="281"/>
  <c r="CR24" i="265"/>
  <c r="CR52" i="265"/>
  <c r="DH33" i="265"/>
  <c r="DH37" i="265" s="1"/>
  <c r="DH42" i="265" s="1"/>
  <c r="DH47" i="265" s="1"/>
  <c r="DH50" i="265" s="1"/>
  <c r="AI30" i="277"/>
  <c r="CS25" i="280"/>
  <c r="DJ112" i="281"/>
  <c r="DJ113" i="281" s="1"/>
  <c r="CS36" i="280" l="1"/>
  <c r="DJ114" i="281"/>
  <c r="DJ31" i="265" s="1"/>
  <c r="DJ123" i="281"/>
  <c r="DJ124" i="281" s="1"/>
  <c r="AF74" i="277"/>
  <c r="AF75" i="277" s="1"/>
  <c r="AF81" i="277" s="1"/>
  <c r="CR75" i="265"/>
  <c r="CR81" i="265" s="1"/>
  <c r="CS44" i="280"/>
  <c r="CS46" i="280" s="1"/>
  <c r="CS54" i="280" s="1"/>
  <c r="CS56" i="280" s="1"/>
  <c r="CR53" i="265"/>
  <c r="AE51" i="277"/>
  <c r="CS49" i="280"/>
  <c r="CS51" i="280" s="1"/>
  <c r="CS55" i="280" s="1"/>
  <c r="DI52" i="281"/>
  <c r="DI53" i="281" s="1"/>
  <c r="DH50" i="280"/>
  <c r="DH37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R83" i="265" l="1"/>
  <c r="CR82" i="265"/>
  <c r="AF83" i="277"/>
  <c r="AF82" i="277"/>
  <c r="DI30" i="265"/>
  <c r="DI62" i="281"/>
  <c r="DI63" i="281" s="1"/>
  <c r="DJ69" i="265"/>
  <c r="DK121" i="281"/>
  <c r="CS57" i="280"/>
  <c r="CS14" i="286"/>
  <c r="CS16" i="286" s="1"/>
  <c r="CS18" i="286" s="1"/>
  <c r="CS38" i="280"/>
  <c r="CS39" i="280" s="1"/>
  <c r="CS27" i="280"/>
  <c r="CS28" i="280" s="1"/>
  <c r="CS74" i="265" l="1"/>
  <c r="CS75" i="265" s="1"/>
  <c r="CS81" i="265" s="1"/>
  <c r="CT25" i="280"/>
  <c r="DK112" i="281"/>
  <c r="DK113" i="281" s="1"/>
  <c r="DI64" i="265"/>
  <c r="DJ60" i="281"/>
  <c r="CS63" i="265"/>
  <c r="CS65" i="265" s="1"/>
  <c r="CS67" i="265" s="1"/>
  <c r="CS80" i="265" s="1"/>
  <c r="CT36" i="280"/>
  <c r="CS52" i="265"/>
  <c r="CS24" i="265"/>
  <c r="DI33" i="265"/>
  <c r="DI37" i="265" s="1"/>
  <c r="DI42" i="265" s="1"/>
  <c r="DI47" i="265" s="1"/>
  <c r="DI50" i="265" s="1"/>
  <c r="CS53" i="265" l="1"/>
  <c r="DI50" i="280"/>
  <c r="DI37" i="280"/>
  <c r="CS25" i="265"/>
  <c r="CT49" i="280"/>
  <c r="CT51" i="280" s="1"/>
  <c r="CT55" i="280" s="1"/>
  <c r="DJ52" i="281"/>
  <c r="DJ53" i="281" s="1"/>
  <c r="CT44" i="280"/>
  <c r="CT46" i="280" s="1"/>
  <c r="CT54" i="280" s="1"/>
  <c r="CT56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57" i="280"/>
  <c r="CT38" i="280"/>
  <c r="CT39" i="280" s="1"/>
  <c r="CT27" i="280"/>
  <c r="CT28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36" i="280"/>
  <c r="DJ64" i="265"/>
  <c r="DK60" i="281"/>
  <c r="CT74" i="265"/>
  <c r="CT75" i="265" s="1"/>
  <c r="CT81" i="265" s="1"/>
  <c r="CU25" i="280"/>
  <c r="CT24" i="265"/>
  <c r="CT52" i="265"/>
  <c r="DL112" i="281"/>
  <c r="DL113" i="281" s="1"/>
  <c r="DL114" i="281" l="1"/>
  <c r="DL31" i="265" s="1"/>
  <c r="DL123" i="281"/>
  <c r="DL124" i="281" s="1"/>
  <c r="CT25" i="265"/>
  <c r="CU49" i="280"/>
  <c r="CU51" i="280" s="1"/>
  <c r="CU55" i="280" s="1"/>
  <c r="CT53" i="265"/>
  <c r="CU44" i="280"/>
  <c r="CU46" i="280" s="1"/>
  <c r="CU54" i="280" s="1"/>
  <c r="CU56" i="280" s="1"/>
  <c r="DK52" i="281"/>
  <c r="DK53" i="281" s="1"/>
  <c r="CT83" i="265"/>
  <c r="CT82" i="265"/>
  <c r="DJ50" i="280"/>
  <c r="DJ37" i="280"/>
  <c r="DL69" i="265" l="1"/>
  <c r="DM121" i="281"/>
  <c r="DK30" i="265"/>
  <c r="DK62" i="281"/>
  <c r="DK63" i="281" s="1"/>
  <c r="CU57" i="280"/>
  <c r="CU14" i="286"/>
  <c r="CU16" i="286" s="1"/>
  <c r="CU18" i="286" s="1"/>
  <c r="CU38" i="280"/>
  <c r="CU39" i="280" s="1"/>
  <c r="CU27" i="280"/>
  <c r="CU28" i="280" s="1"/>
  <c r="CU74" i="265" l="1"/>
  <c r="CU75" i="265" s="1"/>
  <c r="CU81" i="265" s="1"/>
  <c r="CV25" i="280"/>
  <c r="DK64" i="265"/>
  <c r="DL60" i="281"/>
  <c r="DM112" i="281"/>
  <c r="DM113" i="281" s="1"/>
  <c r="CU63" i="265"/>
  <c r="CU65" i="265" s="1"/>
  <c r="CU67" i="265" s="1"/>
  <c r="CU80" i="265" s="1"/>
  <c r="CV36" i="280"/>
  <c r="CU52" i="265"/>
  <c r="CU24" i="265"/>
  <c r="DK33" i="265"/>
  <c r="DK37" i="265" s="1"/>
  <c r="DK42" i="265" s="1"/>
  <c r="DK47" i="265" s="1"/>
  <c r="DK50" i="265" s="1"/>
  <c r="AK69" i="277"/>
  <c r="CU25" i="265" l="1"/>
  <c r="CV49" i="280"/>
  <c r="CV51" i="280" s="1"/>
  <c r="CV55" i="280" s="1"/>
  <c r="DL52" i="281"/>
  <c r="DL53" i="281" s="1"/>
  <c r="CV44" i="280"/>
  <c r="CV46" i="280" s="1"/>
  <c r="CV54" i="280" s="1"/>
  <c r="CV56" i="280" s="1"/>
  <c r="DK50" i="280"/>
  <c r="DK37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57" i="280"/>
  <c r="CV27" i="280"/>
  <c r="CV28" i="280" s="1"/>
  <c r="CV38" i="280"/>
  <c r="CV39" i="280" s="1"/>
  <c r="DL30" i="265"/>
  <c r="DL62" i="281"/>
  <c r="DL63" i="281" s="1"/>
  <c r="DL64" i="265" l="1"/>
  <c r="AK64" i="277" s="1"/>
  <c r="DM60" i="281"/>
  <c r="CV63" i="265"/>
  <c r="CW36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25" i="280"/>
  <c r="DL50" i="280" l="1"/>
  <c r="DL37" i="280"/>
  <c r="CW44" i="280"/>
  <c r="CW46" i="280" s="1"/>
  <c r="CW54" i="280" s="1"/>
  <c r="CV53" i="265"/>
  <c r="AF51" i="277"/>
  <c r="CW49" i="280"/>
  <c r="CW51" i="280" s="1"/>
  <c r="CW55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56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57" i="280"/>
  <c r="CW14" i="286"/>
  <c r="CW16" i="286" s="1"/>
  <c r="CW18" i="286" s="1"/>
  <c r="CW38" i="280"/>
  <c r="CW39" i="280" s="1"/>
  <c r="CW27" i="280"/>
  <c r="CW28" i="280" s="1"/>
  <c r="DN52" i="281" l="1"/>
  <c r="DN53" i="281" s="1"/>
  <c r="CW74" i="265"/>
  <c r="CW75" i="265" s="1"/>
  <c r="CW81" i="265" s="1"/>
  <c r="CX25" i="280"/>
  <c r="CW63" i="265"/>
  <c r="CW65" i="265" s="1"/>
  <c r="CW67" i="265" s="1"/>
  <c r="CW80" i="265" s="1"/>
  <c r="CX36" i="280"/>
  <c r="CW52" i="265"/>
  <c r="CW24" i="265"/>
  <c r="DM50" i="280"/>
  <c r="DM37" i="280"/>
  <c r="DO123" i="281"/>
  <c r="DO124" i="281" s="1"/>
  <c r="DO114" i="281"/>
  <c r="DO31" i="265" s="1"/>
  <c r="CW53" i="265" l="1"/>
  <c r="DO69" i="265"/>
  <c r="DP121" i="281"/>
  <c r="CW25" i="265"/>
  <c r="CX49" i="280"/>
  <c r="CX51" i="280" s="1"/>
  <c r="CX55" i="280" s="1"/>
  <c r="CX44" i="280"/>
  <c r="CX46" i="280" s="1"/>
  <c r="CX54" i="280" s="1"/>
  <c r="CW82" i="265"/>
  <c r="CW83" i="265"/>
  <c r="DN30" i="265"/>
  <c r="DN62" i="281"/>
  <c r="DN63" i="281" s="1"/>
  <c r="CX56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38" i="280" l="1"/>
  <c r="CX39" i="280" s="1"/>
  <c r="CX27" i="280"/>
  <c r="CX28" i="280" s="1"/>
  <c r="CY25" i="280" s="1"/>
  <c r="CX57" i="280"/>
  <c r="CX52" i="265" s="1"/>
  <c r="CX24" i="265"/>
  <c r="DO52" i="281"/>
  <c r="DO53" i="281" s="1"/>
  <c r="CX63" i="265"/>
  <c r="CX65" i="265" s="1"/>
  <c r="CX67" i="265" s="1"/>
  <c r="CX80" i="265" s="1"/>
  <c r="CY36" i="280"/>
  <c r="DP114" i="281"/>
  <c r="DP31" i="265" s="1"/>
  <c r="DP123" i="281"/>
  <c r="DP124" i="281" s="1"/>
  <c r="DN50" i="280"/>
  <c r="DN37" i="280"/>
  <c r="CX74" i="265" l="1"/>
  <c r="CX75" i="265" s="1"/>
  <c r="CX81" i="265" s="1"/>
  <c r="CX82" i="265" s="1"/>
  <c r="DP69" i="265"/>
  <c r="DQ121" i="281"/>
  <c r="CY49" i="280"/>
  <c r="CY51" i="280" s="1"/>
  <c r="CY55" i="280" s="1"/>
  <c r="CX53" i="265"/>
  <c r="CY44" i="280"/>
  <c r="CY46" i="280" s="1"/>
  <c r="CY54" i="280" s="1"/>
  <c r="CY56" i="280" s="1"/>
  <c r="CX83" i="265"/>
  <c r="DO30" i="265"/>
  <c r="DO62" i="281"/>
  <c r="DO63" i="281" s="1"/>
  <c r="CX25" i="265"/>
  <c r="DQ112" i="281" l="1"/>
  <c r="DQ113" i="281" s="1"/>
  <c r="DO64" i="265"/>
  <c r="DP60" i="281"/>
  <c r="DO33" i="265"/>
  <c r="DO37" i="265" s="1"/>
  <c r="DO42" i="265" s="1"/>
  <c r="DO47" i="265" s="1"/>
  <c r="DO50" i="265" s="1"/>
  <c r="CY57" i="280"/>
  <c r="CY14" i="286"/>
  <c r="CY16" i="286" s="1"/>
  <c r="CY18" i="286" s="1"/>
  <c r="CY38" i="280"/>
  <c r="CY39" i="280" s="1"/>
  <c r="CY27" i="280"/>
  <c r="CY28" i="280" s="1"/>
  <c r="AL69" i="277"/>
  <c r="DP52" i="281" l="1"/>
  <c r="DP53" i="281" s="1"/>
  <c r="CY74" i="265"/>
  <c r="CY75" i="265" s="1"/>
  <c r="CY81" i="265" s="1"/>
  <c r="CZ25" i="280"/>
  <c r="CY63" i="265"/>
  <c r="CY65" i="265" s="1"/>
  <c r="CY67" i="265" s="1"/>
  <c r="CY80" i="265" s="1"/>
  <c r="CZ36" i="280"/>
  <c r="CY52" i="265"/>
  <c r="CY24" i="265"/>
  <c r="DO37" i="280"/>
  <c r="DO50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49" i="280"/>
  <c r="CZ51" i="280" s="1"/>
  <c r="CZ55" i="280" s="1"/>
  <c r="CZ44" i="280"/>
  <c r="CZ46" i="280" s="1"/>
  <c r="CZ54" i="280" s="1"/>
  <c r="DP30" i="265"/>
  <c r="DP62" i="281"/>
  <c r="DP63" i="281" s="1"/>
  <c r="CZ56" i="280" l="1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38" i="280" l="1"/>
  <c r="CZ39" i="280" s="1"/>
  <c r="CZ63" i="265" s="1"/>
  <c r="CZ57" i="280"/>
  <c r="CZ27" i="280"/>
  <c r="CZ28" i="280" s="1"/>
  <c r="DA25" i="280" s="1"/>
  <c r="DR114" i="281"/>
  <c r="DR31" i="265" s="1"/>
  <c r="DR123" i="281"/>
  <c r="DR124" i="281" s="1"/>
  <c r="CZ24" i="265"/>
  <c r="CZ52" i="265"/>
  <c r="DQ52" i="281"/>
  <c r="DQ53" i="281" s="1"/>
  <c r="DP50" i="280"/>
  <c r="DP37" i="280"/>
  <c r="DA36" i="280" l="1"/>
  <c r="CZ74" i="265"/>
  <c r="DA44" i="280"/>
  <c r="DA46" i="280" s="1"/>
  <c r="DA54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Q30" i="265"/>
  <c r="DQ62" i="281"/>
  <c r="DQ63" i="281" s="1"/>
  <c r="CZ53" i="265"/>
  <c r="AG51" i="277"/>
  <c r="DA49" i="280"/>
  <c r="DA51" i="280" s="1"/>
  <c r="DA55" i="280" s="1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56" i="280"/>
  <c r="DA57" i="280" l="1"/>
  <c r="DA14" i="286"/>
  <c r="DA16" i="286" s="1"/>
  <c r="DA18" i="286" s="1"/>
  <c r="DA38" i="280"/>
  <c r="DA39" i="280" s="1"/>
  <c r="DA27" i="280"/>
  <c r="DA28" i="280" s="1"/>
  <c r="DQ50" i="280"/>
  <c r="DQ37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25" i="280"/>
  <c r="DA63" i="265"/>
  <c r="DA65" i="265" s="1"/>
  <c r="DA67" i="265" s="1"/>
  <c r="DA80" i="265" s="1"/>
  <c r="DB36" i="280"/>
  <c r="DA52" i="265"/>
  <c r="DA24" i="265"/>
  <c r="DA82" i="265" l="1"/>
  <c r="DA83" i="265"/>
  <c r="DA25" i="265"/>
  <c r="DB49" i="280"/>
  <c r="DB51" i="280" s="1"/>
  <c r="DB55" i="280" s="1"/>
  <c r="DB44" i="280"/>
  <c r="DB46" i="280" s="1"/>
  <c r="DB54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56" i="280" l="1"/>
  <c r="DS52" i="281"/>
  <c r="DS53" i="281" s="1"/>
  <c r="DR50" i="280"/>
  <c r="DR37" i="280"/>
  <c r="DT114" i="281"/>
  <c r="DT31" i="265" s="1"/>
  <c r="DT123" i="281"/>
  <c r="DT124" i="281" s="1"/>
  <c r="DB14" i="286"/>
  <c r="DB16" i="286" s="1"/>
  <c r="DB18" i="286" s="1"/>
  <c r="DB57" i="280"/>
  <c r="DB38" i="280"/>
  <c r="DB39" i="280" s="1"/>
  <c r="DB27" i="280"/>
  <c r="DB28" i="280" s="1"/>
  <c r="DB74" i="265" l="1"/>
  <c r="DB75" i="265" s="1"/>
  <c r="DB81" i="265" s="1"/>
  <c r="DC25" i="280"/>
  <c r="DB63" i="265"/>
  <c r="DB65" i="265" s="1"/>
  <c r="DB67" i="265" s="1"/>
  <c r="DB80" i="265" s="1"/>
  <c r="DC36" i="280"/>
  <c r="DB24" i="265"/>
  <c r="DB52" i="265"/>
  <c r="DT69" i="265"/>
  <c r="DU121" i="281"/>
  <c r="DS30" i="265"/>
  <c r="DS62" i="281"/>
  <c r="DS63" i="281" s="1"/>
  <c r="DS33" i="265" l="1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C49" i="280"/>
  <c r="DC51" i="280" s="1"/>
  <c r="DC55" i="280" s="1"/>
  <c r="DC44" i="280"/>
  <c r="DC46" i="280" s="1"/>
  <c r="DC54" i="280" s="1"/>
  <c r="DB83" i="265"/>
  <c r="DB82" i="265"/>
  <c r="DC56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50" i="280"/>
  <c r="DS37" i="280"/>
  <c r="DC57" i="280" l="1"/>
  <c r="DC52" i="265" s="1"/>
  <c r="DC38" i="280"/>
  <c r="DC39" i="280" s="1"/>
  <c r="DD36" i="280" s="1"/>
  <c r="DC27" i="280"/>
  <c r="DC28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25" i="280" l="1"/>
  <c r="DT64" i="265"/>
  <c r="AM64" i="277" s="1"/>
  <c r="DU60" i="281"/>
  <c r="DC25" i="265"/>
  <c r="DD49" i="280"/>
  <c r="DD51" i="280" s="1"/>
  <c r="DD55" i="280" s="1"/>
  <c r="DV112" i="281"/>
  <c r="DV113" i="281" s="1"/>
  <c r="DD44" i="280"/>
  <c r="DD46" i="280" s="1"/>
  <c r="DD54" i="280" s="1"/>
  <c r="DD56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0" i="280"/>
  <c r="DT37" i="280"/>
  <c r="DD14" i="286"/>
  <c r="DD16" i="286" s="1"/>
  <c r="DD18" i="286" s="1"/>
  <c r="DD57" i="280"/>
  <c r="DD27" i="280"/>
  <c r="DD28" i="280" s="1"/>
  <c r="DD38" i="280"/>
  <c r="DD39" i="280" s="1"/>
  <c r="DV114" i="281"/>
  <c r="DV31" i="265" s="1"/>
  <c r="DV123" i="281"/>
  <c r="DV124" i="281" s="1"/>
  <c r="DD74" i="265" l="1"/>
  <c r="DE25" i="280"/>
  <c r="DV69" i="265"/>
  <c r="DW121" i="281"/>
  <c r="DD63" i="265"/>
  <c r="DE36" i="280"/>
  <c r="DD24" i="265"/>
  <c r="DD52" i="265"/>
  <c r="DU30" i="265"/>
  <c r="DU62" i="281"/>
  <c r="DU63" i="281" s="1"/>
  <c r="DU64" i="265" l="1"/>
  <c r="DV60" i="281"/>
  <c r="DD53" i="265"/>
  <c r="AH51" i="277"/>
  <c r="DE49" i="280"/>
  <c r="DE51" i="280" s="1"/>
  <c r="DE55" i="280" s="1"/>
  <c r="DW112" i="281"/>
  <c r="DW113" i="281" s="1"/>
  <c r="DE44" i="280"/>
  <c r="DE46" i="280" s="1"/>
  <c r="DE54" i="280" s="1"/>
  <c r="DE56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0" i="280"/>
  <c r="DU37" i="280"/>
  <c r="DE57" i="280"/>
  <c r="DE14" i="286"/>
  <c r="DE16" i="286" s="1"/>
  <c r="DE18" i="286" s="1"/>
  <c r="DE38" i="280"/>
  <c r="DE39" i="280" s="1"/>
  <c r="DE27" i="280"/>
  <c r="DE28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36" i="280"/>
  <c r="DE52" i="265"/>
  <c r="DE24" i="265"/>
  <c r="DE74" i="265"/>
  <c r="DE75" i="265" s="1"/>
  <c r="DE81" i="265" s="1"/>
  <c r="DF25" i="280"/>
  <c r="DV30" i="265"/>
  <c r="DV62" i="281"/>
  <c r="DV63" i="281" s="1"/>
  <c r="DE53" i="265" l="1"/>
  <c r="DV64" i="265"/>
  <c r="DW60" i="281"/>
  <c r="DF44" i="280"/>
  <c r="DF46" i="280" s="1"/>
  <c r="DF54" i="280" s="1"/>
  <c r="DE25" i="265"/>
  <c r="DF49" i="280"/>
  <c r="DF51" i="280" s="1"/>
  <c r="DF55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0" i="280"/>
  <c r="DV37" i="280"/>
  <c r="DX114" i="281"/>
  <c r="DX31" i="265" s="1"/>
  <c r="DX123" i="281"/>
  <c r="DX124" i="281" s="1"/>
  <c r="DF56" i="280"/>
  <c r="DF14" i="286" l="1"/>
  <c r="DF16" i="286" s="1"/>
  <c r="DF18" i="286" s="1"/>
  <c r="DF57" i="280"/>
  <c r="DF38" i="280"/>
  <c r="DF39" i="280" s="1"/>
  <c r="DF27" i="280"/>
  <c r="DF28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36" i="280"/>
  <c r="DW64" i="265"/>
  <c r="DX60" i="281"/>
  <c r="DY112" i="281"/>
  <c r="DY113" i="281" s="1"/>
  <c r="DF74" i="265"/>
  <c r="DF75" i="265" s="1"/>
  <c r="DF81" i="265" s="1"/>
  <c r="DG25" i="280"/>
  <c r="DF24" i="265"/>
  <c r="DF52" i="265"/>
  <c r="AN69" i="277"/>
  <c r="DF53" i="265" l="1"/>
  <c r="DG44" i="280"/>
  <c r="DG46" i="280" s="1"/>
  <c r="DG54" i="280" s="1"/>
  <c r="DX52" i="281"/>
  <c r="DX53" i="281" s="1"/>
  <c r="DG49" i="280"/>
  <c r="DG51" i="280" s="1"/>
  <c r="DG55" i="280" s="1"/>
  <c r="DF25" i="265"/>
  <c r="DY123" i="281"/>
  <c r="DY124" i="281" s="1"/>
  <c r="DY114" i="281"/>
  <c r="DY31" i="265" s="1"/>
  <c r="DF83" i="265"/>
  <c r="DF82" i="265"/>
  <c r="DW37" i="280"/>
  <c r="DW50" i="280"/>
  <c r="DY69" i="265" l="1"/>
  <c r="DZ121" i="281"/>
  <c r="DX30" i="265"/>
  <c r="DX62" i="281"/>
  <c r="DX63" i="281" s="1"/>
  <c r="DG56" i="280"/>
  <c r="DX64" i="265" l="1"/>
  <c r="AN64" i="277" s="1"/>
  <c r="DY60" i="281"/>
  <c r="DZ112" i="281"/>
  <c r="DZ113" i="281" s="1"/>
  <c r="DG57" i="280"/>
  <c r="DG14" i="286"/>
  <c r="DG16" i="286" s="1"/>
  <c r="DG18" i="286" s="1"/>
  <c r="DG38" i="280"/>
  <c r="DG39" i="280" s="1"/>
  <c r="DG27" i="280"/>
  <c r="DG28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25" i="280"/>
  <c r="DY52" i="281"/>
  <c r="DY53" i="281" s="1"/>
  <c r="DX50" i="280"/>
  <c r="DX37" i="280"/>
  <c r="DG63" i="265"/>
  <c r="DG65" i="265" s="1"/>
  <c r="DG67" i="265" s="1"/>
  <c r="DG80" i="265" s="1"/>
  <c r="DH36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49" i="280"/>
  <c r="DH51" i="280" s="1"/>
  <c r="DH55" i="280" s="1"/>
  <c r="DY30" i="265"/>
  <c r="DY62" i="281"/>
  <c r="DY63" i="281" s="1"/>
  <c r="DG82" i="265"/>
  <c r="DG83" i="265"/>
  <c r="DH44" i="280"/>
  <c r="DH46" i="280" s="1"/>
  <c r="DH54" i="280" s="1"/>
  <c r="DH56" i="280" l="1"/>
  <c r="DH57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27" i="280"/>
  <c r="DH28" i="280" s="1"/>
  <c r="DI25" i="280" s="1"/>
  <c r="DH38" i="280"/>
  <c r="DH39" i="280" s="1"/>
  <c r="DI36" i="280" s="1"/>
  <c r="DZ52" i="281"/>
  <c r="DZ53" i="281" s="1"/>
  <c r="DH63" i="265"/>
  <c r="DH24" i="265"/>
  <c r="DH52" i="265"/>
  <c r="DY50" i="280"/>
  <c r="DY37" i="280"/>
  <c r="DH74" i="265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49" i="280"/>
  <c r="DI51" i="280" s="1"/>
  <c r="DI55" i="280" s="1"/>
  <c r="EA31" i="265"/>
  <c r="H114" i="281"/>
  <c r="H31" i="265" s="1"/>
  <c r="H41" i="269" s="1"/>
  <c r="K41" i="269" s="1"/>
  <c r="DI44" i="280"/>
  <c r="DI46" i="280" s="1"/>
  <c r="DI54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56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DI57" i="280"/>
  <c r="DI27" i="280"/>
  <c r="DI28" i="280" s="1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38" i="280" l="1"/>
  <c r="DI39" i="280" s="1"/>
  <c r="DJ36" i="280" s="1"/>
  <c r="H31" i="277"/>
  <c r="J33" i="277"/>
  <c r="DI74" i="265"/>
  <c r="DI75" i="265" s="1"/>
  <c r="DI81" i="265" s="1"/>
  <c r="DJ25" i="280"/>
  <c r="EA52" i="281"/>
  <c r="EA53" i="281" s="1"/>
  <c r="DI63" i="265"/>
  <c r="DI65" i="265" s="1"/>
  <c r="DI67" i="265" s="1"/>
  <c r="DI80" i="265" s="1"/>
  <c r="DI52" i="265"/>
  <c r="DI24" i="265"/>
  <c r="DZ50" i="280"/>
  <c r="DZ37" i="280"/>
  <c r="DI82" i="265" l="1"/>
  <c r="DI83" i="265"/>
  <c r="DI25" i="265"/>
  <c r="DJ49" i="280"/>
  <c r="DJ51" i="280" s="1"/>
  <c r="DJ55" i="280" s="1"/>
  <c r="DJ44" i="280"/>
  <c r="DJ46" i="280" s="1"/>
  <c r="DJ54" i="280" s="1"/>
  <c r="J37" i="277"/>
  <c r="DI53" i="265"/>
  <c r="EA30" i="265"/>
  <c r="EA62" i="281"/>
  <c r="EA63" i="281" s="1"/>
  <c r="EA64" i="265" s="1"/>
  <c r="H53" i="281"/>
  <c r="DJ56" i="280" l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14" i="286"/>
  <c r="DJ16" i="286" s="1"/>
  <c r="DJ18" i="286" s="1"/>
  <c r="DJ57" i="280"/>
  <c r="DJ38" i="280"/>
  <c r="DJ39" i="280" s="1"/>
  <c r="DJ27" i="280"/>
  <c r="DJ28" i="280" s="1"/>
  <c r="DJ74" i="265" l="1"/>
  <c r="DJ75" i="265" s="1"/>
  <c r="DJ81" i="265" s="1"/>
  <c r="DK25" i="280"/>
  <c r="DJ24" i="265"/>
  <c r="DJ52" i="265"/>
  <c r="DJ63" i="265"/>
  <c r="DJ65" i="265" s="1"/>
  <c r="DJ67" i="265" s="1"/>
  <c r="DJ80" i="265" s="1"/>
  <c r="DK36" i="280"/>
  <c r="J46" i="277"/>
  <c r="K33" i="277"/>
  <c r="H30" i="277"/>
  <c r="EA37" i="265"/>
  <c r="H33" i="265"/>
  <c r="H43" i="269" s="1"/>
  <c r="K43" i="269" s="1"/>
  <c r="L40" i="269"/>
  <c r="J40" i="269"/>
  <c r="EA42" i="265" l="1"/>
  <c r="H37" i="265"/>
  <c r="H47" i="269" s="1"/>
  <c r="DK49" i="280"/>
  <c r="DK51" i="280" s="1"/>
  <c r="DK55" i="280" s="1"/>
  <c r="DJ53" i="265"/>
  <c r="DK44" i="280"/>
  <c r="DK46" i="280" s="1"/>
  <c r="DK54" i="280" s="1"/>
  <c r="DK56" i="280" s="1"/>
  <c r="L43" i="269"/>
  <c r="J43" i="269"/>
  <c r="K37" i="277"/>
  <c r="H33" i="277"/>
  <c r="J49" i="277"/>
  <c r="DJ83" i="265"/>
  <c r="DJ82" i="265"/>
  <c r="DJ25" i="265"/>
  <c r="J52" i="277" l="1"/>
  <c r="K41" i="277"/>
  <c r="H37" i="277"/>
  <c r="DK57" i="280"/>
  <c r="DK14" i="286"/>
  <c r="DK16" i="286" s="1"/>
  <c r="DK18" i="286" s="1"/>
  <c r="DK38" i="280"/>
  <c r="DK39" i="280" s="1"/>
  <c r="DK27" i="280"/>
  <c r="DK28" i="280" s="1"/>
  <c r="EA47" i="265"/>
  <c r="H42" i="265"/>
  <c r="H52" i="269" s="1"/>
  <c r="K52" i="269" s="1"/>
  <c r="L52" i="269" l="1"/>
  <c r="J52" i="269"/>
  <c r="DK74" i="265"/>
  <c r="DK75" i="265" s="1"/>
  <c r="DK81" i="265" s="1"/>
  <c r="DL25" i="280"/>
  <c r="EA50" i="265"/>
  <c r="H47" i="265"/>
  <c r="H57" i="269" s="1"/>
  <c r="K57" i="269" s="1"/>
  <c r="DK63" i="265"/>
  <c r="DK65" i="265" s="1"/>
  <c r="DK67" i="265" s="1"/>
  <c r="DK80" i="265" s="1"/>
  <c r="DL36" i="280"/>
  <c r="DK52" i="265"/>
  <c r="DK24" i="265"/>
  <c r="K46" i="277"/>
  <c r="H41" i="277"/>
  <c r="L57" i="269" l="1"/>
  <c r="J57" i="269"/>
  <c r="DL44" i="280"/>
  <c r="DL46" i="280" s="1"/>
  <c r="DL54" i="280" s="1"/>
  <c r="DK25" i="265"/>
  <c r="DL49" i="280"/>
  <c r="DL51" i="280" s="1"/>
  <c r="DL55" i="280" s="1"/>
  <c r="K49" i="277"/>
  <c r="H46" i="277"/>
  <c r="DK53" i="265"/>
  <c r="DK82" i="265"/>
  <c r="DK83" i="265"/>
  <c r="EA50" i="280"/>
  <c r="EA37" i="280"/>
  <c r="H50" i="265"/>
  <c r="H60" i="269" l="1"/>
  <c r="H50" i="280"/>
  <c r="H37" i="280"/>
  <c r="H49" i="277"/>
  <c r="DL56" i="280"/>
  <c r="DL14" i="286" l="1"/>
  <c r="DL16" i="286" s="1"/>
  <c r="DL18" i="286" s="1"/>
  <c r="DL57" i="280"/>
  <c r="DL27" i="280"/>
  <c r="DL28" i="280" s="1"/>
  <c r="DL38" i="280"/>
  <c r="DL39" i="280" s="1"/>
  <c r="DL74" i="265" l="1"/>
  <c r="DM25" i="280"/>
  <c r="DL63" i="265"/>
  <c r="DM36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49" i="280"/>
  <c r="DM51" i="280" s="1"/>
  <c r="DM55" i="280" s="1"/>
  <c r="DM44" i="280"/>
  <c r="DM46" i="280" s="1"/>
  <c r="DM54" i="280" s="1"/>
  <c r="DM56" i="280" s="1"/>
  <c r="DL25" i="265"/>
  <c r="AJ24" i="277"/>
  <c r="AJ25" i="277" s="1"/>
  <c r="AK74" i="277"/>
  <c r="AK75" i="277" s="1"/>
  <c r="AK81" i="277" s="1"/>
  <c r="DL75" i="265"/>
  <c r="DL81" i="265" s="1"/>
  <c r="AK83" i="277" l="1"/>
  <c r="AK82" i="277"/>
  <c r="DM57" i="280"/>
  <c r="DM14" i="286"/>
  <c r="DM16" i="286" s="1"/>
  <c r="DM18" i="286" s="1"/>
  <c r="DM38" i="280"/>
  <c r="DM39" i="280" s="1"/>
  <c r="DM27" i="280"/>
  <c r="DM28" i="280" s="1"/>
  <c r="DL83" i="265"/>
  <c r="DL82" i="265"/>
  <c r="DM74" i="265" l="1"/>
  <c r="DM75" i="265" s="1"/>
  <c r="DM81" i="265" s="1"/>
  <c r="DN25" i="280"/>
  <c r="DM63" i="265"/>
  <c r="DM65" i="265" s="1"/>
  <c r="DM67" i="265" s="1"/>
  <c r="DM80" i="265" s="1"/>
  <c r="DN36" i="280"/>
  <c r="DM52" i="265"/>
  <c r="DM24" i="265"/>
  <c r="DM82" i="265" l="1"/>
  <c r="DM83" i="265"/>
  <c r="DM25" i="265"/>
  <c r="DN49" i="280"/>
  <c r="DN51" i="280" s="1"/>
  <c r="DN55" i="280" s="1"/>
  <c r="DN44" i="280"/>
  <c r="DN46" i="280" s="1"/>
  <c r="DN54" i="280" s="1"/>
  <c r="DM53" i="265"/>
  <c r="DN56" i="280" l="1"/>
  <c r="DN14" i="286" s="1"/>
  <c r="DN16" i="286" s="1"/>
  <c r="DN18" i="286" s="1"/>
  <c r="DN27" i="280" l="1"/>
  <c r="DN28" i="280" s="1"/>
  <c r="DN74" i="265" s="1"/>
  <c r="DN75" i="265" s="1"/>
  <c r="DN81" i="265" s="1"/>
  <c r="DN57" i="280"/>
  <c r="DN52" i="265" s="1"/>
  <c r="DN38" i="280"/>
  <c r="DN39" i="280" s="1"/>
  <c r="DN63" i="265" s="1"/>
  <c r="DN65" i="265" s="1"/>
  <c r="DN67" i="265" s="1"/>
  <c r="DN80" i="265" s="1"/>
  <c r="DN24" i="265"/>
  <c r="DO36" i="280" l="1"/>
  <c r="DO25" i="280"/>
  <c r="DO44" i="280" s="1"/>
  <c r="DO46" i="280" s="1"/>
  <c r="DO54" i="280" s="1"/>
  <c r="DN25" i="265"/>
  <c r="DN53" i="265"/>
  <c r="DO49" i="280"/>
  <c r="DO51" i="280" s="1"/>
  <c r="DO55" i="280" s="1"/>
  <c r="DN83" i="265"/>
  <c r="DN82" i="265"/>
  <c r="DO56" i="280" l="1"/>
  <c r="DO57" i="280" l="1"/>
  <c r="DO14" i="286"/>
  <c r="DO16" i="286" s="1"/>
  <c r="DO18" i="286" s="1"/>
  <c r="DO38" i="280"/>
  <c r="DO39" i="280" s="1"/>
  <c r="DO27" i="280"/>
  <c r="DO28" i="280" s="1"/>
  <c r="DO74" i="265" l="1"/>
  <c r="DO75" i="265" s="1"/>
  <c r="DO81" i="265" s="1"/>
  <c r="DP25" i="280"/>
  <c r="DO63" i="265"/>
  <c r="DO65" i="265" s="1"/>
  <c r="DO67" i="265" s="1"/>
  <c r="DO80" i="265" s="1"/>
  <c r="DP36" i="280"/>
  <c r="DO52" i="265"/>
  <c r="DO24" i="265"/>
  <c r="DO82" i="265" l="1"/>
  <c r="DO83" i="265"/>
  <c r="DO25" i="265"/>
  <c r="DP49" i="280"/>
  <c r="DP51" i="280" s="1"/>
  <c r="DP55" i="280" s="1"/>
  <c r="DP44" i="280"/>
  <c r="DP46" i="280" s="1"/>
  <c r="DP54" i="280" s="1"/>
  <c r="DO53" i="265"/>
  <c r="DP56" i="280" l="1"/>
  <c r="DP14" i="286"/>
  <c r="DP16" i="286" s="1"/>
  <c r="DP18" i="286" s="1"/>
  <c r="DP57" i="280"/>
  <c r="DP27" i="280"/>
  <c r="DP28" i="280" s="1"/>
  <c r="DP38" i="280"/>
  <c r="DP39" i="280" s="1"/>
  <c r="DP74" i="265" l="1"/>
  <c r="DQ25" i="280"/>
  <c r="DP63" i="265"/>
  <c r="DQ36" i="280"/>
  <c r="DP24" i="265"/>
  <c r="DP52" i="265"/>
  <c r="DP25" i="265" l="1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49" i="280"/>
  <c r="DQ51" i="280" s="1"/>
  <c r="DQ55" i="280" s="1"/>
  <c r="DQ44" i="280"/>
  <c r="DQ46" i="280" s="1"/>
  <c r="DQ54" i="280" s="1"/>
  <c r="DQ56" i="280" s="1"/>
  <c r="AL74" i="277"/>
  <c r="AL75" i="277" s="1"/>
  <c r="AL81" i="277" s="1"/>
  <c r="DP75" i="265"/>
  <c r="DP81" i="265" s="1"/>
  <c r="AL83" i="277" l="1"/>
  <c r="AL82" i="277"/>
  <c r="DQ57" i="280"/>
  <c r="DQ14" i="286"/>
  <c r="DQ16" i="286" s="1"/>
  <c r="DQ18" i="286" s="1"/>
  <c r="DQ38" i="280"/>
  <c r="DQ39" i="280" s="1"/>
  <c r="DQ27" i="280"/>
  <c r="DQ28" i="280" s="1"/>
  <c r="DP83" i="265"/>
  <c r="DP82" i="265"/>
  <c r="DQ74" i="265" l="1"/>
  <c r="DQ75" i="265" s="1"/>
  <c r="DQ81" i="265" s="1"/>
  <c r="DR25" i="280"/>
  <c r="DQ63" i="265"/>
  <c r="DQ65" i="265" s="1"/>
  <c r="DQ67" i="265" s="1"/>
  <c r="DQ80" i="265" s="1"/>
  <c r="DR36" i="280"/>
  <c r="DQ52" i="265"/>
  <c r="DQ24" i="265"/>
  <c r="DQ82" i="265" l="1"/>
  <c r="DQ83" i="265"/>
  <c r="DQ25" i="265"/>
  <c r="DR49" i="280"/>
  <c r="DR51" i="280" s="1"/>
  <c r="DR55" i="280" s="1"/>
  <c r="DR44" i="280"/>
  <c r="DR46" i="280" s="1"/>
  <c r="DR54" i="280" s="1"/>
  <c r="DQ53" i="265"/>
  <c r="DR56" i="280" l="1"/>
  <c r="DR14" i="286"/>
  <c r="DR16" i="286" s="1"/>
  <c r="DR18" i="286" s="1"/>
  <c r="DR57" i="280"/>
  <c r="DR38" i="280"/>
  <c r="DR39" i="280" s="1"/>
  <c r="DR27" i="280"/>
  <c r="DR28" i="280" s="1"/>
  <c r="DR63" i="265" l="1"/>
  <c r="DR65" i="265" s="1"/>
  <c r="DR67" i="265" s="1"/>
  <c r="DR80" i="265" s="1"/>
  <c r="DS36" i="280"/>
  <c r="DR74" i="265"/>
  <c r="DR75" i="265" s="1"/>
  <c r="DR81" i="265" s="1"/>
  <c r="DS25" i="280"/>
  <c r="DR24" i="265"/>
  <c r="DR52" i="265"/>
  <c r="DR25" i="265" l="1"/>
  <c r="DR53" i="265"/>
  <c r="DS44" i="280"/>
  <c r="DS46" i="280" s="1"/>
  <c r="DS54" i="280" s="1"/>
  <c r="DS49" i="280"/>
  <c r="DS51" i="280" s="1"/>
  <c r="DS55" i="280" s="1"/>
  <c r="DR83" i="265"/>
  <c r="DR82" i="265"/>
  <c r="DS56" i="280" l="1"/>
  <c r="DS57" i="280" l="1"/>
  <c r="DS14" i="286"/>
  <c r="DS16" i="286" s="1"/>
  <c r="DS18" i="286" s="1"/>
  <c r="DS38" i="280"/>
  <c r="DS39" i="280" s="1"/>
  <c r="DS27" i="280"/>
  <c r="DS28" i="280" s="1"/>
  <c r="DS74" i="265" l="1"/>
  <c r="DS75" i="265" s="1"/>
  <c r="DS81" i="265" s="1"/>
  <c r="DT25" i="280"/>
  <c r="DS63" i="265"/>
  <c r="DS65" i="265" s="1"/>
  <c r="DS67" i="265" s="1"/>
  <c r="DS80" i="265" s="1"/>
  <c r="DT36" i="280"/>
  <c r="DS52" i="265"/>
  <c r="DS24" i="265"/>
  <c r="DS82" i="265" l="1"/>
  <c r="DS83" i="265"/>
  <c r="DS25" i="265"/>
  <c r="DT49" i="280"/>
  <c r="DT51" i="280" s="1"/>
  <c r="DT55" i="280" s="1"/>
  <c r="DT44" i="280"/>
  <c r="DT46" i="280" s="1"/>
  <c r="DT54" i="280" s="1"/>
  <c r="DS53" i="265"/>
  <c r="DT56" i="280" l="1"/>
  <c r="DT14" i="286"/>
  <c r="DT16" i="286" s="1"/>
  <c r="DT18" i="286" s="1"/>
  <c r="DT57" i="280"/>
  <c r="DT27" i="280"/>
  <c r="DT28" i="280" s="1"/>
  <c r="DT38" i="280"/>
  <c r="DT39" i="280" s="1"/>
  <c r="DT74" i="265" l="1"/>
  <c r="DU25" i="280"/>
  <c r="DT63" i="265"/>
  <c r="DU36" i="280"/>
  <c r="DT24" i="265"/>
  <c r="DT52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49" i="280"/>
  <c r="DU51" i="280" s="1"/>
  <c r="DU55" i="280" s="1"/>
  <c r="DU44" i="280"/>
  <c r="DU46" i="280" s="1"/>
  <c r="DU54" i="280" s="1"/>
  <c r="DU56" i="280" s="1"/>
  <c r="AM74" i="277"/>
  <c r="AM75" i="277" s="1"/>
  <c r="AM81" i="277" s="1"/>
  <c r="DT75" i="265"/>
  <c r="DT81" i="265" s="1"/>
  <c r="AM83" i="277" l="1"/>
  <c r="AM82" i="277"/>
  <c r="DU57" i="280"/>
  <c r="DU14" i="286"/>
  <c r="DU16" i="286" s="1"/>
  <c r="DU18" i="286" s="1"/>
  <c r="DU38" i="280"/>
  <c r="DU39" i="280" s="1"/>
  <c r="DU27" i="280"/>
  <c r="DU28" i="280" s="1"/>
  <c r="DT83" i="265"/>
  <c r="DT82" i="265"/>
  <c r="DU74" i="265" l="1"/>
  <c r="DU75" i="265" s="1"/>
  <c r="DU81" i="265" s="1"/>
  <c r="DV25" i="280"/>
  <c r="DU63" i="265"/>
  <c r="DU65" i="265" s="1"/>
  <c r="DU67" i="265" s="1"/>
  <c r="DU80" i="265" s="1"/>
  <c r="DV36" i="280"/>
  <c r="DU52" i="265"/>
  <c r="DU24" i="265"/>
  <c r="DU82" i="265" l="1"/>
  <c r="DU83" i="265"/>
  <c r="DU25" i="265"/>
  <c r="DV49" i="280"/>
  <c r="DV51" i="280" s="1"/>
  <c r="DV55" i="280" s="1"/>
  <c r="DV44" i="280"/>
  <c r="DV46" i="280" s="1"/>
  <c r="DV54" i="280" s="1"/>
  <c r="DU53" i="265"/>
  <c r="DV56" i="280" l="1"/>
  <c r="DV14" i="286" s="1"/>
  <c r="DV16" i="286" s="1"/>
  <c r="DV18" i="286" s="1"/>
  <c r="DV57" i="280"/>
  <c r="DV27" i="280"/>
  <c r="DV28" i="280" s="1"/>
  <c r="DV38" i="280" l="1"/>
  <c r="DV39" i="280" s="1"/>
  <c r="DV63" i="265"/>
  <c r="DV65" i="265" s="1"/>
  <c r="DV67" i="265" s="1"/>
  <c r="DV80" i="265" s="1"/>
  <c r="DW36" i="280"/>
  <c r="DV74" i="265"/>
  <c r="DV75" i="265" s="1"/>
  <c r="DV81" i="265" s="1"/>
  <c r="DW25" i="280"/>
  <c r="DV24" i="265"/>
  <c r="DV52" i="265"/>
  <c r="DV25" i="265" l="1"/>
  <c r="DV53" i="265"/>
  <c r="DW44" i="280"/>
  <c r="DW46" i="280" s="1"/>
  <c r="DW54" i="280" s="1"/>
  <c r="DW49" i="280"/>
  <c r="DW51" i="280" s="1"/>
  <c r="DW55" i="280" s="1"/>
  <c r="DV83" i="265"/>
  <c r="DV82" i="265"/>
  <c r="DW56" i="280" l="1"/>
  <c r="DW57" i="280" l="1"/>
  <c r="DW14" i="286"/>
  <c r="DW16" i="286" s="1"/>
  <c r="DW18" i="286" s="1"/>
  <c r="DW38" i="280"/>
  <c r="DW39" i="280" s="1"/>
  <c r="DW27" i="280"/>
  <c r="DW28" i="280" s="1"/>
  <c r="DW74" i="265" l="1"/>
  <c r="DW75" i="265" s="1"/>
  <c r="DW81" i="265" s="1"/>
  <c r="DX25" i="280"/>
  <c r="DW63" i="265"/>
  <c r="DW65" i="265" s="1"/>
  <c r="DW67" i="265" s="1"/>
  <c r="DW80" i="265" s="1"/>
  <c r="DX36" i="280"/>
  <c r="DW52" i="265"/>
  <c r="DW24" i="265"/>
  <c r="DW82" i="265" l="1"/>
  <c r="DW83" i="265"/>
  <c r="DW25" i="265"/>
  <c r="DX49" i="280"/>
  <c r="DX51" i="280" s="1"/>
  <c r="DX55" i="280" s="1"/>
  <c r="DX44" i="280"/>
  <c r="DX46" i="280" s="1"/>
  <c r="DX54" i="280" s="1"/>
  <c r="DX56" i="280" s="1"/>
  <c r="DW53" i="265"/>
  <c r="DX14" i="286" l="1"/>
  <c r="DX16" i="286" s="1"/>
  <c r="DX18" i="286" s="1"/>
  <c r="DX57" i="280"/>
  <c r="DX27" i="280"/>
  <c r="DX28" i="280" s="1"/>
  <c r="DX38" i="280"/>
  <c r="DX39" i="280" s="1"/>
  <c r="DX74" i="265" l="1"/>
  <c r="DY25" i="280"/>
  <c r="DX63" i="265"/>
  <c r="DY36" i="280"/>
  <c r="DX24" i="265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49" i="280"/>
  <c r="DY51" i="280" s="1"/>
  <c r="DY55" i="280" s="1"/>
  <c r="DY44" i="280"/>
  <c r="DY46" i="280" s="1"/>
  <c r="DY54" i="280" s="1"/>
  <c r="DY56" i="280" s="1"/>
  <c r="AN74" i="277"/>
  <c r="AN75" i="277" s="1"/>
  <c r="AN81" i="277" s="1"/>
  <c r="DX75" i="265"/>
  <c r="DX81" i="265" s="1"/>
  <c r="AN83" i="277" l="1"/>
  <c r="AN82" i="277"/>
  <c r="DY57" i="280"/>
  <c r="DY14" i="286"/>
  <c r="DY16" i="286" s="1"/>
  <c r="DY18" i="286" s="1"/>
  <c r="DY38" i="280"/>
  <c r="DY39" i="280" s="1"/>
  <c r="DY27" i="280"/>
  <c r="DY28" i="280" s="1"/>
  <c r="DX83" i="265"/>
  <c r="DX82" i="265"/>
  <c r="DY74" i="265" l="1"/>
  <c r="DY75" i="265" s="1"/>
  <c r="DY81" i="265" s="1"/>
  <c r="DZ25" i="280"/>
  <c r="DY63" i="265"/>
  <c r="DY65" i="265" s="1"/>
  <c r="DY67" i="265" s="1"/>
  <c r="DY80" i="265" s="1"/>
  <c r="DZ36" i="280"/>
  <c r="DY52" i="265"/>
  <c r="DY24" i="265"/>
  <c r="DY82" i="265" l="1"/>
  <c r="DY83" i="265"/>
  <c r="DY25" i="265"/>
  <c r="DZ49" i="280"/>
  <c r="DZ51" i="280" s="1"/>
  <c r="DZ55" i="280" s="1"/>
  <c r="DZ44" i="280"/>
  <c r="DZ46" i="280" s="1"/>
  <c r="DZ54" i="280" s="1"/>
  <c r="DZ56" i="280" s="1"/>
  <c r="DY53" i="265"/>
  <c r="DZ14" i="286" l="1"/>
  <c r="DZ16" i="286" s="1"/>
  <c r="DZ18" i="286" s="1"/>
  <c r="DZ57" i="280"/>
  <c r="DZ38" i="280"/>
  <c r="DZ39" i="280" s="1"/>
  <c r="DZ27" i="280"/>
  <c r="DZ28" i="280" s="1"/>
  <c r="DZ63" i="265" l="1"/>
  <c r="DZ65" i="265" s="1"/>
  <c r="DZ67" i="265" s="1"/>
  <c r="DZ80" i="265" s="1"/>
  <c r="EA36" i="280"/>
  <c r="DZ74" i="265"/>
  <c r="DZ75" i="265" s="1"/>
  <c r="DZ81" i="265" s="1"/>
  <c r="EA25" i="280"/>
  <c r="DZ24" i="265"/>
  <c r="DZ52" i="265"/>
  <c r="DZ25" i="265" l="1"/>
  <c r="DZ53" i="265"/>
  <c r="EA44" i="280"/>
  <c r="EA46" i="280" s="1"/>
  <c r="EA54" i="280" s="1"/>
  <c r="EA49" i="280"/>
  <c r="EA51" i="280" s="1"/>
  <c r="EA55" i="280" s="1"/>
  <c r="DZ83" i="265"/>
  <c r="DZ82" i="265"/>
  <c r="EA56" i="280" l="1"/>
  <c r="EA14" i="286" l="1"/>
  <c r="EA16" i="286" s="1"/>
  <c r="EA57" i="280"/>
  <c r="EA38" i="280"/>
  <c r="EA39" i="280" s="1"/>
  <c r="EA63" i="265" s="1"/>
  <c r="EA65" i="265" s="1"/>
  <c r="EA67" i="265" s="1"/>
  <c r="EA80" i="265" s="1"/>
  <c r="EA27" i="280"/>
  <c r="EA28" i="280" s="1"/>
  <c r="EA74" i="265" s="1"/>
  <c r="H56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57" i="280"/>
  <c r="H14" i="286"/>
  <c r="H38" i="280"/>
  <c r="H27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16D7805F-DFF3-4776-ACAB-2436925F04E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added once share capital redemption has been calculated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<sst xmlns="http://schemas.openxmlformats.org/spreadsheetml/2006/main" count="420" uniqueCount="251">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</sst>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67" fontId="3" fillId="3" borderId="0" xfId="1" applyFont="1" applyFill="1">
      <alignment vertical="top"/>
    </xf>
    <xf numFmtId="169" fontId="0" fillId="3" borderId="0" xfId="0" applyFill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tabSelected="1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147</v>
      </c>
      <c r="M3" s="168" t="s">
        <v>148</v>
      </c>
      <c r="N3" s="167"/>
      <c r="O3" s="168" t="s">
        <v>149</v>
      </c>
      <c r="P3" s="168" t="s">
        <v>150</v>
      </c>
      <c r="Q3" s="168" t="s">
        <v>151</v>
      </c>
      <c r="R3" s="168" t="s">
        <v>152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165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174</v>
      </c>
      <c r="F24" s="454">
        <f xml:space="preserve"> IF( INDEX(J24:S24, $I$4) = "", INDEX(J24:R24, $I$6), INDEX(J24:S24, $I$4))</f>
        <v>0.33</v>
      </c>
      <c r="G24" s="453" t="s">
        <v>175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176</v>
      </c>
      <c r="F25" s="454">
        <f xml:space="preserve"> IF( INDEX(J25:S25, $I$4) = "", INDEX(J25:R25, $I$6), INDEX(J25:S25, $I$4))</f>
        <v>0.36</v>
      </c>
      <c r="G25" s="453" t="s">
        <v>175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177</v>
      </c>
      <c r="F26" s="454">
        <f xml:space="preserve"> IF( INDEX(J26:S26, $I$4) = "", INDEX(J26:R26, $I$6), INDEX(J26:S26, $I$4))</f>
        <v>0.15499999999999992</v>
      </c>
      <c r="G26" s="453" t="s">
        <v>175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178</v>
      </c>
      <c r="F27" s="454">
        <f xml:space="preserve"> IF( INDEX(J27:S27, $I$4) = "", INDEX(J27:R27, $I$6), INDEX(J27:S27, $I$4))</f>
        <v>0.155</v>
      </c>
      <c r="G27" s="453" t="s">
        <v>175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185</v>
      </c>
      <c r="F29" s="454">
        <f xml:space="preserve"> IF( INDEX(J29:S29, $I$4) = "", INDEX(J29:R29, $I$6), INDEX(J29:S29, $I$4))</f>
        <v>5.0000000000000001E-3</v>
      </c>
      <c r="G29" s="453" t="s">
        <v>173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179</v>
      </c>
      <c r="F30" s="263">
        <f xml:space="preserve"> IF( INDEX(J30:S30, $I$4) = "", INDEX(J30:R30, $I$6), INDEX(J30:S30, $I$4))</f>
        <v>250</v>
      </c>
      <c r="G30" s="106" t="s">
        <v>169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180</v>
      </c>
      <c r="F31" s="460">
        <f xml:space="preserve"> IF( INDEX(J31:S31, $I$4) = "", INDEX(J31:R31, $I$6), INDEX(J31:S31, $I$4))</f>
        <v>0.97</v>
      </c>
      <c r="G31" s="459" t="s">
        <v>166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171</v>
      </c>
      <c r="F33" s="470">
        <f xml:space="preserve"> IF( INDEX(J33:S33, $I$4) = "", INDEX(J33:R33, $I$6), INDEX(J33:S33, $I$4))</f>
        <v>6.5000000000000002E-2</v>
      </c>
      <c r="G33" s="469" t="s">
        <v>172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206</v>
      </c>
    </row>
    <row r="36" spans="1:19" s="434" customFormat="1" x14ac:dyDescent="0.35">
      <c r="A36" s="1"/>
      <c r="B36" s="1"/>
      <c r="C36" s="11"/>
      <c r="D36" s="12"/>
      <c r="E36" s="106" t="s">
        <v>207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219</v>
      </c>
    </row>
    <row r="39" spans="1:19" x14ac:dyDescent="0.35">
      <c r="E39" s="7" t="s">
        <v>246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201</v>
      </c>
    </row>
    <row r="42" spans="1:19" s="434" customFormat="1" x14ac:dyDescent="0.35">
      <c r="A42" s="1"/>
      <c r="B42" s="1"/>
      <c r="C42" s="11"/>
      <c r="D42" s="12"/>
      <c r="E42" s="7" t="s">
        <v>202</v>
      </c>
      <c r="F42" s="263">
        <f xml:space="preserve"> IF( INDEX(J42:S42, $I$4) = "", INDEX(J42:R42, $I$6), INDEX(J42:S42, $I$4))</f>
        <v>60</v>
      </c>
      <c r="G42" s="106" t="s">
        <v>189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218</v>
      </c>
      <c r="F43" s="263">
        <f xml:space="preserve"> IF( INDEX(J43:S43, $I$4) = "", INDEX(J43:R43, $I$6), INDEX(J43:S43, $I$4))</f>
        <v>30</v>
      </c>
      <c r="G43" s="106" t="s">
        <v>189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163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155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159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190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216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221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229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2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182</v>
      </c>
      <c r="F63" s="388">
        <v>1000000</v>
      </c>
      <c r="G63" s="107" t="s">
        <v>181</v>
      </c>
      <c r="H63" s="107"/>
      <c r="I63" s="336"/>
      <c r="J63" s="211"/>
      <c r="N63" s="134"/>
    </row>
    <row r="64" spans="1:19" x14ac:dyDescent="0.35">
      <c r="E64" s="107" t="s">
        <v>153</v>
      </c>
      <c r="F64" s="499">
        <v>1000</v>
      </c>
      <c r="G64" s="107" t="s">
        <v>107</v>
      </c>
      <c r="H64" s="107"/>
    </row>
    <row r="65" spans="1:19" x14ac:dyDescent="0.35">
      <c r="E65" s="106" t="s">
        <v>241</v>
      </c>
      <c r="F65" s="498">
        <v>-9.9999999999999995E-8</v>
      </c>
      <c r="G65" s="106" t="s">
        <v>108</v>
      </c>
    </row>
    <row r="66" spans="1:19" x14ac:dyDescent="0.35">
      <c r="E66" s="106"/>
      <c r="F66" s="497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2" priority="115" operator="equal">
      <formula>"tu"</formula>
    </cfRule>
  </conditionalFormatting>
  <conditionalFormatting sqref="I18">
    <cfRule type="cellIs" dxfId="71" priority="138" operator="equal">
      <formula>"tu"</formula>
    </cfRule>
  </conditionalFormatting>
  <conditionalFormatting sqref="I20:I21">
    <cfRule type="cellIs" dxfId="70" priority="229" operator="equal">
      <formula>"tu"</formula>
    </cfRule>
  </conditionalFormatting>
  <conditionalFormatting sqref="I24:I27">
    <cfRule type="cellIs" dxfId="69" priority="67" operator="equal">
      <formula>"tu"</formula>
    </cfRule>
  </conditionalFormatting>
  <conditionalFormatting sqref="I29:I31">
    <cfRule type="cellIs" dxfId="68" priority="57" operator="equal">
      <formula>"tu"</formula>
    </cfRule>
  </conditionalFormatting>
  <conditionalFormatting sqref="I33">
    <cfRule type="cellIs" dxfId="67" priority="52" operator="equal">
      <formula>"tu"</formula>
    </cfRule>
  </conditionalFormatting>
  <conditionalFormatting sqref="I36">
    <cfRule type="cellIs" dxfId="66" priority="30" operator="equal">
      <formula>"tu"</formula>
    </cfRule>
  </conditionalFormatting>
  <conditionalFormatting sqref="I39">
    <cfRule type="cellIs" dxfId="65" priority="1" operator="equal">
      <formula>"tu"</formula>
    </cfRule>
  </conditionalFormatting>
  <conditionalFormatting sqref="I42:I43">
    <cfRule type="cellIs" dxfId="64" priority="22" operator="equal">
      <formula>"tu"</formula>
    </cfRule>
  </conditionalFormatting>
  <conditionalFormatting sqref="I46:I53">
    <cfRule type="cellIs" dxfId="63" priority="12" operator="equal">
      <formula>"tu"</formula>
    </cfRule>
  </conditionalFormatting>
  <conditionalFormatting sqref="I63">
    <cfRule type="cellIs" dxfId="62" priority="47" operator="equal">
      <formula>"tu"</formula>
    </cfRule>
  </conditionalFormatting>
  <conditionalFormatting sqref="I64:I67">
    <cfRule type="cellIs" dxfId="61" priority="230" operator="equal">
      <formula>1</formula>
    </cfRule>
  </conditionalFormatting>
  <conditionalFormatting sqref="I73:I77">
    <cfRule type="cellIs" dxfId="60" priority="144" operator="equal">
      <formula>"tu"</formula>
    </cfRule>
  </conditionalFormatting>
  <conditionalFormatting sqref="O14:R16">
    <cfRule type="cellIs" dxfId="59" priority="430" operator="equal">
      <formula>""</formula>
    </cfRule>
  </conditionalFormatting>
  <conditionalFormatting sqref="O20:R53">
    <cfRule type="cellIs" dxfId="58" priority="2" operator="equal">
      <formula>""</formula>
    </cfRule>
  </conditionalFormatting>
  <conditionalFormatting sqref="O62:R62">
    <cfRule type="cellIs" dxfId="57" priority="280" operator="equal">
      <formula>""</formula>
    </cfRule>
  </conditionalFormatting>
  <conditionalFormatting sqref="O64:R64">
    <cfRule type="cellIs" dxfId="56" priority="276" operator="equal">
      <formula>""</formula>
    </cfRule>
  </conditionalFormatting>
  <conditionalFormatting sqref="P13:R13 O18:R18 O60:R60">
    <cfRule type="cellIs" dxfId="55" priority="435" operator="equal">
      <formula>""</formula>
    </cfRule>
  </conditionalFormatting>
  <dataValidations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84" activePane="bottomRight" state="frozen"/>
      <selection pane="topRight" activeCell="J1" sqref="J1"/>
      <selection pane="bottomLeft" activeCell="A6" sqref="A6"/>
      <selection pane="bottomRight" activeCell="Y108" sqref="Y108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143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145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146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244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245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501" t="str">
        <f t="shared" ref="E107" si="104" xml:space="preserve"> E$104</f>
        <v>End of useful life of asset</v>
      </c>
      <c r="F107" s="501">
        <f t="shared" ref="F107" si="105" xml:space="preserve"> F$104</f>
        <v>53417</v>
      </c>
      <c r="G107" s="501" t="str">
        <f t="shared" ref="G107:AL107" si="106" xml:space="preserve"> G$104</f>
        <v>date</v>
      </c>
      <c r="H107" s="501">
        <f t="shared" si="106"/>
        <v>0</v>
      </c>
      <c r="I107" s="501">
        <f t="shared" si="106"/>
        <v>0</v>
      </c>
      <c r="J107" s="501">
        <f t="shared" si="106"/>
        <v>0</v>
      </c>
      <c r="K107" s="501">
        <f t="shared" si="106"/>
        <v>0</v>
      </c>
      <c r="L107" s="501">
        <f t="shared" si="106"/>
        <v>0</v>
      </c>
      <c r="M107" s="501">
        <f t="shared" si="106"/>
        <v>0</v>
      </c>
      <c r="N107" s="501">
        <f t="shared" si="106"/>
        <v>0</v>
      </c>
      <c r="O107" s="501">
        <f t="shared" si="106"/>
        <v>0</v>
      </c>
      <c r="P107" s="501">
        <f t="shared" si="106"/>
        <v>0</v>
      </c>
      <c r="Q107" s="501">
        <f t="shared" si="106"/>
        <v>0</v>
      </c>
      <c r="R107" s="501">
        <f t="shared" si="106"/>
        <v>0</v>
      </c>
      <c r="S107" s="501">
        <f t="shared" si="106"/>
        <v>0</v>
      </c>
      <c r="T107" s="501">
        <f t="shared" si="106"/>
        <v>0</v>
      </c>
      <c r="U107" s="501">
        <f t="shared" si="106"/>
        <v>0</v>
      </c>
      <c r="V107" s="501">
        <f t="shared" si="106"/>
        <v>0</v>
      </c>
      <c r="W107" s="501">
        <f t="shared" si="106"/>
        <v>0</v>
      </c>
      <c r="X107" s="501">
        <f t="shared" si="106"/>
        <v>0</v>
      </c>
      <c r="Y107" s="501">
        <f t="shared" si="106"/>
        <v>0</v>
      </c>
      <c r="Z107" s="501">
        <f t="shared" si="106"/>
        <v>0</v>
      </c>
      <c r="AA107" s="501">
        <f t="shared" si="106"/>
        <v>0</v>
      </c>
      <c r="AB107" s="501">
        <f t="shared" si="106"/>
        <v>0</v>
      </c>
      <c r="AC107" s="501">
        <f t="shared" si="106"/>
        <v>0</v>
      </c>
      <c r="AD107" s="501">
        <f t="shared" si="106"/>
        <v>0</v>
      </c>
      <c r="AE107" s="501">
        <f t="shared" si="106"/>
        <v>0</v>
      </c>
      <c r="AF107" s="501">
        <f t="shared" si="106"/>
        <v>0</v>
      </c>
      <c r="AG107" s="501">
        <f t="shared" si="106"/>
        <v>0</v>
      </c>
      <c r="AH107" s="501">
        <f t="shared" si="106"/>
        <v>0</v>
      </c>
      <c r="AI107" s="501">
        <f t="shared" si="106"/>
        <v>0</v>
      </c>
      <c r="AJ107" s="501">
        <f t="shared" si="106"/>
        <v>0</v>
      </c>
      <c r="AK107" s="501">
        <f t="shared" si="106"/>
        <v>0</v>
      </c>
      <c r="AL107" s="501">
        <f t="shared" si="106"/>
        <v>0</v>
      </c>
      <c r="AM107" s="501">
        <f t="shared" ref="AM107:BR107" si="107" xml:space="preserve"> AM$104</f>
        <v>0</v>
      </c>
      <c r="AN107" s="501">
        <f t="shared" si="107"/>
        <v>0</v>
      </c>
      <c r="AO107" s="501">
        <f t="shared" si="107"/>
        <v>0</v>
      </c>
      <c r="AP107" s="501">
        <f t="shared" si="107"/>
        <v>0</v>
      </c>
      <c r="AQ107" s="501">
        <f t="shared" si="107"/>
        <v>0</v>
      </c>
      <c r="AR107" s="501">
        <f t="shared" si="107"/>
        <v>0</v>
      </c>
      <c r="AS107" s="501">
        <f t="shared" si="107"/>
        <v>0</v>
      </c>
      <c r="AT107" s="501">
        <f t="shared" si="107"/>
        <v>0</v>
      </c>
      <c r="AU107" s="501">
        <f t="shared" si="107"/>
        <v>0</v>
      </c>
      <c r="AV107" s="501">
        <f t="shared" si="107"/>
        <v>0</v>
      </c>
      <c r="AW107" s="501">
        <f t="shared" si="107"/>
        <v>0</v>
      </c>
      <c r="AX107" s="501">
        <f t="shared" si="107"/>
        <v>0</v>
      </c>
      <c r="AY107" s="501">
        <f t="shared" si="107"/>
        <v>0</v>
      </c>
      <c r="AZ107" s="501">
        <f t="shared" si="107"/>
        <v>0</v>
      </c>
      <c r="BA107" s="501">
        <f t="shared" si="107"/>
        <v>0</v>
      </c>
      <c r="BB107" s="501">
        <f t="shared" si="107"/>
        <v>0</v>
      </c>
      <c r="BC107" s="501">
        <f t="shared" si="107"/>
        <v>0</v>
      </c>
      <c r="BD107" s="501">
        <f t="shared" si="107"/>
        <v>0</v>
      </c>
      <c r="BE107" s="501">
        <f t="shared" si="107"/>
        <v>0</v>
      </c>
      <c r="BF107" s="501">
        <f t="shared" si="107"/>
        <v>0</v>
      </c>
      <c r="BG107" s="501">
        <f t="shared" si="107"/>
        <v>0</v>
      </c>
      <c r="BH107" s="501">
        <f t="shared" si="107"/>
        <v>0</v>
      </c>
      <c r="BI107" s="501">
        <f t="shared" si="107"/>
        <v>0</v>
      </c>
      <c r="BJ107" s="501">
        <f t="shared" si="107"/>
        <v>0</v>
      </c>
      <c r="BK107" s="501">
        <f t="shared" si="107"/>
        <v>0</v>
      </c>
      <c r="BL107" s="501">
        <f t="shared" si="107"/>
        <v>0</v>
      </c>
      <c r="BM107" s="501">
        <f t="shared" si="107"/>
        <v>0</v>
      </c>
      <c r="BN107" s="501">
        <f t="shared" si="107"/>
        <v>0</v>
      </c>
      <c r="BO107" s="501">
        <f t="shared" si="107"/>
        <v>0</v>
      </c>
      <c r="BP107" s="501">
        <f t="shared" si="107"/>
        <v>0</v>
      </c>
      <c r="BQ107" s="501">
        <f t="shared" si="107"/>
        <v>0</v>
      </c>
      <c r="BR107" s="501">
        <f t="shared" si="107"/>
        <v>0</v>
      </c>
      <c r="BS107" s="501">
        <f t="shared" ref="BS107:CX107" si="108" xml:space="preserve"> BS$104</f>
        <v>0</v>
      </c>
      <c r="BT107" s="501">
        <f t="shared" si="108"/>
        <v>0</v>
      </c>
      <c r="BU107" s="501">
        <f t="shared" si="108"/>
        <v>0</v>
      </c>
      <c r="BV107" s="501">
        <f t="shared" si="108"/>
        <v>0</v>
      </c>
      <c r="BW107" s="501">
        <f t="shared" si="108"/>
        <v>0</v>
      </c>
      <c r="BX107" s="501">
        <f t="shared" si="108"/>
        <v>0</v>
      </c>
      <c r="BY107" s="501">
        <f t="shared" si="108"/>
        <v>0</v>
      </c>
      <c r="BZ107" s="501">
        <f t="shared" si="108"/>
        <v>0</v>
      </c>
      <c r="CA107" s="501">
        <f t="shared" si="108"/>
        <v>0</v>
      </c>
      <c r="CB107" s="501">
        <f t="shared" si="108"/>
        <v>0</v>
      </c>
      <c r="CC107" s="501">
        <f t="shared" si="108"/>
        <v>0</v>
      </c>
      <c r="CD107" s="501">
        <f t="shared" si="108"/>
        <v>0</v>
      </c>
      <c r="CE107" s="501">
        <f t="shared" si="108"/>
        <v>0</v>
      </c>
      <c r="CF107" s="501">
        <f t="shared" si="108"/>
        <v>0</v>
      </c>
      <c r="CG107" s="501">
        <f t="shared" si="108"/>
        <v>0</v>
      </c>
      <c r="CH107" s="501">
        <f t="shared" si="108"/>
        <v>0</v>
      </c>
      <c r="CI107" s="501">
        <f t="shared" si="108"/>
        <v>0</v>
      </c>
      <c r="CJ107" s="501">
        <f t="shared" si="108"/>
        <v>0</v>
      </c>
      <c r="CK107" s="501">
        <f t="shared" si="108"/>
        <v>0</v>
      </c>
      <c r="CL107" s="501">
        <f t="shared" si="108"/>
        <v>0</v>
      </c>
      <c r="CM107" s="501">
        <f t="shared" si="108"/>
        <v>0</v>
      </c>
      <c r="CN107" s="501">
        <f t="shared" si="108"/>
        <v>0</v>
      </c>
      <c r="CO107" s="501">
        <f t="shared" si="108"/>
        <v>0</v>
      </c>
      <c r="CP107" s="501">
        <f t="shared" si="108"/>
        <v>0</v>
      </c>
      <c r="CQ107" s="501">
        <f t="shared" si="108"/>
        <v>0</v>
      </c>
      <c r="CR107" s="501">
        <f t="shared" si="108"/>
        <v>0</v>
      </c>
      <c r="CS107" s="501">
        <f t="shared" si="108"/>
        <v>0</v>
      </c>
      <c r="CT107" s="501">
        <f t="shared" si="108"/>
        <v>0</v>
      </c>
      <c r="CU107" s="501">
        <f t="shared" si="108"/>
        <v>0</v>
      </c>
      <c r="CV107" s="501">
        <f t="shared" si="108"/>
        <v>0</v>
      </c>
      <c r="CW107" s="501">
        <f t="shared" si="108"/>
        <v>0</v>
      </c>
      <c r="CX107" s="501">
        <f t="shared" si="108"/>
        <v>0</v>
      </c>
      <c r="CY107" s="501">
        <f t="shared" ref="CY107:EA107" si="109" xml:space="preserve"> CY$104</f>
        <v>0</v>
      </c>
      <c r="CZ107" s="501">
        <f t="shared" si="109"/>
        <v>0</v>
      </c>
      <c r="DA107" s="501">
        <f t="shared" si="109"/>
        <v>0</v>
      </c>
      <c r="DB107" s="501">
        <f t="shared" si="109"/>
        <v>0</v>
      </c>
      <c r="DC107" s="501">
        <f t="shared" si="109"/>
        <v>0</v>
      </c>
      <c r="DD107" s="501">
        <f t="shared" si="109"/>
        <v>0</v>
      </c>
      <c r="DE107" s="501">
        <f t="shared" si="109"/>
        <v>0</v>
      </c>
      <c r="DF107" s="501">
        <f t="shared" si="109"/>
        <v>0</v>
      </c>
      <c r="DG107" s="501">
        <f t="shared" si="109"/>
        <v>0</v>
      </c>
      <c r="DH107" s="501">
        <f t="shared" si="109"/>
        <v>0</v>
      </c>
      <c r="DI107" s="501">
        <f t="shared" si="109"/>
        <v>0</v>
      </c>
      <c r="DJ107" s="501">
        <f t="shared" si="109"/>
        <v>0</v>
      </c>
      <c r="DK107" s="501">
        <f t="shared" si="109"/>
        <v>0</v>
      </c>
      <c r="DL107" s="501">
        <f t="shared" si="109"/>
        <v>0</v>
      </c>
      <c r="DM107" s="501">
        <f t="shared" si="109"/>
        <v>0</v>
      </c>
      <c r="DN107" s="501">
        <f t="shared" si="109"/>
        <v>0</v>
      </c>
      <c r="DO107" s="501">
        <f t="shared" si="109"/>
        <v>0</v>
      </c>
      <c r="DP107" s="501">
        <f t="shared" si="109"/>
        <v>0</v>
      </c>
      <c r="DQ107" s="501">
        <f t="shared" si="109"/>
        <v>0</v>
      </c>
      <c r="DR107" s="501">
        <f t="shared" si="109"/>
        <v>0</v>
      </c>
      <c r="DS107" s="501">
        <f t="shared" si="109"/>
        <v>0</v>
      </c>
      <c r="DT107" s="501">
        <f t="shared" si="109"/>
        <v>0</v>
      </c>
      <c r="DU107" s="501">
        <f t="shared" si="109"/>
        <v>0</v>
      </c>
      <c r="DV107" s="501">
        <f t="shared" si="109"/>
        <v>0</v>
      </c>
      <c r="DW107" s="501">
        <f t="shared" si="109"/>
        <v>0</v>
      </c>
      <c r="DX107" s="501">
        <f t="shared" si="109"/>
        <v>0</v>
      </c>
      <c r="DY107" s="501">
        <f t="shared" si="109"/>
        <v>0</v>
      </c>
      <c r="DZ107" s="501">
        <f t="shared" si="109"/>
        <v>0</v>
      </c>
      <c r="EA107" s="501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244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142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144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144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193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194</v>
      </c>
      <c r="F138" s="147"/>
      <c r="G138" s="147" t="s">
        <v>189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165</v>
      </c>
    </row>
    <row r="9" spans="1:131" hidden="1" outlineLevel="1" x14ac:dyDescent="0.35"/>
    <row r="10" spans="1:131" hidden="1" outlineLevel="1" x14ac:dyDescent="0.35">
      <c r="B10" s="8" t="s">
        <v>183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184</v>
      </c>
      <c r="F14" s="190"/>
      <c r="G14" s="190" t="s">
        <v>166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167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167</v>
      </c>
      <c r="G23" s="7" t="s">
        <v>166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168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168</v>
      </c>
      <c r="F30" s="21"/>
      <c r="G30" s="21" t="s">
        <v>169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170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170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187</v>
      </c>
    </row>
    <row r="42" spans="1:131" hidden="1" outlineLevel="1" x14ac:dyDescent="0.35"/>
    <row r="43" spans="1:131" hidden="1" outlineLevel="1" x14ac:dyDescent="0.35">
      <c r="B43" s="8" t="s">
        <v>188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188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195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204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205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195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196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199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196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200</v>
      </c>
    </row>
    <row r="68" spans="1:131" hidden="1" outlineLevel="1" x14ac:dyDescent="0.35"/>
    <row r="69" spans="1:131" hidden="1" outlineLevel="1" x14ac:dyDescent="0.35">
      <c r="B69" s="8" t="s">
        <v>198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197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195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195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191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192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206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209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208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211</v>
      </c>
    </row>
    <row r="102" spans="1:131" outlineLevel="1" x14ac:dyDescent="0.35"/>
    <row r="103" spans="1:131" outlineLevel="1" x14ac:dyDescent="0.35">
      <c r="B103" s="8" t="s">
        <v>212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212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195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204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205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215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213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214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213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243</v>
      </c>
    </row>
    <row r="11" spans="1:131" s="500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6" customFormat="1" outlineLevel="2" x14ac:dyDescent="0.35">
      <c r="A13" s="503"/>
      <c r="B13" s="503"/>
      <c r="C13" s="504"/>
      <c r="D13" s="505"/>
      <c r="E13" s="505" t="str">
        <f xml:space="preserve"> InpC!E$60</f>
        <v>Number of periods in a year</v>
      </c>
      <c r="F13" s="505">
        <f xml:space="preserve"> InpC!F$60</f>
        <v>4</v>
      </c>
      <c r="G13" s="505" t="str">
        <f xml:space="preserve"> InpC!G$60</f>
        <v>periods</v>
      </c>
      <c r="H13" s="505"/>
      <c r="I13" s="505"/>
      <c r="J13" s="505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  <c r="AL13" s="505"/>
      <c r="AM13" s="505"/>
      <c r="AN13" s="505"/>
      <c r="AO13" s="505"/>
      <c r="AP13" s="505"/>
      <c r="AQ13" s="505"/>
      <c r="AR13" s="505"/>
      <c r="AS13" s="505"/>
      <c r="AT13" s="505"/>
      <c r="AU13" s="505"/>
      <c r="AV13" s="505"/>
      <c r="AW13" s="505"/>
      <c r="AX13" s="505"/>
      <c r="AY13" s="505"/>
      <c r="AZ13" s="505"/>
      <c r="BA13" s="505"/>
      <c r="BB13" s="505"/>
      <c r="BC13" s="505"/>
      <c r="BD13" s="505"/>
      <c r="BE13" s="505"/>
      <c r="BF13" s="505"/>
      <c r="BG13" s="505"/>
      <c r="BH13" s="505"/>
      <c r="BI13" s="505"/>
      <c r="BJ13" s="505"/>
      <c r="BK13" s="505"/>
      <c r="BL13" s="505"/>
      <c r="BM13" s="505"/>
      <c r="BN13" s="505"/>
      <c r="BO13" s="505"/>
      <c r="BP13" s="505"/>
      <c r="BQ13" s="505"/>
      <c r="BR13" s="505"/>
      <c r="BS13" s="505"/>
      <c r="BT13" s="505"/>
      <c r="BU13" s="505"/>
      <c r="BV13" s="505"/>
      <c r="BW13" s="505"/>
      <c r="BX13" s="505"/>
      <c r="BY13" s="505"/>
      <c r="BZ13" s="505"/>
      <c r="CA13" s="505"/>
      <c r="CB13" s="505"/>
      <c r="CC13" s="505"/>
      <c r="CD13" s="505"/>
      <c r="CE13" s="505"/>
      <c r="CF13" s="505"/>
      <c r="CG13" s="505"/>
      <c r="CH13" s="505"/>
      <c r="CI13" s="505"/>
      <c r="CJ13" s="505"/>
      <c r="CK13" s="505"/>
      <c r="CL13" s="505"/>
      <c r="CM13" s="505"/>
      <c r="CN13" s="505"/>
      <c r="CO13" s="505"/>
      <c r="CP13" s="505"/>
      <c r="CQ13" s="505"/>
      <c r="CR13" s="505"/>
      <c r="CS13" s="505"/>
      <c r="CT13" s="505"/>
      <c r="CU13" s="505"/>
      <c r="CV13" s="505"/>
      <c r="CW13" s="505"/>
      <c r="CX13" s="505"/>
      <c r="CY13" s="505"/>
      <c r="CZ13" s="505"/>
      <c r="DA13" s="505"/>
      <c r="DB13" s="505"/>
      <c r="DC13" s="505"/>
      <c r="DD13" s="505"/>
      <c r="DE13" s="505"/>
      <c r="DF13" s="505"/>
      <c r="DG13" s="505"/>
      <c r="DH13" s="505"/>
      <c r="DI13" s="505"/>
      <c r="DJ13" s="505"/>
      <c r="DK13" s="505"/>
      <c r="DL13" s="505"/>
      <c r="DM13" s="505"/>
      <c r="DN13" s="505"/>
      <c r="DO13" s="505"/>
      <c r="DP13" s="505"/>
      <c r="DQ13" s="505"/>
      <c r="DR13" s="505"/>
      <c r="DS13" s="505"/>
      <c r="DT13" s="505"/>
      <c r="DU13" s="505"/>
      <c r="DV13" s="505"/>
      <c r="DW13" s="505"/>
      <c r="DX13" s="505"/>
      <c r="DY13" s="505"/>
      <c r="DZ13" s="505"/>
      <c r="EA13" s="505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247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220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222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226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220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E56" sqref="E5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223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InpC!E$51</f>
        <v>Share capital - initial balance</v>
      </c>
      <c r="F10" s="435">
        <f xml:space="preserve"> InpC!F$51</f>
        <v>100000</v>
      </c>
      <c r="G10" s="435" t="str">
        <f xml:space="preserve"> InpC!G$51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224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227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228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225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158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InpC!E$46</f>
        <v xml:space="preserve">Retained earnings - initial balance </v>
      </c>
      <c r="F22" s="435">
        <f xml:space="preserve"> InpC!F$46</f>
        <v>0</v>
      </c>
      <c r="G22" s="435" t="str">
        <f xml:space="preserve"> InpC!G$46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156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2305.3983516483513</v>
      </c>
      <c r="O25" s="169">
        <f t="shared" si="8"/>
        <v>1577.252377717391</v>
      </c>
      <c r="P25" s="169">
        <f t="shared" si="8"/>
        <v>0</v>
      </c>
      <c r="Q25" s="169">
        <f t="shared" si="8"/>
        <v>0</v>
      </c>
      <c r="R25" s="169">
        <f t="shared" si="8"/>
        <v>0</v>
      </c>
      <c r="S25" s="169">
        <f t="shared" si="8"/>
        <v>0</v>
      </c>
      <c r="T25" s="169">
        <f t="shared" si="8"/>
        <v>0</v>
      </c>
      <c r="U25" s="169">
        <f t="shared" si="8"/>
        <v>0</v>
      </c>
      <c r="V25" s="169">
        <f t="shared" si="8"/>
        <v>0</v>
      </c>
      <c r="W25" s="169">
        <f t="shared" si="8"/>
        <v>0</v>
      </c>
      <c r="X25" s="169">
        <f t="shared" si="8"/>
        <v>0</v>
      </c>
      <c r="Y25" s="169">
        <f t="shared" si="8"/>
        <v>0</v>
      </c>
      <c r="Z25" s="169">
        <f t="shared" si="8"/>
        <v>0</v>
      </c>
      <c r="AA25" s="169">
        <f t="shared" si="8"/>
        <v>0</v>
      </c>
      <c r="AB25" s="169">
        <f t="shared" si="8"/>
        <v>0</v>
      </c>
      <c r="AC25" s="169">
        <f t="shared" si="8"/>
        <v>0</v>
      </c>
      <c r="AD25" s="169">
        <f t="shared" si="8"/>
        <v>0</v>
      </c>
      <c r="AE25" s="169">
        <f t="shared" si="8"/>
        <v>0</v>
      </c>
      <c r="AF25" s="169">
        <f t="shared" si="8"/>
        <v>0</v>
      </c>
      <c r="AG25" s="169">
        <f t="shared" si="8"/>
        <v>0</v>
      </c>
      <c r="AH25" s="169">
        <f t="shared" si="8"/>
        <v>0</v>
      </c>
      <c r="AI25" s="169">
        <f t="shared" si="8"/>
        <v>0</v>
      </c>
      <c r="AJ25" s="169">
        <f t="shared" si="8"/>
        <v>0</v>
      </c>
      <c r="AK25" s="169">
        <f t="shared" si="8"/>
        <v>0</v>
      </c>
      <c r="AL25" s="169">
        <f t="shared" si="8"/>
        <v>0</v>
      </c>
      <c r="AM25" s="169">
        <f t="shared" si="8"/>
        <v>0</v>
      </c>
      <c r="AN25" s="169">
        <f t="shared" si="8"/>
        <v>0</v>
      </c>
      <c r="AO25" s="169">
        <f t="shared" si="8"/>
        <v>0</v>
      </c>
      <c r="AP25" s="169">
        <f t="shared" si="8"/>
        <v>0</v>
      </c>
      <c r="AQ25" s="169">
        <f t="shared" si="8"/>
        <v>0</v>
      </c>
      <c r="AR25" s="169">
        <f t="shared" si="8"/>
        <v>0</v>
      </c>
      <c r="AS25" s="169">
        <f t="shared" si="8"/>
        <v>0</v>
      </c>
      <c r="AT25" s="169">
        <f t="shared" si="8"/>
        <v>0</v>
      </c>
      <c r="AU25" s="169">
        <f t="shared" si="8"/>
        <v>0</v>
      </c>
      <c r="AV25" s="169">
        <f t="shared" si="8"/>
        <v>0</v>
      </c>
      <c r="AW25" s="169">
        <f t="shared" si="8"/>
        <v>0</v>
      </c>
      <c r="AX25" s="169">
        <f t="shared" si="8"/>
        <v>0</v>
      </c>
      <c r="AY25" s="169">
        <f t="shared" si="8"/>
        <v>0</v>
      </c>
      <c r="AZ25" s="169">
        <f t="shared" si="8"/>
        <v>0</v>
      </c>
      <c r="BA25" s="169">
        <f t="shared" si="8"/>
        <v>0</v>
      </c>
      <c r="BB25" s="169">
        <f t="shared" si="8"/>
        <v>0</v>
      </c>
      <c r="BC25" s="169">
        <f t="shared" si="8"/>
        <v>0</v>
      </c>
      <c r="BD25" s="169">
        <f t="shared" si="8"/>
        <v>0</v>
      </c>
      <c r="BE25" s="169">
        <f t="shared" si="8"/>
        <v>0</v>
      </c>
      <c r="BF25" s="169">
        <f t="shared" si="8"/>
        <v>0</v>
      </c>
      <c r="BG25" s="169">
        <f t="shared" si="8"/>
        <v>0</v>
      </c>
      <c r="BH25" s="169">
        <f t="shared" si="8"/>
        <v>0</v>
      </c>
      <c r="BI25" s="169">
        <f t="shared" si="8"/>
        <v>0</v>
      </c>
      <c r="BJ25" s="169">
        <f t="shared" si="8"/>
        <v>0</v>
      </c>
      <c r="BK25" s="169">
        <f t="shared" si="8"/>
        <v>0</v>
      </c>
      <c r="BL25" s="169">
        <f t="shared" si="8"/>
        <v>0</v>
      </c>
      <c r="BM25" s="169">
        <f t="shared" si="8"/>
        <v>0</v>
      </c>
      <c r="BN25" s="169">
        <f t="shared" si="8"/>
        <v>0</v>
      </c>
      <c r="BO25" s="169">
        <f t="shared" si="8"/>
        <v>0</v>
      </c>
      <c r="BP25" s="169">
        <f t="shared" si="8"/>
        <v>0</v>
      </c>
      <c r="BQ25" s="169">
        <f t="shared" si="8"/>
        <v>0</v>
      </c>
      <c r="BR25" s="169">
        <f t="shared" si="8"/>
        <v>0</v>
      </c>
      <c r="BS25" s="169">
        <f t="shared" si="8"/>
        <v>0</v>
      </c>
      <c r="BT25" s="169">
        <f t="shared" si="8"/>
        <v>0</v>
      </c>
      <c r="BU25" s="169">
        <f t="shared" si="8"/>
        <v>0</v>
      </c>
      <c r="BV25" s="169">
        <f t="shared" ref="BV25:EA25" si="9">BU28</f>
        <v>0</v>
      </c>
      <c r="BW25" s="169">
        <f t="shared" si="9"/>
        <v>0</v>
      </c>
      <c r="BX25" s="169">
        <f t="shared" si="9"/>
        <v>0</v>
      </c>
      <c r="BY25" s="169">
        <f t="shared" si="9"/>
        <v>0</v>
      </c>
      <c r="BZ25" s="169">
        <f t="shared" si="9"/>
        <v>0</v>
      </c>
      <c r="CA25" s="169">
        <f t="shared" si="9"/>
        <v>0</v>
      </c>
      <c r="CB25" s="169">
        <f t="shared" si="9"/>
        <v>0</v>
      </c>
      <c r="CC25" s="169">
        <f t="shared" si="9"/>
        <v>0</v>
      </c>
      <c r="CD25" s="169">
        <f t="shared" si="9"/>
        <v>0</v>
      </c>
      <c r="CE25" s="169">
        <f t="shared" si="9"/>
        <v>0</v>
      </c>
      <c r="CF25" s="169">
        <f t="shared" si="9"/>
        <v>0</v>
      </c>
      <c r="CG25" s="169">
        <f t="shared" si="9"/>
        <v>0</v>
      </c>
      <c r="CH25" s="169">
        <f t="shared" si="9"/>
        <v>0</v>
      </c>
      <c r="CI25" s="169">
        <f t="shared" si="9"/>
        <v>0</v>
      </c>
      <c r="CJ25" s="169">
        <f t="shared" si="9"/>
        <v>0</v>
      </c>
      <c r="CK25" s="169">
        <f t="shared" si="9"/>
        <v>0</v>
      </c>
      <c r="CL25" s="169">
        <f t="shared" si="9"/>
        <v>0</v>
      </c>
      <c r="CM25" s="169">
        <f t="shared" si="9"/>
        <v>0</v>
      </c>
      <c r="CN25" s="169">
        <f t="shared" si="9"/>
        <v>0</v>
      </c>
      <c r="CO25" s="169">
        <f t="shared" si="9"/>
        <v>0</v>
      </c>
      <c r="CP25" s="169">
        <f t="shared" si="9"/>
        <v>0</v>
      </c>
      <c r="CQ25" s="169">
        <f t="shared" si="9"/>
        <v>0</v>
      </c>
      <c r="CR25" s="169">
        <f t="shared" si="9"/>
        <v>0</v>
      </c>
      <c r="CS25" s="169">
        <f t="shared" si="9"/>
        <v>0</v>
      </c>
      <c r="CT25" s="169">
        <f t="shared" si="9"/>
        <v>0</v>
      </c>
      <c r="CU25" s="169">
        <f t="shared" si="9"/>
        <v>0</v>
      </c>
      <c r="CV25" s="169">
        <f t="shared" si="9"/>
        <v>0</v>
      </c>
      <c r="CW25" s="169">
        <f t="shared" si="9"/>
        <v>0</v>
      </c>
      <c r="CX25" s="169">
        <f t="shared" si="9"/>
        <v>0</v>
      </c>
      <c r="CY25" s="169">
        <f t="shared" si="9"/>
        <v>0</v>
      </c>
      <c r="CZ25" s="169">
        <f t="shared" si="9"/>
        <v>0</v>
      </c>
      <c r="DA25" s="169">
        <f t="shared" si="9"/>
        <v>0</v>
      </c>
      <c r="DB25" s="169">
        <f t="shared" si="9"/>
        <v>0</v>
      </c>
      <c r="DC25" s="169">
        <f t="shared" si="9"/>
        <v>0</v>
      </c>
      <c r="DD25" s="169">
        <f t="shared" si="9"/>
        <v>0</v>
      </c>
      <c r="DE25" s="169">
        <f t="shared" si="9"/>
        <v>0</v>
      </c>
      <c r="DF25" s="169">
        <f t="shared" si="9"/>
        <v>0</v>
      </c>
      <c r="DG25" s="169">
        <f t="shared" si="9"/>
        <v>0</v>
      </c>
      <c r="DH25" s="169">
        <f t="shared" si="9"/>
        <v>0</v>
      </c>
      <c r="DI25" s="169">
        <f t="shared" si="9"/>
        <v>0</v>
      </c>
      <c r="DJ25" s="169">
        <f t="shared" si="9"/>
        <v>0</v>
      </c>
      <c r="DK25" s="169">
        <f t="shared" si="9"/>
        <v>0</v>
      </c>
      <c r="DL25" s="169">
        <f t="shared" si="9"/>
        <v>0</v>
      </c>
      <c r="DM25" s="169">
        <f t="shared" si="9"/>
        <v>0</v>
      </c>
      <c r="DN25" s="169">
        <f t="shared" si="9"/>
        <v>0</v>
      </c>
      <c r="DO25" s="169">
        <f t="shared" si="9"/>
        <v>0</v>
      </c>
      <c r="DP25" s="169">
        <f t="shared" si="9"/>
        <v>0</v>
      </c>
      <c r="DQ25" s="169">
        <f t="shared" si="9"/>
        <v>0</v>
      </c>
      <c r="DR25" s="169">
        <f t="shared" si="9"/>
        <v>0</v>
      </c>
      <c r="DS25" s="169">
        <f t="shared" si="9"/>
        <v>0</v>
      </c>
      <c r="DT25" s="169">
        <f t="shared" si="9"/>
        <v>0</v>
      </c>
      <c r="DU25" s="169">
        <f t="shared" si="9"/>
        <v>0</v>
      </c>
      <c r="DV25" s="169">
        <f t="shared" si="9"/>
        <v>0</v>
      </c>
      <c r="DW25" s="169">
        <f t="shared" si="9"/>
        <v>0</v>
      </c>
      <c r="DX25" s="169">
        <f t="shared" si="9"/>
        <v>0</v>
      </c>
      <c r="DY25" s="169">
        <f t="shared" si="9"/>
        <v>0</v>
      </c>
      <c r="DZ25" s="169">
        <f t="shared" si="9"/>
        <v>0</v>
      </c>
      <c r="EA25" s="169">
        <f t="shared" si="9"/>
        <v>0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222667.04122730848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3824.75</v>
      </c>
      <c r="N26" s="428">
        <f xml:space="preserve"> 'FS Qtr'!N$22</f>
        <v>4295.7406250000004</v>
      </c>
      <c r="O26" s="428">
        <f xml:space="preserve"> 'FS Qtr'!O$22</f>
        <v>1062.5343281249989</v>
      </c>
      <c r="P26" s="428">
        <f xml:space="preserve"> 'FS Qtr'!P$22</f>
        <v>1060.6310622656251</v>
      </c>
      <c r="Q26" s="428">
        <f xml:space="preserve"> 'FS Qtr'!Q$22</f>
        <v>3791.2770487336711</v>
      </c>
      <c r="R26" s="428">
        <f xml:space="preserve"> 'FS Qtr'!R$22</f>
        <v>4259.8770906937561</v>
      </c>
      <c r="S26" s="428">
        <f xml:space="preserve"> 'FS Qtr'!S$22</f>
        <v>1042.7088144556815</v>
      </c>
      <c r="T26" s="428">
        <f xml:space="preserve"> 'FS Qtr'!T$22</f>
        <v>1040.7671968364189</v>
      </c>
      <c r="U26" s="428">
        <f xml:space="preserve"> 'FS Qtr'!U$22</f>
        <v>3757.7798200412162</v>
      </c>
      <c r="V26" s="428">
        <f xml:space="preserve"> 'FS Qtr'!V$22</f>
        <v>4224.000218361738</v>
      </c>
      <c r="W26" s="428">
        <f xml:space="preserve"> 'FS Qtr'!W$22</f>
        <v>1022.7892127952941</v>
      </c>
      <c r="X26" s="428">
        <f xml:space="preserve"> 'FS Qtr'!X$22</f>
        <v>1020.8084706089812</v>
      </c>
      <c r="Y26" s="428">
        <f xml:space="preserve"> 'FS Qtr'!Y$22</f>
        <v>3724.2545897984583</v>
      </c>
      <c r="Z26" s="428">
        <f xml:space="preserve"> 'FS Qtr'!Z$22</f>
        <v>4188.1062102303531</v>
      </c>
      <c r="AA26" s="428">
        <f xml:space="preserve"> 'FS Qtr'!AA$22</f>
        <v>1002.7721077907047</v>
      </c>
      <c r="AB26" s="428">
        <f xml:space="preserve"> 'FS Qtr'!AB$22</f>
        <v>1000.7514526577284</v>
      </c>
      <c r="AC26" s="428">
        <f xml:space="preserve"> 'FS Qtr'!AC$22</f>
        <v>3690.6975749323938</v>
      </c>
      <c r="AD26" s="428">
        <f xml:space="preserve"> 'FS Qtr'!AD$22</f>
        <v>4152.191209556212</v>
      </c>
      <c r="AE26" s="428">
        <f xml:space="preserve"> 'FS Qtr'!AE$22</f>
        <v>982.65402282707737</v>
      </c>
      <c r="AF26" s="428">
        <f xml:space="preserve"> 'FS Qtr'!AF$22</f>
        <v>980.59265048158113</v>
      </c>
      <c r="AG26" s="428">
        <f xml:space="preserve"> 'FS Qtr'!AG$22</f>
        <v>3657.1049321532691</v>
      </c>
      <c r="AH26" s="428">
        <f xml:space="preserve"> 'FS Qtr'!AH$22</f>
        <v>4116.2512993505097</v>
      </c>
      <c r="AI26" s="428">
        <f xml:space="preserve"> 'FS Qtr'!AI$22</f>
        <v>962.43141875580363</v>
      </c>
      <c r="AJ26" s="428">
        <f xml:space="preserve"> 'FS Qtr'!AJ$22</f>
        <v>960.32850872557128</v>
      </c>
      <c r="AK26" s="428">
        <f xml:space="preserve"> 'FS Qtr'!AK$22</f>
        <v>3623.4727566615193</v>
      </c>
      <c r="AL26" s="428">
        <f xml:space="preserve"> 'FS Qtr'!AL$22</f>
        <v>4080.2825010781335</v>
      </c>
      <c r="AM26" s="428">
        <f xml:space="preserve"> 'FS Qtr'!AM$22</f>
        <v>942.10069259699731</v>
      </c>
      <c r="AN26" s="428">
        <f xml:space="preserve"> 'FS Qtr'!AN$22</f>
        <v>939.95540787688628</v>
      </c>
      <c r="AO26" s="428">
        <f xml:space="preserve"> 'FS Qtr'!AO$22</f>
        <v>3589.7970808290256</v>
      </c>
      <c r="AP26" s="428">
        <f xml:space="preserve"> 'FS Qtr'!AP$22</f>
        <v>4044.2807733309892</v>
      </c>
      <c r="AQ26" s="428">
        <f xml:space="preserve"> 'FS Qtr'!AQ$22</f>
        <v>921.65817621602537</v>
      </c>
      <c r="AR26" s="428">
        <f xml:space="preserve"> 'FS Qtr'!AR$22</f>
        <v>919.46966293482092</v>
      </c>
      <c r="AS26" s="428">
        <f xml:space="preserve"> 'FS Qtr'!AS$22</f>
        <v>3556.0738728542283</v>
      </c>
      <c r="AT26" s="428">
        <f xml:space="preserve"> 'FS Qtr'!AT$22</f>
        <v>4008.2420104750345</v>
      </c>
      <c r="AU26" s="428">
        <f xml:space="preserve"> 'FS Qtr'!AU$22</f>
        <v>901.10013497355976</v>
      </c>
      <c r="AV26" s="428">
        <f xml:space="preserve"> 'FS Qtr'!AV$22</f>
        <v>898.86752205411403</v>
      </c>
      <c r="AW26" s="428">
        <f xml:space="preserve"> 'FS Qtr'!AW$22</f>
        <v>3522.2990353904879</v>
      </c>
      <c r="AX26" s="428">
        <f xml:space="preserve"> 'FS Qtr'!AX$22</f>
        <v>3972.1620412704606</v>
      </c>
      <c r="AY26" s="428">
        <f xml:space="preserve"> 'FS Qtr'!AY$22</f>
        <v>880.42276634860264</v>
      </c>
      <c r="AZ26" s="428">
        <f xml:space="preserve"> 'FS Qtr'!AZ$22</f>
        <v>878.14516516112872</v>
      </c>
      <c r="BA26" s="428">
        <f xml:space="preserve"> 'FS Qtr'!BA$22</f>
        <v>3488.4684041472365</v>
      </c>
      <c r="BB26" s="428">
        <f xml:space="preserve"> 'FS Qtr'!BB$22</f>
        <v>3936.0366274645103</v>
      </c>
      <c r="BC26" s="428">
        <f xml:space="preserve"> 'FS Qtr'!BC$22</f>
        <v>859.62219853396186</v>
      </c>
      <c r="BD26" s="428">
        <f xml:space="preserve"> 'FS Qtr'!BD$22</f>
        <v>857.29870254233629</v>
      </c>
      <c r="BE26" s="428">
        <f xml:space="preserve"> 'FS Qtr'!BE$22</f>
        <v>3454.5777464633084</v>
      </c>
      <c r="BF26" s="428">
        <f xml:space="preserve"> 'FS Qtr'!BF$22</f>
        <v>3899.8614623563581</v>
      </c>
      <c r="BG26" s="428">
        <f xml:space="preserve"> 'FS Qtr'!BG$22</f>
        <v>838.69448900359203</v>
      </c>
      <c r="BH26" s="428">
        <f xml:space="preserve"> 'FS Qtr'!BH$22</f>
        <v>836.32417340453526</v>
      </c>
      <c r="BI26" s="428">
        <f xml:space="preserve"> 'FS Qtr'!BI$22</f>
        <v>3420.6227598519172</v>
      </c>
      <c r="BJ26" s="428">
        <f xml:space="preserve"> 'FS Qtr'!BJ$22</f>
        <v>3863.6321693334994</v>
      </c>
      <c r="BK26" s="428">
        <f xml:space="preserve"> 'FS Qtr'!BK$22</f>
        <v>817.63562305126288</v>
      </c>
      <c r="BL26" s="428">
        <f xml:space="preserve"> 'FS Qtr'!BL$22</f>
        <v>815.21754440624545</v>
      </c>
      <c r="BM26" s="428">
        <f xml:space="preserve"> 'FS Qtr'!BM$22</f>
        <v>3386.5990705166932</v>
      </c>
      <c r="BN26" s="428">
        <f xml:space="preserve"> 'FS Qtr'!BN$22</f>
        <v>3827.3443003790517</v>
      </c>
      <c r="BO26" s="428">
        <f xml:space="preserve"> 'FS Qtr'!BO$22</f>
        <v>796.44151229994668</v>
      </c>
      <c r="BP26" s="428">
        <f xml:space="preserve"> 'FS Qtr'!BP$22</f>
        <v>793.97470815968154</v>
      </c>
      <c r="BQ26" s="428">
        <f xml:space="preserve"> 'FS Qtr'!BQ$22</f>
        <v>3352.5022318382098</v>
      </c>
      <c r="BR26" s="428">
        <f xml:space="preserve"> 'FS Qtr'!BR$22</f>
        <v>3790.9933345494137</v>
      </c>
      <c r="BS26" s="428">
        <f xml:space="preserve"> 'FS Qtr'!BS$22</f>
        <v>775.10799318136537</v>
      </c>
      <c r="BT26" s="428">
        <f xml:space="preserve"> 'FS Qtr'!BT$22</f>
        <v>772.59148170272965</v>
      </c>
      <c r="BU26" s="428">
        <f xml:space="preserve"> 'FS Qtr'!BU$22</f>
        <v>3318.3277228303778</v>
      </c>
      <c r="BV26" s="428">
        <f xml:space="preserve"> 'FS Qtr'!BV$22</f>
        <v>3754.5746764216574</v>
      </c>
      <c r="BW26" s="428">
        <f xml:space="preserve"> 'FS Qtr'!BW$22</f>
        <v>753.63082538506251</v>
      </c>
      <c r="BX26" s="428">
        <f xml:space="preserve"> 'FS Qtr'!BX$22</f>
        <v>751.06360494030423</v>
      </c>
      <c r="BY26" s="428">
        <f xml:space="preserve"> 'FS Qtr'!BY$22</f>
        <v>3284.0709465661339</v>
      </c>
      <c r="BZ26" s="428">
        <f xml:space="preserve"> 'FS Qtr'!BZ$22</f>
        <v>3718.0836545100374</v>
      </c>
      <c r="CA26" s="428">
        <f xml:space="preserve"> 'FS Qtr'!CA$22</f>
        <v>732.00569027641495</v>
      </c>
      <c r="CB26" s="428">
        <f xml:space="preserve"> 'FS Qtr'!CB$22</f>
        <v>729.38673905447968</v>
      </c>
      <c r="CC26" s="428">
        <f xml:space="preserve"> 'FS Qtr'!CC$22</f>
        <v>3249.7272285717709</v>
      </c>
      <c r="CD26" s="428">
        <f xml:space="preserve"> 'FS Qtr'!CD$22</f>
        <v>3681.5155196510214</v>
      </c>
      <c r="CE26" s="428">
        <f xml:space="preserve"> 'FS Qtr'!CE$22</f>
        <v>710.22818928293464</v>
      </c>
      <c r="CF26" s="428">
        <f xml:space="preserve"> 'FS Qtr'!CF$22</f>
        <v>707.55646488276489</v>
      </c>
      <c r="CG26" s="428">
        <f xml:space="preserve"> 'FS Qtr'!CG$22</f>
        <v>3215.2918151892882</v>
      </c>
      <c r="CH26" s="428">
        <f xml:space="preserve"> 'FS Qtr'!CH$22</f>
        <v>3644.8654433561715</v>
      </c>
      <c r="CI26" s="428">
        <f xml:space="preserve"> 'FS Qtr'!CI$22</f>
        <v>688.29384224823389</v>
      </c>
      <c r="CJ26" s="428">
        <f xml:space="preserve"> 'FS Qtr'!CJ$22</f>
        <v>685.56828126386836</v>
      </c>
      <c r="CK26" s="428">
        <f xml:space="preserve"> 'FS Qtr'!CK$22</f>
        <v>3180.759871906117</v>
      </c>
      <c r="CL26" s="428">
        <f xml:space="preserve"> 'FS Qtr'!CL$22</f>
        <v>3608.1285161322512</v>
      </c>
      <c r="CM26" s="428">
        <f xml:space="preserve"> 'FS Qtr'!CM$22</f>
        <v>666.19808575299317</v>
      </c>
      <c r="CN26" s="428">
        <f xml:space="preserve"> 'FS Qtr'!CN$22</f>
        <v>663.41760335030904</v>
      </c>
      <c r="CO26" s="428">
        <f xml:space="preserve"> 'FS Qtr'!CO$22</f>
        <v>3146.1264816515677</v>
      </c>
      <c r="CP26" s="428">
        <f xml:space="preserve"> 'FS Qtr'!CP$22</f>
        <v>3571.2997457678875</v>
      </c>
      <c r="CQ26" s="428">
        <f xml:space="preserve"> 'FS Qtr'!CQ$22</f>
        <v>643.93627140228091</v>
      </c>
      <c r="CR26" s="428">
        <f xml:space="preserve"> 'FS Qtr'!CR$22</f>
        <v>641.0997608872035</v>
      </c>
      <c r="CS26" s="428">
        <f xml:space="preserve"> 'FS Qtr'!CS$22</f>
        <v>3111.3866430593098</v>
      </c>
      <c r="CT26" s="428">
        <f xml:space="preserve"> 'FS Qtr'!CT$22</f>
        <v>3534.3740555861114</v>
      </c>
      <c r="CU26" s="428">
        <f xml:space="preserve"> 'FS Qtr'!CU$22</f>
        <v>621.50366407852198</v>
      </c>
      <c r="CV26" s="428">
        <f xml:space="preserve"> 'FS Qtr'!CV$22</f>
        <v>618.60999645653737</v>
      </c>
      <c r="CW26" s="428">
        <f xml:space="preserve"> 'FS Qtr'!CW$22</f>
        <v>3076.5352686952083</v>
      </c>
      <c r="CX26" s="428">
        <f xml:space="preserve"> 'FS Qtr'!CX$22</f>
        <v>3497.3462826620735</v>
      </c>
      <c r="CY26" s="428">
        <f xml:space="preserve"> 'FS Qtr'!CY$22</f>
        <v>598.89544015944239</v>
      </c>
      <c r="CZ26" s="428">
        <f xml:space="preserve"> 'FS Qtr'!CZ$22</f>
        <v>595.94346368623292</v>
      </c>
      <c r="DA26" s="428">
        <f xml:space="preserve"> 'FS Qtr'!DA$22</f>
        <v>3041.5671832498269</v>
      </c>
      <c r="DB26" s="428">
        <f xml:space="preserve"> 'FS Qtr'!DB$22</f>
        <v>3460.2111760052694</v>
      </c>
      <c r="DC26" s="428">
        <f xml:space="preserve"> 'FS Qtr'!DC$22</f>
        <v>576.10668570027906</v>
      </c>
      <c r="DD26" s="428">
        <f xml:space="preserve"> 'FS Qtr'!DD$22</f>
        <v>573.09522542330069</v>
      </c>
      <c r="DE26" s="428">
        <f xml:space="preserve"> 'FS Qtr'!DE$22</f>
        <v>3006.477121694857</v>
      </c>
      <c r="DF26" s="428">
        <f xml:space="preserve"> 'FS Qtr'!DF$22</f>
        <v>3422.9633947055136</v>
      </c>
      <c r="DG26" s="428">
        <f xml:space="preserve"> 'FS Qtr'!DG$22</f>
        <v>553.13239457952204</v>
      </c>
      <c r="DH26" s="428">
        <f xml:space="preserve"> 'FS Qtr'!DH$22</f>
        <v>550.06025187035084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222667.04122730848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2639.7867058423899</v>
      </c>
      <c r="P27" s="26">
        <f t="shared" si="10"/>
        <v>1060.6310622656251</v>
      </c>
      <c r="Q27" s="26">
        <f t="shared" si="10"/>
        <v>3791.2770487336711</v>
      </c>
      <c r="R27" s="26">
        <f t="shared" si="10"/>
        <v>4259.8770906937561</v>
      </c>
      <c r="S27" s="26">
        <f t="shared" si="10"/>
        <v>1042.7088144556815</v>
      </c>
      <c r="T27" s="26">
        <f t="shared" si="10"/>
        <v>1040.7671968364189</v>
      </c>
      <c r="U27" s="26">
        <f t="shared" si="10"/>
        <v>3757.7798200412162</v>
      </c>
      <c r="V27" s="26">
        <f t="shared" si="10"/>
        <v>4224.000218361738</v>
      </c>
      <c r="W27" s="26">
        <f t="shared" si="10"/>
        <v>1022.7892127952941</v>
      </c>
      <c r="X27" s="26">
        <f t="shared" si="10"/>
        <v>1020.8084706089812</v>
      </c>
      <c r="Y27" s="26">
        <f t="shared" si="10"/>
        <v>3724.2545897984583</v>
      </c>
      <c r="Z27" s="26">
        <f t="shared" si="10"/>
        <v>4188.1062102303531</v>
      </c>
      <c r="AA27" s="26">
        <f t="shared" si="10"/>
        <v>1002.7721077907047</v>
      </c>
      <c r="AB27" s="26">
        <f t="shared" si="10"/>
        <v>1000.7514526577284</v>
      </c>
      <c r="AC27" s="26">
        <f t="shared" si="10"/>
        <v>3690.6975749323938</v>
      </c>
      <c r="AD27" s="26">
        <f t="shared" si="10"/>
        <v>4152.191209556212</v>
      </c>
      <c r="AE27" s="26">
        <f t="shared" si="10"/>
        <v>982.65402282707737</v>
      </c>
      <c r="AF27" s="26">
        <f t="shared" si="10"/>
        <v>980.59265048158113</v>
      </c>
      <c r="AG27" s="26">
        <f t="shared" si="10"/>
        <v>3657.1049321532691</v>
      </c>
      <c r="AH27" s="26">
        <f t="shared" si="10"/>
        <v>4116.2512993505097</v>
      </c>
      <c r="AI27" s="26">
        <f t="shared" si="10"/>
        <v>962.43141875580363</v>
      </c>
      <c r="AJ27" s="26">
        <f t="shared" si="10"/>
        <v>960.32850872557128</v>
      </c>
      <c r="AK27" s="26">
        <f t="shared" si="10"/>
        <v>3623.4727566615193</v>
      </c>
      <c r="AL27" s="26">
        <f t="shared" si="10"/>
        <v>4080.2825010781335</v>
      </c>
      <c r="AM27" s="26">
        <f t="shared" si="10"/>
        <v>942.10069259699731</v>
      </c>
      <c r="AN27" s="26">
        <f t="shared" si="10"/>
        <v>939.95540787688628</v>
      </c>
      <c r="AO27" s="26">
        <f t="shared" si="10"/>
        <v>3589.7970808290256</v>
      </c>
      <c r="AP27" s="26">
        <f t="shared" si="10"/>
        <v>4044.2807733309892</v>
      </c>
      <c r="AQ27" s="26">
        <f t="shared" si="10"/>
        <v>921.65817621602537</v>
      </c>
      <c r="AR27" s="26">
        <f t="shared" si="10"/>
        <v>919.46966293482092</v>
      </c>
      <c r="AS27" s="26">
        <f t="shared" si="10"/>
        <v>3556.0738728542283</v>
      </c>
      <c r="AT27" s="26">
        <f t="shared" si="10"/>
        <v>4008.2420104750345</v>
      </c>
      <c r="AU27" s="26">
        <f t="shared" si="10"/>
        <v>901.10013497355976</v>
      </c>
      <c r="AV27" s="26">
        <f t="shared" si="10"/>
        <v>898.86752205411403</v>
      </c>
      <c r="AW27" s="26">
        <f t="shared" si="10"/>
        <v>3522.2990353904879</v>
      </c>
      <c r="AX27" s="26">
        <f t="shared" si="10"/>
        <v>3972.1620412704606</v>
      </c>
      <c r="AY27" s="26">
        <f t="shared" si="10"/>
        <v>880.42276634860264</v>
      </c>
      <c r="AZ27" s="26">
        <f t="shared" si="10"/>
        <v>878.14516516112872</v>
      </c>
      <c r="BA27" s="26">
        <f t="shared" si="10"/>
        <v>3488.4684041472365</v>
      </c>
      <c r="BB27" s="26">
        <f t="shared" si="10"/>
        <v>3936.0366274645103</v>
      </c>
      <c r="BC27" s="26">
        <f t="shared" si="10"/>
        <v>859.62219853396186</v>
      </c>
      <c r="BD27" s="26">
        <f t="shared" si="10"/>
        <v>857.29870254233629</v>
      </c>
      <c r="BE27" s="26">
        <f t="shared" si="10"/>
        <v>3454.5777464633084</v>
      </c>
      <c r="BF27" s="26">
        <f t="shared" si="10"/>
        <v>3899.8614623563581</v>
      </c>
      <c r="BG27" s="26">
        <f t="shared" si="10"/>
        <v>838.69448900359203</v>
      </c>
      <c r="BH27" s="26">
        <f t="shared" si="10"/>
        <v>836.32417340453526</v>
      </c>
      <c r="BI27" s="26">
        <f t="shared" si="10"/>
        <v>3420.6227598519172</v>
      </c>
      <c r="BJ27" s="26">
        <f t="shared" si="10"/>
        <v>3863.6321693334994</v>
      </c>
      <c r="BK27" s="26">
        <f t="shared" si="10"/>
        <v>817.63562305126288</v>
      </c>
      <c r="BL27" s="26">
        <f t="shared" si="10"/>
        <v>815.21754440624545</v>
      </c>
      <c r="BM27" s="26">
        <f t="shared" si="10"/>
        <v>3386.5990705166932</v>
      </c>
      <c r="BN27" s="26">
        <f t="shared" si="10"/>
        <v>3827.3443003790517</v>
      </c>
      <c r="BO27" s="26">
        <f t="shared" si="10"/>
        <v>796.44151229994668</v>
      </c>
      <c r="BP27" s="26">
        <f t="shared" si="10"/>
        <v>793.97470815968154</v>
      </c>
      <c r="BQ27" s="26">
        <f t="shared" ref="BQ27:EA27" si="11" xml:space="preserve"> BQ$56</f>
        <v>3352.5022318382098</v>
      </c>
      <c r="BR27" s="26">
        <f t="shared" si="11"/>
        <v>3790.9933345494137</v>
      </c>
      <c r="BS27" s="26">
        <f t="shared" si="11"/>
        <v>775.10799318136537</v>
      </c>
      <c r="BT27" s="26">
        <f t="shared" si="11"/>
        <v>772.59148170272965</v>
      </c>
      <c r="BU27" s="26">
        <f t="shared" si="11"/>
        <v>3318.3277228303778</v>
      </c>
      <c r="BV27" s="26">
        <f t="shared" si="11"/>
        <v>3754.5746764216574</v>
      </c>
      <c r="BW27" s="26">
        <f t="shared" si="11"/>
        <v>753.63082538506251</v>
      </c>
      <c r="BX27" s="26">
        <f t="shared" si="11"/>
        <v>751.06360494030423</v>
      </c>
      <c r="BY27" s="26">
        <f t="shared" si="11"/>
        <v>3284.0709465661339</v>
      </c>
      <c r="BZ27" s="26">
        <f t="shared" si="11"/>
        <v>3718.0836545100374</v>
      </c>
      <c r="CA27" s="26">
        <f t="shared" si="11"/>
        <v>732.00569027641495</v>
      </c>
      <c r="CB27" s="26">
        <f t="shared" si="11"/>
        <v>729.38673905447968</v>
      </c>
      <c r="CC27" s="26">
        <f t="shared" si="11"/>
        <v>3249.7272285717709</v>
      </c>
      <c r="CD27" s="26">
        <f t="shared" si="11"/>
        <v>3681.5155196510214</v>
      </c>
      <c r="CE27" s="26">
        <f t="shared" si="11"/>
        <v>710.22818928293464</v>
      </c>
      <c r="CF27" s="26">
        <f t="shared" si="11"/>
        <v>707.55646488276489</v>
      </c>
      <c r="CG27" s="26">
        <f t="shared" si="11"/>
        <v>3215.2918151892882</v>
      </c>
      <c r="CH27" s="26">
        <f t="shared" si="11"/>
        <v>3644.8654433561715</v>
      </c>
      <c r="CI27" s="26">
        <f t="shared" si="11"/>
        <v>688.29384224823389</v>
      </c>
      <c r="CJ27" s="26">
        <f t="shared" si="11"/>
        <v>685.56828126386836</v>
      </c>
      <c r="CK27" s="26">
        <f t="shared" si="11"/>
        <v>3180.759871906117</v>
      </c>
      <c r="CL27" s="26">
        <f t="shared" si="11"/>
        <v>3608.1285161322512</v>
      </c>
      <c r="CM27" s="26">
        <f t="shared" si="11"/>
        <v>666.19808575299317</v>
      </c>
      <c r="CN27" s="26">
        <f t="shared" si="11"/>
        <v>663.41760335030904</v>
      </c>
      <c r="CO27" s="26">
        <f t="shared" si="11"/>
        <v>3146.1264816515677</v>
      </c>
      <c r="CP27" s="26">
        <f t="shared" si="11"/>
        <v>3571.2997457678875</v>
      </c>
      <c r="CQ27" s="26">
        <f t="shared" si="11"/>
        <v>643.93627140228091</v>
      </c>
      <c r="CR27" s="26">
        <f t="shared" si="11"/>
        <v>641.0997608872035</v>
      </c>
      <c r="CS27" s="26">
        <f t="shared" si="11"/>
        <v>3111.3866430593098</v>
      </c>
      <c r="CT27" s="26">
        <f t="shared" si="11"/>
        <v>3534.3740555861114</v>
      </c>
      <c r="CU27" s="26">
        <f t="shared" si="11"/>
        <v>621.50366407852198</v>
      </c>
      <c r="CV27" s="26">
        <f t="shared" si="11"/>
        <v>618.60999645653737</v>
      </c>
      <c r="CW27" s="26">
        <f t="shared" si="11"/>
        <v>3076.5352686952083</v>
      </c>
      <c r="CX27" s="26">
        <f t="shared" si="11"/>
        <v>3497.3462826620735</v>
      </c>
      <c r="CY27" s="26">
        <f t="shared" si="11"/>
        <v>598.89544015944239</v>
      </c>
      <c r="CZ27" s="26">
        <f t="shared" si="11"/>
        <v>595.94346368623292</v>
      </c>
      <c r="DA27" s="26">
        <f t="shared" si="11"/>
        <v>3041.5671832498269</v>
      </c>
      <c r="DB27" s="26">
        <f t="shared" si="11"/>
        <v>3460.2111760052694</v>
      </c>
      <c r="DC27" s="26">
        <f t="shared" si="11"/>
        <v>576.10668570027906</v>
      </c>
      <c r="DD27" s="26">
        <f t="shared" si="11"/>
        <v>573.09522542330069</v>
      </c>
      <c r="DE27" s="26">
        <f t="shared" si="11"/>
        <v>3006.477121694857</v>
      </c>
      <c r="DF27" s="26">
        <f t="shared" si="11"/>
        <v>3422.9633947055136</v>
      </c>
      <c r="DG27" s="26">
        <f t="shared" si="11"/>
        <v>553.13239457952204</v>
      </c>
      <c r="DH27" s="26">
        <f t="shared" si="11"/>
        <v>550.06025187035084</v>
      </c>
      <c r="DI27" s="26">
        <f t="shared" si="11"/>
        <v>0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157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2305.3983516483513</v>
      </c>
      <c r="N28" s="432">
        <f t="shared" si="12"/>
        <v>1577.252377717391</v>
      </c>
      <c r="O28" s="432">
        <f t="shared" si="12"/>
        <v>0</v>
      </c>
      <c r="P28" s="432">
        <f t="shared" si="12"/>
        <v>0</v>
      </c>
      <c r="Q28" s="432">
        <f t="shared" si="12"/>
        <v>0</v>
      </c>
      <c r="R28" s="432">
        <f t="shared" si="12"/>
        <v>0</v>
      </c>
      <c r="S28" s="432">
        <f t="shared" si="12"/>
        <v>0</v>
      </c>
      <c r="T28" s="432">
        <f t="shared" si="12"/>
        <v>0</v>
      </c>
      <c r="U28" s="432">
        <f t="shared" si="12"/>
        <v>0</v>
      </c>
      <c r="V28" s="432">
        <f t="shared" si="12"/>
        <v>0</v>
      </c>
      <c r="W28" s="432">
        <f t="shared" si="12"/>
        <v>0</v>
      </c>
      <c r="X28" s="432">
        <f t="shared" si="12"/>
        <v>0</v>
      </c>
      <c r="Y28" s="432">
        <f t="shared" si="12"/>
        <v>0</v>
      </c>
      <c r="Z28" s="432">
        <f t="shared" si="12"/>
        <v>0</v>
      </c>
      <c r="AA28" s="432">
        <f t="shared" si="12"/>
        <v>0</v>
      </c>
      <c r="AB28" s="432">
        <f t="shared" si="12"/>
        <v>0</v>
      </c>
      <c r="AC28" s="432">
        <f t="shared" si="12"/>
        <v>0</v>
      </c>
      <c r="AD28" s="432">
        <f t="shared" si="12"/>
        <v>0</v>
      </c>
      <c r="AE28" s="432">
        <f t="shared" si="12"/>
        <v>0</v>
      </c>
      <c r="AF28" s="432">
        <f t="shared" si="12"/>
        <v>0</v>
      </c>
      <c r="AG28" s="432">
        <f t="shared" si="12"/>
        <v>0</v>
      </c>
      <c r="AH28" s="432">
        <f t="shared" si="12"/>
        <v>0</v>
      </c>
      <c r="AI28" s="432">
        <f t="shared" si="12"/>
        <v>0</v>
      </c>
      <c r="AJ28" s="432">
        <f t="shared" si="12"/>
        <v>0</v>
      </c>
      <c r="AK28" s="432">
        <f t="shared" si="12"/>
        <v>0</v>
      </c>
      <c r="AL28" s="432">
        <f t="shared" si="12"/>
        <v>0</v>
      </c>
      <c r="AM28" s="432">
        <f t="shared" si="12"/>
        <v>0</v>
      </c>
      <c r="AN28" s="432">
        <f t="shared" si="12"/>
        <v>0</v>
      </c>
      <c r="AO28" s="432">
        <f t="shared" si="12"/>
        <v>0</v>
      </c>
      <c r="AP28" s="432">
        <f t="shared" si="12"/>
        <v>0</v>
      </c>
      <c r="AQ28" s="432">
        <f t="shared" si="12"/>
        <v>0</v>
      </c>
      <c r="AR28" s="432">
        <f t="shared" si="12"/>
        <v>0</v>
      </c>
      <c r="AS28" s="432">
        <f t="shared" si="12"/>
        <v>0</v>
      </c>
      <c r="AT28" s="432">
        <f t="shared" si="12"/>
        <v>0</v>
      </c>
      <c r="AU28" s="432">
        <f t="shared" si="12"/>
        <v>0</v>
      </c>
      <c r="AV28" s="432">
        <f t="shared" si="12"/>
        <v>0</v>
      </c>
      <c r="AW28" s="432">
        <f t="shared" si="12"/>
        <v>0</v>
      </c>
      <c r="AX28" s="432">
        <f t="shared" si="12"/>
        <v>0</v>
      </c>
      <c r="AY28" s="432">
        <f t="shared" si="12"/>
        <v>0</v>
      </c>
      <c r="AZ28" s="432">
        <f t="shared" si="12"/>
        <v>0</v>
      </c>
      <c r="BA28" s="432">
        <f t="shared" si="12"/>
        <v>0</v>
      </c>
      <c r="BB28" s="432">
        <f t="shared" si="12"/>
        <v>0</v>
      </c>
      <c r="BC28" s="432">
        <f t="shared" si="12"/>
        <v>0</v>
      </c>
      <c r="BD28" s="432">
        <f t="shared" si="12"/>
        <v>0</v>
      </c>
      <c r="BE28" s="432">
        <f t="shared" si="12"/>
        <v>0</v>
      </c>
      <c r="BF28" s="432">
        <f t="shared" si="12"/>
        <v>0</v>
      </c>
      <c r="BG28" s="432">
        <f t="shared" si="12"/>
        <v>0</v>
      </c>
      <c r="BH28" s="432">
        <f t="shared" si="12"/>
        <v>0</v>
      </c>
      <c r="BI28" s="432">
        <f t="shared" si="12"/>
        <v>0</v>
      </c>
      <c r="BJ28" s="432">
        <f t="shared" si="12"/>
        <v>0</v>
      </c>
      <c r="BK28" s="432">
        <f t="shared" si="12"/>
        <v>0</v>
      </c>
      <c r="BL28" s="432">
        <f t="shared" si="12"/>
        <v>0</v>
      </c>
      <c r="BM28" s="432">
        <f t="shared" si="12"/>
        <v>0</v>
      </c>
      <c r="BN28" s="432">
        <f t="shared" si="12"/>
        <v>0</v>
      </c>
      <c r="BO28" s="432">
        <f t="shared" si="12"/>
        <v>0</v>
      </c>
      <c r="BP28" s="432">
        <f t="shared" si="12"/>
        <v>0</v>
      </c>
      <c r="BQ28" s="432">
        <f t="shared" si="12"/>
        <v>0</v>
      </c>
      <c r="BR28" s="432">
        <f t="shared" si="12"/>
        <v>0</v>
      </c>
      <c r="BS28" s="432">
        <f t="shared" si="12"/>
        <v>0</v>
      </c>
      <c r="BT28" s="432">
        <f t="shared" si="12"/>
        <v>0</v>
      </c>
      <c r="BU28" s="432">
        <f t="shared" si="12"/>
        <v>0</v>
      </c>
      <c r="BV28" s="432">
        <f t="shared" ref="BV28:EA28" si="13" xml:space="preserve"> IF( BV23 = 1, $F22, BV25 + BV26 - BV27)</f>
        <v>0</v>
      </c>
      <c r="BW28" s="432">
        <f t="shared" si="13"/>
        <v>0</v>
      </c>
      <c r="BX28" s="432">
        <f t="shared" si="13"/>
        <v>0</v>
      </c>
      <c r="BY28" s="432">
        <f t="shared" si="13"/>
        <v>0</v>
      </c>
      <c r="BZ28" s="432">
        <f t="shared" si="13"/>
        <v>0</v>
      </c>
      <c r="CA28" s="432">
        <f t="shared" si="13"/>
        <v>0</v>
      </c>
      <c r="CB28" s="432">
        <f t="shared" si="13"/>
        <v>0</v>
      </c>
      <c r="CC28" s="432">
        <f t="shared" si="13"/>
        <v>0</v>
      </c>
      <c r="CD28" s="432">
        <f t="shared" si="13"/>
        <v>0</v>
      </c>
      <c r="CE28" s="432">
        <f t="shared" si="13"/>
        <v>0</v>
      </c>
      <c r="CF28" s="432">
        <f t="shared" si="13"/>
        <v>0</v>
      </c>
      <c r="CG28" s="432">
        <f t="shared" si="13"/>
        <v>0</v>
      </c>
      <c r="CH28" s="432">
        <f t="shared" si="13"/>
        <v>0</v>
      </c>
      <c r="CI28" s="432">
        <f t="shared" si="13"/>
        <v>0</v>
      </c>
      <c r="CJ28" s="432">
        <f t="shared" si="13"/>
        <v>0</v>
      </c>
      <c r="CK28" s="432">
        <f t="shared" si="13"/>
        <v>0</v>
      </c>
      <c r="CL28" s="432">
        <f t="shared" si="13"/>
        <v>0</v>
      </c>
      <c r="CM28" s="432">
        <f t="shared" si="13"/>
        <v>0</v>
      </c>
      <c r="CN28" s="432">
        <f t="shared" si="13"/>
        <v>0</v>
      </c>
      <c r="CO28" s="432">
        <f t="shared" si="13"/>
        <v>0</v>
      </c>
      <c r="CP28" s="432">
        <f t="shared" si="13"/>
        <v>0</v>
      </c>
      <c r="CQ28" s="432">
        <f t="shared" si="13"/>
        <v>0</v>
      </c>
      <c r="CR28" s="432">
        <f t="shared" si="13"/>
        <v>0</v>
      </c>
      <c r="CS28" s="432">
        <f t="shared" si="13"/>
        <v>0</v>
      </c>
      <c r="CT28" s="432">
        <f t="shared" si="13"/>
        <v>0</v>
      </c>
      <c r="CU28" s="432">
        <f t="shared" si="13"/>
        <v>0</v>
      </c>
      <c r="CV28" s="432">
        <f t="shared" si="13"/>
        <v>0</v>
      </c>
      <c r="CW28" s="432">
        <f t="shared" si="13"/>
        <v>0</v>
      </c>
      <c r="CX28" s="432">
        <f t="shared" si="13"/>
        <v>0</v>
      </c>
      <c r="CY28" s="432">
        <f t="shared" si="13"/>
        <v>0</v>
      </c>
      <c r="CZ28" s="432">
        <f t="shared" si="13"/>
        <v>0</v>
      </c>
      <c r="DA28" s="432">
        <f t="shared" si="13"/>
        <v>0</v>
      </c>
      <c r="DB28" s="432">
        <f t="shared" si="13"/>
        <v>0</v>
      </c>
      <c r="DC28" s="432">
        <f t="shared" si="13"/>
        <v>0</v>
      </c>
      <c r="DD28" s="432">
        <f t="shared" si="13"/>
        <v>0</v>
      </c>
      <c r="DE28" s="432">
        <f t="shared" si="13"/>
        <v>0</v>
      </c>
      <c r="DF28" s="432">
        <f t="shared" si="13"/>
        <v>0</v>
      </c>
      <c r="DG28" s="432">
        <f t="shared" si="13"/>
        <v>0</v>
      </c>
      <c r="DH28" s="432">
        <f t="shared" si="13"/>
        <v>0</v>
      </c>
      <c r="DI28" s="432">
        <f t="shared" si="13"/>
        <v>0</v>
      </c>
      <c r="DJ28" s="432">
        <f t="shared" si="13"/>
        <v>0</v>
      </c>
      <c r="DK28" s="432">
        <f t="shared" si="13"/>
        <v>0</v>
      </c>
      <c r="DL28" s="432">
        <f t="shared" si="13"/>
        <v>0</v>
      </c>
      <c r="DM28" s="432">
        <f t="shared" si="13"/>
        <v>0</v>
      </c>
      <c r="DN28" s="432">
        <f t="shared" si="13"/>
        <v>0</v>
      </c>
      <c r="DO28" s="432">
        <f t="shared" si="13"/>
        <v>0</v>
      </c>
      <c r="DP28" s="432">
        <f t="shared" si="13"/>
        <v>0</v>
      </c>
      <c r="DQ28" s="432">
        <f t="shared" si="13"/>
        <v>0</v>
      </c>
      <c r="DR28" s="432">
        <f t="shared" si="13"/>
        <v>0</v>
      </c>
      <c r="DS28" s="432">
        <f t="shared" si="13"/>
        <v>0</v>
      </c>
      <c r="DT28" s="432">
        <f t="shared" si="13"/>
        <v>0</v>
      </c>
      <c r="DU28" s="432">
        <f t="shared" si="13"/>
        <v>0</v>
      </c>
      <c r="DV28" s="432">
        <f t="shared" si="13"/>
        <v>0</v>
      </c>
      <c r="DW28" s="432">
        <f t="shared" si="13"/>
        <v>0</v>
      </c>
      <c r="DX28" s="432">
        <f t="shared" si="13"/>
        <v>0</v>
      </c>
      <c r="DY28" s="432">
        <f t="shared" si="13"/>
        <v>0</v>
      </c>
      <c r="DZ28" s="432">
        <f t="shared" si="13"/>
        <v>0</v>
      </c>
      <c r="EA28" s="432">
        <f t="shared" si="13"/>
        <v>0</v>
      </c>
    </row>
    <row r="29" spans="1:131" outlineLevel="1" x14ac:dyDescent="0.35"/>
    <row r="31" spans="1:131" x14ac:dyDescent="0.35">
      <c r="A31" s="8" t="s">
        <v>160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InpC!E$47</f>
        <v>Retained cash - initial balance</v>
      </c>
      <c r="F33" s="435">
        <f xml:space="preserve"> InpC!F$47</f>
        <v>0</v>
      </c>
      <c r="G33" s="435" t="str">
        <f xml:space="preserve"> InpC!G$47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162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1530.7428821331532</v>
      </c>
      <c r="Q36" s="169">
        <f t="shared" si="14"/>
        <v>2498.7271459114586</v>
      </c>
      <c r="R36" s="169">
        <f t="shared" si="14"/>
        <v>1714.1681371240475</v>
      </c>
      <c r="S36" s="169">
        <f t="shared" si="14"/>
        <v>2443.6481258445083</v>
      </c>
      <c r="T36" s="169">
        <f t="shared" si="14"/>
        <v>5541.1713632290866</v>
      </c>
      <c r="U36" s="169">
        <f t="shared" si="14"/>
        <v>6509.400154951707</v>
      </c>
      <c r="V36" s="169">
        <f t="shared" si="14"/>
        <v>5733.7001844191745</v>
      </c>
      <c r="W36" s="169">
        <f t="shared" si="14"/>
        <v>6464.5071784003976</v>
      </c>
      <c r="X36" s="169">
        <f t="shared" si="14"/>
        <v>9551.6108055912591</v>
      </c>
      <c r="Y36" s="169">
        <f t="shared" si="14"/>
        <v>10536.34743274709</v>
      </c>
      <c r="Z36" s="169">
        <f t="shared" si="14"/>
        <v>9753.1992291395527</v>
      </c>
      <c r="AA36" s="169">
        <f t="shared" si="14"/>
        <v>10485.326246217212</v>
      </c>
      <c r="AB36" s="169">
        <f t="shared" si="14"/>
        <v>13562.062421029255</v>
      </c>
      <c r="AC36" s="169">
        <f t="shared" si="14"/>
        <v>14530.781804318674</v>
      </c>
      <c r="AD36" s="169">
        <f t="shared" si="14"/>
        <v>13772.666728570784</v>
      </c>
      <c r="AE36" s="169">
        <f t="shared" si="14"/>
        <v>14506.10681365752</v>
      </c>
      <c r="AF36" s="169">
        <f t="shared" si="14"/>
        <v>17572.527440841186</v>
      </c>
      <c r="AG36" s="169">
        <f t="shared" si="14"/>
        <v>18541.4929525306</v>
      </c>
      <c r="AH36" s="169">
        <f t="shared" si="14"/>
        <v>17792.104158804788</v>
      </c>
      <c r="AI36" s="169">
        <f t="shared" si="14"/>
        <v>18526.850383601122</v>
      </c>
      <c r="AJ36" s="169">
        <f t="shared" si="14"/>
        <v>21583.007116230947</v>
      </c>
      <c r="AK36" s="169">
        <f t="shared" si="14"/>
        <v>22552.219355490601</v>
      </c>
      <c r="AL36" s="169">
        <f t="shared" si="14"/>
        <v>21811.513015171273</v>
      </c>
      <c r="AM36" s="169">
        <f t="shared" si="14"/>
        <v>22547.558477874893</v>
      </c>
      <c r="AN36" s="169">
        <f t="shared" si="14"/>
        <v>25593.502718733744</v>
      </c>
      <c r="AO36" s="169">
        <f t="shared" si="14"/>
        <v>26578.753941374813</v>
      </c>
      <c r="AP36" s="169">
        <f t="shared" ref="AP36:BU36" si="15">AO39</f>
        <v>25830.89481267767</v>
      </c>
      <c r="AQ36" s="169">
        <f t="shared" si="15"/>
        <v>26568.232637690948</v>
      </c>
      <c r="AR36" s="169">
        <f t="shared" si="15"/>
        <v>29604.015540650023</v>
      </c>
      <c r="AS36" s="169">
        <f t="shared" si="15"/>
        <v>30573.723168202647</v>
      </c>
      <c r="AT36" s="169">
        <f t="shared" si="15"/>
        <v>29850.25108645764</v>
      </c>
      <c r="AU36" s="169">
        <f t="shared" si="15"/>
        <v>30588.874424093388</v>
      </c>
      <c r="AV36" s="169">
        <f t="shared" si="15"/>
        <v>33614.546895488107</v>
      </c>
      <c r="AW36" s="169">
        <f t="shared" si="15"/>
        <v>34584.503253027659</v>
      </c>
      <c r="AX36" s="169">
        <f t="shared" si="15"/>
        <v>33869.583392228407</v>
      </c>
      <c r="AY36" s="169">
        <f t="shared" si="15"/>
        <v>34609.48541841378</v>
      </c>
      <c r="AZ36" s="169">
        <f t="shared" si="15"/>
        <v>37625.098118415553</v>
      </c>
      <c r="BA36" s="169">
        <f t="shared" si="15"/>
        <v>38595.303943665058</v>
      </c>
      <c r="BB36" s="169">
        <f t="shared" si="15"/>
        <v>37888.893306756996</v>
      </c>
      <c r="BC36" s="169">
        <f t="shared" si="15"/>
        <v>38630.067222735524</v>
      </c>
      <c r="BD36" s="169">
        <f t="shared" si="15"/>
        <v>41635.670566719549</v>
      </c>
      <c r="BE36" s="169">
        <f t="shared" si="15"/>
        <v>42621.44392327415</v>
      </c>
      <c r="BF36" s="169">
        <f t="shared" si="15"/>
        <v>41908.182428335625</v>
      </c>
      <c r="BG36" s="169">
        <f t="shared" si="15"/>
        <v>42650.621460367292</v>
      </c>
      <c r="BH36" s="169">
        <f t="shared" si="15"/>
        <v>45646.265620276448</v>
      </c>
      <c r="BI36" s="169">
        <f t="shared" si="15"/>
        <v>46616.972739260054</v>
      </c>
      <c r="BJ36" s="169">
        <f t="shared" si="15"/>
        <v>45927.452377266483</v>
      </c>
      <c r="BK36" s="169">
        <f t="shared" si="15"/>
        <v>46671.149776325728</v>
      </c>
      <c r="BL36" s="169">
        <f t="shared" si="15"/>
        <v>49656.884682030555</v>
      </c>
      <c r="BM36" s="169">
        <f t="shared" si="15"/>
        <v>50627.843701179576</v>
      </c>
      <c r="BN36" s="169">
        <f t="shared" si="15"/>
        <v>49946.704796355909</v>
      </c>
      <c r="BO36" s="169">
        <f t="shared" si="15"/>
        <v>50691.653837827638</v>
      </c>
      <c r="BP36" s="169">
        <f t="shared" si="15"/>
        <v>53667.52917848264</v>
      </c>
      <c r="BQ36" s="169">
        <f t="shared" si="15"/>
        <v>54638.740983829011</v>
      </c>
      <c r="BR36" s="169">
        <f t="shared" si="15"/>
        <v>53965.941351418354</v>
      </c>
      <c r="BS36" s="169">
        <f t="shared" si="15"/>
        <v>54712.13533479179</v>
      </c>
      <c r="BT36" s="169">
        <f t="shared" si="15"/>
        <v>57678.200560188008</v>
      </c>
      <c r="BU36" s="169">
        <f t="shared" si="15"/>
        <v>58664.504910787429</v>
      </c>
      <c r="BV36" s="169">
        <f t="shared" ref="BV36:DA36" si="16">BU39</f>
        <v>57985.163731790286</v>
      </c>
      <c r="BW36" s="169">
        <f t="shared" si="16"/>
        <v>58732.595980350576</v>
      </c>
      <c r="BX36" s="169">
        <f t="shared" si="16"/>
        <v>61688.900302264527</v>
      </c>
      <c r="BY36" s="169">
        <f t="shared" si="16"/>
        <v>62660.620493574213</v>
      </c>
      <c r="BZ36" s="169">
        <f t="shared" si="16"/>
        <v>62004.373650854061</v>
      </c>
      <c r="CA36" s="169">
        <f t="shared" si="16"/>
        <v>62753.037511371665</v>
      </c>
      <c r="CB36" s="169">
        <f t="shared" si="16"/>
        <v>65699.629904910806</v>
      </c>
      <c r="CC36" s="169">
        <f t="shared" si="16"/>
        <v>66671.605775427248</v>
      </c>
      <c r="CD36" s="169">
        <f t="shared" si="16"/>
        <v>66023.572846572235</v>
      </c>
      <c r="CE36" s="169">
        <f t="shared" si="16"/>
        <v>66773.461688990006</v>
      </c>
      <c r="CF36" s="169">
        <f t="shared" si="16"/>
        <v>69710.390893934746</v>
      </c>
      <c r="CG36" s="169">
        <f t="shared" si="16"/>
        <v>70682.623488600017</v>
      </c>
      <c r="CH36" s="169">
        <f t="shared" si="16"/>
        <v>70042.763082032354</v>
      </c>
      <c r="CI36" s="169">
        <f t="shared" si="16"/>
        <v>70793.870299150134</v>
      </c>
      <c r="CJ36" s="169">
        <f t="shared" si="16"/>
        <v>73721.184821292438</v>
      </c>
      <c r="CK36" s="169">
        <f t="shared" si="16"/>
        <v>74708.03044382896</v>
      </c>
      <c r="CL36" s="169">
        <f t="shared" si="16"/>
        <v>74061.946146002432</v>
      </c>
      <c r="CM36" s="169">
        <f t="shared" si="16"/>
        <v>74814.265153159315</v>
      </c>
      <c r="CN36" s="169">
        <f t="shared" si="16"/>
        <v>77732.013265638103</v>
      </c>
      <c r="CO36" s="169">
        <f t="shared" si="16"/>
        <v>78704.762610119855</v>
      </c>
      <c r="CP36" s="169">
        <f t="shared" si="16"/>
        <v>78081.123853497484</v>
      </c>
      <c r="CQ36" s="169">
        <f t="shared" si="16"/>
        <v>78834.648088251401</v>
      </c>
      <c r="CR36" s="169">
        <f t="shared" si="16"/>
        <v>81742.877832884682</v>
      </c>
      <c r="CS36" s="169">
        <f t="shared" si="16"/>
        <v>82715.887288231592</v>
      </c>
      <c r="CT36" s="169">
        <f t="shared" si="16"/>
        <v>82100.298046357013</v>
      </c>
      <c r="CU36" s="169">
        <f t="shared" si="16"/>
        <v>82855.020968161843</v>
      </c>
      <c r="CV36" s="169">
        <f t="shared" si="16"/>
        <v>85753.780156775814</v>
      </c>
      <c r="CW36" s="169">
        <f t="shared" si="16"/>
        <v>86727.05093835594</v>
      </c>
      <c r="CX36" s="169">
        <f t="shared" si="16"/>
        <v>86119.470593834194</v>
      </c>
      <c r="CY36" s="169">
        <f t="shared" si="16"/>
        <v>86875.385683714165</v>
      </c>
      <c r="CZ36" s="169">
        <f t="shared" si="16"/>
        <v>89764.721899469223</v>
      </c>
      <c r="DA36" s="169">
        <f t="shared" si="16"/>
        <v>90752.120593905114</v>
      </c>
      <c r="DB36" s="169">
        <f t="shared" ref="DB36:EA36" si="17">DA39</f>
        <v>90138.6433931965</v>
      </c>
      <c r="DC36" s="169">
        <f t="shared" si="17"/>
        <v>90895.744153417763</v>
      </c>
      <c r="DD36" s="169">
        <f t="shared" si="17"/>
        <v>93775.704752131613</v>
      </c>
      <c r="DE36" s="169">
        <f t="shared" si="17"/>
        <v>94749.502011160206</v>
      </c>
      <c r="DF36" s="169">
        <f t="shared" si="17"/>
        <v>94157.81837033818</v>
      </c>
      <c r="DG36" s="169">
        <f t="shared" si="17"/>
        <v>94916.098324077684</v>
      </c>
      <c r="DH36" s="169">
        <f t="shared" si="17"/>
        <v>97786.730435545585</v>
      </c>
      <c r="DI36" s="169">
        <f t="shared" si="17"/>
        <v>98760.792937238541</v>
      </c>
      <c r="DJ36" s="169">
        <f t="shared" si="17"/>
        <v>100000</v>
      </c>
      <c r="DK36" s="169">
        <f t="shared" si="17"/>
        <v>100000</v>
      </c>
      <c r="DL36" s="169">
        <f t="shared" si="17"/>
        <v>100000</v>
      </c>
      <c r="DM36" s="169">
        <f t="shared" si="17"/>
        <v>100000</v>
      </c>
      <c r="DN36" s="169">
        <f t="shared" si="17"/>
        <v>100000</v>
      </c>
      <c r="DO36" s="169">
        <f t="shared" si="17"/>
        <v>100000</v>
      </c>
      <c r="DP36" s="169">
        <f t="shared" si="17"/>
        <v>100000</v>
      </c>
      <c r="DQ36" s="169">
        <f t="shared" si="17"/>
        <v>100000</v>
      </c>
      <c r="DR36" s="169">
        <f t="shared" si="17"/>
        <v>100000</v>
      </c>
      <c r="DS36" s="169">
        <f t="shared" si="17"/>
        <v>100000</v>
      </c>
      <c r="DT36" s="169">
        <f t="shared" si="17"/>
        <v>100000</v>
      </c>
      <c r="DU36" s="169">
        <f t="shared" si="17"/>
        <v>100000</v>
      </c>
      <c r="DV36" s="169">
        <f t="shared" si="17"/>
        <v>100000</v>
      </c>
      <c r="DW36" s="169">
        <f t="shared" si="17"/>
        <v>100000</v>
      </c>
      <c r="DX36" s="169">
        <f t="shared" si="17"/>
        <v>100000</v>
      </c>
      <c r="DY36" s="169">
        <f t="shared" si="17"/>
        <v>100000</v>
      </c>
      <c r="DZ36" s="169">
        <f t="shared" si="17"/>
        <v>100000</v>
      </c>
      <c r="EA36" s="169">
        <f t="shared" si="17"/>
        <v>100000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222667.04122730848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2639.7867058423899</v>
      </c>
      <c r="P38" s="26">
        <f t="shared" si="18"/>
        <v>1060.6310622656251</v>
      </c>
      <c r="Q38" s="26">
        <f t="shared" si="18"/>
        <v>3791.2770487336711</v>
      </c>
      <c r="R38" s="26">
        <f t="shared" si="18"/>
        <v>4259.8770906937561</v>
      </c>
      <c r="S38" s="26">
        <f t="shared" si="18"/>
        <v>1042.7088144556815</v>
      </c>
      <c r="T38" s="26">
        <f t="shared" si="18"/>
        <v>1040.7671968364189</v>
      </c>
      <c r="U38" s="26">
        <f t="shared" si="18"/>
        <v>3757.7798200412162</v>
      </c>
      <c r="V38" s="26">
        <f t="shared" si="18"/>
        <v>4224.000218361738</v>
      </c>
      <c r="W38" s="26">
        <f t="shared" si="18"/>
        <v>1022.7892127952941</v>
      </c>
      <c r="X38" s="26">
        <f t="shared" si="18"/>
        <v>1020.8084706089812</v>
      </c>
      <c r="Y38" s="26">
        <f t="shared" si="18"/>
        <v>3724.2545897984583</v>
      </c>
      <c r="Z38" s="26">
        <f t="shared" si="18"/>
        <v>4188.1062102303531</v>
      </c>
      <c r="AA38" s="26">
        <f t="shared" si="18"/>
        <v>1002.7721077907047</v>
      </c>
      <c r="AB38" s="26">
        <f t="shared" si="18"/>
        <v>1000.7514526577284</v>
      </c>
      <c r="AC38" s="26">
        <f t="shared" si="18"/>
        <v>3690.6975749323938</v>
      </c>
      <c r="AD38" s="26">
        <f t="shared" si="18"/>
        <v>4152.191209556212</v>
      </c>
      <c r="AE38" s="26">
        <f t="shared" si="18"/>
        <v>982.65402282707737</v>
      </c>
      <c r="AF38" s="26">
        <f t="shared" si="18"/>
        <v>980.59265048158113</v>
      </c>
      <c r="AG38" s="26">
        <f t="shared" si="18"/>
        <v>3657.1049321532691</v>
      </c>
      <c r="AH38" s="26">
        <f t="shared" si="18"/>
        <v>4116.2512993505097</v>
      </c>
      <c r="AI38" s="26">
        <f t="shared" si="18"/>
        <v>962.43141875580363</v>
      </c>
      <c r="AJ38" s="26">
        <f t="shared" si="18"/>
        <v>960.32850872557128</v>
      </c>
      <c r="AK38" s="26">
        <f t="shared" ref="AK38:BP38" si="19" xml:space="preserve"> AK$56</f>
        <v>3623.4727566615193</v>
      </c>
      <c r="AL38" s="26">
        <f t="shared" si="19"/>
        <v>4080.2825010781335</v>
      </c>
      <c r="AM38" s="26">
        <f t="shared" si="19"/>
        <v>942.10069259699731</v>
      </c>
      <c r="AN38" s="26">
        <f t="shared" si="19"/>
        <v>939.95540787688628</v>
      </c>
      <c r="AO38" s="26">
        <f t="shared" si="19"/>
        <v>3589.7970808290256</v>
      </c>
      <c r="AP38" s="26">
        <f t="shared" si="19"/>
        <v>4044.2807733309892</v>
      </c>
      <c r="AQ38" s="26">
        <f t="shared" si="19"/>
        <v>921.65817621602537</v>
      </c>
      <c r="AR38" s="26">
        <f t="shared" si="19"/>
        <v>919.46966293482092</v>
      </c>
      <c r="AS38" s="26">
        <f t="shared" si="19"/>
        <v>3556.0738728542283</v>
      </c>
      <c r="AT38" s="26">
        <f t="shared" si="19"/>
        <v>4008.2420104750345</v>
      </c>
      <c r="AU38" s="26">
        <f t="shared" si="19"/>
        <v>901.10013497355976</v>
      </c>
      <c r="AV38" s="26">
        <f t="shared" si="19"/>
        <v>898.86752205411403</v>
      </c>
      <c r="AW38" s="26">
        <f t="shared" si="19"/>
        <v>3522.2990353904879</v>
      </c>
      <c r="AX38" s="26">
        <f t="shared" si="19"/>
        <v>3972.1620412704606</v>
      </c>
      <c r="AY38" s="26">
        <f t="shared" si="19"/>
        <v>880.42276634860264</v>
      </c>
      <c r="AZ38" s="26">
        <f t="shared" si="19"/>
        <v>878.14516516112872</v>
      </c>
      <c r="BA38" s="26">
        <f t="shared" si="19"/>
        <v>3488.4684041472365</v>
      </c>
      <c r="BB38" s="26">
        <f t="shared" si="19"/>
        <v>3936.0366274645103</v>
      </c>
      <c r="BC38" s="26">
        <f t="shared" si="19"/>
        <v>859.62219853396186</v>
      </c>
      <c r="BD38" s="26">
        <f t="shared" si="19"/>
        <v>857.29870254233629</v>
      </c>
      <c r="BE38" s="26">
        <f t="shared" si="19"/>
        <v>3454.5777464633084</v>
      </c>
      <c r="BF38" s="26">
        <f t="shared" si="19"/>
        <v>3899.8614623563581</v>
      </c>
      <c r="BG38" s="26">
        <f t="shared" si="19"/>
        <v>838.69448900359203</v>
      </c>
      <c r="BH38" s="26">
        <f t="shared" si="19"/>
        <v>836.32417340453526</v>
      </c>
      <c r="BI38" s="26">
        <f t="shared" si="19"/>
        <v>3420.6227598519172</v>
      </c>
      <c r="BJ38" s="26">
        <f t="shared" si="19"/>
        <v>3863.6321693334994</v>
      </c>
      <c r="BK38" s="26">
        <f t="shared" si="19"/>
        <v>817.63562305126288</v>
      </c>
      <c r="BL38" s="26">
        <f t="shared" si="19"/>
        <v>815.21754440624545</v>
      </c>
      <c r="BM38" s="26">
        <f t="shared" si="19"/>
        <v>3386.5990705166932</v>
      </c>
      <c r="BN38" s="26">
        <f t="shared" si="19"/>
        <v>3827.3443003790517</v>
      </c>
      <c r="BO38" s="26">
        <f t="shared" si="19"/>
        <v>796.44151229994668</v>
      </c>
      <c r="BP38" s="26">
        <f t="shared" si="19"/>
        <v>793.97470815968154</v>
      </c>
      <c r="BQ38" s="26">
        <f t="shared" ref="BQ38:CV38" si="20" xml:space="preserve"> BQ$56</f>
        <v>3352.5022318382098</v>
      </c>
      <c r="BR38" s="26">
        <f t="shared" si="20"/>
        <v>3790.9933345494137</v>
      </c>
      <c r="BS38" s="26">
        <f t="shared" si="20"/>
        <v>775.10799318136537</v>
      </c>
      <c r="BT38" s="26">
        <f t="shared" si="20"/>
        <v>772.59148170272965</v>
      </c>
      <c r="BU38" s="26">
        <f t="shared" si="20"/>
        <v>3318.3277228303778</v>
      </c>
      <c r="BV38" s="26">
        <f t="shared" si="20"/>
        <v>3754.5746764216574</v>
      </c>
      <c r="BW38" s="26">
        <f t="shared" si="20"/>
        <v>753.63082538506251</v>
      </c>
      <c r="BX38" s="26">
        <f t="shared" si="20"/>
        <v>751.06360494030423</v>
      </c>
      <c r="BY38" s="26">
        <f t="shared" si="20"/>
        <v>3284.0709465661339</v>
      </c>
      <c r="BZ38" s="26">
        <f t="shared" si="20"/>
        <v>3718.0836545100374</v>
      </c>
      <c r="CA38" s="26">
        <f t="shared" si="20"/>
        <v>732.00569027641495</v>
      </c>
      <c r="CB38" s="26">
        <f t="shared" si="20"/>
        <v>729.38673905447968</v>
      </c>
      <c r="CC38" s="26">
        <f t="shared" si="20"/>
        <v>3249.7272285717709</v>
      </c>
      <c r="CD38" s="26">
        <f t="shared" si="20"/>
        <v>3681.5155196510214</v>
      </c>
      <c r="CE38" s="26">
        <f t="shared" si="20"/>
        <v>710.22818928293464</v>
      </c>
      <c r="CF38" s="26">
        <f t="shared" si="20"/>
        <v>707.55646488276489</v>
      </c>
      <c r="CG38" s="26">
        <f t="shared" si="20"/>
        <v>3215.2918151892882</v>
      </c>
      <c r="CH38" s="26">
        <f t="shared" si="20"/>
        <v>3644.8654433561715</v>
      </c>
      <c r="CI38" s="26">
        <f t="shared" si="20"/>
        <v>688.29384224823389</v>
      </c>
      <c r="CJ38" s="26">
        <f t="shared" si="20"/>
        <v>685.56828126386836</v>
      </c>
      <c r="CK38" s="26">
        <f t="shared" si="20"/>
        <v>3180.759871906117</v>
      </c>
      <c r="CL38" s="26">
        <f t="shared" si="20"/>
        <v>3608.1285161322512</v>
      </c>
      <c r="CM38" s="26">
        <f t="shared" si="20"/>
        <v>666.19808575299317</v>
      </c>
      <c r="CN38" s="26">
        <f t="shared" si="20"/>
        <v>663.41760335030904</v>
      </c>
      <c r="CO38" s="26">
        <f t="shared" si="20"/>
        <v>3146.1264816515677</v>
      </c>
      <c r="CP38" s="26">
        <f t="shared" si="20"/>
        <v>3571.2997457678875</v>
      </c>
      <c r="CQ38" s="26">
        <f t="shared" si="20"/>
        <v>643.93627140228091</v>
      </c>
      <c r="CR38" s="26">
        <f t="shared" si="20"/>
        <v>641.0997608872035</v>
      </c>
      <c r="CS38" s="26">
        <f t="shared" si="20"/>
        <v>3111.3866430593098</v>
      </c>
      <c r="CT38" s="26">
        <f t="shared" si="20"/>
        <v>3534.3740555861114</v>
      </c>
      <c r="CU38" s="26">
        <f t="shared" si="20"/>
        <v>621.50366407852198</v>
      </c>
      <c r="CV38" s="26">
        <f t="shared" si="20"/>
        <v>618.60999645653737</v>
      </c>
      <c r="CW38" s="26">
        <f t="shared" ref="CW38:EA38" si="21" xml:space="preserve"> CW$56</f>
        <v>3076.5352686952083</v>
      </c>
      <c r="CX38" s="26">
        <f t="shared" si="21"/>
        <v>3497.3462826620735</v>
      </c>
      <c r="CY38" s="26">
        <f t="shared" si="21"/>
        <v>598.89544015944239</v>
      </c>
      <c r="CZ38" s="26">
        <f t="shared" si="21"/>
        <v>595.94346368623292</v>
      </c>
      <c r="DA38" s="26">
        <f t="shared" si="21"/>
        <v>3041.5671832498269</v>
      </c>
      <c r="DB38" s="26">
        <f t="shared" si="21"/>
        <v>3460.2111760052694</v>
      </c>
      <c r="DC38" s="26">
        <f t="shared" si="21"/>
        <v>576.10668570027906</v>
      </c>
      <c r="DD38" s="26">
        <f t="shared" si="21"/>
        <v>573.09522542330069</v>
      </c>
      <c r="DE38" s="26">
        <f t="shared" si="21"/>
        <v>3006.477121694857</v>
      </c>
      <c r="DF38" s="26">
        <f t="shared" si="21"/>
        <v>3422.9633947055136</v>
      </c>
      <c r="DG38" s="26">
        <f t="shared" si="21"/>
        <v>553.13239457952204</v>
      </c>
      <c r="DH38" s="26">
        <f t="shared" si="21"/>
        <v>550.06025187035084</v>
      </c>
      <c r="DI38" s="26">
        <f t="shared" si="21"/>
        <v>0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161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1530.7428821331532</v>
      </c>
      <c r="P39" s="432">
        <f t="shared" si="22"/>
        <v>2498.7271459114586</v>
      </c>
      <c r="Q39" s="432">
        <f t="shared" si="22"/>
        <v>1714.1681371240475</v>
      </c>
      <c r="R39" s="432">
        <f t="shared" si="22"/>
        <v>2443.6481258445083</v>
      </c>
      <c r="S39" s="432">
        <f t="shared" si="22"/>
        <v>5541.1713632290866</v>
      </c>
      <c r="T39" s="432">
        <f t="shared" si="22"/>
        <v>6509.400154951707</v>
      </c>
      <c r="U39" s="432">
        <f t="shared" si="22"/>
        <v>5733.7001844191745</v>
      </c>
      <c r="V39" s="432">
        <f t="shared" si="22"/>
        <v>6464.5071784003976</v>
      </c>
      <c r="W39" s="432">
        <f t="shared" si="22"/>
        <v>9551.6108055912591</v>
      </c>
      <c r="X39" s="432">
        <f t="shared" si="22"/>
        <v>10536.34743274709</v>
      </c>
      <c r="Y39" s="432">
        <f t="shared" si="22"/>
        <v>9753.1992291395527</v>
      </c>
      <c r="Z39" s="432">
        <f t="shared" si="22"/>
        <v>10485.326246217212</v>
      </c>
      <c r="AA39" s="432">
        <f t="shared" si="22"/>
        <v>13562.062421029255</v>
      </c>
      <c r="AB39" s="432">
        <f t="shared" si="22"/>
        <v>14530.781804318674</v>
      </c>
      <c r="AC39" s="432">
        <f t="shared" si="22"/>
        <v>13772.666728570784</v>
      </c>
      <c r="AD39" s="432">
        <f t="shared" si="22"/>
        <v>14506.10681365752</v>
      </c>
      <c r="AE39" s="432">
        <f t="shared" si="22"/>
        <v>17572.527440841186</v>
      </c>
      <c r="AF39" s="432">
        <f t="shared" si="22"/>
        <v>18541.4929525306</v>
      </c>
      <c r="AG39" s="432">
        <f t="shared" si="22"/>
        <v>17792.104158804788</v>
      </c>
      <c r="AH39" s="432">
        <f t="shared" si="22"/>
        <v>18526.850383601122</v>
      </c>
      <c r="AI39" s="432">
        <f t="shared" si="22"/>
        <v>21583.007116230947</v>
      </c>
      <c r="AJ39" s="432">
        <f t="shared" si="22"/>
        <v>22552.219355490601</v>
      </c>
      <c r="AK39" s="432">
        <f t="shared" si="22"/>
        <v>21811.513015171273</v>
      </c>
      <c r="AL39" s="432">
        <f t="shared" si="22"/>
        <v>22547.558477874893</v>
      </c>
      <c r="AM39" s="432">
        <f t="shared" si="22"/>
        <v>25593.502718733744</v>
      </c>
      <c r="AN39" s="432">
        <f t="shared" si="22"/>
        <v>26578.753941374813</v>
      </c>
      <c r="AO39" s="432">
        <f t="shared" si="22"/>
        <v>25830.89481267767</v>
      </c>
      <c r="AP39" s="432">
        <f t="shared" ref="AP39:BU39" si="23" xml:space="preserve"> IF( AP34 = 1, $F33, AP36 + AP37 - AP38)</f>
        <v>26568.232637690948</v>
      </c>
      <c r="AQ39" s="432">
        <f t="shared" si="23"/>
        <v>29604.015540650023</v>
      </c>
      <c r="AR39" s="432">
        <f t="shared" si="23"/>
        <v>30573.723168202647</v>
      </c>
      <c r="AS39" s="432">
        <f t="shared" si="23"/>
        <v>29850.25108645764</v>
      </c>
      <c r="AT39" s="432">
        <f t="shared" si="23"/>
        <v>30588.874424093388</v>
      </c>
      <c r="AU39" s="432">
        <f t="shared" si="23"/>
        <v>33614.546895488107</v>
      </c>
      <c r="AV39" s="432">
        <f t="shared" si="23"/>
        <v>34584.503253027659</v>
      </c>
      <c r="AW39" s="432">
        <f t="shared" si="23"/>
        <v>33869.583392228407</v>
      </c>
      <c r="AX39" s="432">
        <f t="shared" si="23"/>
        <v>34609.48541841378</v>
      </c>
      <c r="AY39" s="432">
        <f t="shared" si="23"/>
        <v>37625.098118415553</v>
      </c>
      <c r="AZ39" s="432">
        <f t="shared" si="23"/>
        <v>38595.303943665058</v>
      </c>
      <c r="BA39" s="432">
        <f t="shared" si="23"/>
        <v>37888.893306756996</v>
      </c>
      <c r="BB39" s="432">
        <f t="shared" si="23"/>
        <v>38630.067222735524</v>
      </c>
      <c r="BC39" s="432">
        <f t="shared" si="23"/>
        <v>41635.670566719549</v>
      </c>
      <c r="BD39" s="432">
        <f t="shared" si="23"/>
        <v>42621.44392327415</v>
      </c>
      <c r="BE39" s="432">
        <f t="shared" si="23"/>
        <v>41908.182428335625</v>
      </c>
      <c r="BF39" s="432">
        <f t="shared" si="23"/>
        <v>42650.621460367292</v>
      </c>
      <c r="BG39" s="432">
        <f t="shared" si="23"/>
        <v>45646.265620276448</v>
      </c>
      <c r="BH39" s="432">
        <f t="shared" si="23"/>
        <v>46616.972739260054</v>
      </c>
      <c r="BI39" s="432">
        <f t="shared" si="23"/>
        <v>45927.452377266483</v>
      </c>
      <c r="BJ39" s="432">
        <f t="shared" si="23"/>
        <v>46671.149776325728</v>
      </c>
      <c r="BK39" s="432">
        <f t="shared" si="23"/>
        <v>49656.884682030555</v>
      </c>
      <c r="BL39" s="432">
        <f t="shared" si="23"/>
        <v>50627.843701179576</v>
      </c>
      <c r="BM39" s="432">
        <f t="shared" si="23"/>
        <v>49946.704796355909</v>
      </c>
      <c r="BN39" s="432">
        <f t="shared" si="23"/>
        <v>50691.653837827638</v>
      </c>
      <c r="BO39" s="432">
        <f t="shared" si="23"/>
        <v>53667.52917848264</v>
      </c>
      <c r="BP39" s="432">
        <f t="shared" si="23"/>
        <v>54638.740983829011</v>
      </c>
      <c r="BQ39" s="432">
        <f t="shared" si="23"/>
        <v>53965.941351418354</v>
      </c>
      <c r="BR39" s="432">
        <f t="shared" si="23"/>
        <v>54712.13533479179</v>
      </c>
      <c r="BS39" s="432">
        <f t="shared" si="23"/>
        <v>57678.200560188008</v>
      </c>
      <c r="BT39" s="432">
        <f t="shared" si="23"/>
        <v>58664.504910787429</v>
      </c>
      <c r="BU39" s="432">
        <f t="shared" si="23"/>
        <v>57985.163731790286</v>
      </c>
      <c r="BV39" s="432">
        <f t="shared" ref="BV39:DA39" si="24" xml:space="preserve"> IF( BV34 = 1, $F33, BV36 + BV37 - BV38)</f>
        <v>58732.595980350576</v>
      </c>
      <c r="BW39" s="432">
        <f t="shared" si="24"/>
        <v>61688.900302264527</v>
      </c>
      <c r="BX39" s="432">
        <f t="shared" si="24"/>
        <v>62660.620493574213</v>
      </c>
      <c r="BY39" s="432">
        <f t="shared" si="24"/>
        <v>62004.373650854061</v>
      </c>
      <c r="BZ39" s="432">
        <f t="shared" si="24"/>
        <v>62753.037511371665</v>
      </c>
      <c r="CA39" s="432">
        <f t="shared" si="24"/>
        <v>65699.629904910806</v>
      </c>
      <c r="CB39" s="432">
        <f t="shared" si="24"/>
        <v>66671.605775427248</v>
      </c>
      <c r="CC39" s="432">
        <f t="shared" si="24"/>
        <v>66023.572846572235</v>
      </c>
      <c r="CD39" s="432">
        <f t="shared" si="24"/>
        <v>66773.461688990006</v>
      </c>
      <c r="CE39" s="432">
        <f t="shared" si="24"/>
        <v>69710.390893934746</v>
      </c>
      <c r="CF39" s="432">
        <f t="shared" si="24"/>
        <v>70682.623488600017</v>
      </c>
      <c r="CG39" s="432">
        <f t="shared" si="24"/>
        <v>70042.763082032354</v>
      </c>
      <c r="CH39" s="432">
        <f t="shared" si="24"/>
        <v>70793.870299150134</v>
      </c>
      <c r="CI39" s="432">
        <f t="shared" si="24"/>
        <v>73721.184821292438</v>
      </c>
      <c r="CJ39" s="432">
        <f t="shared" si="24"/>
        <v>74708.03044382896</v>
      </c>
      <c r="CK39" s="432">
        <f t="shared" si="24"/>
        <v>74061.946146002432</v>
      </c>
      <c r="CL39" s="432">
        <f t="shared" si="24"/>
        <v>74814.265153159315</v>
      </c>
      <c r="CM39" s="432">
        <f t="shared" si="24"/>
        <v>77732.013265638103</v>
      </c>
      <c r="CN39" s="432">
        <f t="shared" si="24"/>
        <v>78704.762610119855</v>
      </c>
      <c r="CO39" s="432">
        <f t="shared" si="24"/>
        <v>78081.123853497484</v>
      </c>
      <c r="CP39" s="432">
        <f t="shared" si="24"/>
        <v>78834.648088251401</v>
      </c>
      <c r="CQ39" s="432">
        <f t="shared" si="24"/>
        <v>81742.877832884682</v>
      </c>
      <c r="CR39" s="432">
        <f t="shared" si="24"/>
        <v>82715.887288231592</v>
      </c>
      <c r="CS39" s="432">
        <f t="shared" si="24"/>
        <v>82100.298046357013</v>
      </c>
      <c r="CT39" s="432">
        <f t="shared" si="24"/>
        <v>82855.020968161843</v>
      </c>
      <c r="CU39" s="432">
        <f t="shared" si="24"/>
        <v>85753.780156775814</v>
      </c>
      <c r="CV39" s="432">
        <f t="shared" si="24"/>
        <v>86727.05093835594</v>
      </c>
      <c r="CW39" s="432">
        <f t="shared" si="24"/>
        <v>86119.470593834194</v>
      </c>
      <c r="CX39" s="432">
        <f t="shared" si="24"/>
        <v>86875.385683714165</v>
      </c>
      <c r="CY39" s="432">
        <f t="shared" si="24"/>
        <v>89764.721899469223</v>
      </c>
      <c r="CZ39" s="432">
        <f t="shared" si="24"/>
        <v>90752.120593905114</v>
      </c>
      <c r="DA39" s="432">
        <f t="shared" si="24"/>
        <v>90138.6433931965</v>
      </c>
      <c r="DB39" s="432">
        <f t="shared" ref="DB39:EA39" si="25" xml:space="preserve"> IF( DB34 = 1, $F33, DB36 + DB37 - DB38)</f>
        <v>90895.744153417763</v>
      </c>
      <c r="DC39" s="432">
        <f t="shared" si="25"/>
        <v>93775.704752131613</v>
      </c>
      <c r="DD39" s="432">
        <f t="shared" si="25"/>
        <v>94749.502011160206</v>
      </c>
      <c r="DE39" s="432">
        <f t="shared" si="25"/>
        <v>94157.81837033818</v>
      </c>
      <c r="DF39" s="432">
        <f t="shared" si="25"/>
        <v>94916.098324077684</v>
      </c>
      <c r="DG39" s="432">
        <f t="shared" si="25"/>
        <v>97786.730435545585</v>
      </c>
      <c r="DH39" s="432">
        <f t="shared" si="25"/>
        <v>98760.792937238541</v>
      </c>
      <c r="DI39" s="432">
        <f t="shared" si="25"/>
        <v>100000</v>
      </c>
      <c r="DJ39" s="432">
        <f t="shared" si="25"/>
        <v>100000</v>
      </c>
      <c r="DK39" s="432">
        <f t="shared" si="25"/>
        <v>100000</v>
      </c>
      <c r="DL39" s="432">
        <f t="shared" si="25"/>
        <v>100000</v>
      </c>
      <c r="DM39" s="432">
        <f t="shared" si="25"/>
        <v>100000</v>
      </c>
      <c r="DN39" s="432">
        <f t="shared" si="25"/>
        <v>100000</v>
      </c>
      <c r="DO39" s="432">
        <f t="shared" si="25"/>
        <v>100000</v>
      </c>
      <c r="DP39" s="432">
        <f t="shared" si="25"/>
        <v>100000</v>
      </c>
      <c r="DQ39" s="432">
        <f t="shared" si="25"/>
        <v>100000</v>
      </c>
      <c r="DR39" s="432">
        <f t="shared" si="25"/>
        <v>100000</v>
      </c>
      <c r="DS39" s="432">
        <f t="shared" si="25"/>
        <v>100000</v>
      </c>
      <c r="DT39" s="432">
        <f t="shared" si="25"/>
        <v>100000</v>
      </c>
      <c r="DU39" s="432">
        <f t="shared" si="25"/>
        <v>100000</v>
      </c>
      <c r="DV39" s="432">
        <f t="shared" si="25"/>
        <v>100000</v>
      </c>
      <c r="DW39" s="432">
        <f t="shared" si="25"/>
        <v>100000</v>
      </c>
      <c r="DX39" s="432">
        <f t="shared" si="25"/>
        <v>100000</v>
      </c>
      <c r="DY39" s="432">
        <f t="shared" si="25"/>
        <v>100000</v>
      </c>
      <c r="DZ39" s="432">
        <f t="shared" si="25"/>
        <v>100000</v>
      </c>
      <c r="EA39" s="432">
        <f t="shared" si="25"/>
        <v>100000</v>
      </c>
    </row>
    <row r="41" spans="1:131" x14ac:dyDescent="0.35">
      <c r="A41" s="8" t="s">
        <v>230</v>
      </c>
    </row>
    <row r="42" spans="1:131" outlineLevel="1" x14ac:dyDescent="0.35"/>
    <row r="43" spans="1:131" outlineLevel="1" x14ac:dyDescent="0.35">
      <c r="B43" s="8" t="s">
        <v>231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2305.3983516483513</v>
      </c>
      <c r="O44" s="7">
        <f t="shared" si="26"/>
        <v>1577.252377717391</v>
      </c>
      <c r="P44" s="7">
        <f t="shared" si="26"/>
        <v>0</v>
      </c>
      <c r="Q44" s="7">
        <f t="shared" si="26"/>
        <v>0</v>
      </c>
      <c r="R44" s="7">
        <f t="shared" si="26"/>
        <v>0</v>
      </c>
      <c r="S44" s="7">
        <f t="shared" si="26"/>
        <v>0</v>
      </c>
      <c r="T44" s="7">
        <f t="shared" si="26"/>
        <v>0</v>
      </c>
      <c r="U44" s="7">
        <f t="shared" si="26"/>
        <v>0</v>
      </c>
      <c r="V44" s="7">
        <f t="shared" si="26"/>
        <v>0</v>
      </c>
      <c r="W44" s="7">
        <f t="shared" si="26"/>
        <v>0</v>
      </c>
      <c r="X44" s="7">
        <f t="shared" si="26"/>
        <v>0</v>
      </c>
      <c r="Y44" s="7">
        <f t="shared" si="26"/>
        <v>0</v>
      </c>
      <c r="Z44" s="7">
        <f t="shared" si="26"/>
        <v>0</v>
      </c>
      <c r="AA44" s="7">
        <f t="shared" si="26"/>
        <v>0</v>
      </c>
      <c r="AB44" s="7">
        <f t="shared" si="26"/>
        <v>0</v>
      </c>
      <c r="AC44" s="7">
        <f t="shared" si="26"/>
        <v>0</v>
      </c>
      <c r="AD44" s="7">
        <f t="shared" si="26"/>
        <v>0</v>
      </c>
      <c r="AE44" s="7">
        <f t="shared" si="26"/>
        <v>0</v>
      </c>
      <c r="AF44" s="7">
        <f t="shared" si="26"/>
        <v>0</v>
      </c>
      <c r="AG44" s="7">
        <f t="shared" si="26"/>
        <v>0</v>
      </c>
      <c r="AH44" s="7">
        <f t="shared" si="26"/>
        <v>0</v>
      </c>
      <c r="AI44" s="7">
        <f t="shared" si="26"/>
        <v>0</v>
      </c>
      <c r="AJ44" s="7">
        <f t="shared" si="26"/>
        <v>0</v>
      </c>
      <c r="AK44" s="7">
        <f t="shared" ref="AK44:BP44" si="27" xml:space="preserve"> AK$25</f>
        <v>0</v>
      </c>
      <c r="AL44" s="7">
        <f t="shared" si="27"/>
        <v>0</v>
      </c>
      <c r="AM44" s="7">
        <f t="shared" si="27"/>
        <v>0</v>
      </c>
      <c r="AN44" s="7">
        <f t="shared" si="27"/>
        <v>0</v>
      </c>
      <c r="AO44" s="7">
        <f t="shared" si="27"/>
        <v>0</v>
      </c>
      <c r="AP44" s="7">
        <f t="shared" si="27"/>
        <v>0</v>
      </c>
      <c r="AQ44" s="7">
        <f t="shared" si="27"/>
        <v>0</v>
      </c>
      <c r="AR44" s="7">
        <f t="shared" si="27"/>
        <v>0</v>
      </c>
      <c r="AS44" s="7">
        <f t="shared" si="27"/>
        <v>0</v>
      </c>
      <c r="AT44" s="7">
        <f t="shared" si="27"/>
        <v>0</v>
      </c>
      <c r="AU44" s="7">
        <f t="shared" si="27"/>
        <v>0</v>
      </c>
      <c r="AV44" s="7">
        <f t="shared" si="27"/>
        <v>0</v>
      </c>
      <c r="AW44" s="7">
        <f t="shared" si="27"/>
        <v>0</v>
      </c>
      <c r="AX44" s="7">
        <f t="shared" si="27"/>
        <v>0</v>
      </c>
      <c r="AY44" s="7">
        <f t="shared" si="27"/>
        <v>0</v>
      </c>
      <c r="AZ44" s="7">
        <f t="shared" si="27"/>
        <v>0</v>
      </c>
      <c r="BA44" s="7">
        <f t="shared" si="27"/>
        <v>0</v>
      </c>
      <c r="BB44" s="7">
        <f t="shared" si="27"/>
        <v>0</v>
      </c>
      <c r="BC44" s="7">
        <f t="shared" si="27"/>
        <v>0</v>
      </c>
      <c r="BD44" s="7">
        <f t="shared" si="27"/>
        <v>0</v>
      </c>
      <c r="BE44" s="7">
        <f t="shared" si="27"/>
        <v>0</v>
      </c>
      <c r="BF44" s="7">
        <f t="shared" si="27"/>
        <v>0</v>
      </c>
      <c r="BG44" s="7">
        <f t="shared" si="27"/>
        <v>0</v>
      </c>
      <c r="BH44" s="7">
        <f t="shared" si="27"/>
        <v>0</v>
      </c>
      <c r="BI44" s="7">
        <f t="shared" si="27"/>
        <v>0</v>
      </c>
      <c r="BJ44" s="7">
        <f t="shared" si="27"/>
        <v>0</v>
      </c>
      <c r="BK44" s="7">
        <f t="shared" si="27"/>
        <v>0</v>
      </c>
      <c r="BL44" s="7">
        <f t="shared" si="27"/>
        <v>0</v>
      </c>
      <c r="BM44" s="7">
        <f t="shared" si="27"/>
        <v>0</v>
      </c>
      <c r="BN44" s="7">
        <f t="shared" si="27"/>
        <v>0</v>
      </c>
      <c r="BO44" s="7">
        <f t="shared" si="27"/>
        <v>0</v>
      </c>
      <c r="BP44" s="7">
        <f t="shared" si="27"/>
        <v>0</v>
      </c>
      <c r="BQ44" s="7">
        <f t="shared" ref="BQ44:CV44" si="28" xml:space="preserve"> BQ$25</f>
        <v>0</v>
      </c>
      <c r="BR44" s="7">
        <f t="shared" si="28"/>
        <v>0</v>
      </c>
      <c r="BS44" s="7">
        <f t="shared" si="28"/>
        <v>0</v>
      </c>
      <c r="BT44" s="7">
        <f t="shared" si="28"/>
        <v>0</v>
      </c>
      <c r="BU44" s="7">
        <f t="shared" si="28"/>
        <v>0</v>
      </c>
      <c r="BV44" s="7">
        <f t="shared" si="28"/>
        <v>0</v>
      </c>
      <c r="BW44" s="7">
        <f t="shared" si="28"/>
        <v>0</v>
      </c>
      <c r="BX44" s="7">
        <f t="shared" si="28"/>
        <v>0</v>
      </c>
      <c r="BY44" s="7">
        <f t="shared" si="28"/>
        <v>0</v>
      </c>
      <c r="BZ44" s="7">
        <f t="shared" si="28"/>
        <v>0</v>
      </c>
      <c r="CA44" s="7">
        <f t="shared" si="28"/>
        <v>0</v>
      </c>
      <c r="CB44" s="7">
        <f t="shared" si="28"/>
        <v>0</v>
      </c>
      <c r="CC44" s="7">
        <f t="shared" si="28"/>
        <v>0</v>
      </c>
      <c r="CD44" s="7">
        <f t="shared" si="28"/>
        <v>0</v>
      </c>
      <c r="CE44" s="7">
        <f t="shared" si="28"/>
        <v>0</v>
      </c>
      <c r="CF44" s="7">
        <f t="shared" si="28"/>
        <v>0</v>
      </c>
      <c r="CG44" s="7">
        <f t="shared" si="28"/>
        <v>0</v>
      </c>
      <c r="CH44" s="7">
        <f t="shared" si="28"/>
        <v>0</v>
      </c>
      <c r="CI44" s="7">
        <f t="shared" si="28"/>
        <v>0</v>
      </c>
      <c r="CJ44" s="7">
        <f t="shared" si="28"/>
        <v>0</v>
      </c>
      <c r="CK44" s="7">
        <f t="shared" si="28"/>
        <v>0</v>
      </c>
      <c r="CL44" s="7">
        <f t="shared" si="28"/>
        <v>0</v>
      </c>
      <c r="CM44" s="7">
        <f t="shared" si="28"/>
        <v>0</v>
      </c>
      <c r="CN44" s="7">
        <f t="shared" si="28"/>
        <v>0</v>
      </c>
      <c r="CO44" s="7">
        <f t="shared" si="28"/>
        <v>0</v>
      </c>
      <c r="CP44" s="7">
        <f t="shared" si="28"/>
        <v>0</v>
      </c>
      <c r="CQ44" s="7">
        <f t="shared" si="28"/>
        <v>0</v>
      </c>
      <c r="CR44" s="7">
        <f t="shared" si="28"/>
        <v>0</v>
      </c>
      <c r="CS44" s="7">
        <f t="shared" si="28"/>
        <v>0</v>
      </c>
      <c r="CT44" s="7">
        <f t="shared" si="28"/>
        <v>0</v>
      </c>
      <c r="CU44" s="7">
        <f t="shared" si="28"/>
        <v>0</v>
      </c>
      <c r="CV44" s="7">
        <f t="shared" si="28"/>
        <v>0</v>
      </c>
      <c r="CW44" s="7">
        <f t="shared" ref="CW44:EA44" si="29" xml:space="preserve"> CW$25</f>
        <v>0</v>
      </c>
      <c r="CX44" s="7">
        <f t="shared" si="29"/>
        <v>0</v>
      </c>
      <c r="CY44" s="7">
        <f t="shared" si="29"/>
        <v>0</v>
      </c>
      <c r="CZ44" s="7">
        <f t="shared" si="29"/>
        <v>0</v>
      </c>
      <c r="DA44" s="7">
        <f t="shared" si="29"/>
        <v>0</v>
      </c>
      <c r="DB44" s="7">
        <f t="shared" si="29"/>
        <v>0</v>
      </c>
      <c r="DC44" s="7">
        <f t="shared" si="29"/>
        <v>0</v>
      </c>
      <c r="DD44" s="7">
        <f t="shared" si="29"/>
        <v>0</v>
      </c>
      <c r="DE44" s="7">
        <f t="shared" si="29"/>
        <v>0</v>
      </c>
      <c r="DF44" s="7">
        <f t="shared" si="29"/>
        <v>0</v>
      </c>
      <c r="DG44" s="7">
        <f t="shared" si="29"/>
        <v>0</v>
      </c>
      <c r="DH44" s="7">
        <f t="shared" si="29"/>
        <v>0</v>
      </c>
      <c r="DI44" s="7">
        <f t="shared" si="29"/>
        <v>0</v>
      </c>
      <c r="DJ44" s="7">
        <f t="shared" si="29"/>
        <v>0</v>
      </c>
      <c r="DK44" s="7">
        <f t="shared" si="29"/>
        <v>0</v>
      </c>
      <c r="DL44" s="7">
        <f t="shared" si="29"/>
        <v>0</v>
      </c>
      <c r="DM44" s="7">
        <f t="shared" si="29"/>
        <v>0</v>
      </c>
      <c r="DN44" s="7">
        <f t="shared" si="29"/>
        <v>0</v>
      </c>
      <c r="DO44" s="7">
        <f t="shared" si="29"/>
        <v>0</v>
      </c>
      <c r="DP44" s="7">
        <f t="shared" si="29"/>
        <v>0</v>
      </c>
      <c r="DQ44" s="7">
        <f t="shared" si="29"/>
        <v>0</v>
      </c>
      <c r="DR44" s="7">
        <f t="shared" si="29"/>
        <v>0</v>
      </c>
      <c r="DS44" s="7">
        <f t="shared" si="29"/>
        <v>0</v>
      </c>
      <c r="DT44" s="7">
        <f t="shared" si="29"/>
        <v>0</v>
      </c>
      <c r="DU44" s="7">
        <f t="shared" si="29"/>
        <v>0</v>
      </c>
      <c r="DV44" s="7">
        <f t="shared" si="29"/>
        <v>0</v>
      </c>
      <c r="DW44" s="7">
        <f t="shared" si="29"/>
        <v>0</v>
      </c>
      <c r="DX44" s="7">
        <f t="shared" si="29"/>
        <v>0</v>
      </c>
      <c r="DY44" s="7">
        <f t="shared" si="29"/>
        <v>0</v>
      </c>
      <c r="DZ44" s="7">
        <f t="shared" si="29"/>
        <v>0</v>
      </c>
      <c r="EA44" s="7">
        <f t="shared" si="29"/>
        <v>0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222667.04122730848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3824.75</v>
      </c>
      <c r="N45" s="428">
        <f xml:space="preserve"> 'FS Qtr'!N$22</f>
        <v>4295.7406250000004</v>
      </c>
      <c r="O45" s="428">
        <f xml:space="preserve"> 'FS Qtr'!O$22</f>
        <v>1062.5343281249989</v>
      </c>
      <c r="P45" s="428">
        <f xml:space="preserve"> 'FS Qtr'!P$22</f>
        <v>1060.6310622656251</v>
      </c>
      <c r="Q45" s="428">
        <f xml:space="preserve"> 'FS Qtr'!Q$22</f>
        <v>3791.2770487336711</v>
      </c>
      <c r="R45" s="428">
        <f xml:space="preserve"> 'FS Qtr'!R$22</f>
        <v>4259.8770906937561</v>
      </c>
      <c r="S45" s="428">
        <f xml:space="preserve"> 'FS Qtr'!S$22</f>
        <v>1042.7088144556815</v>
      </c>
      <c r="T45" s="428">
        <f xml:space="preserve"> 'FS Qtr'!T$22</f>
        <v>1040.7671968364189</v>
      </c>
      <c r="U45" s="428">
        <f xml:space="preserve"> 'FS Qtr'!U$22</f>
        <v>3757.7798200412162</v>
      </c>
      <c r="V45" s="428">
        <f xml:space="preserve"> 'FS Qtr'!V$22</f>
        <v>4224.000218361738</v>
      </c>
      <c r="W45" s="428">
        <f xml:space="preserve"> 'FS Qtr'!W$22</f>
        <v>1022.7892127952941</v>
      </c>
      <c r="X45" s="428">
        <f xml:space="preserve"> 'FS Qtr'!X$22</f>
        <v>1020.8084706089812</v>
      </c>
      <c r="Y45" s="428">
        <f xml:space="preserve"> 'FS Qtr'!Y$22</f>
        <v>3724.2545897984583</v>
      </c>
      <c r="Z45" s="428">
        <f xml:space="preserve"> 'FS Qtr'!Z$22</f>
        <v>4188.1062102303531</v>
      </c>
      <c r="AA45" s="428">
        <f xml:space="preserve"> 'FS Qtr'!AA$22</f>
        <v>1002.7721077907047</v>
      </c>
      <c r="AB45" s="428">
        <f xml:space="preserve"> 'FS Qtr'!AB$22</f>
        <v>1000.7514526577284</v>
      </c>
      <c r="AC45" s="428">
        <f xml:space="preserve"> 'FS Qtr'!AC$22</f>
        <v>3690.6975749323938</v>
      </c>
      <c r="AD45" s="428">
        <f xml:space="preserve"> 'FS Qtr'!AD$22</f>
        <v>4152.191209556212</v>
      </c>
      <c r="AE45" s="428">
        <f xml:space="preserve"> 'FS Qtr'!AE$22</f>
        <v>982.65402282707737</v>
      </c>
      <c r="AF45" s="428">
        <f xml:space="preserve"> 'FS Qtr'!AF$22</f>
        <v>980.59265048158113</v>
      </c>
      <c r="AG45" s="428">
        <f xml:space="preserve"> 'FS Qtr'!AG$22</f>
        <v>3657.1049321532691</v>
      </c>
      <c r="AH45" s="428">
        <f xml:space="preserve"> 'FS Qtr'!AH$22</f>
        <v>4116.2512993505097</v>
      </c>
      <c r="AI45" s="428">
        <f xml:space="preserve"> 'FS Qtr'!AI$22</f>
        <v>962.43141875580363</v>
      </c>
      <c r="AJ45" s="428">
        <f xml:space="preserve"> 'FS Qtr'!AJ$22</f>
        <v>960.32850872557128</v>
      </c>
      <c r="AK45" s="428">
        <f xml:space="preserve"> 'FS Qtr'!AK$22</f>
        <v>3623.4727566615193</v>
      </c>
      <c r="AL45" s="428">
        <f xml:space="preserve"> 'FS Qtr'!AL$22</f>
        <v>4080.2825010781335</v>
      </c>
      <c r="AM45" s="428">
        <f xml:space="preserve"> 'FS Qtr'!AM$22</f>
        <v>942.10069259699731</v>
      </c>
      <c r="AN45" s="428">
        <f xml:space="preserve"> 'FS Qtr'!AN$22</f>
        <v>939.95540787688628</v>
      </c>
      <c r="AO45" s="428">
        <f xml:space="preserve"> 'FS Qtr'!AO$22</f>
        <v>3589.7970808290256</v>
      </c>
      <c r="AP45" s="428">
        <f xml:space="preserve"> 'FS Qtr'!AP$22</f>
        <v>4044.2807733309892</v>
      </c>
      <c r="AQ45" s="428">
        <f xml:space="preserve"> 'FS Qtr'!AQ$22</f>
        <v>921.65817621602537</v>
      </c>
      <c r="AR45" s="428">
        <f xml:space="preserve"> 'FS Qtr'!AR$22</f>
        <v>919.46966293482092</v>
      </c>
      <c r="AS45" s="428">
        <f xml:space="preserve"> 'FS Qtr'!AS$22</f>
        <v>3556.0738728542283</v>
      </c>
      <c r="AT45" s="428">
        <f xml:space="preserve"> 'FS Qtr'!AT$22</f>
        <v>4008.2420104750345</v>
      </c>
      <c r="AU45" s="428">
        <f xml:space="preserve"> 'FS Qtr'!AU$22</f>
        <v>901.10013497355976</v>
      </c>
      <c r="AV45" s="428">
        <f xml:space="preserve"> 'FS Qtr'!AV$22</f>
        <v>898.86752205411403</v>
      </c>
      <c r="AW45" s="428">
        <f xml:space="preserve"> 'FS Qtr'!AW$22</f>
        <v>3522.2990353904879</v>
      </c>
      <c r="AX45" s="428">
        <f xml:space="preserve"> 'FS Qtr'!AX$22</f>
        <v>3972.1620412704606</v>
      </c>
      <c r="AY45" s="428">
        <f xml:space="preserve"> 'FS Qtr'!AY$22</f>
        <v>880.42276634860264</v>
      </c>
      <c r="AZ45" s="428">
        <f xml:space="preserve"> 'FS Qtr'!AZ$22</f>
        <v>878.14516516112872</v>
      </c>
      <c r="BA45" s="428">
        <f xml:space="preserve"> 'FS Qtr'!BA$22</f>
        <v>3488.4684041472365</v>
      </c>
      <c r="BB45" s="428">
        <f xml:space="preserve"> 'FS Qtr'!BB$22</f>
        <v>3936.0366274645103</v>
      </c>
      <c r="BC45" s="428">
        <f xml:space="preserve"> 'FS Qtr'!BC$22</f>
        <v>859.62219853396186</v>
      </c>
      <c r="BD45" s="428">
        <f xml:space="preserve"> 'FS Qtr'!BD$22</f>
        <v>857.29870254233629</v>
      </c>
      <c r="BE45" s="428">
        <f xml:space="preserve"> 'FS Qtr'!BE$22</f>
        <v>3454.5777464633084</v>
      </c>
      <c r="BF45" s="428">
        <f xml:space="preserve"> 'FS Qtr'!BF$22</f>
        <v>3899.8614623563581</v>
      </c>
      <c r="BG45" s="428">
        <f xml:space="preserve"> 'FS Qtr'!BG$22</f>
        <v>838.69448900359203</v>
      </c>
      <c r="BH45" s="428">
        <f xml:space="preserve"> 'FS Qtr'!BH$22</f>
        <v>836.32417340453526</v>
      </c>
      <c r="BI45" s="428">
        <f xml:space="preserve"> 'FS Qtr'!BI$22</f>
        <v>3420.6227598519172</v>
      </c>
      <c r="BJ45" s="428">
        <f xml:space="preserve"> 'FS Qtr'!BJ$22</f>
        <v>3863.6321693334994</v>
      </c>
      <c r="BK45" s="428">
        <f xml:space="preserve"> 'FS Qtr'!BK$22</f>
        <v>817.63562305126288</v>
      </c>
      <c r="BL45" s="428">
        <f xml:space="preserve"> 'FS Qtr'!BL$22</f>
        <v>815.21754440624545</v>
      </c>
      <c r="BM45" s="428">
        <f xml:space="preserve"> 'FS Qtr'!BM$22</f>
        <v>3386.5990705166932</v>
      </c>
      <c r="BN45" s="428">
        <f xml:space="preserve"> 'FS Qtr'!BN$22</f>
        <v>3827.3443003790517</v>
      </c>
      <c r="BO45" s="428">
        <f xml:space="preserve"> 'FS Qtr'!BO$22</f>
        <v>796.44151229994668</v>
      </c>
      <c r="BP45" s="428">
        <f xml:space="preserve"> 'FS Qtr'!BP$22</f>
        <v>793.97470815968154</v>
      </c>
      <c r="BQ45" s="428">
        <f xml:space="preserve"> 'FS Qtr'!BQ$22</f>
        <v>3352.5022318382098</v>
      </c>
      <c r="BR45" s="428">
        <f xml:space="preserve"> 'FS Qtr'!BR$22</f>
        <v>3790.9933345494137</v>
      </c>
      <c r="BS45" s="428">
        <f xml:space="preserve"> 'FS Qtr'!BS$22</f>
        <v>775.10799318136537</v>
      </c>
      <c r="BT45" s="428">
        <f xml:space="preserve"> 'FS Qtr'!BT$22</f>
        <v>772.59148170272965</v>
      </c>
      <c r="BU45" s="428">
        <f xml:space="preserve"> 'FS Qtr'!BU$22</f>
        <v>3318.3277228303778</v>
      </c>
      <c r="BV45" s="428">
        <f xml:space="preserve"> 'FS Qtr'!BV$22</f>
        <v>3754.5746764216574</v>
      </c>
      <c r="BW45" s="428">
        <f xml:space="preserve"> 'FS Qtr'!BW$22</f>
        <v>753.63082538506251</v>
      </c>
      <c r="BX45" s="428">
        <f xml:space="preserve"> 'FS Qtr'!BX$22</f>
        <v>751.06360494030423</v>
      </c>
      <c r="BY45" s="428">
        <f xml:space="preserve"> 'FS Qtr'!BY$22</f>
        <v>3284.0709465661339</v>
      </c>
      <c r="BZ45" s="428">
        <f xml:space="preserve"> 'FS Qtr'!BZ$22</f>
        <v>3718.0836545100374</v>
      </c>
      <c r="CA45" s="428">
        <f xml:space="preserve"> 'FS Qtr'!CA$22</f>
        <v>732.00569027641495</v>
      </c>
      <c r="CB45" s="428">
        <f xml:space="preserve"> 'FS Qtr'!CB$22</f>
        <v>729.38673905447968</v>
      </c>
      <c r="CC45" s="428">
        <f xml:space="preserve"> 'FS Qtr'!CC$22</f>
        <v>3249.7272285717709</v>
      </c>
      <c r="CD45" s="428">
        <f xml:space="preserve"> 'FS Qtr'!CD$22</f>
        <v>3681.5155196510214</v>
      </c>
      <c r="CE45" s="428">
        <f xml:space="preserve"> 'FS Qtr'!CE$22</f>
        <v>710.22818928293464</v>
      </c>
      <c r="CF45" s="428">
        <f xml:space="preserve"> 'FS Qtr'!CF$22</f>
        <v>707.55646488276489</v>
      </c>
      <c r="CG45" s="428">
        <f xml:space="preserve"> 'FS Qtr'!CG$22</f>
        <v>3215.2918151892882</v>
      </c>
      <c r="CH45" s="428">
        <f xml:space="preserve"> 'FS Qtr'!CH$22</f>
        <v>3644.8654433561715</v>
      </c>
      <c r="CI45" s="428">
        <f xml:space="preserve"> 'FS Qtr'!CI$22</f>
        <v>688.29384224823389</v>
      </c>
      <c r="CJ45" s="428">
        <f xml:space="preserve"> 'FS Qtr'!CJ$22</f>
        <v>685.56828126386836</v>
      </c>
      <c r="CK45" s="428">
        <f xml:space="preserve"> 'FS Qtr'!CK$22</f>
        <v>3180.759871906117</v>
      </c>
      <c r="CL45" s="428">
        <f xml:space="preserve"> 'FS Qtr'!CL$22</f>
        <v>3608.1285161322512</v>
      </c>
      <c r="CM45" s="428">
        <f xml:space="preserve"> 'FS Qtr'!CM$22</f>
        <v>666.19808575299317</v>
      </c>
      <c r="CN45" s="428">
        <f xml:space="preserve"> 'FS Qtr'!CN$22</f>
        <v>663.41760335030904</v>
      </c>
      <c r="CO45" s="428">
        <f xml:space="preserve"> 'FS Qtr'!CO$22</f>
        <v>3146.1264816515677</v>
      </c>
      <c r="CP45" s="428">
        <f xml:space="preserve"> 'FS Qtr'!CP$22</f>
        <v>3571.2997457678875</v>
      </c>
      <c r="CQ45" s="428">
        <f xml:space="preserve"> 'FS Qtr'!CQ$22</f>
        <v>643.93627140228091</v>
      </c>
      <c r="CR45" s="428">
        <f xml:space="preserve"> 'FS Qtr'!CR$22</f>
        <v>641.0997608872035</v>
      </c>
      <c r="CS45" s="428">
        <f xml:space="preserve"> 'FS Qtr'!CS$22</f>
        <v>3111.3866430593098</v>
      </c>
      <c r="CT45" s="428">
        <f xml:space="preserve"> 'FS Qtr'!CT$22</f>
        <v>3534.3740555861114</v>
      </c>
      <c r="CU45" s="428">
        <f xml:space="preserve"> 'FS Qtr'!CU$22</f>
        <v>621.50366407852198</v>
      </c>
      <c r="CV45" s="428">
        <f xml:space="preserve"> 'FS Qtr'!CV$22</f>
        <v>618.60999645653737</v>
      </c>
      <c r="CW45" s="428">
        <f xml:space="preserve"> 'FS Qtr'!CW$22</f>
        <v>3076.5352686952083</v>
      </c>
      <c r="CX45" s="428">
        <f xml:space="preserve"> 'FS Qtr'!CX$22</f>
        <v>3497.3462826620735</v>
      </c>
      <c r="CY45" s="428">
        <f xml:space="preserve"> 'FS Qtr'!CY$22</f>
        <v>598.89544015944239</v>
      </c>
      <c r="CZ45" s="428">
        <f xml:space="preserve"> 'FS Qtr'!CZ$22</f>
        <v>595.94346368623292</v>
      </c>
      <c r="DA45" s="428">
        <f xml:space="preserve"> 'FS Qtr'!DA$22</f>
        <v>3041.5671832498269</v>
      </c>
      <c r="DB45" s="428">
        <f xml:space="preserve"> 'FS Qtr'!DB$22</f>
        <v>3460.2111760052694</v>
      </c>
      <c r="DC45" s="428">
        <f xml:space="preserve"> 'FS Qtr'!DC$22</f>
        <v>576.10668570027906</v>
      </c>
      <c r="DD45" s="428">
        <f xml:space="preserve"> 'FS Qtr'!DD$22</f>
        <v>573.09522542330069</v>
      </c>
      <c r="DE45" s="428">
        <f xml:space="preserve"> 'FS Qtr'!DE$22</f>
        <v>3006.477121694857</v>
      </c>
      <c r="DF45" s="428">
        <f xml:space="preserve"> 'FS Qtr'!DF$22</f>
        <v>3422.9633947055136</v>
      </c>
      <c r="DG45" s="428">
        <f xml:space="preserve"> 'FS Qtr'!DG$22</f>
        <v>553.13239457952204</v>
      </c>
      <c r="DH45" s="428">
        <f xml:space="preserve"> 'FS Qtr'!DH$22</f>
        <v>550.06025187035084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231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3824.75</v>
      </c>
      <c r="N46" s="7">
        <f t="shared" si="30"/>
        <v>6601.1389766483517</v>
      </c>
      <c r="O46" s="7">
        <f t="shared" si="30"/>
        <v>2639.7867058423899</v>
      </c>
      <c r="P46" s="7">
        <f t="shared" si="30"/>
        <v>1060.6310622656251</v>
      </c>
      <c r="Q46" s="7">
        <f t="shared" si="30"/>
        <v>3791.2770487336711</v>
      </c>
      <c r="R46" s="7">
        <f t="shared" si="30"/>
        <v>4259.8770906937561</v>
      </c>
      <c r="S46" s="7">
        <f t="shared" si="30"/>
        <v>1042.7088144556815</v>
      </c>
      <c r="T46" s="7">
        <f t="shared" si="30"/>
        <v>1040.7671968364189</v>
      </c>
      <c r="U46" s="7">
        <f t="shared" si="30"/>
        <v>3757.7798200412162</v>
      </c>
      <c r="V46" s="7">
        <f t="shared" si="30"/>
        <v>4224.000218361738</v>
      </c>
      <c r="W46" s="7">
        <f t="shared" si="30"/>
        <v>1022.7892127952941</v>
      </c>
      <c r="X46" s="7">
        <f t="shared" si="30"/>
        <v>1020.8084706089812</v>
      </c>
      <c r="Y46" s="7">
        <f t="shared" si="30"/>
        <v>3724.2545897984583</v>
      </c>
      <c r="Z46" s="7">
        <f t="shared" si="30"/>
        <v>4188.1062102303531</v>
      </c>
      <c r="AA46" s="7">
        <f t="shared" si="30"/>
        <v>1002.7721077907047</v>
      </c>
      <c r="AB46" s="7">
        <f t="shared" si="30"/>
        <v>1000.7514526577284</v>
      </c>
      <c r="AC46" s="7">
        <f t="shared" si="30"/>
        <v>3690.6975749323938</v>
      </c>
      <c r="AD46" s="7">
        <f t="shared" si="30"/>
        <v>4152.191209556212</v>
      </c>
      <c r="AE46" s="7">
        <f t="shared" si="30"/>
        <v>982.65402282707737</v>
      </c>
      <c r="AF46" s="7">
        <f t="shared" si="30"/>
        <v>980.59265048158113</v>
      </c>
      <c r="AG46" s="7">
        <f t="shared" si="30"/>
        <v>3657.1049321532691</v>
      </c>
      <c r="AH46" s="7">
        <f t="shared" si="30"/>
        <v>4116.2512993505097</v>
      </c>
      <c r="AI46" s="7">
        <f t="shared" si="30"/>
        <v>962.43141875580363</v>
      </c>
      <c r="AJ46" s="7">
        <f t="shared" si="30"/>
        <v>960.32850872557128</v>
      </c>
      <c r="AK46" s="7">
        <f t="shared" si="30"/>
        <v>3623.4727566615193</v>
      </c>
      <c r="AL46" s="7">
        <f t="shared" si="30"/>
        <v>4080.2825010781335</v>
      </c>
      <c r="AM46" s="7">
        <f t="shared" si="30"/>
        <v>942.10069259699731</v>
      </c>
      <c r="AN46" s="7">
        <f t="shared" si="30"/>
        <v>939.95540787688628</v>
      </c>
      <c r="AO46" s="7">
        <f t="shared" si="30"/>
        <v>3589.7970808290256</v>
      </c>
      <c r="AP46" s="7">
        <f t="shared" ref="AP46:BU46" si="31">SUM(AP44:AP45)</f>
        <v>4044.2807733309892</v>
      </c>
      <c r="AQ46" s="7">
        <f t="shared" si="31"/>
        <v>921.65817621602537</v>
      </c>
      <c r="AR46" s="7">
        <f t="shared" si="31"/>
        <v>919.46966293482092</v>
      </c>
      <c r="AS46" s="7">
        <f t="shared" si="31"/>
        <v>3556.0738728542283</v>
      </c>
      <c r="AT46" s="7">
        <f t="shared" si="31"/>
        <v>4008.2420104750345</v>
      </c>
      <c r="AU46" s="7">
        <f t="shared" si="31"/>
        <v>901.10013497355976</v>
      </c>
      <c r="AV46" s="7">
        <f t="shared" si="31"/>
        <v>898.86752205411403</v>
      </c>
      <c r="AW46" s="7">
        <f t="shared" si="31"/>
        <v>3522.2990353904879</v>
      </c>
      <c r="AX46" s="7">
        <f t="shared" si="31"/>
        <v>3972.1620412704606</v>
      </c>
      <c r="AY46" s="7">
        <f t="shared" si="31"/>
        <v>880.42276634860264</v>
      </c>
      <c r="AZ46" s="7">
        <f t="shared" si="31"/>
        <v>878.14516516112872</v>
      </c>
      <c r="BA46" s="7">
        <f t="shared" si="31"/>
        <v>3488.4684041472365</v>
      </c>
      <c r="BB46" s="7">
        <f t="shared" si="31"/>
        <v>3936.0366274645103</v>
      </c>
      <c r="BC46" s="7">
        <f t="shared" si="31"/>
        <v>859.62219853396186</v>
      </c>
      <c r="BD46" s="7">
        <f t="shared" si="31"/>
        <v>857.29870254233629</v>
      </c>
      <c r="BE46" s="7">
        <f t="shared" si="31"/>
        <v>3454.5777464633084</v>
      </c>
      <c r="BF46" s="7">
        <f t="shared" si="31"/>
        <v>3899.8614623563581</v>
      </c>
      <c r="BG46" s="7">
        <f t="shared" si="31"/>
        <v>838.69448900359203</v>
      </c>
      <c r="BH46" s="7">
        <f t="shared" si="31"/>
        <v>836.32417340453526</v>
      </c>
      <c r="BI46" s="7">
        <f t="shared" si="31"/>
        <v>3420.6227598519172</v>
      </c>
      <c r="BJ46" s="7">
        <f t="shared" si="31"/>
        <v>3863.6321693334994</v>
      </c>
      <c r="BK46" s="7">
        <f t="shared" si="31"/>
        <v>817.63562305126288</v>
      </c>
      <c r="BL46" s="7">
        <f t="shared" si="31"/>
        <v>815.21754440624545</v>
      </c>
      <c r="BM46" s="7">
        <f t="shared" si="31"/>
        <v>3386.5990705166932</v>
      </c>
      <c r="BN46" s="7">
        <f t="shared" si="31"/>
        <v>3827.3443003790517</v>
      </c>
      <c r="BO46" s="7">
        <f t="shared" si="31"/>
        <v>796.44151229994668</v>
      </c>
      <c r="BP46" s="7">
        <f t="shared" si="31"/>
        <v>793.97470815968154</v>
      </c>
      <c r="BQ46" s="7">
        <f t="shared" si="31"/>
        <v>3352.5022318382098</v>
      </c>
      <c r="BR46" s="7">
        <f t="shared" si="31"/>
        <v>3790.9933345494137</v>
      </c>
      <c r="BS46" s="7">
        <f t="shared" si="31"/>
        <v>775.10799318136537</v>
      </c>
      <c r="BT46" s="7">
        <f t="shared" si="31"/>
        <v>772.59148170272965</v>
      </c>
      <c r="BU46" s="7">
        <f t="shared" si="31"/>
        <v>3318.3277228303778</v>
      </c>
      <c r="BV46" s="7">
        <f t="shared" ref="BV46:DA46" si="32">SUM(BV44:BV45)</f>
        <v>3754.5746764216574</v>
      </c>
      <c r="BW46" s="7">
        <f t="shared" si="32"/>
        <v>753.63082538506251</v>
      </c>
      <c r="BX46" s="7">
        <f t="shared" si="32"/>
        <v>751.06360494030423</v>
      </c>
      <c r="BY46" s="7">
        <f t="shared" si="32"/>
        <v>3284.0709465661339</v>
      </c>
      <c r="BZ46" s="7">
        <f t="shared" si="32"/>
        <v>3718.0836545100374</v>
      </c>
      <c r="CA46" s="7">
        <f t="shared" si="32"/>
        <v>732.00569027641495</v>
      </c>
      <c r="CB46" s="7">
        <f t="shared" si="32"/>
        <v>729.38673905447968</v>
      </c>
      <c r="CC46" s="7">
        <f t="shared" si="32"/>
        <v>3249.7272285717709</v>
      </c>
      <c r="CD46" s="7">
        <f t="shared" si="32"/>
        <v>3681.5155196510214</v>
      </c>
      <c r="CE46" s="7">
        <f t="shared" si="32"/>
        <v>710.22818928293464</v>
      </c>
      <c r="CF46" s="7">
        <f t="shared" si="32"/>
        <v>707.55646488276489</v>
      </c>
      <c r="CG46" s="7">
        <f t="shared" si="32"/>
        <v>3215.2918151892882</v>
      </c>
      <c r="CH46" s="7">
        <f t="shared" si="32"/>
        <v>3644.8654433561715</v>
      </c>
      <c r="CI46" s="7">
        <f t="shared" si="32"/>
        <v>688.29384224823389</v>
      </c>
      <c r="CJ46" s="7">
        <f t="shared" si="32"/>
        <v>685.56828126386836</v>
      </c>
      <c r="CK46" s="7">
        <f t="shared" si="32"/>
        <v>3180.759871906117</v>
      </c>
      <c r="CL46" s="7">
        <f t="shared" si="32"/>
        <v>3608.1285161322512</v>
      </c>
      <c r="CM46" s="7">
        <f t="shared" si="32"/>
        <v>666.19808575299317</v>
      </c>
      <c r="CN46" s="7">
        <f t="shared" si="32"/>
        <v>663.41760335030904</v>
      </c>
      <c r="CO46" s="7">
        <f t="shared" si="32"/>
        <v>3146.1264816515677</v>
      </c>
      <c r="CP46" s="7">
        <f t="shared" si="32"/>
        <v>3571.2997457678875</v>
      </c>
      <c r="CQ46" s="7">
        <f t="shared" si="32"/>
        <v>643.93627140228091</v>
      </c>
      <c r="CR46" s="7">
        <f t="shared" si="32"/>
        <v>641.0997608872035</v>
      </c>
      <c r="CS46" s="7">
        <f t="shared" si="32"/>
        <v>3111.3866430593098</v>
      </c>
      <c r="CT46" s="7">
        <f t="shared" si="32"/>
        <v>3534.3740555861114</v>
      </c>
      <c r="CU46" s="7">
        <f t="shared" si="32"/>
        <v>621.50366407852198</v>
      </c>
      <c r="CV46" s="7">
        <f t="shared" si="32"/>
        <v>618.60999645653737</v>
      </c>
      <c r="CW46" s="7">
        <f t="shared" si="32"/>
        <v>3076.5352686952083</v>
      </c>
      <c r="CX46" s="7">
        <f t="shared" si="32"/>
        <v>3497.3462826620735</v>
      </c>
      <c r="CY46" s="7">
        <f t="shared" si="32"/>
        <v>598.89544015944239</v>
      </c>
      <c r="CZ46" s="7">
        <f t="shared" si="32"/>
        <v>595.94346368623292</v>
      </c>
      <c r="DA46" s="7">
        <f t="shared" si="32"/>
        <v>3041.5671832498269</v>
      </c>
      <c r="DB46" s="7">
        <f t="shared" ref="DB46:EA46" si="33">SUM(DB44:DB45)</f>
        <v>3460.2111760052694</v>
      </c>
      <c r="DC46" s="7">
        <f t="shared" si="33"/>
        <v>576.10668570027906</v>
      </c>
      <c r="DD46" s="7">
        <f t="shared" si="33"/>
        <v>573.09522542330069</v>
      </c>
      <c r="DE46" s="7">
        <f t="shared" si="33"/>
        <v>3006.477121694857</v>
      </c>
      <c r="DF46" s="7">
        <f t="shared" si="33"/>
        <v>3422.9633947055136</v>
      </c>
      <c r="DG46" s="7">
        <f t="shared" si="33"/>
        <v>553.13239457952204</v>
      </c>
      <c r="DH46" s="7">
        <f t="shared" si="33"/>
        <v>550.06025187035084</v>
      </c>
      <c r="DI46" s="7">
        <f t="shared" si="33"/>
        <v>0</v>
      </c>
      <c r="DJ46" s="7">
        <f t="shared" si="33"/>
        <v>0</v>
      </c>
      <c r="DK46" s="7">
        <f t="shared" si="33"/>
        <v>0</v>
      </c>
      <c r="DL46" s="7">
        <f t="shared" si="33"/>
        <v>0</v>
      </c>
      <c r="DM46" s="7">
        <f t="shared" si="33"/>
        <v>0</v>
      </c>
      <c r="DN46" s="7">
        <f t="shared" si="33"/>
        <v>0</v>
      </c>
      <c r="DO46" s="7">
        <f t="shared" si="33"/>
        <v>0</v>
      </c>
      <c r="DP46" s="7">
        <f t="shared" si="33"/>
        <v>0</v>
      </c>
      <c r="DQ46" s="7">
        <f t="shared" si="33"/>
        <v>0</v>
      </c>
      <c r="DR46" s="7">
        <f t="shared" si="33"/>
        <v>0</v>
      </c>
      <c r="DS46" s="7">
        <f t="shared" si="33"/>
        <v>0</v>
      </c>
      <c r="DT46" s="7">
        <f t="shared" si="33"/>
        <v>0</v>
      </c>
      <c r="DU46" s="7">
        <f t="shared" si="33"/>
        <v>0</v>
      </c>
      <c r="DV46" s="7">
        <f t="shared" si="33"/>
        <v>0</v>
      </c>
      <c r="DW46" s="7">
        <f t="shared" si="33"/>
        <v>0</v>
      </c>
      <c r="DX46" s="7">
        <f t="shared" si="33"/>
        <v>0</v>
      </c>
      <c r="DY46" s="7">
        <f t="shared" si="33"/>
        <v>0</v>
      </c>
      <c r="DZ46" s="7">
        <f t="shared" si="33"/>
        <v>0</v>
      </c>
      <c r="EA46" s="7">
        <f t="shared" si="33"/>
        <v>0</v>
      </c>
    </row>
    <row r="47" spans="1:131" outlineLevel="1" x14ac:dyDescent="0.35"/>
    <row r="48" spans="1:131" outlineLevel="1" x14ac:dyDescent="0.35">
      <c r="B48" s="8" t="s">
        <v>232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1530.7428821331532</v>
      </c>
      <c r="Q49" s="7">
        <f t="shared" si="34"/>
        <v>2498.7271459114586</v>
      </c>
      <c r="R49" s="7">
        <f t="shared" si="34"/>
        <v>1714.1681371240475</v>
      </c>
      <c r="S49" s="7">
        <f t="shared" si="34"/>
        <v>2443.6481258445083</v>
      </c>
      <c r="T49" s="7">
        <f t="shared" si="34"/>
        <v>5541.1713632290866</v>
      </c>
      <c r="U49" s="7">
        <f t="shared" si="34"/>
        <v>6509.400154951707</v>
      </c>
      <c r="V49" s="7">
        <f t="shared" si="34"/>
        <v>5733.7001844191745</v>
      </c>
      <c r="W49" s="7">
        <f t="shared" si="34"/>
        <v>6464.5071784003976</v>
      </c>
      <c r="X49" s="7">
        <f t="shared" si="34"/>
        <v>9551.6108055912591</v>
      </c>
      <c r="Y49" s="7">
        <f t="shared" si="34"/>
        <v>10536.34743274709</v>
      </c>
      <c r="Z49" s="7">
        <f t="shared" si="34"/>
        <v>9753.1992291395527</v>
      </c>
      <c r="AA49" s="7">
        <f t="shared" si="34"/>
        <v>10485.326246217212</v>
      </c>
      <c r="AB49" s="7">
        <f t="shared" si="34"/>
        <v>13562.062421029255</v>
      </c>
      <c r="AC49" s="7">
        <f t="shared" si="34"/>
        <v>14530.781804318674</v>
      </c>
      <c r="AD49" s="7">
        <f t="shared" si="34"/>
        <v>13772.666728570784</v>
      </c>
      <c r="AE49" s="7">
        <f t="shared" si="34"/>
        <v>14506.10681365752</v>
      </c>
      <c r="AF49" s="7">
        <f t="shared" si="34"/>
        <v>17572.527440841186</v>
      </c>
      <c r="AG49" s="7">
        <f t="shared" si="34"/>
        <v>18541.4929525306</v>
      </c>
      <c r="AH49" s="7">
        <f t="shared" si="34"/>
        <v>17792.104158804788</v>
      </c>
      <c r="AI49" s="7">
        <f t="shared" si="34"/>
        <v>18526.850383601122</v>
      </c>
      <c r="AJ49" s="7">
        <f t="shared" si="34"/>
        <v>21583.007116230947</v>
      </c>
      <c r="AK49" s="7">
        <f t="shared" ref="AK49:BP49" si="35" xml:space="preserve"> AK$36</f>
        <v>22552.219355490601</v>
      </c>
      <c r="AL49" s="7">
        <f t="shared" si="35"/>
        <v>21811.513015171273</v>
      </c>
      <c r="AM49" s="7">
        <f t="shared" si="35"/>
        <v>22547.558477874893</v>
      </c>
      <c r="AN49" s="7">
        <f t="shared" si="35"/>
        <v>25593.502718733744</v>
      </c>
      <c r="AO49" s="7">
        <f t="shared" si="35"/>
        <v>26578.753941374813</v>
      </c>
      <c r="AP49" s="7">
        <f t="shared" si="35"/>
        <v>25830.89481267767</v>
      </c>
      <c r="AQ49" s="7">
        <f t="shared" si="35"/>
        <v>26568.232637690948</v>
      </c>
      <c r="AR49" s="7">
        <f t="shared" si="35"/>
        <v>29604.015540650023</v>
      </c>
      <c r="AS49" s="7">
        <f t="shared" si="35"/>
        <v>30573.723168202647</v>
      </c>
      <c r="AT49" s="7">
        <f t="shared" si="35"/>
        <v>29850.25108645764</v>
      </c>
      <c r="AU49" s="7">
        <f t="shared" si="35"/>
        <v>30588.874424093388</v>
      </c>
      <c r="AV49" s="7">
        <f t="shared" si="35"/>
        <v>33614.546895488107</v>
      </c>
      <c r="AW49" s="7">
        <f t="shared" si="35"/>
        <v>34584.503253027659</v>
      </c>
      <c r="AX49" s="7">
        <f t="shared" si="35"/>
        <v>33869.583392228407</v>
      </c>
      <c r="AY49" s="7">
        <f t="shared" si="35"/>
        <v>34609.48541841378</v>
      </c>
      <c r="AZ49" s="7">
        <f t="shared" si="35"/>
        <v>37625.098118415553</v>
      </c>
      <c r="BA49" s="7">
        <f t="shared" si="35"/>
        <v>38595.303943665058</v>
      </c>
      <c r="BB49" s="7">
        <f t="shared" si="35"/>
        <v>37888.893306756996</v>
      </c>
      <c r="BC49" s="7">
        <f t="shared" si="35"/>
        <v>38630.067222735524</v>
      </c>
      <c r="BD49" s="7">
        <f t="shared" si="35"/>
        <v>41635.670566719549</v>
      </c>
      <c r="BE49" s="7">
        <f t="shared" si="35"/>
        <v>42621.44392327415</v>
      </c>
      <c r="BF49" s="7">
        <f t="shared" si="35"/>
        <v>41908.182428335625</v>
      </c>
      <c r="BG49" s="7">
        <f t="shared" si="35"/>
        <v>42650.621460367292</v>
      </c>
      <c r="BH49" s="7">
        <f t="shared" si="35"/>
        <v>45646.265620276448</v>
      </c>
      <c r="BI49" s="7">
        <f t="shared" si="35"/>
        <v>46616.972739260054</v>
      </c>
      <c r="BJ49" s="7">
        <f t="shared" si="35"/>
        <v>45927.452377266483</v>
      </c>
      <c r="BK49" s="7">
        <f t="shared" si="35"/>
        <v>46671.149776325728</v>
      </c>
      <c r="BL49" s="7">
        <f t="shared" si="35"/>
        <v>49656.884682030555</v>
      </c>
      <c r="BM49" s="7">
        <f t="shared" si="35"/>
        <v>50627.843701179576</v>
      </c>
      <c r="BN49" s="7">
        <f t="shared" si="35"/>
        <v>49946.704796355909</v>
      </c>
      <c r="BO49" s="7">
        <f t="shared" si="35"/>
        <v>50691.653837827638</v>
      </c>
      <c r="BP49" s="7">
        <f t="shared" si="35"/>
        <v>53667.52917848264</v>
      </c>
      <c r="BQ49" s="7">
        <f t="shared" ref="BQ49:CV49" si="36" xml:space="preserve"> BQ$36</f>
        <v>54638.740983829011</v>
      </c>
      <c r="BR49" s="7">
        <f t="shared" si="36"/>
        <v>53965.941351418354</v>
      </c>
      <c r="BS49" s="7">
        <f t="shared" si="36"/>
        <v>54712.13533479179</v>
      </c>
      <c r="BT49" s="7">
        <f t="shared" si="36"/>
        <v>57678.200560188008</v>
      </c>
      <c r="BU49" s="7">
        <f t="shared" si="36"/>
        <v>58664.504910787429</v>
      </c>
      <c r="BV49" s="7">
        <f t="shared" si="36"/>
        <v>57985.163731790286</v>
      </c>
      <c r="BW49" s="7">
        <f t="shared" si="36"/>
        <v>58732.595980350576</v>
      </c>
      <c r="BX49" s="7">
        <f t="shared" si="36"/>
        <v>61688.900302264527</v>
      </c>
      <c r="BY49" s="7">
        <f t="shared" si="36"/>
        <v>62660.620493574213</v>
      </c>
      <c r="BZ49" s="7">
        <f t="shared" si="36"/>
        <v>62004.373650854061</v>
      </c>
      <c r="CA49" s="7">
        <f t="shared" si="36"/>
        <v>62753.037511371665</v>
      </c>
      <c r="CB49" s="7">
        <f t="shared" si="36"/>
        <v>65699.629904910806</v>
      </c>
      <c r="CC49" s="7">
        <f t="shared" si="36"/>
        <v>66671.605775427248</v>
      </c>
      <c r="CD49" s="7">
        <f t="shared" si="36"/>
        <v>66023.572846572235</v>
      </c>
      <c r="CE49" s="7">
        <f t="shared" si="36"/>
        <v>66773.461688990006</v>
      </c>
      <c r="CF49" s="7">
        <f t="shared" si="36"/>
        <v>69710.390893934746</v>
      </c>
      <c r="CG49" s="7">
        <f t="shared" si="36"/>
        <v>70682.623488600017</v>
      </c>
      <c r="CH49" s="7">
        <f t="shared" si="36"/>
        <v>70042.763082032354</v>
      </c>
      <c r="CI49" s="7">
        <f t="shared" si="36"/>
        <v>70793.870299150134</v>
      </c>
      <c r="CJ49" s="7">
        <f t="shared" si="36"/>
        <v>73721.184821292438</v>
      </c>
      <c r="CK49" s="7">
        <f t="shared" si="36"/>
        <v>74708.03044382896</v>
      </c>
      <c r="CL49" s="7">
        <f t="shared" si="36"/>
        <v>74061.946146002432</v>
      </c>
      <c r="CM49" s="7">
        <f t="shared" si="36"/>
        <v>74814.265153159315</v>
      </c>
      <c r="CN49" s="7">
        <f t="shared" si="36"/>
        <v>77732.013265638103</v>
      </c>
      <c r="CO49" s="7">
        <f t="shared" si="36"/>
        <v>78704.762610119855</v>
      </c>
      <c r="CP49" s="7">
        <f t="shared" si="36"/>
        <v>78081.123853497484</v>
      </c>
      <c r="CQ49" s="7">
        <f t="shared" si="36"/>
        <v>78834.648088251401</v>
      </c>
      <c r="CR49" s="7">
        <f t="shared" si="36"/>
        <v>81742.877832884682</v>
      </c>
      <c r="CS49" s="7">
        <f t="shared" si="36"/>
        <v>82715.887288231592</v>
      </c>
      <c r="CT49" s="7">
        <f t="shared" si="36"/>
        <v>82100.298046357013</v>
      </c>
      <c r="CU49" s="7">
        <f t="shared" si="36"/>
        <v>82855.020968161843</v>
      </c>
      <c r="CV49" s="7">
        <f t="shared" si="36"/>
        <v>85753.780156775814</v>
      </c>
      <c r="CW49" s="7">
        <f t="shared" ref="CW49:EA49" si="37" xml:space="preserve"> CW$36</f>
        <v>86727.05093835594</v>
      </c>
      <c r="CX49" s="7">
        <f t="shared" si="37"/>
        <v>86119.470593834194</v>
      </c>
      <c r="CY49" s="7">
        <f t="shared" si="37"/>
        <v>86875.385683714165</v>
      </c>
      <c r="CZ49" s="7">
        <f t="shared" si="37"/>
        <v>89764.721899469223</v>
      </c>
      <c r="DA49" s="7">
        <f t="shared" si="37"/>
        <v>90752.120593905114</v>
      </c>
      <c r="DB49" s="7">
        <f t="shared" si="37"/>
        <v>90138.6433931965</v>
      </c>
      <c r="DC49" s="7">
        <f t="shared" si="37"/>
        <v>90895.744153417763</v>
      </c>
      <c r="DD49" s="7">
        <f t="shared" si="37"/>
        <v>93775.704752131613</v>
      </c>
      <c r="DE49" s="7">
        <f t="shared" si="37"/>
        <v>94749.502011160206</v>
      </c>
      <c r="DF49" s="7">
        <f t="shared" si="37"/>
        <v>94157.81837033818</v>
      </c>
      <c r="DG49" s="7">
        <f t="shared" si="37"/>
        <v>94916.098324077684</v>
      </c>
      <c r="DH49" s="7">
        <f t="shared" si="37"/>
        <v>97786.730435545585</v>
      </c>
      <c r="DI49" s="7">
        <f t="shared" si="37"/>
        <v>98760.792937238541</v>
      </c>
      <c r="DJ49" s="7">
        <f t="shared" si="37"/>
        <v>100000</v>
      </c>
      <c r="DK49" s="7">
        <f t="shared" si="37"/>
        <v>100000</v>
      </c>
      <c r="DL49" s="7">
        <f t="shared" si="37"/>
        <v>100000</v>
      </c>
      <c r="DM49" s="7">
        <f t="shared" si="37"/>
        <v>100000</v>
      </c>
      <c r="DN49" s="7">
        <f t="shared" si="37"/>
        <v>100000</v>
      </c>
      <c r="DO49" s="7">
        <f t="shared" si="37"/>
        <v>100000</v>
      </c>
      <c r="DP49" s="7">
        <f t="shared" si="37"/>
        <v>100000</v>
      </c>
      <c r="DQ49" s="7">
        <f t="shared" si="37"/>
        <v>100000</v>
      </c>
      <c r="DR49" s="7">
        <f t="shared" si="37"/>
        <v>100000</v>
      </c>
      <c r="DS49" s="7">
        <f t="shared" si="37"/>
        <v>100000</v>
      </c>
      <c r="DT49" s="7">
        <f t="shared" si="37"/>
        <v>100000</v>
      </c>
      <c r="DU49" s="7">
        <f t="shared" si="37"/>
        <v>100000</v>
      </c>
      <c r="DV49" s="7">
        <f t="shared" si="37"/>
        <v>100000</v>
      </c>
      <c r="DW49" s="7">
        <f t="shared" si="37"/>
        <v>100000</v>
      </c>
      <c r="DX49" s="7">
        <f t="shared" si="37"/>
        <v>100000</v>
      </c>
      <c r="DY49" s="7">
        <f t="shared" si="37"/>
        <v>100000</v>
      </c>
      <c r="DZ49" s="7">
        <f t="shared" si="37"/>
        <v>100000</v>
      </c>
      <c r="EA49" s="7">
        <f t="shared" si="37"/>
        <v>100000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232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3559.3582081770837</v>
      </c>
      <c r="Q51" s="7">
        <f t="shared" si="38"/>
        <v>5505.4451858577186</v>
      </c>
      <c r="R51" s="7">
        <f t="shared" si="38"/>
        <v>6703.5252165382644</v>
      </c>
      <c r="S51" s="7">
        <f t="shared" si="38"/>
        <v>6583.8801776847677</v>
      </c>
      <c r="T51" s="7">
        <f t="shared" si="38"/>
        <v>7550.1673517881263</v>
      </c>
      <c r="U51" s="7">
        <f t="shared" si="38"/>
        <v>9491.4800044603908</v>
      </c>
      <c r="V51" s="7">
        <f t="shared" si="38"/>
        <v>10688.507396762136</v>
      </c>
      <c r="W51" s="7">
        <f t="shared" si="38"/>
        <v>10574.400018386554</v>
      </c>
      <c r="X51" s="7">
        <f t="shared" si="38"/>
        <v>11557.155903356072</v>
      </c>
      <c r="Y51" s="7">
        <f t="shared" si="38"/>
        <v>13477.453818938011</v>
      </c>
      <c r="Z51" s="7">
        <f t="shared" si="38"/>
        <v>14673.432456447565</v>
      </c>
      <c r="AA51" s="7">
        <f t="shared" si="38"/>
        <v>14564.83452881996</v>
      </c>
      <c r="AB51" s="7">
        <f t="shared" si="38"/>
        <v>15531.533256976403</v>
      </c>
      <c r="AC51" s="7">
        <f t="shared" si="38"/>
        <v>17463.364303503178</v>
      </c>
      <c r="AD51" s="7">
        <f t="shared" si="38"/>
        <v>18658.298023213731</v>
      </c>
      <c r="AE51" s="7">
        <f t="shared" si="38"/>
        <v>18555.181463668265</v>
      </c>
      <c r="AF51" s="7">
        <f t="shared" si="38"/>
        <v>19522.085603012179</v>
      </c>
      <c r="AG51" s="7">
        <f t="shared" si="38"/>
        <v>21449.209090958058</v>
      </c>
      <c r="AH51" s="7">
        <f t="shared" si="38"/>
        <v>22643.101682951634</v>
      </c>
      <c r="AI51" s="7">
        <f t="shared" si="38"/>
        <v>22545.438534986752</v>
      </c>
      <c r="AJ51" s="7">
        <f t="shared" si="38"/>
        <v>23512.547864216172</v>
      </c>
      <c r="AK51" s="7">
        <f t="shared" si="38"/>
        <v>25434.985771832791</v>
      </c>
      <c r="AL51" s="7">
        <f t="shared" si="38"/>
        <v>26627.840978953027</v>
      </c>
      <c r="AM51" s="7">
        <f t="shared" si="38"/>
        <v>26535.60341133074</v>
      </c>
      <c r="AN51" s="7">
        <f t="shared" si="38"/>
        <v>27518.709349251698</v>
      </c>
      <c r="AO51" s="7">
        <f t="shared" si="38"/>
        <v>29420.691893506697</v>
      </c>
      <c r="AP51" s="7">
        <f t="shared" ref="AP51:BU51" si="39">SUM(AP49:AP50)</f>
        <v>30612.513411021937</v>
      </c>
      <c r="AQ51" s="7">
        <f t="shared" si="39"/>
        <v>30525.673716866047</v>
      </c>
      <c r="AR51" s="7">
        <f t="shared" si="39"/>
        <v>31493.192831137469</v>
      </c>
      <c r="AS51" s="7">
        <f t="shared" si="39"/>
        <v>33406.324959311867</v>
      </c>
      <c r="AT51" s="7">
        <f t="shared" si="39"/>
        <v>34597.116434568423</v>
      </c>
      <c r="AU51" s="7">
        <f t="shared" si="39"/>
        <v>34515.647030461667</v>
      </c>
      <c r="AV51" s="7">
        <f t="shared" si="39"/>
        <v>35483.37077508177</v>
      </c>
      <c r="AW51" s="7">
        <f t="shared" si="39"/>
        <v>37391.882427618897</v>
      </c>
      <c r="AX51" s="7">
        <f t="shared" si="39"/>
        <v>38581.647459684238</v>
      </c>
      <c r="AY51" s="7">
        <f t="shared" si="39"/>
        <v>38505.520884764155</v>
      </c>
      <c r="AZ51" s="7">
        <f t="shared" si="39"/>
        <v>39473.449108826186</v>
      </c>
      <c r="BA51" s="7">
        <f t="shared" si="39"/>
        <v>41377.361710904232</v>
      </c>
      <c r="BB51" s="7">
        <f t="shared" si="39"/>
        <v>42566.103850200037</v>
      </c>
      <c r="BC51" s="7">
        <f t="shared" si="39"/>
        <v>42495.292765253515</v>
      </c>
      <c r="BD51" s="7">
        <f t="shared" si="39"/>
        <v>43478.742625816485</v>
      </c>
      <c r="BE51" s="7">
        <f t="shared" si="39"/>
        <v>45362.760174798932</v>
      </c>
      <c r="BF51" s="7">
        <f t="shared" si="39"/>
        <v>46550.482922723648</v>
      </c>
      <c r="BG51" s="7">
        <f t="shared" si="39"/>
        <v>46484.960109280037</v>
      </c>
      <c r="BH51" s="7">
        <f t="shared" si="39"/>
        <v>47453.296912664591</v>
      </c>
      <c r="BI51" s="7">
        <f t="shared" si="39"/>
        <v>49348.075137118401</v>
      </c>
      <c r="BJ51" s="7">
        <f t="shared" si="39"/>
        <v>50534.781945659226</v>
      </c>
      <c r="BK51" s="7">
        <f t="shared" si="39"/>
        <v>50474.520305081816</v>
      </c>
      <c r="BL51" s="7">
        <f t="shared" si="39"/>
        <v>51443.061245585821</v>
      </c>
      <c r="BM51" s="7">
        <f t="shared" si="39"/>
        <v>53333.3038668726</v>
      </c>
      <c r="BN51" s="7">
        <f t="shared" si="39"/>
        <v>54518.998138206691</v>
      </c>
      <c r="BO51" s="7">
        <f t="shared" si="39"/>
        <v>54463.970690782589</v>
      </c>
      <c r="BP51" s="7">
        <f t="shared" si="39"/>
        <v>55432.715691988691</v>
      </c>
      <c r="BQ51" s="7">
        <f t="shared" si="39"/>
        <v>57318.443583256565</v>
      </c>
      <c r="BR51" s="7">
        <f t="shared" si="39"/>
        <v>58503.128669341204</v>
      </c>
      <c r="BS51" s="7">
        <f t="shared" si="39"/>
        <v>58453.308553369374</v>
      </c>
      <c r="BT51" s="7">
        <f t="shared" si="39"/>
        <v>59437.096392490159</v>
      </c>
      <c r="BU51" s="7">
        <f t="shared" si="39"/>
        <v>61303.491454620664</v>
      </c>
      <c r="BV51" s="7">
        <f t="shared" ref="BV51:DA51" si="40">SUM(BV49:BV50)</f>
        <v>62487.170656772236</v>
      </c>
      <c r="BW51" s="7">
        <f t="shared" si="40"/>
        <v>62442.531127649592</v>
      </c>
      <c r="BX51" s="7">
        <f t="shared" si="40"/>
        <v>63411.684098514517</v>
      </c>
      <c r="BY51" s="7">
        <f t="shared" si="40"/>
        <v>65288.444597420195</v>
      </c>
      <c r="BZ51" s="7">
        <f t="shared" si="40"/>
        <v>66471.121165881705</v>
      </c>
      <c r="CA51" s="7">
        <f t="shared" si="40"/>
        <v>66431.635595187225</v>
      </c>
      <c r="CB51" s="7">
        <f t="shared" si="40"/>
        <v>67400.992514481724</v>
      </c>
      <c r="CC51" s="7">
        <f t="shared" si="40"/>
        <v>69273.300075144012</v>
      </c>
      <c r="CD51" s="7">
        <f t="shared" si="40"/>
        <v>70454.977208641023</v>
      </c>
      <c r="CE51" s="7">
        <f t="shared" si="40"/>
        <v>70420.61908321768</v>
      </c>
      <c r="CF51" s="7">
        <f t="shared" si="40"/>
        <v>71390.179953482788</v>
      </c>
      <c r="CG51" s="7">
        <f t="shared" si="40"/>
        <v>73258.054897221649</v>
      </c>
      <c r="CH51" s="7">
        <f t="shared" si="40"/>
        <v>74438.735742506309</v>
      </c>
      <c r="CI51" s="7">
        <f t="shared" si="40"/>
        <v>74409.478663540678</v>
      </c>
      <c r="CJ51" s="7">
        <f t="shared" si="40"/>
        <v>75393.59872509283</v>
      </c>
      <c r="CK51" s="7">
        <f t="shared" si="40"/>
        <v>77242.706017908553</v>
      </c>
      <c r="CL51" s="7">
        <f t="shared" si="40"/>
        <v>78422.393669291559</v>
      </c>
      <c r="CM51" s="7">
        <f t="shared" si="40"/>
        <v>78398.211351391103</v>
      </c>
      <c r="CN51" s="7">
        <f t="shared" si="40"/>
        <v>79368.180213470157</v>
      </c>
      <c r="CO51" s="7">
        <f t="shared" si="40"/>
        <v>81227.250335149045</v>
      </c>
      <c r="CP51" s="7">
        <f t="shared" si="40"/>
        <v>82405.947834019287</v>
      </c>
      <c r="CQ51" s="7">
        <f t="shared" si="40"/>
        <v>82386.814104286968</v>
      </c>
      <c r="CR51" s="7">
        <f t="shared" si="40"/>
        <v>83356.98704911879</v>
      </c>
      <c r="CS51" s="7">
        <f t="shared" si="40"/>
        <v>85211.684689416317</v>
      </c>
      <c r="CT51" s="7">
        <f t="shared" si="40"/>
        <v>86389.395023747958</v>
      </c>
      <c r="CU51" s="7">
        <f t="shared" si="40"/>
        <v>86375.28382085434</v>
      </c>
      <c r="CV51" s="7">
        <f t="shared" si="40"/>
        <v>87345.660934812477</v>
      </c>
      <c r="CW51" s="7">
        <f t="shared" si="40"/>
        <v>89196.005862529404</v>
      </c>
      <c r="CX51" s="7">
        <f t="shared" si="40"/>
        <v>90372.731966376232</v>
      </c>
      <c r="CY51" s="7">
        <f t="shared" si="40"/>
        <v>90363.617339628661</v>
      </c>
      <c r="CZ51" s="7">
        <f t="shared" si="40"/>
        <v>91348.064057591342</v>
      </c>
      <c r="DA51" s="7">
        <f t="shared" si="40"/>
        <v>93180.210576446334</v>
      </c>
      <c r="DB51" s="7">
        <f t="shared" ref="DB51:EA51" si="41">SUM(DB49:DB50)</f>
        <v>94355.955329423028</v>
      </c>
      <c r="DC51" s="7">
        <f t="shared" si="41"/>
        <v>94351.811437831886</v>
      </c>
      <c r="DD51" s="7">
        <f t="shared" si="41"/>
        <v>95322.597236583504</v>
      </c>
      <c r="DE51" s="7">
        <f t="shared" si="41"/>
        <v>97164.295492033038</v>
      </c>
      <c r="DF51" s="7">
        <f t="shared" si="41"/>
        <v>98339.061718783196</v>
      </c>
      <c r="DG51" s="7">
        <f t="shared" si="41"/>
        <v>98339.862830125101</v>
      </c>
      <c r="DH51" s="7">
        <f t="shared" si="41"/>
        <v>99310.853189108893</v>
      </c>
      <c r="DI51" s="7">
        <f t="shared" si="41"/>
        <v>100000</v>
      </c>
      <c r="DJ51" s="7">
        <f t="shared" si="41"/>
        <v>100000</v>
      </c>
      <c r="DK51" s="7">
        <f t="shared" si="41"/>
        <v>100000</v>
      </c>
      <c r="DL51" s="7">
        <f t="shared" si="41"/>
        <v>100000</v>
      </c>
      <c r="DM51" s="7">
        <f t="shared" si="41"/>
        <v>100000</v>
      </c>
      <c r="DN51" s="7">
        <f t="shared" si="41"/>
        <v>100000</v>
      </c>
      <c r="DO51" s="7">
        <f t="shared" si="41"/>
        <v>100000</v>
      </c>
      <c r="DP51" s="7">
        <f t="shared" si="41"/>
        <v>100000</v>
      </c>
      <c r="DQ51" s="7">
        <f t="shared" si="41"/>
        <v>100000</v>
      </c>
      <c r="DR51" s="7">
        <f t="shared" si="41"/>
        <v>100000</v>
      </c>
      <c r="DS51" s="7">
        <f t="shared" si="41"/>
        <v>100000</v>
      </c>
      <c r="DT51" s="7">
        <f t="shared" si="41"/>
        <v>100000</v>
      </c>
      <c r="DU51" s="7">
        <f t="shared" si="41"/>
        <v>100000</v>
      </c>
      <c r="DV51" s="7">
        <f t="shared" si="41"/>
        <v>100000</v>
      </c>
      <c r="DW51" s="7">
        <f t="shared" si="41"/>
        <v>100000</v>
      </c>
      <c r="DX51" s="7">
        <f t="shared" si="41"/>
        <v>100000</v>
      </c>
      <c r="DY51" s="7">
        <f t="shared" si="41"/>
        <v>100000</v>
      </c>
      <c r="DZ51" s="7">
        <f t="shared" si="41"/>
        <v>100000</v>
      </c>
      <c r="EA51" s="7">
        <f t="shared" si="41"/>
        <v>100000</v>
      </c>
    </row>
    <row r="52" spans="1:131" outlineLevel="1" x14ac:dyDescent="0.35"/>
    <row r="53" spans="1:131" outlineLevel="1" x14ac:dyDescent="0.35">
      <c r="B53" s="8" t="s">
        <v>233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3824.75</v>
      </c>
      <c r="N54" s="7">
        <f t="shared" si="42"/>
        <v>6601.1389766483517</v>
      </c>
      <c r="O54" s="7">
        <f t="shared" si="42"/>
        <v>2639.7867058423899</v>
      </c>
      <c r="P54" s="7">
        <f t="shared" si="42"/>
        <v>1060.6310622656251</v>
      </c>
      <c r="Q54" s="7">
        <f t="shared" si="42"/>
        <v>3791.2770487336711</v>
      </c>
      <c r="R54" s="7">
        <f t="shared" si="42"/>
        <v>4259.8770906937561</v>
      </c>
      <c r="S54" s="7">
        <f t="shared" si="42"/>
        <v>1042.7088144556815</v>
      </c>
      <c r="T54" s="7">
        <f t="shared" si="42"/>
        <v>1040.7671968364189</v>
      </c>
      <c r="U54" s="7">
        <f t="shared" si="42"/>
        <v>3757.7798200412162</v>
      </c>
      <c r="V54" s="7">
        <f t="shared" si="42"/>
        <v>4224.000218361738</v>
      </c>
      <c r="W54" s="7">
        <f t="shared" si="42"/>
        <v>1022.7892127952941</v>
      </c>
      <c r="X54" s="7">
        <f t="shared" si="42"/>
        <v>1020.8084706089812</v>
      </c>
      <c r="Y54" s="7">
        <f t="shared" si="42"/>
        <v>3724.2545897984583</v>
      </c>
      <c r="Z54" s="7">
        <f t="shared" si="42"/>
        <v>4188.1062102303531</v>
      </c>
      <c r="AA54" s="7">
        <f t="shared" si="42"/>
        <v>1002.7721077907047</v>
      </c>
      <c r="AB54" s="7">
        <f t="shared" si="42"/>
        <v>1000.7514526577284</v>
      </c>
      <c r="AC54" s="7">
        <f t="shared" si="42"/>
        <v>3690.6975749323938</v>
      </c>
      <c r="AD54" s="7">
        <f t="shared" si="42"/>
        <v>4152.191209556212</v>
      </c>
      <c r="AE54" s="7">
        <f t="shared" si="42"/>
        <v>982.65402282707737</v>
      </c>
      <c r="AF54" s="7">
        <f t="shared" si="42"/>
        <v>980.59265048158113</v>
      </c>
      <c r="AG54" s="7">
        <f t="shared" si="42"/>
        <v>3657.1049321532691</v>
      </c>
      <c r="AH54" s="7">
        <f t="shared" si="42"/>
        <v>4116.2512993505097</v>
      </c>
      <c r="AI54" s="7">
        <f t="shared" si="42"/>
        <v>962.43141875580363</v>
      </c>
      <c r="AJ54" s="7">
        <f t="shared" si="42"/>
        <v>960.32850872557128</v>
      </c>
      <c r="AK54" s="7">
        <f t="shared" ref="AK54:BP54" si="43" xml:space="preserve"> AK$46</f>
        <v>3623.4727566615193</v>
      </c>
      <c r="AL54" s="7">
        <f t="shared" si="43"/>
        <v>4080.2825010781335</v>
      </c>
      <c r="AM54" s="7">
        <f t="shared" si="43"/>
        <v>942.10069259699731</v>
      </c>
      <c r="AN54" s="7">
        <f t="shared" si="43"/>
        <v>939.95540787688628</v>
      </c>
      <c r="AO54" s="7">
        <f t="shared" si="43"/>
        <v>3589.7970808290256</v>
      </c>
      <c r="AP54" s="7">
        <f t="shared" si="43"/>
        <v>4044.2807733309892</v>
      </c>
      <c r="AQ54" s="7">
        <f t="shared" si="43"/>
        <v>921.65817621602537</v>
      </c>
      <c r="AR54" s="7">
        <f t="shared" si="43"/>
        <v>919.46966293482092</v>
      </c>
      <c r="AS54" s="7">
        <f t="shared" si="43"/>
        <v>3556.0738728542283</v>
      </c>
      <c r="AT54" s="7">
        <f t="shared" si="43"/>
        <v>4008.2420104750345</v>
      </c>
      <c r="AU54" s="7">
        <f t="shared" si="43"/>
        <v>901.10013497355976</v>
      </c>
      <c r="AV54" s="7">
        <f t="shared" si="43"/>
        <v>898.86752205411403</v>
      </c>
      <c r="AW54" s="7">
        <f t="shared" si="43"/>
        <v>3522.2990353904879</v>
      </c>
      <c r="AX54" s="7">
        <f t="shared" si="43"/>
        <v>3972.1620412704606</v>
      </c>
      <c r="AY54" s="7">
        <f t="shared" si="43"/>
        <v>880.42276634860264</v>
      </c>
      <c r="AZ54" s="7">
        <f t="shared" si="43"/>
        <v>878.14516516112872</v>
      </c>
      <c r="BA54" s="7">
        <f t="shared" si="43"/>
        <v>3488.4684041472365</v>
      </c>
      <c r="BB54" s="7">
        <f t="shared" si="43"/>
        <v>3936.0366274645103</v>
      </c>
      <c r="BC54" s="7">
        <f t="shared" si="43"/>
        <v>859.62219853396186</v>
      </c>
      <c r="BD54" s="7">
        <f t="shared" si="43"/>
        <v>857.29870254233629</v>
      </c>
      <c r="BE54" s="7">
        <f t="shared" si="43"/>
        <v>3454.5777464633084</v>
      </c>
      <c r="BF54" s="7">
        <f t="shared" si="43"/>
        <v>3899.8614623563581</v>
      </c>
      <c r="BG54" s="7">
        <f t="shared" si="43"/>
        <v>838.69448900359203</v>
      </c>
      <c r="BH54" s="7">
        <f t="shared" si="43"/>
        <v>836.32417340453526</v>
      </c>
      <c r="BI54" s="7">
        <f t="shared" si="43"/>
        <v>3420.6227598519172</v>
      </c>
      <c r="BJ54" s="7">
        <f t="shared" si="43"/>
        <v>3863.6321693334994</v>
      </c>
      <c r="BK54" s="7">
        <f t="shared" si="43"/>
        <v>817.63562305126288</v>
      </c>
      <c r="BL54" s="7">
        <f t="shared" si="43"/>
        <v>815.21754440624545</v>
      </c>
      <c r="BM54" s="7">
        <f t="shared" si="43"/>
        <v>3386.5990705166932</v>
      </c>
      <c r="BN54" s="7">
        <f t="shared" si="43"/>
        <v>3827.3443003790517</v>
      </c>
      <c r="BO54" s="7">
        <f t="shared" si="43"/>
        <v>796.44151229994668</v>
      </c>
      <c r="BP54" s="7">
        <f t="shared" si="43"/>
        <v>793.97470815968154</v>
      </c>
      <c r="BQ54" s="7">
        <f t="shared" ref="BQ54:CV54" si="44" xml:space="preserve"> BQ$46</f>
        <v>3352.5022318382098</v>
      </c>
      <c r="BR54" s="7">
        <f t="shared" si="44"/>
        <v>3790.9933345494137</v>
      </c>
      <c r="BS54" s="7">
        <f t="shared" si="44"/>
        <v>775.10799318136537</v>
      </c>
      <c r="BT54" s="7">
        <f t="shared" si="44"/>
        <v>772.59148170272965</v>
      </c>
      <c r="BU54" s="7">
        <f t="shared" si="44"/>
        <v>3318.3277228303778</v>
      </c>
      <c r="BV54" s="7">
        <f t="shared" si="44"/>
        <v>3754.5746764216574</v>
      </c>
      <c r="BW54" s="7">
        <f t="shared" si="44"/>
        <v>753.63082538506251</v>
      </c>
      <c r="BX54" s="7">
        <f t="shared" si="44"/>
        <v>751.06360494030423</v>
      </c>
      <c r="BY54" s="7">
        <f t="shared" si="44"/>
        <v>3284.0709465661339</v>
      </c>
      <c r="BZ54" s="7">
        <f t="shared" si="44"/>
        <v>3718.0836545100374</v>
      </c>
      <c r="CA54" s="7">
        <f t="shared" si="44"/>
        <v>732.00569027641495</v>
      </c>
      <c r="CB54" s="7">
        <f t="shared" si="44"/>
        <v>729.38673905447968</v>
      </c>
      <c r="CC54" s="7">
        <f t="shared" si="44"/>
        <v>3249.7272285717709</v>
      </c>
      <c r="CD54" s="7">
        <f t="shared" si="44"/>
        <v>3681.5155196510214</v>
      </c>
      <c r="CE54" s="7">
        <f t="shared" si="44"/>
        <v>710.22818928293464</v>
      </c>
      <c r="CF54" s="7">
        <f t="shared" si="44"/>
        <v>707.55646488276489</v>
      </c>
      <c r="CG54" s="7">
        <f t="shared" si="44"/>
        <v>3215.2918151892882</v>
      </c>
      <c r="CH54" s="7">
        <f t="shared" si="44"/>
        <v>3644.8654433561715</v>
      </c>
      <c r="CI54" s="7">
        <f t="shared" si="44"/>
        <v>688.29384224823389</v>
      </c>
      <c r="CJ54" s="7">
        <f t="shared" si="44"/>
        <v>685.56828126386836</v>
      </c>
      <c r="CK54" s="7">
        <f t="shared" si="44"/>
        <v>3180.759871906117</v>
      </c>
      <c r="CL54" s="7">
        <f t="shared" si="44"/>
        <v>3608.1285161322512</v>
      </c>
      <c r="CM54" s="7">
        <f t="shared" si="44"/>
        <v>666.19808575299317</v>
      </c>
      <c r="CN54" s="7">
        <f t="shared" si="44"/>
        <v>663.41760335030904</v>
      </c>
      <c r="CO54" s="7">
        <f t="shared" si="44"/>
        <v>3146.1264816515677</v>
      </c>
      <c r="CP54" s="7">
        <f t="shared" si="44"/>
        <v>3571.2997457678875</v>
      </c>
      <c r="CQ54" s="7">
        <f t="shared" si="44"/>
        <v>643.93627140228091</v>
      </c>
      <c r="CR54" s="7">
        <f t="shared" si="44"/>
        <v>641.0997608872035</v>
      </c>
      <c r="CS54" s="7">
        <f t="shared" si="44"/>
        <v>3111.3866430593098</v>
      </c>
      <c r="CT54" s="7">
        <f t="shared" si="44"/>
        <v>3534.3740555861114</v>
      </c>
      <c r="CU54" s="7">
        <f t="shared" si="44"/>
        <v>621.50366407852198</v>
      </c>
      <c r="CV54" s="7">
        <f t="shared" si="44"/>
        <v>618.60999645653737</v>
      </c>
      <c r="CW54" s="7">
        <f t="shared" ref="CW54:EA54" si="45" xml:space="preserve"> CW$46</f>
        <v>3076.5352686952083</v>
      </c>
      <c r="CX54" s="7">
        <f t="shared" si="45"/>
        <v>3497.3462826620735</v>
      </c>
      <c r="CY54" s="7">
        <f t="shared" si="45"/>
        <v>598.89544015944239</v>
      </c>
      <c r="CZ54" s="7">
        <f t="shared" si="45"/>
        <v>595.94346368623292</v>
      </c>
      <c r="DA54" s="7">
        <f t="shared" si="45"/>
        <v>3041.5671832498269</v>
      </c>
      <c r="DB54" s="7">
        <f t="shared" si="45"/>
        <v>3460.2111760052694</v>
      </c>
      <c r="DC54" s="7">
        <f t="shared" si="45"/>
        <v>576.10668570027906</v>
      </c>
      <c r="DD54" s="7">
        <f t="shared" si="45"/>
        <v>573.09522542330069</v>
      </c>
      <c r="DE54" s="7">
        <f t="shared" si="45"/>
        <v>3006.477121694857</v>
      </c>
      <c r="DF54" s="7">
        <f t="shared" si="45"/>
        <v>3422.9633947055136</v>
      </c>
      <c r="DG54" s="7">
        <f t="shared" si="45"/>
        <v>553.13239457952204</v>
      </c>
      <c r="DH54" s="7">
        <f t="shared" si="45"/>
        <v>550.06025187035084</v>
      </c>
      <c r="DI54" s="7">
        <f t="shared" si="45"/>
        <v>0</v>
      </c>
      <c r="DJ54" s="7">
        <f t="shared" si="45"/>
        <v>0</v>
      </c>
      <c r="DK54" s="7">
        <f t="shared" si="45"/>
        <v>0</v>
      </c>
      <c r="DL54" s="7">
        <f t="shared" si="45"/>
        <v>0</v>
      </c>
      <c r="DM54" s="7">
        <f t="shared" si="45"/>
        <v>0</v>
      </c>
      <c r="DN54" s="7">
        <f t="shared" si="45"/>
        <v>0</v>
      </c>
      <c r="DO54" s="7">
        <f t="shared" si="45"/>
        <v>0</v>
      </c>
      <c r="DP54" s="7">
        <f t="shared" si="45"/>
        <v>0</v>
      </c>
      <c r="DQ54" s="7">
        <f t="shared" si="45"/>
        <v>0</v>
      </c>
      <c r="DR54" s="7">
        <f t="shared" si="45"/>
        <v>0</v>
      </c>
      <c r="DS54" s="7">
        <f t="shared" si="45"/>
        <v>0</v>
      </c>
      <c r="DT54" s="7">
        <f t="shared" si="45"/>
        <v>0</v>
      </c>
      <c r="DU54" s="7">
        <f t="shared" si="45"/>
        <v>0</v>
      </c>
      <c r="DV54" s="7">
        <f t="shared" si="45"/>
        <v>0</v>
      </c>
      <c r="DW54" s="7">
        <f t="shared" si="45"/>
        <v>0</v>
      </c>
      <c r="DX54" s="7">
        <f t="shared" si="45"/>
        <v>0</v>
      </c>
      <c r="DY54" s="7">
        <f t="shared" si="45"/>
        <v>0</v>
      </c>
      <c r="DZ54" s="7">
        <f t="shared" si="45"/>
        <v>0</v>
      </c>
      <c r="EA54" s="7">
        <f t="shared" si="45"/>
        <v>0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3559.3582081770837</v>
      </c>
      <c r="Q55" s="7">
        <f t="shared" si="46"/>
        <v>5505.4451858577186</v>
      </c>
      <c r="R55" s="7">
        <f t="shared" si="46"/>
        <v>6703.5252165382644</v>
      </c>
      <c r="S55" s="7">
        <f t="shared" si="46"/>
        <v>6583.8801776847677</v>
      </c>
      <c r="T55" s="7">
        <f t="shared" si="46"/>
        <v>7550.1673517881263</v>
      </c>
      <c r="U55" s="7">
        <f t="shared" si="46"/>
        <v>9491.4800044603908</v>
      </c>
      <c r="V55" s="7">
        <f t="shared" si="46"/>
        <v>10688.507396762136</v>
      </c>
      <c r="W55" s="7">
        <f t="shared" si="46"/>
        <v>10574.400018386554</v>
      </c>
      <c r="X55" s="7">
        <f t="shared" si="46"/>
        <v>11557.155903356072</v>
      </c>
      <c r="Y55" s="7">
        <f t="shared" si="46"/>
        <v>13477.453818938011</v>
      </c>
      <c r="Z55" s="7">
        <f t="shared" si="46"/>
        <v>14673.432456447565</v>
      </c>
      <c r="AA55" s="7">
        <f t="shared" si="46"/>
        <v>14564.83452881996</v>
      </c>
      <c r="AB55" s="7">
        <f t="shared" si="46"/>
        <v>15531.533256976403</v>
      </c>
      <c r="AC55" s="7">
        <f t="shared" si="46"/>
        <v>17463.364303503178</v>
      </c>
      <c r="AD55" s="7">
        <f t="shared" si="46"/>
        <v>18658.298023213731</v>
      </c>
      <c r="AE55" s="7">
        <f t="shared" si="46"/>
        <v>18555.181463668265</v>
      </c>
      <c r="AF55" s="7">
        <f t="shared" si="46"/>
        <v>19522.085603012179</v>
      </c>
      <c r="AG55" s="7">
        <f t="shared" si="46"/>
        <v>21449.209090958058</v>
      </c>
      <c r="AH55" s="7">
        <f t="shared" si="46"/>
        <v>22643.101682951634</v>
      </c>
      <c r="AI55" s="7">
        <f t="shared" si="46"/>
        <v>22545.438534986752</v>
      </c>
      <c r="AJ55" s="7">
        <f t="shared" si="46"/>
        <v>23512.547864216172</v>
      </c>
      <c r="AK55" s="7">
        <f t="shared" ref="AK55:BP55" si="47" xml:space="preserve"> AK$51</f>
        <v>25434.985771832791</v>
      </c>
      <c r="AL55" s="7">
        <f t="shared" si="47"/>
        <v>26627.840978953027</v>
      </c>
      <c r="AM55" s="7">
        <f t="shared" si="47"/>
        <v>26535.60341133074</v>
      </c>
      <c r="AN55" s="7">
        <f t="shared" si="47"/>
        <v>27518.709349251698</v>
      </c>
      <c r="AO55" s="7">
        <f t="shared" si="47"/>
        <v>29420.691893506697</v>
      </c>
      <c r="AP55" s="7">
        <f t="shared" si="47"/>
        <v>30612.513411021937</v>
      </c>
      <c r="AQ55" s="7">
        <f t="shared" si="47"/>
        <v>30525.673716866047</v>
      </c>
      <c r="AR55" s="7">
        <f t="shared" si="47"/>
        <v>31493.192831137469</v>
      </c>
      <c r="AS55" s="7">
        <f t="shared" si="47"/>
        <v>33406.324959311867</v>
      </c>
      <c r="AT55" s="7">
        <f t="shared" si="47"/>
        <v>34597.116434568423</v>
      </c>
      <c r="AU55" s="7">
        <f t="shared" si="47"/>
        <v>34515.647030461667</v>
      </c>
      <c r="AV55" s="7">
        <f t="shared" si="47"/>
        <v>35483.37077508177</v>
      </c>
      <c r="AW55" s="7">
        <f t="shared" si="47"/>
        <v>37391.882427618897</v>
      </c>
      <c r="AX55" s="7">
        <f t="shared" si="47"/>
        <v>38581.647459684238</v>
      </c>
      <c r="AY55" s="7">
        <f t="shared" si="47"/>
        <v>38505.520884764155</v>
      </c>
      <c r="AZ55" s="7">
        <f t="shared" si="47"/>
        <v>39473.449108826186</v>
      </c>
      <c r="BA55" s="7">
        <f t="shared" si="47"/>
        <v>41377.361710904232</v>
      </c>
      <c r="BB55" s="7">
        <f t="shared" si="47"/>
        <v>42566.103850200037</v>
      </c>
      <c r="BC55" s="7">
        <f t="shared" si="47"/>
        <v>42495.292765253515</v>
      </c>
      <c r="BD55" s="7">
        <f t="shared" si="47"/>
        <v>43478.742625816485</v>
      </c>
      <c r="BE55" s="7">
        <f t="shared" si="47"/>
        <v>45362.760174798932</v>
      </c>
      <c r="BF55" s="7">
        <f t="shared" si="47"/>
        <v>46550.482922723648</v>
      </c>
      <c r="BG55" s="7">
        <f t="shared" si="47"/>
        <v>46484.960109280037</v>
      </c>
      <c r="BH55" s="7">
        <f t="shared" si="47"/>
        <v>47453.296912664591</v>
      </c>
      <c r="BI55" s="7">
        <f t="shared" si="47"/>
        <v>49348.075137118401</v>
      </c>
      <c r="BJ55" s="7">
        <f t="shared" si="47"/>
        <v>50534.781945659226</v>
      </c>
      <c r="BK55" s="7">
        <f t="shared" si="47"/>
        <v>50474.520305081816</v>
      </c>
      <c r="BL55" s="7">
        <f t="shared" si="47"/>
        <v>51443.061245585821</v>
      </c>
      <c r="BM55" s="7">
        <f t="shared" si="47"/>
        <v>53333.3038668726</v>
      </c>
      <c r="BN55" s="7">
        <f t="shared" si="47"/>
        <v>54518.998138206691</v>
      </c>
      <c r="BO55" s="7">
        <f t="shared" si="47"/>
        <v>54463.970690782589</v>
      </c>
      <c r="BP55" s="7">
        <f t="shared" si="47"/>
        <v>55432.715691988691</v>
      </c>
      <c r="BQ55" s="7">
        <f t="shared" ref="BQ55:CV55" si="48" xml:space="preserve"> BQ$51</f>
        <v>57318.443583256565</v>
      </c>
      <c r="BR55" s="7">
        <f t="shared" si="48"/>
        <v>58503.128669341204</v>
      </c>
      <c r="BS55" s="7">
        <f t="shared" si="48"/>
        <v>58453.308553369374</v>
      </c>
      <c r="BT55" s="7">
        <f t="shared" si="48"/>
        <v>59437.096392490159</v>
      </c>
      <c r="BU55" s="7">
        <f t="shared" si="48"/>
        <v>61303.491454620664</v>
      </c>
      <c r="BV55" s="7">
        <f t="shared" si="48"/>
        <v>62487.170656772236</v>
      </c>
      <c r="BW55" s="7">
        <f t="shared" si="48"/>
        <v>62442.531127649592</v>
      </c>
      <c r="BX55" s="7">
        <f t="shared" si="48"/>
        <v>63411.684098514517</v>
      </c>
      <c r="BY55" s="7">
        <f t="shared" si="48"/>
        <v>65288.444597420195</v>
      </c>
      <c r="BZ55" s="7">
        <f t="shared" si="48"/>
        <v>66471.121165881705</v>
      </c>
      <c r="CA55" s="7">
        <f t="shared" si="48"/>
        <v>66431.635595187225</v>
      </c>
      <c r="CB55" s="7">
        <f t="shared" si="48"/>
        <v>67400.992514481724</v>
      </c>
      <c r="CC55" s="7">
        <f t="shared" si="48"/>
        <v>69273.300075144012</v>
      </c>
      <c r="CD55" s="7">
        <f t="shared" si="48"/>
        <v>70454.977208641023</v>
      </c>
      <c r="CE55" s="7">
        <f t="shared" si="48"/>
        <v>70420.61908321768</v>
      </c>
      <c r="CF55" s="7">
        <f t="shared" si="48"/>
        <v>71390.179953482788</v>
      </c>
      <c r="CG55" s="7">
        <f t="shared" si="48"/>
        <v>73258.054897221649</v>
      </c>
      <c r="CH55" s="7">
        <f t="shared" si="48"/>
        <v>74438.735742506309</v>
      </c>
      <c r="CI55" s="7">
        <f t="shared" si="48"/>
        <v>74409.478663540678</v>
      </c>
      <c r="CJ55" s="7">
        <f t="shared" si="48"/>
        <v>75393.59872509283</v>
      </c>
      <c r="CK55" s="7">
        <f t="shared" si="48"/>
        <v>77242.706017908553</v>
      </c>
      <c r="CL55" s="7">
        <f t="shared" si="48"/>
        <v>78422.393669291559</v>
      </c>
      <c r="CM55" s="7">
        <f t="shared" si="48"/>
        <v>78398.211351391103</v>
      </c>
      <c r="CN55" s="7">
        <f t="shared" si="48"/>
        <v>79368.180213470157</v>
      </c>
      <c r="CO55" s="7">
        <f t="shared" si="48"/>
        <v>81227.250335149045</v>
      </c>
      <c r="CP55" s="7">
        <f t="shared" si="48"/>
        <v>82405.947834019287</v>
      </c>
      <c r="CQ55" s="7">
        <f t="shared" si="48"/>
        <v>82386.814104286968</v>
      </c>
      <c r="CR55" s="7">
        <f t="shared" si="48"/>
        <v>83356.98704911879</v>
      </c>
      <c r="CS55" s="7">
        <f t="shared" si="48"/>
        <v>85211.684689416317</v>
      </c>
      <c r="CT55" s="7">
        <f t="shared" si="48"/>
        <v>86389.395023747958</v>
      </c>
      <c r="CU55" s="7">
        <f t="shared" si="48"/>
        <v>86375.28382085434</v>
      </c>
      <c r="CV55" s="7">
        <f t="shared" si="48"/>
        <v>87345.660934812477</v>
      </c>
      <c r="CW55" s="7">
        <f t="shared" ref="CW55:EA55" si="49" xml:space="preserve"> CW$51</f>
        <v>89196.005862529404</v>
      </c>
      <c r="CX55" s="7">
        <f t="shared" si="49"/>
        <v>90372.731966376232</v>
      </c>
      <c r="CY55" s="7">
        <f t="shared" si="49"/>
        <v>90363.617339628661</v>
      </c>
      <c r="CZ55" s="7">
        <f t="shared" si="49"/>
        <v>91348.064057591342</v>
      </c>
      <c r="DA55" s="7">
        <f t="shared" si="49"/>
        <v>93180.210576446334</v>
      </c>
      <c r="DB55" s="7">
        <f t="shared" si="49"/>
        <v>94355.955329423028</v>
      </c>
      <c r="DC55" s="7">
        <f t="shared" si="49"/>
        <v>94351.811437831886</v>
      </c>
      <c r="DD55" s="7">
        <f t="shared" si="49"/>
        <v>95322.597236583504</v>
      </c>
      <c r="DE55" s="7">
        <f t="shared" si="49"/>
        <v>97164.295492033038</v>
      </c>
      <c r="DF55" s="7">
        <f t="shared" si="49"/>
        <v>98339.061718783196</v>
      </c>
      <c r="DG55" s="7">
        <f t="shared" si="49"/>
        <v>98339.862830125101</v>
      </c>
      <c r="DH55" s="7">
        <f t="shared" si="49"/>
        <v>99310.853189108893</v>
      </c>
      <c r="DI55" s="7">
        <f t="shared" si="49"/>
        <v>100000</v>
      </c>
      <c r="DJ55" s="7">
        <f t="shared" si="49"/>
        <v>100000</v>
      </c>
      <c r="DK55" s="7">
        <f t="shared" si="49"/>
        <v>100000</v>
      </c>
      <c r="DL55" s="7">
        <f t="shared" si="49"/>
        <v>100000</v>
      </c>
      <c r="DM55" s="7">
        <f t="shared" si="49"/>
        <v>100000</v>
      </c>
      <c r="DN55" s="7">
        <f t="shared" si="49"/>
        <v>100000</v>
      </c>
      <c r="DO55" s="7">
        <f t="shared" si="49"/>
        <v>100000</v>
      </c>
      <c r="DP55" s="7">
        <f t="shared" si="49"/>
        <v>100000</v>
      </c>
      <c r="DQ55" s="7">
        <f t="shared" si="49"/>
        <v>100000</v>
      </c>
      <c r="DR55" s="7">
        <f t="shared" si="49"/>
        <v>100000</v>
      </c>
      <c r="DS55" s="7">
        <f t="shared" si="49"/>
        <v>100000</v>
      </c>
      <c r="DT55" s="7">
        <f t="shared" si="49"/>
        <v>100000</v>
      </c>
      <c r="DU55" s="7">
        <f t="shared" si="49"/>
        <v>100000</v>
      </c>
      <c r="DV55" s="7">
        <f t="shared" si="49"/>
        <v>100000</v>
      </c>
      <c r="DW55" s="7">
        <f t="shared" si="49"/>
        <v>100000</v>
      </c>
      <c r="DX55" s="7">
        <f t="shared" si="49"/>
        <v>100000</v>
      </c>
      <c r="DY55" s="7">
        <f t="shared" si="49"/>
        <v>100000</v>
      </c>
      <c r="DZ55" s="7">
        <f t="shared" si="49"/>
        <v>100000</v>
      </c>
      <c r="EA55" s="7">
        <f t="shared" si="49"/>
        <v>100000</v>
      </c>
    </row>
    <row r="56" spans="1:131" s="484" customFormat="1" outlineLevel="2" x14ac:dyDescent="0.35">
      <c r="A56" s="102"/>
      <c r="B56" s="102"/>
      <c r="C56" s="103"/>
      <c r="D56" s="104"/>
      <c r="E56" s="147" t="s">
        <v>235</v>
      </c>
      <c r="F56" s="147"/>
      <c r="G56" s="147" t="str">
        <f xml:space="preserve"> SMU</f>
        <v>$ 000s</v>
      </c>
      <c r="H56" s="147">
        <f xml:space="preserve"> SUM(J56:EA56)</f>
        <v>222667.04122730848</v>
      </c>
      <c r="I56" s="105"/>
      <c r="J56" s="147">
        <f t="shared" ref="J56:AO56" si="50" xml:space="preserve"> MAX(0, MIN(J54:J55))</f>
        <v>0</v>
      </c>
      <c r="K56" s="147">
        <f t="shared" si="50"/>
        <v>0</v>
      </c>
      <c r="L56" s="147">
        <f t="shared" si="50"/>
        <v>0</v>
      </c>
      <c r="M56" s="147">
        <f t="shared" si="50"/>
        <v>1519.3516483516487</v>
      </c>
      <c r="N56" s="147">
        <f t="shared" si="50"/>
        <v>5023.8865989309606</v>
      </c>
      <c r="O56" s="147">
        <f t="shared" si="50"/>
        <v>2639.7867058423899</v>
      </c>
      <c r="P56" s="147">
        <f t="shared" si="50"/>
        <v>1060.6310622656251</v>
      </c>
      <c r="Q56" s="147">
        <f t="shared" si="50"/>
        <v>3791.2770487336711</v>
      </c>
      <c r="R56" s="147">
        <f t="shared" si="50"/>
        <v>4259.8770906937561</v>
      </c>
      <c r="S56" s="147">
        <f t="shared" si="50"/>
        <v>1042.7088144556815</v>
      </c>
      <c r="T56" s="147">
        <f t="shared" si="50"/>
        <v>1040.7671968364189</v>
      </c>
      <c r="U56" s="147">
        <f t="shared" si="50"/>
        <v>3757.7798200412162</v>
      </c>
      <c r="V56" s="147">
        <f t="shared" si="50"/>
        <v>4224.000218361738</v>
      </c>
      <c r="W56" s="147">
        <f t="shared" si="50"/>
        <v>1022.7892127952941</v>
      </c>
      <c r="X56" s="147">
        <f t="shared" si="50"/>
        <v>1020.8084706089812</v>
      </c>
      <c r="Y56" s="147">
        <f t="shared" si="50"/>
        <v>3724.2545897984583</v>
      </c>
      <c r="Z56" s="147">
        <f t="shared" si="50"/>
        <v>4188.1062102303531</v>
      </c>
      <c r="AA56" s="147">
        <f t="shared" si="50"/>
        <v>1002.7721077907047</v>
      </c>
      <c r="AB56" s="147">
        <f t="shared" si="50"/>
        <v>1000.7514526577284</v>
      </c>
      <c r="AC56" s="147">
        <f t="shared" si="50"/>
        <v>3690.6975749323938</v>
      </c>
      <c r="AD56" s="147">
        <f t="shared" si="50"/>
        <v>4152.191209556212</v>
      </c>
      <c r="AE56" s="147">
        <f t="shared" si="50"/>
        <v>982.65402282707737</v>
      </c>
      <c r="AF56" s="147">
        <f t="shared" si="50"/>
        <v>980.59265048158113</v>
      </c>
      <c r="AG56" s="147">
        <f t="shared" si="50"/>
        <v>3657.1049321532691</v>
      </c>
      <c r="AH56" s="147">
        <f t="shared" si="50"/>
        <v>4116.2512993505097</v>
      </c>
      <c r="AI56" s="147">
        <f t="shared" si="50"/>
        <v>962.43141875580363</v>
      </c>
      <c r="AJ56" s="147">
        <f t="shared" si="50"/>
        <v>960.32850872557128</v>
      </c>
      <c r="AK56" s="147">
        <f t="shared" si="50"/>
        <v>3623.4727566615193</v>
      </c>
      <c r="AL56" s="147">
        <f t="shared" si="50"/>
        <v>4080.2825010781335</v>
      </c>
      <c r="AM56" s="147">
        <f t="shared" si="50"/>
        <v>942.10069259699731</v>
      </c>
      <c r="AN56" s="147">
        <f t="shared" si="50"/>
        <v>939.95540787688628</v>
      </c>
      <c r="AO56" s="147">
        <f t="shared" si="50"/>
        <v>3589.7970808290256</v>
      </c>
      <c r="AP56" s="147">
        <f t="shared" ref="AP56:BU56" si="51" xml:space="preserve"> MAX(0, MIN(AP54:AP55))</f>
        <v>4044.2807733309892</v>
      </c>
      <c r="AQ56" s="147">
        <f t="shared" si="51"/>
        <v>921.65817621602537</v>
      </c>
      <c r="AR56" s="147">
        <f t="shared" si="51"/>
        <v>919.46966293482092</v>
      </c>
      <c r="AS56" s="147">
        <f t="shared" si="51"/>
        <v>3556.0738728542283</v>
      </c>
      <c r="AT56" s="147">
        <f t="shared" si="51"/>
        <v>4008.2420104750345</v>
      </c>
      <c r="AU56" s="147">
        <f t="shared" si="51"/>
        <v>901.10013497355976</v>
      </c>
      <c r="AV56" s="147">
        <f t="shared" si="51"/>
        <v>898.86752205411403</v>
      </c>
      <c r="AW56" s="147">
        <f t="shared" si="51"/>
        <v>3522.2990353904879</v>
      </c>
      <c r="AX56" s="147">
        <f t="shared" si="51"/>
        <v>3972.1620412704606</v>
      </c>
      <c r="AY56" s="147">
        <f t="shared" si="51"/>
        <v>880.42276634860264</v>
      </c>
      <c r="AZ56" s="147">
        <f t="shared" si="51"/>
        <v>878.14516516112872</v>
      </c>
      <c r="BA56" s="147">
        <f t="shared" si="51"/>
        <v>3488.4684041472365</v>
      </c>
      <c r="BB56" s="147">
        <f t="shared" si="51"/>
        <v>3936.0366274645103</v>
      </c>
      <c r="BC56" s="147">
        <f t="shared" si="51"/>
        <v>859.62219853396186</v>
      </c>
      <c r="BD56" s="147">
        <f t="shared" si="51"/>
        <v>857.29870254233629</v>
      </c>
      <c r="BE56" s="147">
        <f t="shared" si="51"/>
        <v>3454.5777464633084</v>
      </c>
      <c r="BF56" s="147">
        <f t="shared" si="51"/>
        <v>3899.8614623563581</v>
      </c>
      <c r="BG56" s="147">
        <f t="shared" si="51"/>
        <v>838.69448900359203</v>
      </c>
      <c r="BH56" s="147">
        <f t="shared" si="51"/>
        <v>836.32417340453526</v>
      </c>
      <c r="BI56" s="147">
        <f t="shared" si="51"/>
        <v>3420.6227598519172</v>
      </c>
      <c r="BJ56" s="147">
        <f t="shared" si="51"/>
        <v>3863.6321693334994</v>
      </c>
      <c r="BK56" s="147">
        <f t="shared" si="51"/>
        <v>817.63562305126288</v>
      </c>
      <c r="BL56" s="147">
        <f t="shared" si="51"/>
        <v>815.21754440624545</v>
      </c>
      <c r="BM56" s="147">
        <f t="shared" si="51"/>
        <v>3386.5990705166932</v>
      </c>
      <c r="BN56" s="147">
        <f t="shared" si="51"/>
        <v>3827.3443003790517</v>
      </c>
      <c r="BO56" s="147">
        <f t="shared" si="51"/>
        <v>796.44151229994668</v>
      </c>
      <c r="BP56" s="147">
        <f t="shared" si="51"/>
        <v>793.97470815968154</v>
      </c>
      <c r="BQ56" s="147">
        <f t="shared" si="51"/>
        <v>3352.5022318382098</v>
      </c>
      <c r="BR56" s="147">
        <f t="shared" si="51"/>
        <v>3790.9933345494137</v>
      </c>
      <c r="BS56" s="147">
        <f t="shared" si="51"/>
        <v>775.10799318136537</v>
      </c>
      <c r="BT56" s="147">
        <f t="shared" si="51"/>
        <v>772.59148170272965</v>
      </c>
      <c r="BU56" s="147">
        <f t="shared" si="51"/>
        <v>3318.3277228303778</v>
      </c>
      <c r="BV56" s="147">
        <f t="shared" ref="BV56:DA56" si="52" xml:space="preserve"> MAX(0, MIN(BV54:BV55))</f>
        <v>3754.5746764216574</v>
      </c>
      <c r="BW56" s="147">
        <f t="shared" si="52"/>
        <v>753.63082538506251</v>
      </c>
      <c r="BX56" s="147">
        <f t="shared" si="52"/>
        <v>751.06360494030423</v>
      </c>
      <c r="BY56" s="147">
        <f t="shared" si="52"/>
        <v>3284.0709465661339</v>
      </c>
      <c r="BZ56" s="147">
        <f t="shared" si="52"/>
        <v>3718.0836545100374</v>
      </c>
      <c r="CA56" s="147">
        <f t="shared" si="52"/>
        <v>732.00569027641495</v>
      </c>
      <c r="CB56" s="147">
        <f t="shared" si="52"/>
        <v>729.38673905447968</v>
      </c>
      <c r="CC56" s="147">
        <f t="shared" si="52"/>
        <v>3249.7272285717709</v>
      </c>
      <c r="CD56" s="147">
        <f t="shared" si="52"/>
        <v>3681.5155196510214</v>
      </c>
      <c r="CE56" s="147">
        <f t="shared" si="52"/>
        <v>710.22818928293464</v>
      </c>
      <c r="CF56" s="147">
        <f t="shared" si="52"/>
        <v>707.55646488276489</v>
      </c>
      <c r="CG56" s="147">
        <f t="shared" si="52"/>
        <v>3215.2918151892882</v>
      </c>
      <c r="CH56" s="147">
        <f t="shared" si="52"/>
        <v>3644.8654433561715</v>
      </c>
      <c r="CI56" s="147">
        <f t="shared" si="52"/>
        <v>688.29384224823389</v>
      </c>
      <c r="CJ56" s="147">
        <f t="shared" si="52"/>
        <v>685.56828126386836</v>
      </c>
      <c r="CK56" s="147">
        <f t="shared" si="52"/>
        <v>3180.759871906117</v>
      </c>
      <c r="CL56" s="147">
        <f t="shared" si="52"/>
        <v>3608.1285161322512</v>
      </c>
      <c r="CM56" s="147">
        <f t="shared" si="52"/>
        <v>666.19808575299317</v>
      </c>
      <c r="CN56" s="147">
        <f t="shared" si="52"/>
        <v>663.41760335030904</v>
      </c>
      <c r="CO56" s="147">
        <f t="shared" si="52"/>
        <v>3146.1264816515677</v>
      </c>
      <c r="CP56" s="147">
        <f t="shared" si="52"/>
        <v>3571.2997457678875</v>
      </c>
      <c r="CQ56" s="147">
        <f t="shared" si="52"/>
        <v>643.93627140228091</v>
      </c>
      <c r="CR56" s="147">
        <f t="shared" si="52"/>
        <v>641.0997608872035</v>
      </c>
      <c r="CS56" s="147">
        <f t="shared" si="52"/>
        <v>3111.3866430593098</v>
      </c>
      <c r="CT56" s="147">
        <f t="shared" si="52"/>
        <v>3534.3740555861114</v>
      </c>
      <c r="CU56" s="147">
        <f t="shared" si="52"/>
        <v>621.50366407852198</v>
      </c>
      <c r="CV56" s="147">
        <f t="shared" si="52"/>
        <v>618.60999645653737</v>
      </c>
      <c r="CW56" s="147">
        <f t="shared" si="52"/>
        <v>3076.5352686952083</v>
      </c>
      <c r="CX56" s="147">
        <f t="shared" si="52"/>
        <v>3497.3462826620735</v>
      </c>
      <c r="CY56" s="147">
        <f t="shared" si="52"/>
        <v>598.89544015944239</v>
      </c>
      <c r="CZ56" s="147">
        <f t="shared" si="52"/>
        <v>595.94346368623292</v>
      </c>
      <c r="DA56" s="147">
        <f t="shared" si="52"/>
        <v>3041.5671832498269</v>
      </c>
      <c r="DB56" s="147">
        <f t="shared" ref="DB56:EA56" si="53" xml:space="preserve"> MAX(0, MIN(DB54:DB55))</f>
        <v>3460.2111760052694</v>
      </c>
      <c r="DC56" s="147">
        <f t="shared" si="53"/>
        <v>576.10668570027906</v>
      </c>
      <c r="DD56" s="147">
        <f t="shared" si="53"/>
        <v>573.09522542330069</v>
      </c>
      <c r="DE56" s="147">
        <f t="shared" si="53"/>
        <v>3006.477121694857</v>
      </c>
      <c r="DF56" s="147">
        <f t="shared" si="53"/>
        <v>3422.9633947055136</v>
      </c>
      <c r="DG56" s="147">
        <f t="shared" si="53"/>
        <v>553.13239457952204</v>
      </c>
      <c r="DH56" s="147">
        <f t="shared" si="53"/>
        <v>550.06025187035084</v>
      </c>
      <c r="DI56" s="147">
        <f t="shared" si="53"/>
        <v>0</v>
      </c>
      <c r="DJ56" s="147">
        <f t="shared" si="53"/>
        <v>0</v>
      </c>
      <c r="DK56" s="147">
        <f t="shared" si="53"/>
        <v>0</v>
      </c>
      <c r="DL56" s="147">
        <f t="shared" si="53"/>
        <v>0</v>
      </c>
      <c r="DM56" s="147">
        <f t="shared" si="53"/>
        <v>0</v>
      </c>
      <c r="DN56" s="147">
        <f t="shared" si="53"/>
        <v>0</v>
      </c>
      <c r="DO56" s="147">
        <f t="shared" si="53"/>
        <v>0</v>
      </c>
      <c r="DP56" s="147">
        <f t="shared" si="53"/>
        <v>0</v>
      </c>
      <c r="DQ56" s="147">
        <f t="shared" si="53"/>
        <v>0</v>
      </c>
      <c r="DR56" s="147">
        <f t="shared" si="53"/>
        <v>0</v>
      </c>
      <c r="DS56" s="147">
        <f t="shared" si="53"/>
        <v>0</v>
      </c>
      <c r="DT56" s="147">
        <f t="shared" si="53"/>
        <v>0</v>
      </c>
      <c r="DU56" s="147">
        <f t="shared" si="53"/>
        <v>0</v>
      </c>
      <c r="DV56" s="147">
        <f t="shared" si="53"/>
        <v>0</v>
      </c>
      <c r="DW56" s="147">
        <f t="shared" si="53"/>
        <v>0</v>
      </c>
      <c r="DX56" s="147">
        <f t="shared" si="53"/>
        <v>0</v>
      </c>
      <c r="DY56" s="147">
        <f t="shared" si="53"/>
        <v>0</v>
      </c>
      <c r="DZ56" s="147">
        <f t="shared" si="53"/>
        <v>0</v>
      </c>
      <c r="EA56" s="14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-222667.04122730848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-2639.7867058423899</v>
      </c>
      <c r="P57" s="147">
        <f t="shared" si="54"/>
        <v>-1060.6310622656251</v>
      </c>
      <c r="Q57" s="147">
        <f t="shared" si="54"/>
        <v>-3791.2770487336711</v>
      </c>
      <c r="R57" s="147">
        <f t="shared" si="54"/>
        <v>-4259.8770906937561</v>
      </c>
      <c r="S57" s="147">
        <f t="shared" si="54"/>
        <v>-1042.7088144556815</v>
      </c>
      <c r="T57" s="147">
        <f t="shared" si="54"/>
        <v>-1040.7671968364189</v>
      </c>
      <c r="U57" s="147">
        <f t="shared" si="54"/>
        <v>-3757.7798200412162</v>
      </c>
      <c r="V57" s="147">
        <f t="shared" si="54"/>
        <v>-4224.000218361738</v>
      </c>
      <c r="W57" s="147">
        <f t="shared" si="54"/>
        <v>-1022.7892127952941</v>
      </c>
      <c r="X57" s="147">
        <f t="shared" si="54"/>
        <v>-1020.8084706089812</v>
      </c>
      <c r="Y57" s="147">
        <f t="shared" si="54"/>
        <v>-3724.2545897984583</v>
      </c>
      <c r="Z57" s="147">
        <f t="shared" si="54"/>
        <v>-4188.1062102303531</v>
      </c>
      <c r="AA57" s="147">
        <f t="shared" si="54"/>
        <v>-1002.7721077907047</v>
      </c>
      <c r="AB57" s="147">
        <f t="shared" si="54"/>
        <v>-1000.7514526577284</v>
      </c>
      <c r="AC57" s="147">
        <f t="shared" si="54"/>
        <v>-3690.6975749323938</v>
      </c>
      <c r="AD57" s="147">
        <f t="shared" si="54"/>
        <v>-4152.191209556212</v>
      </c>
      <c r="AE57" s="147">
        <f t="shared" si="54"/>
        <v>-982.65402282707737</v>
      </c>
      <c r="AF57" s="147">
        <f t="shared" si="54"/>
        <v>-980.59265048158113</v>
      </c>
      <c r="AG57" s="147">
        <f t="shared" si="54"/>
        <v>-3657.1049321532691</v>
      </c>
      <c r="AH57" s="147">
        <f t="shared" si="54"/>
        <v>-4116.2512993505097</v>
      </c>
      <c r="AI57" s="147">
        <f t="shared" si="54"/>
        <v>-962.43141875580363</v>
      </c>
      <c r="AJ57" s="147">
        <f t="shared" si="54"/>
        <v>-960.32850872557128</v>
      </c>
      <c r="AK57" s="147">
        <f t="shared" si="54"/>
        <v>-3623.4727566615193</v>
      </c>
      <c r="AL57" s="147">
        <f t="shared" si="54"/>
        <v>-4080.2825010781335</v>
      </c>
      <c r="AM57" s="147">
        <f t="shared" si="54"/>
        <v>-942.10069259699731</v>
      </c>
      <c r="AN57" s="147">
        <f t="shared" si="54"/>
        <v>-939.95540787688628</v>
      </c>
      <c r="AO57" s="147">
        <f t="shared" si="54"/>
        <v>-3589.7970808290256</v>
      </c>
      <c r="AP57" s="147">
        <f t="shared" si="54"/>
        <v>-4044.2807733309892</v>
      </c>
      <c r="AQ57" s="147">
        <f t="shared" si="54"/>
        <v>-921.65817621602537</v>
      </c>
      <c r="AR57" s="147">
        <f t="shared" si="54"/>
        <v>-919.46966293482092</v>
      </c>
      <c r="AS57" s="147">
        <f t="shared" si="54"/>
        <v>-3556.0738728542283</v>
      </c>
      <c r="AT57" s="147">
        <f t="shared" si="54"/>
        <v>-4008.2420104750345</v>
      </c>
      <c r="AU57" s="147">
        <f t="shared" si="54"/>
        <v>-901.10013497355976</v>
      </c>
      <c r="AV57" s="147">
        <f t="shared" si="54"/>
        <v>-898.86752205411403</v>
      </c>
      <c r="AW57" s="147">
        <f t="shared" si="54"/>
        <v>-3522.2990353904879</v>
      </c>
      <c r="AX57" s="147">
        <f t="shared" si="54"/>
        <v>-3972.1620412704606</v>
      </c>
      <c r="AY57" s="147">
        <f t="shared" si="54"/>
        <v>-880.42276634860264</v>
      </c>
      <c r="AZ57" s="147">
        <f t="shared" si="54"/>
        <v>-878.14516516112872</v>
      </c>
      <c r="BA57" s="147">
        <f t="shared" si="54"/>
        <v>-3488.4684041472365</v>
      </c>
      <c r="BB57" s="147">
        <f t="shared" si="54"/>
        <v>-3936.0366274645103</v>
      </c>
      <c r="BC57" s="147">
        <f t="shared" si="54"/>
        <v>-859.62219853396186</v>
      </c>
      <c r="BD57" s="147">
        <f t="shared" si="54"/>
        <v>-857.29870254233629</v>
      </c>
      <c r="BE57" s="147">
        <f t="shared" si="54"/>
        <v>-3454.5777464633084</v>
      </c>
      <c r="BF57" s="147">
        <f t="shared" si="54"/>
        <v>-3899.8614623563581</v>
      </c>
      <c r="BG57" s="147">
        <f t="shared" si="54"/>
        <v>-838.69448900359203</v>
      </c>
      <c r="BH57" s="147">
        <f t="shared" si="54"/>
        <v>-836.32417340453526</v>
      </c>
      <c r="BI57" s="147">
        <f t="shared" si="54"/>
        <v>-3420.6227598519172</v>
      </c>
      <c r="BJ57" s="147">
        <f t="shared" si="54"/>
        <v>-3863.6321693334994</v>
      </c>
      <c r="BK57" s="147">
        <f t="shared" si="54"/>
        <v>-817.63562305126288</v>
      </c>
      <c r="BL57" s="147">
        <f t="shared" si="54"/>
        <v>-815.21754440624545</v>
      </c>
      <c r="BM57" s="147">
        <f t="shared" si="54"/>
        <v>-3386.5990705166932</v>
      </c>
      <c r="BN57" s="147">
        <f t="shared" si="54"/>
        <v>-3827.3443003790517</v>
      </c>
      <c r="BO57" s="147">
        <f t="shared" si="54"/>
        <v>-796.44151229994668</v>
      </c>
      <c r="BP57" s="147">
        <f t="shared" si="54"/>
        <v>-793.97470815968154</v>
      </c>
      <c r="BQ57" s="147">
        <f t="shared" si="54"/>
        <v>-3352.5022318382098</v>
      </c>
      <c r="BR57" s="147">
        <f t="shared" si="54"/>
        <v>-3790.9933345494137</v>
      </c>
      <c r="BS57" s="147">
        <f t="shared" si="54"/>
        <v>-775.10799318136537</v>
      </c>
      <c r="BT57" s="147">
        <f t="shared" si="54"/>
        <v>-772.59148170272965</v>
      </c>
      <c r="BU57" s="147">
        <f t="shared" si="54"/>
        <v>-3318.3277228303778</v>
      </c>
      <c r="BV57" s="147">
        <f t="shared" ref="BV57:EA57" si="55" xml:space="preserve"> -1 * BV56</f>
        <v>-3754.5746764216574</v>
      </c>
      <c r="BW57" s="147">
        <f t="shared" si="55"/>
        <v>-753.63082538506251</v>
      </c>
      <c r="BX57" s="147">
        <f t="shared" si="55"/>
        <v>-751.06360494030423</v>
      </c>
      <c r="BY57" s="147">
        <f t="shared" si="55"/>
        <v>-3284.0709465661339</v>
      </c>
      <c r="BZ57" s="147">
        <f t="shared" si="55"/>
        <v>-3718.0836545100374</v>
      </c>
      <c r="CA57" s="147">
        <f t="shared" si="55"/>
        <v>-732.00569027641495</v>
      </c>
      <c r="CB57" s="147">
        <f t="shared" si="55"/>
        <v>-729.38673905447968</v>
      </c>
      <c r="CC57" s="147">
        <f t="shared" si="55"/>
        <v>-3249.7272285717709</v>
      </c>
      <c r="CD57" s="147">
        <f t="shared" si="55"/>
        <v>-3681.5155196510214</v>
      </c>
      <c r="CE57" s="147">
        <f t="shared" si="55"/>
        <v>-710.22818928293464</v>
      </c>
      <c r="CF57" s="147">
        <f t="shared" si="55"/>
        <v>-707.55646488276489</v>
      </c>
      <c r="CG57" s="147">
        <f t="shared" si="55"/>
        <v>-3215.2918151892882</v>
      </c>
      <c r="CH57" s="147">
        <f t="shared" si="55"/>
        <v>-3644.8654433561715</v>
      </c>
      <c r="CI57" s="147">
        <f t="shared" si="55"/>
        <v>-688.29384224823389</v>
      </c>
      <c r="CJ57" s="147">
        <f t="shared" si="55"/>
        <v>-685.56828126386836</v>
      </c>
      <c r="CK57" s="147">
        <f t="shared" si="55"/>
        <v>-3180.759871906117</v>
      </c>
      <c r="CL57" s="147">
        <f t="shared" si="55"/>
        <v>-3608.1285161322512</v>
      </c>
      <c r="CM57" s="147">
        <f t="shared" si="55"/>
        <v>-666.19808575299317</v>
      </c>
      <c r="CN57" s="147">
        <f t="shared" si="55"/>
        <v>-663.41760335030904</v>
      </c>
      <c r="CO57" s="147">
        <f t="shared" si="55"/>
        <v>-3146.1264816515677</v>
      </c>
      <c r="CP57" s="147">
        <f t="shared" si="55"/>
        <v>-3571.2997457678875</v>
      </c>
      <c r="CQ57" s="147">
        <f t="shared" si="55"/>
        <v>-643.93627140228091</v>
      </c>
      <c r="CR57" s="147">
        <f t="shared" si="55"/>
        <v>-641.0997608872035</v>
      </c>
      <c r="CS57" s="147">
        <f t="shared" si="55"/>
        <v>-3111.3866430593098</v>
      </c>
      <c r="CT57" s="147">
        <f t="shared" si="55"/>
        <v>-3534.3740555861114</v>
      </c>
      <c r="CU57" s="147">
        <f t="shared" si="55"/>
        <v>-621.50366407852198</v>
      </c>
      <c r="CV57" s="147">
        <f t="shared" si="55"/>
        <v>-618.60999645653737</v>
      </c>
      <c r="CW57" s="147">
        <f t="shared" si="55"/>
        <v>-3076.5352686952083</v>
      </c>
      <c r="CX57" s="147">
        <f t="shared" si="55"/>
        <v>-3497.3462826620735</v>
      </c>
      <c r="CY57" s="147">
        <f t="shared" si="55"/>
        <v>-598.89544015944239</v>
      </c>
      <c r="CZ57" s="147">
        <f t="shared" si="55"/>
        <v>-595.94346368623292</v>
      </c>
      <c r="DA57" s="147">
        <f t="shared" si="55"/>
        <v>-3041.5671832498269</v>
      </c>
      <c r="DB57" s="147">
        <f t="shared" si="55"/>
        <v>-3460.2111760052694</v>
      </c>
      <c r="DC57" s="147">
        <f t="shared" si="55"/>
        <v>-576.10668570027906</v>
      </c>
      <c r="DD57" s="147">
        <f t="shared" si="55"/>
        <v>-573.09522542330069</v>
      </c>
      <c r="DE57" s="147">
        <f t="shared" si="55"/>
        <v>-3006.477121694857</v>
      </c>
      <c r="DF57" s="147">
        <f t="shared" si="55"/>
        <v>-3422.9633947055136</v>
      </c>
      <c r="DG57" s="147">
        <f t="shared" si="55"/>
        <v>-553.13239457952204</v>
      </c>
      <c r="DH57" s="147">
        <f t="shared" si="55"/>
        <v>-550.06025187035084</v>
      </c>
      <c r="DI57" s="147">
        <f t="shared" si="55"/>
        <v>0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238</v>
      </c>
    </row>
    <row r="9" spans="1:131" x14ac:dyDescent="0.35">
      <c r="B9" s="8" t="s">
        <v>239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90" t="str">
        <f xml:space="preserve"> Time!E$14</f>
        <v>First model column flag</v>
      </c>
      <c r="F13" s="490">
        <f xml:space="preserve"> Time!F$14</f>
        <v>0</v>
      </c>
      <c r="G13" s="490" t="str">
        <f xml:space="preserve"> Time!G$14</f>
        <v>flag</v>
      </c>
      <c r="H13" s="490">
        <f xml:space="preserve"> Time!H$14</f>
        <v>1</v>
      </c>
      <c r="I13" s="490">
        <f xml:space="preserve"> Time!I$14</f>
        <v>0</v>
      </c>
      <c r="J13" s="490">
        <f xml:space="preserve"> Time!J$14</f>
        <v>1</v>
      </c>
      <c r="K13" s="490">
        <f xml:space="preserve"> Time!K$14</f>
        <v>0</v>
      </c>
      <c r="L13" s="490">
        <f xml:space="preserve"> Time!L$14</f>
        <v>0</v>
      </c>
      <c r="M13" s="490">
        <f xml:space="preserve"> Time!M$14</f>
        <v>0</v>
      </c>
      <c r="N13" s="490">
        <f xml:space="preserve"> Time!N$14</f>
        <v>0</v>
      </c>
      <c r="O13" s="490">
        <f xml:space="preserve"> Time!O$14</f>
        <v>0</v>
      </c>
      <c r="P13" s="490">
        <f xml:space="preserve"> Time!P$14</f>
        <v>0</v>
      </c>
      <c r="Q13" s="490">
        <f xml:space="preserve"> Time!Q$14</f>
        <v>0</v>
      </c>
      <c r="R13" s="490">
        <f xml:space="preserve"> Time!R$14</f>
        <v>0</v>
      </c>
      <c r="S13" s="490">
        <f xml:space="preserve"> Time!S$14</f>
        <v>0</v>
      </c>
      <c r="T13" s="490">
        <f xml:space="preserve"> Time!T$14</f>
        <v>0</v>
      </c>
      <c r="U13" s="490">
        <f xml:space="preserve"> Time!U$14</f>
        <v>0</v>
      </c>
      <c r="V13" s="490">
        <f xml:space="preserve"> Time!V$14</f>
        <v>0</v>
      </c>
      <c r="W13" s="490">
        <f xml:space="preserve"> Time!W$14</f>
        <v>0</v>
      </c>
      <c r="X13" s="490">
        <f xml:space="preserve"> Time!X$14</f>
        <v>0</v>
      </c>
      <c r="Y13" s="490">
        <f xml:space="preserve"> Time!Y$14</f>
        <v>0</v>
      </c>
      <c r="Z13" s="490">
        <f xml:space="preserve"> Time!Z$14</f>
        <v>0</v>
      </c>
      <c r="AA13" s="490">
        <f xml:space="preserve"> Time!AA$14</f>
        <v>0</v>
      </c>
      <c r="AB13" s="490">
        <f xml:space="preserve"> Time!AB$14</f>
        <v>0</v>
      </c>
      <c r="AC13" s="490">
        <f xml:space="preserve"> Time!AC$14</f>
        <v>0</v>
      </c>
      <c r="AD13" s="490">
        <f xml:space="preserve"> Time!AD$14</f>
        <v>0</v>
      </c>
      <c r="AE13" s="490">
        <f xml:space="preserve"> Time!AE$14</f>
        <v>0</v>
      </c>
      <c r="AF13" s="490">
        <f xml:space="preserve"> Time!AF$14</f>
        <v>0</v>
      </c>
      <c r="AG13" s="490">
        <f xml:space="preserve"> Time!AG$14</f>
        <v>0</v>
      </c>
      <c r="AH13" s="490">
        <f xml:space="preserve"> Time!AH$14</f>
        <v>0</v>
      </c>
      <c r="AI13" s="490">
        <f xml:space="preserve"> Time!AI$14</f>
        <v>0</v>
      </c>
      <c r="AJ13" s="490">
        <f xml:space="preserve"> Time!AJ$14</f>
        <v>0</v>
      </c>
      <c r="AK13" s="490">
        <f xml:space="preserve"> Time!AK$14</f>
        <v>0</v>
      </c>
      <c r="AL13" s="490">
        <f xml:space="preserve"> Time!AL$14</f>
        <v>0</v>
      </c>
      <c r="AM13" s="490">
        <f xml:space="preserve"> Time!AM$14</f>
        <v>0</v>
      </c>
      <c r="AN13" s="490">
        <f xml:space="preserve"> Time!AN$14</f>
        <v>0</v>
      </c>
      <c r="AO13" s="490">
        <f xml:space="preserve"> Time!AO$14</f>
        <v>0</v>
      </c>
      <c r="AP13" s="490">
        <f xml:space="preserve"> Time!AP$14</f>
        <v>0</v>
      </c>
      <c r="AQ13" s="490">
        <f xml:space="preserve"> Time!AQ$14</f>
        <v>0</v>
      </c>
      <c r="AR13" s="490">
        <f xml:space="preserve"> Time!AR$14</f>
        <v>0</v>
      </c>
      <c r="AS13" s="490">
        <f xml:space="preserve"> Time!AS$14</f>
        <v>0</v>
      </c>
      <c r="AT13" s="490">
        <f xml:space="preserve"> Time!AT$14</f>
        <v>0</v>
      </c>
      <c r="AU13" s="490">
        <f xml:space="preserve"> Time!AU$14</f>
        <v>0</v>
      </c>
      <c r="AV13" s="490">
        <f xml:space="preserve"> Time!AV$14</f>
        <v>0</v>
      </c>
      <c r="AW13" s="490">
        <f xml:space="preserve"> Time!AW$14</f>
        <v>0</v>
      </c>
      <c r="AX13" s="490">
        <f xml:space="preserve"> Time!AX$14</f>
        <v>0</v>
      </c>
      <c r="AY13" s="490">
        <f xml:space="preserve"> Time!AY$14</f>
        <v>0</v>
      </c>
      <c r="AZ13" s="490">
        <f xml:space="preserve"> Time!AZ$14</f>
        <v>0</v>
      </c>
      <c r="BA13" s="490">
        <f xml:space="preserve"> Time!BA$14</f>
        <v>0</v>
      </c>
      <c r="BB13" s="490">
        <f xml:space="preserve"> Time!BB$14</f>
        <v>0</v>
      </c>
      <c r="BC13" s="490">
        <f xml:space="preserve"> Time!BC$14</f>
        <v>0</v>
      </c>
      <c r="BD13" s="490">
        <f xml:space="preserve"> Time!BD$14</f>
        <v>0</v>
      </c>
      <c r="BE13" s="490">
        <f xml:space="preserve"> Time!BE$14</f>
        <v>0</v>
      </c>
      <c r="BF13" s="490">
        <f xml:space="preserve"> Time!BF$14</f>
        <v>0</v>
      </c>
      <c r="BG13" s="490">
        <f xml:space="preserve"> Time!BG$14</f>
        <v>0</v>
      </c>
      <c r="BH13" s="490">
        <f xml:space="preserve"> Time!BH$14</f>
        <v>0</v>
      </c>
      <c r="BI13" s="490">
        <f xml:space="preserve"> Time!BI$14</f>
        <v>0</v>
      </c>
      <c r="BJ13" s="490">
        <f xml:space="preserve"> Time!BJ$14</f>
        <v>0</v>
      </c>
      <c r="BK13" s="490">
        <f xml:space="preserve"> Time!BK$14</f>
        <v>0</v>
      </c>
      <c r="BL13" s="490">
        <f xml:space="preserve"> Time!BL$14</f>
        <v>0</v>
      </c>
      <c r="BM13" s="490">
        <f xml:space="preserve"> Time!BM$14</f>
        <v>0</v>
      </c>
      <c r="BN13" s="490">
        <f xml:space="preserve"> Time!BN$14</f>
        <v>0</v>
      </c>
      <c r="BO13" s="490">
        <f xml:space="preserve"> Time!BO$14</f>
        <v>0</v>
      </c>
      <c r="BP13" s="490">
        <f xml:space="preserve"> Time!BP$14</f>
        <v>0</v>
      </c>
      <c r="BQ13" s="490">
        <f xml:space="preserve"> Time!BQ$14</f>
        <v>0</v>
      </c>
      <c r="BR13" s="490">
        <f xml:space="preserve"> Time!BR$14</f>
        <v>0</v>
      </c>
      <c r="BS13" s="490">
        <f xml:space="preserve"> Time!BS$14</f>
        <v>0</v>
      </c>
      <c r="BT13" s="490">
        <f xml:space="preserve"> Time!BT$14</f>
        <v>0</v>
      </c>
      <c r="BU13" s="490">
        <f xml:space="preserve"> Time!BU$14</f>
        <v>0</v>
      </c>
      <c r="BV13" s="490">
        <f xml:space="preserve"> Time!BV$14</f>
        <v>0</v>
      </c>
      <c r="BW13" s="490">
        <f xml:space="preserve"> Time!BW$14</f>
        <v>0</v>
      </c>
      <c r="BX13" s="490">
        <f xml:space="preserve"> Time!BX$14</f>
        <v>0</v>
      </c>
      <c r="BY13" s="490">
        <f xml:space="preserve"> Time!BY$14</f>
        <v>0</v>
      </c>
      <c r="BZ13" s="490">
        <f xml:space="preserve"> Time!BZ$14</f>
        <v>0</v>
      </c>
      <c r="CA13" s="490">
        <f xml:space="preserve"> Time!CA$14</f>
        <v>0</v>
      </c>
      <c r="CB13" s="490">
        <f xml:space="preserve"> Time!CB$14</f>
        <v>0</v>
      </c>
      <c r="CC13" s="490">
        <f xml:space="preserve"> Time!CC$14</f>
        <v>0</v>
      </c>
      <c r="CD13" s="490">
        <f xml:space="preserve"> Time!CD$14</f>
        <v>0</v>
      </c>
      <c r="CE13" s="490">
        <f xml:space="preserve"> Time!CE$14</f>
        <v>0</v>
      </c>
      <c r="CF13" s="490">
        <f xml:space="preserve"> Time!CF$14</f>
        <v>0</v>
      </c>
      <c r="CG13" s="490">
        <f xml:space="preserve"> Time!CG$14</f>
        <v>0</v>
      </c>
      <c r="CH13" s="490">
        <f xml:space="preserve"> Time!CH$14</f>
        <v>0</v>
      </c>
      <c r="CI13" s="490">
        <f xml:space="preserve"> Time!CI$14</f>
        <v>0</v>
      </c>
      <c r="CJ13" s="490">
        <f xml:space="preserve"> Time!CJ$14</f>
        <v>0</v>
      </c>
      <c r="CK13" s="490">
        <f xml:space="preserve"> Time!CK$14</f>
        <v>0</v>
      </c>
      <c r="CL13" s="490">
        <f xml:space="preserve"> Time!CL$14</f>
        <v>0</v>
      </c>
      <c r="CM13" s="490">
        <f xml:space="preserve"> Time!CM$14</f>
        <v>0</v>
      </c>
      <c r="CN13" s="490">
        <f xml:space="preserve"> Time!CN$14</f>
        <v>0</v>
      </c>
      <c r="CO13" s="490">
        <f xml:space="preserve"> Time!CO$14</f>
        <v>0</v>
      </c>
      <c r="CP13" s="490">
        <f xml:space="preserve"> Time!CP$14</f>
        <v>0</v>
      </c>
      <c r="CQ13" s="490">
        <f xml:space="preserve"> Time!CQ$14</f>
        <v>0</v>
      </c>
      <c r="CR13" s="490">
        <f xml:space="preserve"> Time!CR$14</f>
        <v>0</v>
      </c>
      <c r="CS13" s="490">
        <f xml:space="preserve"> Time!CS$14</f>
        <v>0</v>
      </c>
      <c r="CT13" s="490">
        <f xml:space="preserve"> Time!CT$14</f>
        <v>0</v>
      </c>
      <c r="CU13" s="490">
        <f xml:space="preserve"> Time!CU$14</f>
        <v>0</v>
      </c>
      <c r="CV13" s="490">
        <f xml:space="preserve"> Time!CV$14</f>
        <v>0</v>
      </c>
      <c r="CW13" s="490">
        <f xml:space="preserve"> Time!CW$14</f>
        <v>0</v>
      </c>
      <c r="CX13" s="490">
        <f xml:space="preserve"> Time!CX$14</f>
        <v>0</v>
      </c>
      <c r="CY13" s="490">
        <f xml:space="preserve"> Time!CY$14</f>
        <v>0</v>
      </c>
      <c r="CZ13" s="490">
        <f xml:space="preserve"> Time!CZ$14</f>
        <v>0</v>
      </c>
      <c r="DA13" s="490">
        <f xml:space="preserve"> Time!DA$14</f>
        <v>0</v>
      </c>
      <c r="DB13" s="490">
        <f xml:space="preserve"> Time!DB$14</f>
        <v>0</v>
      </c>
      <c r="DC13" s="490">
        <f xml:space="preserve"> Time!DC$14</f>
        <v>0</v>
      </c>
      <c r="DD13" s="490">
        <f xml:space="preserve"> Time!DD$14</f>
        <v>0</v>
      </c>
      <c r="DE13" s="490">
        <f xml:space="preserve"> Time!DE$14</f>
        <v>0</v>
      </c>
      <c r="DF13" s="490">
        <f xml:space="preserve"> Time!DF$14</f>
        <v>0</v>
      </c>
      <c r="DG13" s="490">
        <f xml:space="preserve"> Time!DG$14</f>
        <v>0</v>
      </c>
      <c r="DH13" s="490">
        <f xml:space="preserve"> Time!DH$14</f>
        <v>0</v>
      </c>
      <c r="DI13" s="490">
        <f xml:space="preserve"> Time!DI$14</f>
        <v>0</v>
      </c>
      <c r="DJ13" s="490">
        <f xml:space="preserve"> Time!DJ$14</f>
        <v>0</v>
      </c>
      <c r="DK13" s="490">
        <f xml:space="preserve"> Time!DK$14</f>
        <v>0</v>
      </c>
      <c r="DL13" s="490">
        <f xml:space="preserve"> Time!DL$14</f>
        <v>0</v>
      </c>
      <c r="DM13" s="490">
        <f xml:space="preserve"> Time!DM$14</f>
        <v>0</v>
      </c>
      <c r="DN13" s="490">
        <f xml:space="preserve"> Time!DN$14</f>
        <v>0</v>
      </c>
      <c r="DO13" s="490">
        <f xml:space="preserve"> Time!DO$14</f>
        <v>0</v>
      </c>
      <c r="DP13" s="490">
        <f xml:space="preserve"> Time!DP$14</f>
        <v>0</v>
      </c>
      <c r="DQ13" s="490">
        <f xml:space="preserve"> Time!DQ$14</f>
        <v>0</v>
      </c>
      <c r="DR13" s="490">
        <f xml:space="preserve"> Time!DR$14</f>
        <v>0</v>
      </c>
      <c r="DS13" s="490">
        <f xml:space="preserve"> Time!DS$14</f>
        <v>0</v>
      </c>
      <c r="DT13" s="490">
        <f xml:space="preserve"> Time!DT$14</f>
        <v>0</v>
      </c>
      <c r="DU13" s="490">
        <f xml:space="preserve"> Time!DU$14</f>
        <v>0</v>
      </c>
      <c r="DV13" s="490">
        <f xml:space="preserve"> Time!DV$14</f>
        <v>0</v>
      </c>
      <c r="DW13" s="490">
        <f xml:space="preserve"> Time!DW$14</f>
        <v>0</v>
      </c>
      <c r="DX13" s="490">
        <f xml:space="preserve"> Time!DX$14</f>
        <v>0</v>
      </c>
      <c r="DY13" s="490">
        <f xml:space="preserve"> Time!DY$14</f>
        <v>0</v>
      </c>
      <c r="DZ13" s="490">
        <f xml:space="preserve"> Time!DZ$14</f>
        <v>0</v>
      </c>
      <c r="EA13" s="490">
        <f xml:space="preserve"> Time!EA$14</f>
        <v>0</v>
      </c>
    </row>
    <row r="14" spans="1:131" x14ac:dyDescent="0.35">
      <c r="E14" s="146" t="str">
        <f xml:space="preserve"> Equity!E$56</f>
        <v>Dividends paid POS</v>
      </c>
      <c r="F14" s="146">
        <f xml:space="preserve"> Equity!F$56</f>
        <v>0</v>
      </c>
      <c r="G14" s="146" t="str">
        <f xml:space="preserve"> Equity!G$56</f>
        <v>$ 000s</v>
      </c>
      <c r="H14" s="146">
        <f xml:space="preserve"> Equity!H$56</f>
        <v>222667.04122730848</v>
      </c>
      <c r="I14" s="146">
        <f xml:space="preserve"> Equity!I$56</f>
        <v>0</v>
      </c>
      <c r="J14" s="146">
        <f xml:space="preserve"> Equity!J$56</f>
        <v>0</v>
      </c>
      <c r="K14" s="146">
        <f xml:space="preserve"> Equity!K$56</f>
        <v>0</v>
      </c>
      <c r="L14" s="146">
        <f xml:space="preserve"> Equity!L$56</f>
        <v>0</v>
      </c>
      <c r="M14" s="146">
        <f xml:space="preserve"> Equity!M$56</f>
        <v>1519.3516483516487</v>
      </c>
      <c r="N14" s="146">
        <f xml:space="preserve"> Equity!N$56</f>
        <v>5023.8865989309606</v>
      </c>
      <c r="O14" s="146">
        <f xml:space="preserve"> Equity!O$56</f>
        <v>2639.7867058423899</v>
      </c>
      <c r="P14" s="146">
        <f xml:space="preserve"> Equity!P$56</f>
        <v>1060.6310622656251</v>
      </c>
      <c r="Q14" s="146">
        <f xml:space="preserve"> Equity!Q$56</f>
        <v>3791.2770487336711</v>
      </c>
      <c r="R14" s="146">
        <f xml:space="preserve"> Equity!R$56</f>
        <v>4259.8770906937561</v>
      </c>
      <c r="S14" s="146">
        <f xml:space="preserve"> Equity!S$56</f>
        <v>1042.7088144556815</v>
      </c>
      <c r="T14" s="146">
        <f xml:space="preserve"> Equity!T$56</f>
        <v>1040.7671968364189</v>
      </c>
      <c r="U14" s="146">
        <f xml:space="preserve"> Equity!U$56</f>
        <v>3757.7798200412162</v>
      </c>
      <c r="V14" s="146">
        <f xml:space="preserve"> Equity!V$56</f>
        <v>4224.000218361738</v>
      </c>
      <c r="W14" s="146">
        <f xml:space="preserve"> Equity!W$56</f>
        <v>1022.7892127952941</v>
      </c>
      <c r="X14" s="146">
        <f xml:space="preserve"> Equity!X$56</f>
        <v>1020.8084706089812</v>
      </c>
      <c r="Y14" s="146">
        <f xml:space="preserve"> Equity!Y$56</f>
        <v>3724.2545897984583</v>
      </c>
      <c r="Z14" s="146">
        <f xml:space="preserve"> Equity!Z$56</f>
        <v>4188.1062102303531</v>
      </c>
      <c r="AA14" s="146">
        <f xml:space="preserve"> Equity!AA$56</f>
        <v>1002.7721077907047</v>
      </c>
      <c r="AB14" s="146">
        <f xml:space="preserve"> Equity!AB$56</f>
        <v>1000.7514526577284</v>
      </c>
      <c r="AC14" s="146">
        <f xml:space="preserve"> Equity!AC$56</f>
        <v>3690.6975749323938</v>
      </c>
      <c r="AD14" s="146">
        <f xml:space="preserve"> Equity!AD$56</f>
        <v>4152.191209556212</v>
      </c>
      <c r="AE14" s="146">
        <f xml:space="preserve"> Equity!AE$56</f>
        <v>982.65402282707737</v>
      </c>
      <c r="AF14" s="146">
        <f xml:space="preserve"> Equity!AF$56</f>
        <v>980.59265048158113</v>
      </c>
      <c r="AG14" s="146">
        <f xml:space="preserve"> Equity!AG$56</f>
        <v>3657.1049321532691</v>
      </c>
      <c r="AH14" s="146">
        <f xml:space="preserve"> Equity!AH$56</f>
        <v>4116.2512993505097</v>
      </c>
      <c r="AI14" s="146">
        <f xml:space="preserve"> Equity!AI$56</f>
        <v>962.43141875580363</v>
      </c>
      <c r="AJ14" s="146">
        <f xml:space="preserve"> Equity!AJ$56</f>
        <v>960.32850872557128</v>
      </c>
      <c r="AK14" s="146">
        <f xml:space="preserve"> Equity!AK$56</f>
        <v>3623.4727566615193</v>
      </c>
      <c r="AL14" s="146">
        <f xml:space="preserve"> Equity!AL$56</f>
        <v>4080.2825010781335</v>
      </c>
      <c r="AM14" s="146">
        <f xml:space="preserve"> Equity!AM$56</f>
        <v>942.10069259699731</v>
      </c>
      <c r="AN14" s="146">
        <f xml:space="preserve"> Equity!AN$56</f>
        <v>939.95540787688628</v>
      </c>
      <c r="AO14" s="146">
        <f xml:space="preserve"> Equity!AO$56</f>
        <v>3589.7970808290256</v>
      </c>
      <c r="AP14" s="146">
        <f xml:space="preserve"> Equity!AP$56</f>
        <v>4044.2807733309892</v>
      </c>
      <c r="AQ14" s="146">
        <f xml:space="preserve"> Equity!AQ$56</f>
        <v>921.65817621602537</v>
      </c>
      <c r="AR14" s="146">
        <f xml:space="preserve"> Equity!AR$56</f>
        <v>919.46966293482092</v>
      </c>
      <c r="AS14" s="146">
        <f xml:space="preserve"> Equity!AS$56</f>
        <v>3556.0738728542283</v>
      </c>
      <c r="AT14" s="146">
        <f xml:space="preserve"> Equity!AT$56</f>
        <v>4008.2420104750345</v>
      </c>
      <c r="AU14" s="146">
        <f xml:space="preserve"> Equity!AU$56</f>
        <v>901.10013497355976</v>
      </c>
      <c r="AV14" s="146">
        <f xml:space="preserve"> Equity!AV$56</f>
        <v>898.86752205411403</v>
      </c>
      <c r="AW14" s="146">
        <f xml:space="preserve"> Equity!AW$56</f>
        <v>3522.2990353904879</v>
      </c>
      <c r="AX14" s="146">
        <f xml:space="preserve"> Equity!AX$56</f>
        <v>3972.1620412704606</v>
      </c>
      <c r="AY14" s="146">
        <f xml:space="preserve"> Equity!AY$56</f>
        <v>880.42276634860264</v>
      </c>
      <c r="AZ14" s="146">
        <f xml:space="preserve"> Equity!AZ$56</f>
        <v>878.14516516112872</v>
      </c>
      <c r="BA14" s="146">
        <f xml:space="preserve"> Equity!BA$56</f>
        <v>3488.4684041472365</v>
      </c>
      <c r="BB14" s="146">
        <f xml:space="preserve"> Equity!BB$56</f>
        <v>3936.0366274645103</v>
      </c>
      <c r="BC14" s="146">
        <f xml:space="preserve"> Equity!BC$56</f>
        <v>859.62219853396186</v>
      </c>
      <c r="BD14" s="146">
        <f xml:space="preserve"> Equity!BD$56</f>
        <v>857.29870254233629</v>
      </c>
      <c r="BE14" s="146">
        <f xml:space="preserve"> Equity!BE$56</f>
        <v>3454.5777464633084</v>
      </c>
      <c r="BF14" s="146">
        <f xml:space="preserve"> Equity!BF$56</f>
        <v>3899.8614623563581</v>
      </c>
      <c r="BG14" s="146">
        <f xml:space="preserve"> Equity!BG$56</f>
        <v>838.69448900359203</v>
      </c>
      <c r="BH14" s="146">
        <f xml:space="preserve"> Equity!BH$56</f>
        <v>836.32417340453526</v>
      </c>
      <c r="BI14" s="146">
        <f xml:space="preserve"> Equity!BI$56</f>
        <v>3420.6227598519172</v>
      </c>
      <c r="BJ14" s="146">
        <f xml:space="preserve"> Equity!BJ$56</f>
        <v>3863.6321693334994</v>
      </c>
      <c r="BK14" s="146">
        <f xml:space="preserve"> Equity!BK$56</f>
        <v>817.63562305126288</v>
      </c>
      <c r="BL14" s="146">
        <f xml:space="preserve"> Equity!BL$56</f>
        <v>815.21754440624545</v>
      </c>
      <c r="BM14" s="146">
        <f xml:space="preserve"> Equity!BM$56</f>
        <v>3386.5990705166932</v>
      </c>
      <c r="BN14" s="146">
        <f xml:space="preserve"> Equity!BN$56</f>
        <v>3827.3443003790517</v>
      </c>
      <c r="BO14" s="146">
        <f xml:space="preserve"> Equity!BO$56</f>
        <v>796.44151229994668</v>
      </c>
      <c r="BP14" s="146">
        <f xml:space="preserve"> Equity!BP$56</f>
        <v>793.97470815968154</v>
      </c>
      <c r="BQ14" s="146">
        <f xml:space="preserve"> Equity!BQ$56</f>
        <v>3352.5022318382098</v>
      </c>
      <c r="BR14" s="146">
        <f xml:space="preserve"> Equity!BR$56</f>
        <v>3790.9933345494137</v>
      </c>
      <c r="BS14" s="146">
        <f xml:space="preserve"> Equity!BS$56</f>
        <v>775.10799318136537</v>
      </c>
      <c r="BT14" s="146">
        <f xml:space="preserve"> Equity!BT$56</f>
        <v>772.59148170272965</v>
      </c>
      <c r="BU14" s="146">
        <f xml:space="preserve"> Equity!BU$56</f>
        <v>3318.3277228303778</v>
      </c>
      <c r="BV14" s="146">
        <f xml:space="preserve"> Equity!BV$56</f>
        <v>3754.5746764216574</v>
      </c>
      <c r="BW14" s="146">
        <f xml:space="preserve"> Equity!BW$56</f>
        <v>753.63082538506251</v>
      </c>
      <c r="BX14" s="146">
        <f xml:space="preserve"> Equity!BX$56</f>
        <v>751.06360494030423</v>
      </c>
      <c r="BY14" s="146">
        <f xml:space="preserve"> Equity!BY$56</f>
        <v>3284.0709465661339</v>
      </c>
      <c r="BZ14" s="146">
        <f xml:space="preserve"> Equity!BZ$56</f>
        <v>3718.0836545100374</v>
      </c>
      <c r="CA14" s="146">
        <f xml:space="preserve"> Equity!CA$56</f>
        <v>732.00569027641495</v>
      </c>
      <c r="CB14" s="146">
        <f xml:space="preserve"> Equity!CB$56</f>
        <v>729.38673905447968</v>
      </c>
      <c r="CC14" s="146">
        <f xml:space="preserve"> Equity!CC$56</f>
        <v>3249.7272285717709</v>
      </c>
      <c r="CD14" s="146">
        <f xml:space="preserve"> Equity!CD$56</f>
        <v>3681.5155196510214</v>
      </c>
      <c r="CE14" s="146">
        <f xml:space="preserve"> Equity!CE$56</f>
        <v>710.22818928293464</v>
      </c>
      <c r="CF14" s="146">
        <f xml:space="preserve"> Equity!CF$56</f>
        <v>707.55646488276489</v>
      </c>
      <c r="CG14" s="146">
        <f xml:space="preserve"> Equity!CG$56</f>
        <v>3215.2918151892882</v>
      </c>
      <c r="CH14" s="146">
        <f xml:space="preserve"> Equity!CH$56</f>
        <v>3644.8654433561715</v>
      </c>
      <c r="CI14" s="146">
        <f xml:space="preserve"> Equity!CI$56</f>
        <v>688.29384224823389</v>
      </c>
      <c r="CJ14" s="146">
        <f xml:space="preserve"> Equity!CJ$56</f>
        <v>685.56828126386836</v>
      </c>
      <c r="CK14" s="146">
        <f xml:space="preserve"> Equity!CK$56</f>
        <v>3180.759871906117</v>
      </c>
      <c r="CL14" s="146">
        <f xml:space="preserve"> Equity!CL$56</f>
        <v>3608.1285161322512</v>
      </c>
      <c r="CM14" s="146">
        <f xml:space="preserve"> Equity!CM$56</f>
        <v>666.19808575299317</v>
      </c>
      <c r="CN14" s="146">
        <f xml:space="preserve"> Equity!CN$56</f>
        <v>663.41760335030904</v>
      </c>
      <c r="CO14" s="146">
        <f xml:space="preserve"> Equity!CO$56</f>
        <v>3146.1264816515677</v>
      </c>
      <c r="CP14" s="146">
        <f xml:space="preserve"> Equity!CP$56</f>
        <v>3571.2997457678875</v>
      </c>
      <c r="CQ14" s="146">
        <f xml:space="preserve"> Equity!CQ$56</f>
        <v>643.93627140228091</v>
      </c>
      <c r="CR14" s="146">
        <f xml:space="preserve"> Equity!CR$56</f>
        <v>641.0997608872035</v>
      </c>
      <c r="CS14" s="146">
        <f xml:space="preserve"> Equity!CS$56</f>
        <v>3111.3866430593098</v>
      </c>
      <c r="CT14" s="146">
        <f xml:space="preserve"> Equity!CT$56</f>
        <v>3534.3740555861114</v>
      </c>
      <c r="CU14" s="146">
        <f xml:space="preserve"> Equity!CU$56</f>
        <v>621.50366407852198</v>
      </c>
      <c r="CV14" s="146">
        <f xml:space="preserve"> Equity!CV$56</f>
        <v>618.60999645653737</v>
      </c>
      <c r="CW14" s="146">
        <f xml:space="preserve"> Equity!CW$56</f>
        <v>3076.5352686952083</v>
      </c>
      <c r="CX14" s="146">
        <f xml:space="preserve"> Equity!CX$56</f>
        <v>3497.3462826620735</v>
      </c>
      <c r="CY14" s="146">
        <f xml:space="preserve"> Equity!CY$56</f>
        <v>598.89544015944239</v>
      </c>
      <c r="CZ14" s="146">
        <f xml:space="preserve"> Equity!CZ$56</f>
        <v>595.94346368623292</v>
      </c>
      <c r="DA14" s="146">
        <f xml:space="preserve"> Equity!DA$56</f>
        <v>3041.5671832498269</v>
      </c>
      <c r="DB14" s="146">
        <f xml:space="preserve"> Equity!DB$56</f>
        <v>3460.2111760052694</v>
      </c>
      <c r="DC14" s="146">
        <f xml:space="preserve"> Equity!DC$56</f>
        <v>576.10668570027906</v>
      </c>
      <c r="DD14" s="146">
        <f xml:space="preserve"> Equity!DD$56</f>
        <v>573.09522542330069</v>
      </c>
      <c r="DE14" s="146">
        <f xml:space="preserve"> Equity!DE$56</f>
        <v>3006.477121694857</v>
      </c>
      <c r="DF14" s="146">
        <f xml:space="preserve"> Equity!DF$56</f>
        <v>3422.9633947055136</v>
      </c>
      <c r="DG14" s="146">
        <f xml:space="preserve"> Equity!DG$56</f>
        <v>553.13239457952204</v>
      </c>
      <c r="DH14" s="146">
        <f xml:space="preserve"> Equity!DH$56</f>
        <v>550.06025187035084</v>
      </c>
      <c r="DI14" s="146">
        <f xml:space="preserve"> Equity!DI$56</f>
        <v>0</v>
      </c>
      <c r="DJ14" s="146">
        <f xml:space="preserve"> Equity!DJ$56</f>
        <v>0</v>
      </c>
      <c r="DK14" s="146">
        <f xml:space="preserve"> Equity!DK$56</f>
        <v>0</v>
      </c>
      <c r="DL14" s="146">
        <f xml:space="preserve"> Equity!DL$56</f>
        <v>0</v>
      </c>
      <c r="DM14" s="146">
        <f xml:space="preserve"> Equity!DM$56</f>
        <v>0</v>
      </c>
      <c r="DN14" s="146">
        <f xml:space="preserve"> Equity!DN$56</f>
        <v>0</v>
      </c>
      <c r="DO14" s="146">
        <f xml:space="preserve"> Equity!DO$56</f>
        <v>0</v>
      </c>
      <c r="DP14" s="146">
        <f xml:space="preserve"> Equity!DP$56</f>
        <v>0</v>
      </c>
      <c r="DQ14" s="146">
        <f xml:space="preserve"> Equity!DQ$56</f>
        <v>0</v>
      </c>
      <c r="DR14" s="146">
        <f xml:space="preserve"> Equity!DR$56</f>
        <v>0</v>
      </c>
      <c r="DS14" s="146">
        <f xml:space="preserve"> Equity!DS$56</f>
        <v>0</v>
      </c>
      <c r="DT14" s="146">
        <f xml:space="preserve"> Equity!DT$56</f>
        <v>0</v>
      </c>
      <c r="DU14" s="146">
        <f xml:space="preserve"> Equity!DU$56</f>
        <v>0</v>
      </c>
      <c r="DV14" s="146">
        <f xml:space="preserve"> Equity!DV$56</f>
        <v>0</v>
      </c>
      <c r="DW14" s="146">
        <f xml:space="preserve"> Equity!DW$56</f>
        <v>0</v>
      </c>
      <c r="DX14" s="146">
        <f xml:space="preserve"> Equity!DX$56</f>
        <v>0</v>
      </c>
      <c r="DY14" s="146">
        <f xml:space="preserve"> Equity!DY$56</f>
        <v>0</v>
      </c>
      <c r="DZ14" s="146">
        <f xml:space="preserve"> Equity!DZ$56</f>
        <v>0</v>
      </c>
      <c r="EA14" s="146">
        <f xml:space="preserve"> Equity!EA$56</f>
        <v>0</v>
      </c>
    </row>
    <row r="15" spans="1:131" s="112" customFormat="1" x14ac:dyDescent="0.35">
      <c r="A15" s="8"/>
      <c r="B15" s="8"/>
      <c r="C15" s="13"/>
      <c r="D15" s="34"/>
      <c r="E15" s="487" t="s">
        <v>138</v>
      </c>
      <c r="F15" s="487"/>
      <c r="G15" s="487"/>
      <c r="H15" s="487"/>
      <c r="I15" s="487"/>
      <c r="J15" s="488"/>
      <c r="K15" s="488"/>
      <c r="L15" s="488"/>
      <c r="M15" s="488"/>
      <c r="N15" s="488"/>
      <c r="O15" s="488"/>
      <c r="P15" s="488"/>
      <c r="Q15" s="488"/>
      <c r="R15" s="488"/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  <c r="CU15" s="488"/>
      <c r="CV15" s="488"/>
      <c r="CW15" s="488"/>
      <c r="CX15" s="488"/>
      <c r="CY15" s="488"/>
      <c r="CZ15" s="488"/>
      <c r="DA15" s="488"/>
      <c r="DB15" s="488"/>
      <c r="DC15" s="488"/>
      <c r="DD15" s="488"/>
      <c r="DE15" s="488"/>
      <c r="DF15" s="488"/>
      <c r="DG15" s="488"/>
      <c r="DH15" s="488"/>
      <c r="DI15" s="488"/>
      <c r="DJ15" s="488"/>
      <c r="DK15" s="488"/>
      <c r="DL15" s="488"/>
      <c r="DM15" s="488"/>
      <c r="DN15" s="488"/>
      <c r="DO15" s="488"/>
      <c r="DP15" s="488"/>
      <c r="DQ15" s="488"/>
      <c r="DR15" s="488"/>
      <c r="DS15" s="488"/>
      <c r="DT15" s="488"/>
      <c r="DU15" s="488"/>
      <c r="DV15" s="488"/>
      <c r="DW15" s="488"/>
      <c r="DX15" s="488"/>
      <c r="DY15" s="488"/>
      <c r="DZ15" s="488"/>
      <c r="EA15" s="488"/>
    </row>
    <row r="16" spans="1:131" x14ac:dyDescent="0.35">
      <c r="E16" s="7" t="s">
        <v>240</v>
      </c>
      <c r="G16" s="7" t="str">
        <f xml:space="preserve"> SMU</f>
        <v>$ 000s</v>
      </c>
      <c r="H16" s="7">
        <f xml:space="preserve"> SUM(J16:EA16)</f>
        <v>122667.04122720836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2639.7867058423899</v>
      </c>
      <c r="P16" s="6">
        <f t="shared" si="0"/>
        <v>1060.6310622656251</v>
      </c>
      <c r="Q16" s="6">
        <f t="shared" si="0"/>
        <v>3791.2770487336711</v>
      </c>
      <c r="R16" s="6">
        <f t="shared" si="0"/>
        <v>4259.8770906937561</v>
      </c>
      <c r="S16" s="6">
        <f t="shared" si="0"/>
        <v>1042.7088144556815</v>
      </c>
      <c r="T16" s="6">
        <f t="shared" si="0"/>
        <v>1040.7671968364189</v>
      </c>
      <c r="U16" s="6">
        <f t="shared" si="0"/>
        <v>3757.7798200412162</v>
      </c>
      <c r="V16" s="6">
        <f t="shared" si="0"/>
        <v>4224.000218361738</v>
      </c>
      <c r="W16" s="6">
        <f t="shared" si="0"/>
        <v>1022.7892127952941</v>
      </c>
      <c r="X16" s="6">
        <f t="shared" si="0"/>
        <v>1020.8084706089812</v>
      </c>
      <c r="Y16" s="6">
        <f t="shared" si="0"/>
        <v>3724.2545897984583</v>
      </c>
      <c r="Z16" s="6">
        <f t="shared" si="0"/>
        <v>4188.1062102303531</v>
      </c>
      <c r="AA16" s="6">
        <f t="shared" si="0"/>
        <v>1002.7721077907047</v>
      </c>
      <c r="AB16" s="6">
        <f t="shared" si="0"/>
        <v>1000.7514526577284</v>
      </c>
      <c r="AC16" s="6">
        <f t="shared" si="0"/>
        <v>3690.6975749323938</v>
      </c>
      <c r="AD16" s="6">
        <f t="shared" si="0"/>
        <v>4152.191209556212</v>
      </c>
      <c r="AE16" s="6">
        <f t="shared" si="0"/>
        <v>982.65402282707737</v>
      </c>
      <c r="AF16" s="6">
        <f t="shared" si="0"/>
        <v>980.59265048158113</v>
      </c>
      <c r="AG16" s="6">
        <f t="shared" si="0"/>
        <v>3657.1049321532691</v>
      </c>
      <c r="AH16" s="6">
        <f t="shared" si="0"/>
        <v>4116.2512993505097</v>
      </c>
      <c r="AI16" s="6">
        <f t="shared" si="0"/>
        <v>962.43141875580363</v>
      </c>
      <c r="AJ16" s="6">
        <f t="shared" si="0"/>
        <v>960.32850872557128</v>
      </c>
      <c r="AK16" s="6">
        <f t="shared" si="0"/>
        <v>3623.4727566615193</v>
      </c>
      <c r="AL16" s="6">
        <f t="shared" si="0"/>
        <v>4080.2825010781335</v>
      </c>
      <c r="AM16" s="6">
        <f t="shared" si="0"/>
        <v>942.10069259699731</v>
      </c>
      <c r="AN16" s="6">
        <f t="shared" si="0"/>
        <v>939.95540787688628</v>
      </c>
      <c r="AO16" s="6">
        <f t="shared" si="0"/>
        <v>3589.7970808290256</v>
      </c>
      <c r="AP16" s="6">
        <f t="shared" ref="AP16:BU16" si="1" xml:space="preserve"> $F11 * AP13 + -1 * $F10 * AP12 + AP14 + AP15</f>
        <v>4044.2807733309892</v>
      </c>
      <c r="AQ16" s="6">
        <f t="shared" si="1"/>
        <v>921.65817621602537</v>
      </c>
      <c r="AR16" s="6">
        <f t="shared" si="1"/>
        <v>919.46966293482092</v>
      </c>
      <c r="AS16" s="6">
        <f t="shared" si="1"/>
        <v>3556.0738728542283</v>
      </c>
      <c r="AT16" s="6">
        <f t="shared" si="1"/>
        <v>4008.2420104750345</v>
      </c>
      <c r="AU16" s="6">
        <f t="shared" si="1"/>
        <v>901.10013497355976</v>
      </c>
      <c r="AV16" s="6">
        <f t="shared" si="1"/>
        <v>898.86752205411403</v>
      </c>
      <c r="AW16" s="6">
        <f t="shared" si="1"/>
        <v>3522.2990353904879</v>
      </c>
      <c r="AX16" s="6">
        <f t="shared" si="1"/>
        <v>3972.1620412704606</v>
      </c>
      <c r="AY16" s="6">
        <f t="shared" si="1"/>
        <v>880.42276634860264</v>
      </c>
      <c r="AZ16" s="6">
        <f t="shared" si="1"/>
        <v>878.14516516112872</v>
      </c>
      <c r="BA16" s="6">
        <f t="shared" si="1"/>
        <v>3488.4684041472365</v>
      </c>
      <c r="BB16" s="6">
        <f t="shared" si="1"/>
        <v>3936.0366274645103</v>
      </c>
      <c r="BC16" s="6">
        <f t="shared" si="1"/>
        <v>859.62219853396186</v>
      </c>
      <c r="BD16" s="6">
        <f t="shared" si="1"/>
        <v>857.29870254233629</v>
      </c>
      <c r="BE16" s="6">
        <f t="shared" si="1"/>
        <v>3454.5777464633084</v>
      </c>
      <c r="BF16" s="6">
        <f t="shared" si="1"/>
        <v>3899.8614623563581</v>
      </c>
      <c r="BG16" s="6">
        <f t="shared" si="1"/>
        <v>838.69448900359203</v>
      </c>
      <c r="BH16" s="6">
        <f t="shared" si="1"/>
        <v>836.32417340453526</v>
      </c>
      <c r="BI16" s="6">
        <f t="shared" si="1"/>
        <v>3420.6227598519172</v>
      </c>
      <c r="BJ16" s="6">
        <f t="shared" si="1"/>
        <v>3863.6321693334994</v>
      </c>
      <c r="BK16" s="6">
        <f t="shared" si="1"/>
        <v>817.63562305126288</v>
      </c>
      <c r="BL16" s="6">
        <f t="shared" si="1"/>
        <v>815.21754440624545</v>
      </c>
      <c r="BM16" s="6">
        <f t="shared" si="1"/>
        <v>3386.5990705166932</v>
      </c>
      <c r="BN16" s="6">
        <f t="shared" si="1"/>
        <v>3827.3443003790517</v>
      </c>
      <c r="BO16" s="6">
        <f t="shared" si="1"/>
        <v>796.44151229994668</v>
      </c>
      <c r="BP16" s="6">
        <f t="shared" si="1"/>
        <v>793.97470815968154</v>
      </c>
      <c r="BQ16" s="6">
        <f t="shared" si="1"/>
        <v>3352.5022318382098</v>
      </c>
      <c r="BR16" s="6">
        <f t="shared" si="1"/>
        <v>3790.9933345494137</v>
      </c>
      <c r="BS16" s="6">
        <f t="shared" si="1"/>
        <v>775.10799318136537</v>
      </c>
      <c r="BT16" s="6">
        <f t="shared" si="1"/>
        <v>772.59148170272965</v>
      </c>
      <c r="BU16" s="6">
        <f t="shared" si="1"/>
        <v>3318.3277228303778</v>
      </c>
      <c r="BV16" s="6">
        <f t="shared" ref="BV16:DA16" si="2" xml:space="preserve"> $F11 * BV13 + -1 * $F10 * BV12 + BV14 + BV15</f>
        <v>3754.5746764216574</v>
      </c>
      <c r="BW16" s="6">
        <f t="shared" si="2"/>
        <v>753.63082538506251</v>
      </c>
      <c r="BX16" s="6">
        <f t="shared" si="2"/>
        <v>751.06360494030423</v>
      </c>
      <c r="BY16" s="6">
        <f t="shared" si="2"/>
        <v>3284.0709465661339</v>
      </c>
      <c r="BZ16" s="6">
        <f t="shared" si="2"/>
        <v>3718.0836545100374</v>
      </c>
      <c r="CA16" s="6">
        <f t="shared" si="2"/>
        <v>732.00569027641495</v>
      </c>
      <c r="CB16" s="6">
        <f t="shared" si="2"/>
        <v>729.38673905447968</v>
      </c>
      <c r="CC16" s="6">
        <f t="shared" si="2"/>
        <v>3249.7272285717709</v>
      </c>
      <c r="CD16" s="6">
        <f t="shared" si="2"/>
        <v>3681.5155196510214</v>
      </c>
      <c r="CE16" s="6">
        <f t="shared" si="2"/>
        <v>710.22818928293464</v>
      </c>
      <c r="CF16" s="6">
        <f t="shared" si="2"/>
        <v>707.55646488276489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550.06025187035084</v>
      </c>
      <c r="DI16" s="6">
        <f t="shared" si="3"/>
        <v>0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122667.04122720836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2639.7867058423899</v>
      </c>
      <c r="P18" s="7">
        <f t="shared" si="4"/>
        <v>1060.6310622656251</v>
      </c>
      <c r="Q18" s="7">
        <f t="shared" si="4"/>
        <v>3791.2770487336711</v>
      </c>
      <c r="R18" s="7">
        <f t="shared" si="4"/>
        <v>4259.8770906937561</v>
      </c>
      <c r="S18" s="7">
        <f t="shared" si="4"/>
        <v>1042.7088144556815</v>
      </c>
      <c r="T18" s="7">
        <f t="shared" si="4"/>
        <v>1040.7671968364189</v>
      </c>
      <c r="U18" s="7">
        <f t="shared" si="4"/>
        <v>3757.7798200412162</v>
      </c>
      <c r="V18" s="7">
        <f t="shared" si="4"/>
        <v>4224.000218361738</v>
      </c>
      <c r="W18" s="7">
        <f t="shared" si="4"/>
        <v>1022.7892127952941</v>
      </c>
      <c r="X18" s="7">
        <f t="shared" si="4"/>
        <v>1020.8084706089812</v>
      </c>
      <c r="Y18" s="7">
        <f t="shared" si="4"/>
        <v>3724.2545897984583</v>
      </c>
      <c r="Z18" s="7">
        <f t="shared" si="4"/>
        <v>4188.1062102303531</v>
      </c>
      <c r="AA18" s="7">
        <f t="shared" si="4"/>
        <v>1002.7721077907047</v>
      </c>
      <c r="AB18" s="7">
        <f t="shared" si="4"/>
        <v>1000.7514526577284</v>
      </c>
      <c r="AC18" s="7">
        <f t="shared" si="4"/>
        <v>3690.6975749323938</v>
      </c>
      <c r="AD18" s="7">
        <f t="shared" si="4"/>
        <v>4152.191209556212</v>
      </c>
      <c r="AE18" s="7">
        <f t="shared" si="4"/>
        <v>982.65402282707737</v>
      </c>
      <c r="AF18" s="7">
        <f t="shared" si="4"/>
        <v>980.59265048158113</v>
      </c>
      <c r="AG18" s="7">
        <f t="shared" si="4"/>
        <v>3657.1049321532691</v>
      </c>
      <c r="AH18" s="7">
        <f t="shared" si="4"/>
        <v>4116.2512993505097</v>
      </c>
      <c r="AI18" s="7">
        <f t="shared" si="4"/>
        <v>962.43141875580363</v>
      </c>
      <c r="AJ18" s="7">
        <f t="shared" si="4"/>
        <v>960.32850872557128</v>
      </c>
      <c r="AK18" s="7">
        <f t="shared" ref="AK18:BP18" si="5" xml:space="preserve"> AK$16</f>
        <v>3623.4727566615193</v>
      </c>
      <c r="AL18" s="7">
        <f t="shared" si="5"/>
        <v>4080.2825010781335</v>
      </c>
      <c r="AM18" s="7">
        <f t="shared" si="5"/>
        <v>942.10069259699731</v>
      </c>
      <c r="AN18" s="7">
        <f t="shared" si="5"/>
        <v>939.95540787688628</v>
      </c>
      <c r="AO18" s="7">
        <f t="shared" si="5"/>
        <v>3589.7970808290256</v>
      </c>
      <c r="AP18" s="7">
        <f t="shared" si="5"/>
        <v>4044.2807733309892</v>
      </c>
      <c r="AQ18" s="7">
        <f t="shared" si="5"/>
        <v>921.65817621602537</v>
      </c>
      <c r="AR18" s="7">
        <f t="shared" si="5"/>
        <v>919.46966293482092</v>
      </c>
      <c r="AS18" s="7">
        <f t="shared" si="5"/>
        <v>3556.0738728542283</v>
      </c>
      <c r="AT18" s="7">
        <f t="shared" si="5"/>
        <v>4008.2420104750345</v>
      </c>
      <c r="AU18" s="7">
        <f t="shared" si="5"/>
        <v>901.10013497355976</v>
      </c>
      <c r="AV18" s="7">
        <f t="shared" si="5"/>
        <v>898.86752205411403</v>
      </c>
      <c r="AW18" s="7">
        <f t="shared" si="5"/>
        <v>3522.2990353904879</v>
      </c>
      <c r="AX18" s="7">
        <f t="shared" si="5"/>
        <v>3972.1620412704606</v>
      </c>
      <c r="AY18" s="7">
        <f t="shared" si="5"/>
        <v>880.42276634860264</v>
      </c>
      <c r="AZ18" s="7">
        <f t="shared" si="5"/>
        <v>878.14516516112872</v>
      </c>
      <c r="BA18" s="7">
        <f t="shared" si="5"/>
        <v>3488.4684041472365</v>
      </c>
      <c r="BB18" s="7">
        <f t="shared" si="5"/>
        <v>3936.0366274645103</v>
      </c>
      <c r="BC18" s="7">
        <f t="shared" si="5"/>
        <v>859.62219853396186</v>
      </c>
      <c r="BD18" s="7">
        <f t="shared" si="5"/>
        <v>857.29870254233629</v>
      </c>
      <c r="BE18" s="7">
        <f t="shared" si="5"/>
        <v>3454.5777464633084</v>
      </c>
      <c r="BF18" s="7">
        <f t="shared" si="5"/>
        <v>3899.8614623563581</v>
      </c>
      <c r="BG18" s="7">
        <f t="shared" si="5"/>
        <v>838.69448900359203</v>
      </c>
      <c r="BH18" s="7">
        <f t="shared" si="5"/>
        <v>836.32417340453526</v>
      </c>
      <c r="BI18" s="7">
        <f t="shared" si="5"/>
        <v>3420.6227598519172</v>
      </c>
      <c r="BJ18" s="7">
        <f t="shared" si="5"/>
        <v>3863.6321693334994</v>
      </c>
      <c r="BK18" s="7">
        <f t="shared" si="5"/>
        <v>817.63562305126288</v>
      </c>
      <c r="BL18" s="7">
        <f t="shared" si="5"/>
        <v>815.21754440624545</v>
      </c>
      <c r="BM18" s="7">
        <f t="shared" si="5"/>
        <v>3386.5990705166932</v>
      </c>
      <c r="BN18" s="7">
        <f t="shared" si="5"/>
        <v>3827.3443003790517</v>
      </c>
      <c r="BO18" s="7">
        <f t="shared" si="5"/>
        <v>796.44151229994668</v>
      </c>
      <c r="BP18" s="7">
        <f t="shared" si="5"/>
        <v>793.97470815968154</v>
      </c>
      <c r="BQ18" s="7">
        <f t="shared" ref="BQ18:CV18" si="6" xml:space="preserve"> BQ$16</f>
        <v>3352.5022318382098</v>
      </c>
      <c r="BR18" s="7">
        <f t="shared" si="6"/>
        <v>3790.9933345494137</v>
      </c>
      <c r="BS18" s="7">
        <f t="shared" si="6"/>
        <v>775.10799318136537</v>
      </c>
      <c r="BT18" s="7">
        <f t="shared" si="6"/>
        <v>772.59148170272965</v>
      </c>
      <c r="BU18" s="7">
        <f t="shared" si="6"/>
        <v>3318.3277228303778</v>
      </c>
      <c r="BV18" s="7">
        <f t="shared" si="6"/>
        <v>3754.5746764216574</v>
      </c>
      <c r="BW18" s="7">
        <f t="shared" si="6"/>
        <v>753.63082538506251</v>
      </c>
      <c r="BX18" s="7">
        <f t="shared" si="6"/>
        <v>751.06360494030423</v>
      </c>
      <c r="BY18" s="7">
        <f t="shared" si="6"/>
        <v>3284.0709465661339</v>
      </c>
      <c r="BZ18" s="7">
        <f t="shared" si="6"/>
        <v>3718.0836545100374</v>
      </c>
      <c r="CA18" s="7">
        <f t="shared" si="6"/>
        <v>732.00569027641495</v>
      </c>
      <c r="CB18" s="7">
        <f t="shared" si="6"/>
        <v>729.38673905447968</v>
      </c>
      <c r="CC18" s="7">
        <f t="shared" si="6"/>
        <v>3249.7272285717709</v>
      </c>
      <c r="CD18" s="7">
        <f t="shared" si="6"/>
        <v>3681.5155196510214</v>
      </c>
      <c r="CE18" s="7">
        <f t="shared" si="6"/>
        <v>710.22818928293464</v>
      </c>
      <c r="CF18" s="7">
        <f t="shared" si="6"/>
        <v>707.55646488276489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550.06025187035084</v>
      </c>
      <c r="DI18" s="7">
        <f t="shared" si="7"/>
        <v>0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9" t="str">
        <f xml:space="preserve"> Time!E$25</f>
        <v>Model period ending</v>
      </c>
      <c r="F19" s="489">
        <f xml:space="preserve"> Time!F$25</f>
        <v>0</v>
      </c>
      <c r="G19" s="489" t="str">
        <f xml:space="preserve"> Time!G$25</f>
        <v>date</v>
      </c>
      <c r="H19" s="489">
        <f xml:space="preserve"> Time!H$25</f>
        <v>0</v>
      </c>
      <c r="I19" s="489">
        <f xml:space="preserve"> Time!I$25</f>
        <v>0</v>
      </c>
      <c r="J19" s="489">
        <f xml:space="preserve"> Time!J$25</f>
        <v>44104</v>
      </c>
      <c r="K19" s="489">
        <f xml:space="preserve"> Time!K$25</f>
        <v>44196</v>
      </c>
      <c r="L19" s="489">
        <f xml:space="preserve"> Time!L$25</f>
        <v>44286</v>
      </c>
      <c r="M19" s="489">
        <f xml:space="preserve"> Time!M$25</f>
        <v>44377</v>
      </c>
      <c r="N19" s="489">
        <f xml:space="preserve"> Time!N$25</f>
        <v>44469</v>
      </c>
      <c r="O19" s="489">
        <f xml:space="preserve"> Time!O$25</f>
        <v>44561</v>
      </c>
      <c r="P19" s="489">
        <f xml:space="preserve"> Time!P$25</f>
        <v>44651</v>
      </c>
      <c r="Q19" s="489">
        <f xml:space="preserve"> Time!Q$25</f>
        <v>44742</v>
      </c>
      <c r="R19" s="489">
        <f xml:space="preserve"> Time!R$25</f>
        <v>44834</v>
      </c>
      <c r="S19" s="489">
        <f xml:space="preserve"> Time!S$25</f>
        <v>44926</v>
      </c>
      <c r="T19" s="489">
        <f xml:space="preserve"> Time!T$25</f>
        <v>45016</v>
      </c>
      <c r="U19" s="489">
        <f xml:space="preserve"> Time!U$25</f>
        <v>45107</v>
      </c>
      <c r="V19" s="489">
        <f xml:space="preserve"> Time!V$25</f>
        <v>45199</v>
      </c>
      <c r="W19" s="489">
        <f xml:space="preserve"> Time!W$25</f>
        <v>45291</v>
      </c>
      <c r="X19" s="489">
        <f xml:space="preserve"> Time!X$25</f>
        <v>45382</v>
      </c>
      <c r="Y19" s="489">
        <f xml:space="preserve"> Time!Y$25</f>
        <v>45473</v>
      </c>
      <c r="Z19" s="489">
        <f xml:space="preserve"> Time!Z$25</f>
        <v>45565</v>
      </c>
      <c r="AA19" s="489">
        <f xml:space="preserve"> Time!AA$25</f>
        <v>45657</v>
      </c>
      <c r="AB19" s="489">
        <f xml:space="preserve"> Time!AB$25</f>
        <v>45747</v>
      </c>
      <c r="AC19" s="489">
        <f xml:space="preserve"> Time!AC$25</f>
        <v>45838</v>
      </c>
      <c r="AD19" s="489">
        <f xml:space="preserve"> Time!AD$25</f>
        <v>45930</v>
      </c>
      <c r="AE19" s="489">
        <f xml:space="preserve"> Time!AE$25</f>
        <v>46022</v>
      </c>
      <c r="AF19" s="489">
        <f xml:space="preserve"> Time!AF$25</f>
        <v>46112</v>
      </c>
      <c r="AG19" s="489">
        <f xml:space="preserve"> Time!AG$25</f>
        <v>46203</v>
      </c>
      <c r="AH19" s="489">
        <f xml:space="preserve"> Time!AH$25</f>
        <v>46295</v>
      </c>
      <c r="AI19" s="489">
        <f xml:space="preserve"> Time!AI$25</f>
        <v>46387</v>
      </c>
      <c r="AJ19" s="489">
        <f xml:space="preserve"> Time!AJ$25</f>
        <v>46477</v>
      </c>
      <c r="AK19" s="489">
        <f xml:space="preserve"> Time!AK$25</f>
        <v>46568</v>
      </c>
      <c r="AL19" s="489">
        <f xml:space="preserve"> Time!AL$25</f>
        <v>46660</v>
      </c>
      <c r="AM19" s="489">
        <f xml:space="preserve"> Time!AM$25</f>
        <v>46752</v>
      </c>
      <c r="AN19" s="489">
        <f xml:space="preserve"> Time!AN$25</f>
        <v>46843</v>
      </c>
      <c r="AO19" s="489">
        <f xml:space="preserve"> Time!AO$25</f>
        <v>46934</v>
      </c>
      <c r="AP19" s="489">
        <f xml:space="preserve"> Time!AP$25</f>
        <v>47026</v>
      </c>
      <c r="AQ19" s="489">
        <f xml:space="preserve"> Time!AQ$25</f>
        <v>47118</v>
      </c>
      <c r="AR19" s="489">
        <f xml:space="preserve"> Time!AR$25</f>
        <v>47208</v>
      </c>
      <c r="AS19" s="489">
        <f xml:space="preserve"> Time!AS$25</f>
        <v>47299</v>
      </c>
      <c r="AT19" s="489">
        <f xml:space="preserve"> Time!AT$25</f>
        <v>47391</v>
      </c>
      <c r="AU19" s="489">
        <f xml:space="preserve"> Time!AU$25</f>
        <v>47483</v>
      </c>
      <c r="AV19" s="489">
        <f xml:space="preserve"> Time!AV$25</f>
        <v>47573</v>
      </c>
      <c r="AW19" s="489">
        <f xml:space="preserve"> Time!AW$25</f>
        <v>47664</v>
      </c>
      <c r="AX19" s="489">
        <f xml:space="preserve"> Time!AX$25</f>
        <v>47756</v>
      </c>
      <c r="AY19" s="489">
        <f xml:space="preserve"> Time!AY$25</f>
        <v>47848</v>
      </c>
      <c r="AZ19" s="489">
        <f xml:space="preserve"> Time!AZ$25</f>
        <v>47938</v>
      </c>
      <c r="BA19" s="489">
        <f xml:space="preserve"> Time!BA$25</f>
        <v>48029</v>
      </c>
      <c r="BB19" s="489">
        <f xml:space="preserve"> Time!BB$25</f>
        <v>48121</v>
      </c>
      <c r="BC19" s="489">
        <f xml:space="preserve"> Time!BC$25</f>
        <v>48213</v>
      </c>
      <c r="BD19" s="489">
        <f xml:space="preserve"> Time!BD$25</f>
        <v>48304</v>
      </c>
      <c r="BE19" s="489">
        <f xml:space="preserve"> Time!BE$25</f>
        <v>48395</v>
      </c>
      <c r="BF19" s="489">
        <f xml:space="preserve"> Time!BF$25</f>
        <v>48487</v>
      </c>
      <c r="BG19" s="489">
        <f xml:space="preserve"> Time!BG$25</f>
        <v>48579</v>
      </c>
      <c r="BH19" s="489">
        <f xml:space="preserve"> Time!BH$25</f>
        <v>48669</v>
      </c>
      <c r="BI19" s="489">
        <f xml:space="preserve"> Time!BI$25</f>
        <v>48760</v>
      </c>
      <c r="BJ19" s="489">
        <f xml:space="preserve"> Time!BJ$25</f>
        <v>48852</v>
      </c>
      <c r="BK19" s="489">
        <f xml:space="preserve"> Time!BK$25</f>
        <v>48944</v>
      </c>
      <c r="BL19" s="489">
        <f xml:space="preserve"> Time!BL$25</f>
        <v>49034</v>
      </c>
      <c r="BM19" s="489">
        <f xml:space="preserve"> Time!BM$25</f>
        <v>49125</v>
      </c>
      <c r="BN19" s="489">
        <f xml:space="preserve"> Time!BN$25</f>
        <v>49217</v>
      </c>
      <c r="BO19" s="489">
        <f xml:space="preserve"> Time!BO$25</f>
        <v>49309</v>
      </c>
      <c r="BP19" s="489">
        <f xml:space="preserve"> Time!BP$25</f>
        <v>49399</v>
      </c>
      <c r="BQ19" s="489">
        <f xml:space="preserve"> Time!BQ$25</f>
        <v>49490</v>
      </c>
      <c r="BR19" s="489">
        <f xml:space="preserve"> Time!BR$25</f>
        <v>49582</v>
      </c>
      <c r="BS19" s="489">
        <f xml:space="preserve"> Time!BS$25</f>
        <v>49674</v>
      </c>
      <c r="BT19" s="489">
        <f xml:space="preserve"> Time!BT$25</f>
        <v>49765</v>
      </c>
      <c r="BU19" s="489">
        <f xml:space="preserve"> Time!BU$25</f>
        <v>49856</v>
      </c>
      <c r="BV19" s="489">
        <f xml:space="preserve"> Time!BV$25</f>
        <v>49948</v>
      </c>
      <c r="BW19" s="489">
        <f xml:space="preserve"> Time!BW$25</f>
        <v>50040</v>
      </c>
      <c r="BX19" s="489">
        <f xml:space="preserve"> Time!BX$25</f>
        <v>50130</v>
      </c>
      <c r="BY19" s="489">
        <f xml:space="preserve"> Time!BY$25</f>
        <v>50221</v>
      </c>
      <c r="BZ19" s="489">
        <f xml:space="preserve"> Time!BZ$25</f>
        <v>50313</v>
      </c>
      <c r="CA19" s="489">
        <f xml:space="preserve"> Time!CA$25</f>
        <v>50405</v>
      </c>
      <c r="CB19" s="489">
        <f xml:space="preserve"> Time!CB$25</f>
        <v>50495</v>
      </c>
      <c r="CC19" s="489">
        <f xml:space="preserve"> Time!CC$25</f>
        <v>50586</v>
      </c>
      <c r="CD19" s="489">
        <f xml:space="preserve"> Time!CD$25</f>
        <v>50678</v>
      </c>
      <c r="CE19" s="489">
        <f xml:space="preserve"> Time!CE$25</f>
        <v>50770</v>
      </c>
      <c r="CF19" s="489">
        <f xml:space="preserve"> Time!CF$25</f>
        <v>50860</v>
      </c>
      <c r="CG19" s="489">
        <f xml:space="preserve"> Time!CG$25</f>
        <v>50951</v>
      </c>
      <c r="CH19" s="489">
        <f xml:space="preserve"> Time!CH$25</f>
        <v>51043</v>
      </c>
      <c r="CI19" s="489">
        <f xml:space="preserve"> Time!CI$25</f>
        <v>51135</v>
      </c>
      <c r="CJ19" s="489">
        <f xml:space="preserve"> Time!CJ$25</f>
        <v>51226</v>
      </c>
      <c r="CK19" s="489">
        <f xml:space="preserve"> Time!CK$25</f>
        <v>51317</v>
      </c>
      <c r="CL19" s="489">
        <f xml:space="preserve"> Time!CL$25</f>
        <v>51409</v>
      </c>
      <c r="CM19" s="489">
        <f xml:space="preserve"> Time!CM$25</f>
        <v>51501</v>
      </c>
      <c r="CN19" s="489">
        <f xml:space="preserve"> Time!CN$25</f>
        <v>51591</v>
      </c>
      <c r="CO19" s="489">
        <f xml:space="preserve"> Time!CO$25</f>
        <v>51682</v>
      </c>
      <c r="CP19" s="489">
        <f xml:space="preserve"> Time!CP$25</f>
        <v>51774</v>
      </c>
      <c r="CQ19" s="489">
        <f xml:space="preserve"> Time!CQ$25</f>
        <v>51866</v>
      </c>
      <c r="CR19" s="489">
        <f xml:space="preserve"> Time!CR$25</f>
        <v>51956</v>
      </c>
      <c r="CS19" s="489">
        <f xml:space="preserve"> Time!CS$25</f>
        <v>52047</v>
      </c>
      <c r="CT19" s="489">
        <f xml:space="preserve"> Time!CT$25</f>
        <v>52139</v>
      </c>
      <c r="CU19" s="489">
        <f xml:space="preserve"> Time!CU$25</f>
        <v>52231</v>
      </c>
      <c r="CV19" s="489">
        <f xml:space="preserve"> Time!CV$25</f>
        <v>52321</v>
      </c>
      <c r="CW19" s="489">
        <f xml:space="preserve"> Time!CW$25</f>
        <v>52412</v>
      </c>
      <c r="CX19" s="489">
        <f xml:space="preserve"> Time!CX$25</f>
        <v>52504</v>
      </c>
      <c r="CY19" s="489">
        <f xml:space="preserve"> Time!CY$25</f>
        <v>52596</v>
      </c>
      <c r="CZ19" s="489">
        <f xml:space="preserve"> Time!CZ$25</f>
        <v>52687</v>
      </c>
      <c r="DA19" s="489">
        <f xml:space="preserve"> Time!DA$25</f>
        <v>52778</v>
      </c>
      <c r="DB19" s="489">
        <f xml:space="preserve"> Time!DB$25</f>
        <v>52870</v>
      </c>
      <c r="DC19" s="489">
        <f xml:space="preserve"> Time!DC$25</f>
        <v>52962</v>
      </c>
      <c r="DD19" s="489">
        <f xml:space="preserve"> Time!DD$25</f>
        <v>53052</v>
      </c>
      <c r="DE19" s="489">
        <f xml:space="preserve"> Time!DE$25</f>
        <v>53143</v>
      </c>
      <c r="DF19" s="489">
        <f xml:space="preserve"> Time!DF$25</f>
        <v>53235</v>
      </c>
      <c r="DG19" s="489">
        <f xml:space="preserve"> Time!DG$25</f>
        <v>53327</v>
      </c>
      <c r="DH19" s="489">
        <f xml:space="preserve"> Time!DH$25</f>
        <v>53417</v>
      </c>
      <c r="DI19" s="489">
        <f xml:space="preserve"> Time!DI$25</f>
        <v>53508</v>
      </c>
      <c r="DJ19" s="489">
        <f xml:space="preserve"> Time!DJ$25</f>
        <v>53600</v>
      </c>
      <c r="DK19" s="489">
        <f xml:space="preserve"> Time!DK$25</f>
        <v>53692</v>
      </c>
      <c r="DL19" s="489">
        <f xml:space="preserve"> Time!DL$25</f>
        <v>53782</v>
      </c>
      <c r="DM19" s="489">
        <f xml:space="preserve"> Time!DM$25</f>
        <v>53873</v>
      </c>
      <c r="DN19" s="489">
        <f xml:space="preserve"> Time!DN$25</f>
        <v>53965</v>
      </c>
      <c r="DO19" s="489">
        <f xml:space="preserve"> Time!DO$25</f>
        <v>54057</v>
      </c>
      <c r="DP19" s="489">
        <f xml:space="preserve"> Time!DP$25</f>
        <v>54148</v>
      </c>
      <c r="DQ19" s="489">
        <f xml:space="preserve"> Time!DQ$25</f>
        <v>54239</v>
      </c>
      <c r="DR19" s="489">
        <f xml:space="preserve"> Time!DR$25</f>
        <v>54331</v>
      </c>
      <c r="DS19" s="489">
        <f xml:space="preserve"> Time!DS$25</f>
        <v>54423</v>
      </c>
      <c r="DT19" s="489">
        <f xml:space="preserve"> Time!DT$25</f>
        <v>54513</v>
      </c>
      <c r="DU19" s="489">
        <f xml:space="preserve"> Time!DU$25</f>
        <v>54604</v>
      </c>
      <c r="DV19" s="489">
        <f xml:space="preserve"> Time!DV$25</f>
        <v>54696</v>
      </c>
      <c r="DW19" s="489">
        <f xml:space="preserve"> Time!DW$25</f>
        <v>54788</v>
      </c>
      <c r="DX19" s="489">
        <f xml:space="preserve"> Time!DX$25</f>
        <v>54878</v>
      </c>
      <c r="DY19" s="489">
        <f xml:space="preserve"> Time!DY$25</f>
        <v>54969</v>
      </c>
      <c r="DZ19" s="489">
        <f xml:space="preserve"> Time!DZ$25</f>
        <v>55061</v>
      </c>
      <c r="EA19" s="489">
        <f xml:space="preserve"> Time!EA$25</f>
        <v>55153</v>
      </c>
    </row>
    <row r="20" spans="5:131" x14ac:dyDescent="0.35">
      <c r="E20" s="147" t="s">
        <v>239</v>
      </c>
      <c r="F20" s="496">
        <f xml:space="preserve"> XIRR(J18:EA18, J19:EA19)</f>
        <v>8.4725400805473347E-2</v>
      </c>
      <c r="G20" s="147" t="s">
        <v>166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J63" sqref="J63:EA6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-222667.04122730848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-2639.7867058423899</v>
      </c>
      <c r="P24" s="191">
        <f xml:space="preserve"> Equity!P$57</f>
        <v>-1060.6310622656251</v>
      </c>
      <c r="Q24" s="191">
        <f xml:space="preserve"> Equity!Q$57</f>
        <v>-3791.2770487336711</v>
      </c>
      <c r="R24" s="191">
        <f xml:space="preserve"> Equity!R$57</f>
        <v>-4259.8770906937561</v>
      </c>
      <c r="S24" s="191">
        <f xml:space="preserve"> Equity!S$57</f>
        <v>-1042.7088144556815</v>
      </c>
      <c r="T24" s="191">
        <f xml:space="preserve"> Equity!T$57</f>
        <v>-1040.7671968364189</v>
      </c>
      <c r="U24" s="191">
        <f xml:space="preserve"> Equity!U$57</f>
        <v>-3757.7798200412162</v>
      </c>
      <c r="V24" s="191">
        <f xml:space="preserve"> Equity!V$57</f>
        <v>-4224.000218361738</v>
      </c>
      <c r="W24" s="191">
        <f xml:space="preserve"> Equity!W$57</f>
        <v>-1022.7892127952941</v>
      </c>
      <c r="X24" s="191">
        <f xml:space="preserve"> Equity!X$57</f>
        <v>-1020.8084706089812</v>
      </c>
      <c r="Y24" s="191">
        <f xml:space="preserve"> Equity!Y$57</f>
        <v>-3724.2545897984583</v>
      </c>
      <c r="Z24" s="191">
        <f xml:space="preserve"> Equity!Z$57</f>
        <v>-4188.1062102303531</v>
      </c>
      <c r="AA24" s="191">
        <f xml:space="preserve"> Equity!AA$57</f>
        <v>-1002.7721077907047</v>
      </c>
      <c r="AB24" s="191">
        <f xml:space="preserve"> Equity!AB$57</f>
        <v>-1000.7514526577284</v>
      </c>
      <c r="AC24" s="191">
        <f xml:space="preserve"> Equity!AC$57</f>
        <v>-3690.6975749323938</v>
      </c>
      <c r="AD24" s="191">
        <f xml:space="preserve"> Equity!AD$57</f>
        <v>-4152.191209556212</v>
      </c>
      <c r="AE24" s="191">
        <f xml:space="preserve"> Equity!AE$57</f>
        <v>-982.65402282707737</v>
      </c>
      <c r="AF24" s="191">
        <f xml:space="preserve"> Equity!AF$57</f>
        <v>-980.59265048158113</v>
      </c>
      <c r="AG24" s="191">
        <f xml:space="preserve"> Equity!AG$57</f>
        <v>-3657.1049321532691</v>
      </c>
      <c r="AH24" s="191">
        <f xml:space="preserve"> Equity!AH$57</f>
        <v>-4116.2512993505097</v>
      </c>
      <c r="AI24" s="191">
        <f xml:space="preserve"> Equity!AI$57</f>
        <v>-962.43141875580363</v>
      </c>
      <c r="AJ24" s="191">
        <f xml:space="preserve"> Equity!AJ$57</f>
        <v>-960.32850872557128</v>
      </c>
      <c r="AK24" s="191">
        <f xml:space="preserve"> Equity!AK$57</f>
        <v>-3623.4727566615193</v>
      </c>
      <c r="AL24" s="191">
        <f xml:space="preserve"> Equity!AL$57</f>
        <v>-4080.2825010781335</v>
      </c>
      <c r="AM24" s="191">
        <f xml:space="preserve"> Equity!AM$57</f>
        <v>-942.10069259699731</v>
      </c>
      <c r="AN24" s="191">
        <f xml:space="preserve"> Equity!AN$57</f>
        <v>-939.95540787688628</v>
      </c>
      <c r="AO24" s="191">
        <f xml:space="preserve"> Equity!AO$57</f>
        <v>-3589.7970808290256</v>
      </c>
      <c r="AP24" s="191">
        <f xml:space="preserve"> Equity!AP$57</f>
        <v>-4044.2807733309892</v>
      </c>
      <c r="AQ24" s="191">
        <f xml:space="preserve"> Equity!AQ$57</f>
        <v>-921.65817621602537</v>
      </c>
      <c r="AR24" s="191">
        <f xml:space="preserve"> Equity!AR$57</f>
        <v>-919.46966293482092</v>
      </c>
      <c r="AS24" s="191">
        <f xml:space="preserve"> Equity!AS$57</f>
        <v>-3556.0738728542283</v>
      </c>
      <c r="AT24" s="191">
        <f xml:space="preserve"> Equity!AT$57</f>
        <v>-4008.2420104750345</v>
      </c>
      <c r="AU24" s="191">
        <f xml:space="preserve"> Equity!AU$57</f>
        <v>-901.10013497355976</v>
      </c>
      <c r="AV24" s="191">
        <f xml:space="preserve"> Equity!AV$57</f>
        <v>-898.86752205411403</v>
      </c>
      <c r="AW24" s="191">
        <f xml:space="preserve"> Equity!AW$57</f>
        <v>-3522.2990353904879</v>
      </c>
      <c r="AX24" s="191">
        <f xml:space="preserve"> Equity!AX$57</f>
        <v>-3972.1620412704606</v>
      </c>
      <c r="AY24" s="191">
        <f xml:space="preserve"> Equity!AY$57</f>
        <v>-880.42276634860264</v>
      </c>
      <c r="AZ24" s="191">
        <f xml:space="preserve"> Equity!AZ$57</f>
        <v>-878.14516516112872</v>
      </c>
      <c r="BA24" s="191">
        <f xml:space="preserve"> Equity!BA$57</f>
        <v>-3488.4684041472365</v>
      </c>
      <c r="BB24" s="191">
        <f xml:space="preserve"> Equity!BB$57</f>
        <v>-3936.0366274645103</v>
      </c>
      <c r="BC24" s="191">
        <f xml:space="preserve"> Equity!BC$57</f>
        <v>-859.62219853396186</v>
      </c>
      <c r="BD24" s="191">
        <f xml:space="preserve"> Equity!BD$57</f>
        <v>-857.29870254233629</v>
      </c>
      <c r="BE24" s="191">
        <f xml:space="preserve"> Equity!BE$57</f>
        <v>-3454.5777464633084</v>
      </c>
      <c r="BF24" s="191">
        <f xml:space="preserve"> Equity!BF$57</f>
        <v>-3899.8614623563581</v>
      </c>
      <c r="BG24" s="191">
        <f xml:space="preserve"> Equity!BG$57</f>
        <v>-838.69448900359203</v>
      </c>
      <c r="BH24" s="191">
        <f xml:space="preserve"> Equity!BH$57</f>
        <v>-836.32417340453526</v>
      </c>
      <c r="BI24" s="191">
        <f xml:space="preserve"> Equity!BI$57</f>
        <v>-3420.6227598519172</v>
      </c>
      <c r="BJ24" s="191">
        <f xml:space="preserve"> Equity!BJ$57</f>
        <v>-3863.6321693334994</v>
      </c>
      <c r="BK24" s="191">
        <f xml:space="preserve"> Equity!BK$57</f>
        <v>-817.63562305126288</v>
      </c>
      <c r="BL24" s="191">
        <f xml:space="preserve"> Equity!BL$57</f>
        <v>-815.21754440624545</v>
      </c>
      <c r="BM24" s="191">
        <f xml:space="preserve"> Equity!BM$57</f>
        <v>-3386.5990705166932</v>
      </c>
      <c r="BN24" s="191">
        <f xml:space="preserve"> Equity!BN$57</f>
        <v>-3827.3443003790517</v>
      </c>
      <c r="BO24" s="191">
        <f xml:space="preserve"> Equity!BO$57</f>
        <v>-796.44151229994668</v>
      </c>
      <c r="BP24" s="191">
        <f xml:space="preserve"> Equity!BP$57</f>
        <v>-793.97470815968154</v>
      </c>
      <c r="BQ24" s="191">
        <f xml:space="preserve"> Equity!BQ$57</f>
        <v>-3352.5022318382098</v>
      </c>
      <c r="BR24" s="191">
        <f xml:space="preserve"> Equity!BR$57</f>
        <v>-3790.9933345494137</v>
      </c>
      <c r="BS24" s="191">
        <f xml:space="preserve"> Equity!BS$57</f>
        <v>-775.10799318136537</v>
      </c>
      <c r="BT24" s="191">
        <f xml:space="preserve"> Equity!BT$57</f>
        <v>-772.59148170272965</v>
      </c>
      <c r="BU24" s="191">
        <f xml:space="preserve"> Equity!BU$57</f>
        <v>-3318.3277228303778</v>
      </c>
      <c r="BV24" s="191">
        <f xml:space="preserve"> Equity!BV$57</f>
        <v>-3754.5746764216574</v>
      </c>
      <c r="BW24" s="191">
        <f xml:space="preserve"> Equity!BW$57</f>
        <v>-753.63082538506251</v>
      </c>
      <c r="BX24" s="191">
        <f xml:space="preserve"> Equity!BX$57</f>
        <v>-751.06360494030423</v>
      </c>
      <c r="BY24" s="191">
        <f xml:space="preserve"> Equity!BY$57</f>
        <v>-3284.0709465661339</v>
      </c>
      <c r="BZ24" s="191">
        <f xml:space="preserve"> Equity!BZ$57</f>
        <v>-3718.0836545100374</v>
      </c>
      <c r="CA24" s="191">
        <f xml:space="preserve"> Equity!CA$57</f>
        <v>-732.00569027641495</v>
      </c>
      <c r="CB24" s="191">
        <f xml:space="preserve"> Equity!CB$57</f>
        <v>-729.38673905447968</v>
      </c>
      <c r="CC24" s="191">
        <f xml:space="preserve"> Equity!CC$57</f>
        <v>-3249.7272285717709</v>
      </c>
      <c r="CD24" s="191">
        <f xml:space="preserve"> Equity!CD$57</f>
        <v>-3681.5155196510214</v>
      </c>
      <c r="CE24" s="191">
        <f xml:space="preserve"> Equity!CE$57</f>
        <v>-710.22818928293464</v>
      </c>
      <c r="CF24" s="191">
        <f xml:space="preserve"> Equity!CF$57</f>
        <v>-707.55646488276489</v>
      </c>
      <c r="CG24" s="191">
        <f xml:space="preserve"> Equity!CG$57</f>
        <v>-3215.2918151892882</v>
      </c>
      <c r="CH24" s="191">
        <f xml:space="preserve"> Equity!CH$57</f>
        <v>-3644.8654433561715</v>
      </c>
      <c r="CI24" s="191">
        <f xml:space="preserve"> Equity!CI$57</f>
        <v>-688.29384224823389</v>
      </c>
      <c r="CJ24" s="191">
        <f xml:space="preserve"> Equity!CJ$57</f>
        <v>-685.56828126386836</v>
      </c>
      <c r="CK24" s="191">
        <f xml:space="preserve"> Equity!CK$57</f>
        <v>-3180.759871906117</v>
      </c>
      <c r="CL24" s="191">
        <f xml:space="preserve"> Equity!CL$57</f>
        <v>-3608.1285161322512</v>
      </c>
      <c r="CM24" s="191">
        <f xml:space="preserve"> Equity!CM$57</f>
        <v>-666.19808575299317</v>
      </c>
      <c r="CN24" s="191">
        <f xml:space="preserve"> Equity!CN$57</f>
        <v>-663.41760335030904</v>
      </c>
      <c r="CO24" s="191">
        <f xml:space="preserve"> Equity!CO$57</f>
        <v>-3146.1264816515677</v>
      </c>
      <c r="CP24" s="191">
        <f xml:space="preserve"> Equity!CP$57</f>
        <v>-3571.2997457678875</v>
      </c>
      <c r="CQ24" s="191">
        <f xml:space="preserve"> Equity!CQ$57</f>
        <v>-643.93627140228091</v>
      </c>
      <c r="CR24" s="191">
        <f xml:space="preserve"> Equity!CR$57</f>
        <v>-641.0997608872035</v>
      </c>
      <c r="CS24" s="191">
        <f xml:space="preserve"> Equity!CS$57</f>
        <v>-3111.3866430593098</v>
      </c>
      <c r="CT24" s="191">
        <f xml:space="preserve"> Equity!CT$57</f>
        <v>-3534.3740555861114</v>
      </c>
      <c r="CU24" s="191">
        <f xml:space="preserve"> Equity!CU$57</f>
        <v>-621.50366407852198</v>
      </c>
      <c r="CV24" s="191">
        <f xml:space="preserve"> Equity!CV$57</f>
        <v>-618.60999645653737</v>
      </c>
      <c r="CW24" s="191">
        <f xml:space="preserve"> Equity!CW$57</f>
        <v>-3076.5352686952083</v>
      </c>
      <c r="CX24" s="191">
        <f xml:space="preserve"> Equity!CX$57</f>
        <v>-3497.3462826620735</v>
      </c>
      <c r="CY24" s="191">
        <f xml:space="preserve"> Equity!CY$57</f>
        <v>-598.89544015944239</v>
      </c>
      <c r="CZ24" s="191">
        <f xml:space="preserve"> Equity!CZ$57</f>
        <v>-595.94346368623292</v>
      </c>
      <c r="DA24" s="191">
        <f xml:space="preserve"> Equity!DA$57</f>
        <v>-3041.5671832498269</v>
      </c>
      <c r="DB24" s="191">
        <f xml:space="preserve"> Equity!DB$57</f>
        <v>-3460.2111760052694</v>
      </c>
      <c r="DC24" s="191">
        <f xml:space="preserve"> Equity!DC$57</f>
        <v>-576.10668570027906</v>
      </c>
      <c r="DD24" s="191">
        <f xml:space="preserve"> Equity!DD$57</f>
        <v>-573.09522542330069</v>
      </c>
      <c r="DE24" s="191">
        <f xml:space="preserve"> Equity!DE$57</f>
        <v>-3006.477121694857</v>
      </c>
      <c r="DF24" s="191">
        <f xml:space="preserve"> Equity!DF$57</f>
        <v>-3422.9633947055136</v>
      </c>
      <c r="DG24" s="191">
        <f xml:space="preserve"> Equity!DG$57</f>
        <v>-553.13239457952204</v>
      </c>
      <c r="DH24" s="191">
        <f xml:space="preserve"> Equity!DH$57</f>
        <v>-550.06025187035084</v>
      </c>
      <c r="DI24" s="191">
        <f xml:space="preserve"> Equity!DI$57</f>
        <v>0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234</v>
      </c>
      <c r="F25" s="163"/>
      <c r="G25" s="163" t="str">
        <f>SMU</f>
        <v>$ 000s</v>
      </c>
      <c r="H25" s="163">
        <f xml:space="preserve"> SUM(J25:EA25)</f>
        <v>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2305.3983516483513</v>
      </c>
      <c r="N25" s="163">
        <f t="shared" si="14"/>
        <v>-728.14597393096028</v>
      </c>
      <c r="O25" s="163">
        <f t="shared" si="14"/>
        <v>-1577.252377717391</v>
      </c>
      <c r="P25" s="163">
        <f t="shared" si="14"/>
        <v>0</v>
      </c>
      <c r="Q25" s="163">
        <f t="shared" si="14"/>
        <v>0</v>
      </c>
      <c r="R25" s="163">
        <f t="shared" si="14"/>
        <v>0</v>
      </c>
      <c r="S25" s="163">
        <f t="shared" si="14"/>
        <v>0</v>
      </c>
      <c r="T25" s="163">
        <f t="shared" si="14"/>
        <v>0</v>
      </c>
      <c r="U25" s="163">
        <f t="shared" si="14"/>
        <v>0</v>
      </c>
      <c r="V25" s="163">
        <f t="shared" si="14"/>
        <v>0</v>
      </c>
      <c r="W25" s="163">
        <f t="shared" si="14"/>
        <v>0</v>
      </c>
      <c r="X25" s="163">
        <f t="shared" si="14"/>
        <v>0</v>
      </c>
      <c r="Y25" s="163">
        <f t="shared" si="14"/>
        <v>0</v>
      </c>
      <c r="Z25" s="163">
        <f t="shared" si="14"/>
        <v>0</v>
      </c>
      <c r="AA25" s="163">
        <f t="shared" si="14"/>
        <v>0</v>
      </c>
      <c r="AB25" s="163">
        <f t="shared" si="14"/>
        <v>0</v>
      </c>
      <c r="AC25" s="163">
        <f t="shared" si="14"/>
        <v>0</v>
      </c>
      <c r="AD25" s="163">
        <f t="shared" si="14"/>
        <v>0</v>
      </c>
      <c r="AE25" s="163">
        <f t="shared" si="14"/>
        <v>0</v>
      </c>
      <c r="AF25" s="163">
        <f t="shared" si="14"/>
        <v>0</v>
      </c>
      <c r="AG25" s="163">
        <f t="shared" si="14"/>
        <v>0</v>
      </c>
      <c r="AH25" s="163">
        <f t="shared" si="14"/>
        <v>0</v>
      </c>
      <c r="AI25" s="163">
        <f t="shared" si="14"/>
        <v>0</v>
      </c>
      <c r="AJ25" s="163">
        <f t="shared" si="14"/>
        <v>0</v>
      </c>
      <c r="AK25" s="163">
        <f t="shared" si="14"/>
        <v>0</v>
      </c>
      <c r="AL25" s="163">
        <f t="shared" si="14"/>
        <v>0</v>
      </c>
      <c r="AM25" s="163">
        <f t="shared" si="14"/>
        <v>0</v>
      </c>
      <c r="AN25" s="163">
        <f t="shared" si="14"/>
        <v>0</v>
      </c>
      <c r="AO25" s="163">
        <f t="shared" si="14"/>
        <v>0</v>
      </c>
      <c r="AP25" s="163">
        <f t="shared" si="14"/>
        <v>0</v>
      </c>
      <c r="AQ25" s="163">
        <f t="shared" si="14"/>
        <v>0</v>
      </c>
      <c r="AR25" s="163">
        <f t="shared" si="14"/>
        <v>0</v>
      </c>
      <c r="AS25" s="163">
        <f t="shared" si="14"/>
        <v>0</v>
      </c>
      <c r="AT25" s="163">
        <f t="shared" si="14"/>
        <v>0</v>
      </c>
      <c r="AU25" s="163">
        <f t="shared" si="14"/>
        <v>0</v>
      </c>
      <c r="AV25" s="163">
        <f t="shared" si="14"/>
        <v>0</v>
      </c>
      <c r="AW25" s="163">
        <f t="shared" si="14"/>
        <v>0</v>
      </c>
      <c r="AX25" s="163">
        <f t="shared" si="14"/>
        <v>0</v>
      </c>
      <c r="AY25" s="163">
        <f t="shared" si="14"/>
        <v>0</v>
      </c>
      <c r="AZ25" s="163">
        <f t="shared" si="14"/>
        <v>0</v>
      </c>
      <c r="BA25" s="163">
        <f t="shared" si="14"/>
        <v>0</v>
      </c>
      <c r="BB25" s="163">
        <f t="shared" si="14"/>
        <v>0</v>
      </c>
      <c r="BC25" s="163">
        <f t="shared" si="14"/>
        <v>0</v>
      </c>
      <c r="BD25" s="163">
        <f t="shared" si="14"/>
        <v>0</v>
      </c>
      <c r="BE25" s="163">
        <f t="shared" si="14"/>
        <v>0</v>
      </c>
      <c r="BF25" s="163">
        <f t="shared" si="14"/>
        <v>0</v>
      </c>
      <c r="BG25" s="163">
        <f t="shared" si="14"/>
        <v>0</v>
      </c>
      <c r="BH25" s="163">
        <f t="shared" si="14"/>
        <v>0</v>
      </c>
      <c r="BI25" s="163">
        <f t="shared" si="14"/>
        <v>0</v>
      </c>
      <c r="BJ25" s="163">
        <f t="shared" si="14"/>
        <v>0</v>
      </c>
      <c r="BK25" s="163">
        <f t="shared" si="14"/>
        <v>0</v>
      </c>
      <c r="BL25" s="163">
        <f t="shared" si="14"/>
        <v>0</v>
      </c>
      <c r="BM25" s="163">
        <f t="shared" si="14"/>
        <v>0</v>
      </c>
      <c r="BN25" s="163">
        <f t="shared" si="14"/>
        <v>0</v>
      </c>
      <c r="BO25" s="163">
        <f t="shared" si="14"/>
        <v>0</v>
      </c>
      <c r="BP25" s="163">
        <f t="shared" si="14"/>
        <v>0</v>
      </c>
      <c r="BQ25" s="163">
        <f t="shared" si="14"/>
        <v>0</v>
      </c>
      <c r="BR25" s="163">
        <f t="shared" si="14"/>
        <v>0</v>
      </c>
      <c r="BS25" s="163">
        <f t="shared" si="14"/>
        <v>0</v>
      </c>
      <c r="BT25" s="163">
        <f t="shared" si="14"/>
        <v>0</v>
      </c>
      <c r="BU25" s="163">
        <f t="shared" si="14"/>
        <v>0</v>
      </c>
      <c r="BV25" s="163">
        <f t="shared" si="14"/>
        <v>0</v>
      </c>
      <c r="BW25" s="163">
        <f t="shared" ref="BW25:EA25" si="15" xml:space="preserve"> BW22 + BW24</f>
        <v>0</v>
      </c>
      <c r="BX25" s="163">
        <f t="shared" si="15"/>
        <v>0</v>
      </c>
      <c r="BY25" s="163">
        <f t="shared" si="15"/>
        <v>0</v>
      </c>
      <c r="BZ25" s="163">
        <f t="shared" si="15"/>
        <v>0</v>
      </c>
      <c r="CA25" s="163">
        <f t="shared" si="15"/>
        <v>0</v>
      </c>
      <c r="CB25" s="163">
        <f t="shared" si="15"/>
        <v>0</v>
      </c>
      <c r="CC25" s="163">
        <f t="shared" si="15"/>
        <v>0</v>
      </c>
      <c r="CD25" s="163">
        <f t="shared" si="15"/>
        <v>0</v>
      </c>
      <c r="CE25" s="163">
        <f t="shared" si="15"/>
        <v>0</v>
      </c>
      <c r="CF25" s="163">
        <f t="shared" si="15"/>
        <v>0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154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138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-222667.04122730848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-2639.7867058423899</v>
      </c>
      <c r="P52" s="191">
        <f xml:space="preserve"> Equity!P$57</f>
        <v>-1060.6310622656251</v>
      </c>
      <c r="Q52" s="191">
        <f xml:space="preserve"> Equity!Q$57</f>
        <v>-3791.2770487336711</v>
      </c>
      <c r="R52" s="191">
        <f xml:space="preserve"> Equity!R$57</f>
        <v>-4259.8770906937561</v>
      </c>
      <c r="S52" s="191">
        <f xml:space="preserve"> Equity!S$57</f>
        <v>-1042.7088144556815</v>
      </c>
      <c r="T52" s="191">
        <f xml:space="preserve"> Equity!T$57</f>
        <v>-1040.7671968364189</v>
      </c>
      <c r="U52" s="191">
        <f xml:space="preserve"> Equity!U$57</f>
        <v>-3757.7798200412162</v>
      </c>
      <c r="V52" s="191">
        <f xml:space="preserve"> Equity!V$57</f>
        <v>-4224.000218361738</v>
      </c>
      <c r="W52" s="191">
        <f xml:space="preserve"> Equity!W$57</f>
        <v>-1022.7892127952941</v>
      </c>
      <c r="X52" s="191">
        <f xml:space="preserve"> Equity!X$57</f>
        <v>-1020.8084706089812</v>
      </c>
      <c r="Y52" s="191">
        <f xml:space="preserve"> Equity!Y$57</f>
        <v>-3724.2545897984583</v>
      </c>
      <c r="Z52" s="191">
        <f xml:space="preserve"> Equity!Z$57</f>
        <v>-4188.1062102303531</v>
      </c>
      <c r="AA52" s="191">
        <f xml:space="preserve"> Equity!AA$57</f>
        <v>-1002.7721077907047</v>
      </c>
      <c r="AB52" s="191">
        <f xml:space="preserve"> Equity!AB$57</f>
        <v>-1000.7514526577284</v>
      </c>
      <c r="AC52" s="191">
        <f xml:space="preserve"> Equity!AC$57</f>
        <v>-3690.6975749323938</v>
      </c>
      <c r="AD52" s="191">
        <f xml:space="preserve"> Equity!AD$57</f>
        <v>-4152.191209556212</v>
      </c>
      <c r="AE52" s="191">
        <f xml:space="preserve"> Equity!AE$57</f>
        <v>-982.65402282707737</v>
      </c>
      <c r="AF52" s="191">
        <f xml:space="preserve"> Equity!AF$57</f>
        <v>-980.59265048158113</v>
      </c>
      <c r="AG52" s="191">
        <f xml:space="preserve"> Equity!AG$57</f>
        <v>-3657.1049321532691</v>
      </c>
      <c r="AH52" s="191">
        <f xml:space="preserve"> Equity!AH$57</f>
        <v>-4116.2512993505097</v>
      </c>
      <c r="AI52" s="191">
        <f xml:space="preserve"> Equity!AI$57</f>
        <v>-962.43141875580363</v>
      </c>
      <c r="AJ52" s="191">
        <f xml:space="preserve"> Equity!AJ$57</f>
        <v>-960.32850872557128</v>
      </c>
      <c r="AK52" s="191">
        <f xml:space="preserve"> Equity!AK$57</f>
        <v>-3623.4727566615193</v>
      </c>
      <c r="AL52" s="191">
        <f xml:space="preserve"> Equity!AL$57</f>
        <v>-4080.2825010781335</v>
      </c>
      <c r="AM52" s="191">
        <f xml:space="preserve"> Equity!AM$57</f>
        <v>-942.10069259699731</v>
      </c>
      <c r="AN52" s="191">
        <f xml:space="preserve"> Equity!AN$57</f>
        <v>-939.95540787688628</v>
      </c>
      <c r="AO52" s="191">
        <f xml:space="preserve"> Equity!AO$57</f>
        <v>-3589.7970808290256</v>
      </c>
      <c r="AP52" s="191">
        <f xml:space="preserve"> Equity!AP$57</f>
        <v>-4044.2807733309892</v>
      </c>
      <c r="AQ52" s="191">
        <f xml:space="preserve"> Equity!AQ$57</f>
        <v>-921.65817621602537</v>
      </c>
      <c r="AR52" s="191">
        <f xml:space="preserve"> Equity!AR$57</f>
        <v>-919.46966293482092</v>
      </c>
      <c r="AS52" s="191">
        <f xml:space="preserve"> Equity!AS$57</f>
        <v>-3556.0738728542283</v>
      </c>
      <c r="AT52" s="191">
        <f xml:space="preserve"> Equity!AT$57</f>
        <v>-4008.2420104750345</v>
      </c>
      <c r="AU52" s="191">
        <f xml:space="preserve"> Equity!AU$57</f>
        <v>-901.10013497355976</v>
      </c>
      <c r="AV52" s="191">
        <f xml:space="preserve"> Equity!AV$57</f>
        <v>-898.86752205411403</v>
      </c>
      <c r="AW52" s="191">
        <f xml:space="preserve"> Equity!AW$57</f>
        <v>-3522.2990353904879</v>
      </c>
      <c r="AX52" s="191">
        <f xml:space="preserve"> Equity!AX$57</f>
        <v>-3972.1620412704606</v>
      </c>
      <c r="AY52" s="191">
        <f xml:space="preserve"> Equity!AY$57</f>
        <v>-880.42276634860264</v>
      </c>
      <c r="AZ52" s="191">
        <f xml:space="preserve"> Equity!AZ$57</f>
        <v>-878.14516516112872</v>
      </c>
      <c r="BA52" s="191">
        <f xml:space="preserve"> Equity!BA$57</f>
        <v>-3488.4684041472365</v>
      </c>
      <c r="BB52" s="191">
        <f xml:space="preserve"> Equity!BB$57</f>
        <v>-3936.0366274645103</v>
      </c>
      <c r="BC52" s="191">
        <f xml:space="preserve"> Equity!BC$57</f>
        <v>-859.62219853396186</v>
      </c>
      <c r="BD52" s="191">
        <f xml:space="preserve"> Equity!BD$57</f>
        <v>-857.29870254233629</v>
      </c>
      <c r="BE52" s="191">
        <f xml:space="preserve"> Equity!BE$57</f>
        <v>-3454.5777464633084</v>
      </c>
      <c r="BF52" s="191">
        <f xml:space="preserve"> Equity!BF$57</f>
        <v>-3899.8614623563581</v>
      </c>
      <c r="BG52" s="191">
        <f xml:space="preserve"> Equity!BG$57</f>
        <v>-838.69448900359203</v>
      </c>
      <c r="BH52" s="191">
        <f xml:space="preserve"> Equity!BH$57</f>
        <v>-836.32417340453526</v>
      </c>
      <c r="BI52" s="191">
        <f xml:space="preserve"> Equity!BI$57</f>
        <v>-3420.6227598519172</v>
      </c>
      <c r="BJ52" s="191">
        <f xml:space="preserve"> Equity!BJ$57</f>
        <v>-3863.6321693334994</v>
      </c>
      <c r="BK52" s="191">
        <f xml:space="preserve"> Equity!BK$57</f>
        <v>-817.63562305126288</v>
      </c>
      <c r="BL52" s="191">
        <f xml:space="preserve"> Equity!BL$57</f>
        <v>-815.21754440624545</v>
      </c>
      <c r="BM52" s="191">
        <f xml:space="preserve"> Equity!BM$57</f>
        <v>-3386.5990705166932</v>
      </c>
      <c r="BN52" s="191">
        <f xml:space="preserve"> Equity!BN$57</f>
        <v>-3827.3443003790517</v>
      </c>
      <c r="BO52" s="191">
        <f xml:space="preserve"> Equity!BO$57</f>
        <v>-796.44151229994668</v>
      </c>
      <c r="BP52" s="191">
        <f xml:space="preserve"> Equity!BP$57</f>
        <v>-793.97470815968154</v>
      </c>
      <c r="BQ52" s="191">
        <f xml:space="preserve"> Equity!BQ$57</f>
        <v>-3352.5022318382098</v>
      </c>
      <c r="BR52" s="191">
        <f xml:space="preserve"> Equity!BR$57</f>
        <v>-3790.9933345494137</v>
      </c>
      <c r="BS52" s="191">
        <f xml:space="preserve"> Equity!BS$57</f>
        <v>-775.10799318136537</v>
      </c>
      <c r="BT52" s="191">
        <f xml:space="preserve"> Equity!BT$57</f>
        <v>-772.59148170272965</v>
      </c>
      <c r="BU52" s="191">
        <f xml:space="preserve"> Equity!BU$57</f>
        <v>-3318.3277228303778</v>
      </c>
      <c r="BV52" s="191">
        <f xml:space="preserve"> Equity!BV$57</f>
        <v>-3754.5746764216574</v>
      </c>
      <c r="BW52" s="191">
        <f xml:space="preserve"> Equity!BW$57</f>
        <v>-753.63082538506251</v>
      </c>
      <c r="BX52" s="191">
        <f xml:space="preserve"> Equity!BX$57</f>
        <v>-751.06360494030423</v>
      </c>
      <c r="BY52" s="191">
        <f xml:space="preserve"> Equity!BY$57</f>
        <v>-3284.0709465661339</v>
      </c>
      <c r="BZ52" s="191">
        <f xml:space="preserve"> Equity!BZ$57</f>
        <v>-3718.0836545100374</v>
      </c>
      <c r="CA52" s="191">
        <f xml:space="preserve"> Equity!CA$57</f>
        <v>-732.00569027641495</v>
      </c>
      <c r="CB52" s="191">
        <f xml:space="preserve"> Equity!CB$57</f>
        <v>-729.38673905447968</v>
      </c>
      <c r="CC52" s="191">
        <f xml:space="preserve"> Equity!CC$57</f>
        <v>-3249.7272285717709</v>
      </c>
      <c r="CD52" s="191">
        <f xml:space="preserve"> Equity!CD$57</f>
        <v>-3681.5155196510214</v>
      </c>
      <c r="CE52" s="191">
        <f xml:space="preserve"> Equity!CE$57</f>
        <v>-710.22818928293464</v>
      </c>
      <c r="CF52" s="191">
        <f xml:space="preserve"> Equity!CF$57</f>
        <v>-707.55646488276489</v>
      </c>
      <c r="CG52" s="191">
        <f xml:space="preserve"> Equity!CG$57</f>
        <v>-3215.2918151892882</v>
      </c>
      <c r="CH52" s="191">
        <f xml:space="preserve"> Equity!CH$57</f>
        <v>-3644.8654433561715</v>
      </c>
      <c r="CI52" s="191">
        <f xml:space="preserve"> Equity!CI$57</f>
        <v>-688.29384224823389</v>
      </c>
      <c r="CJ52" s="191">
        <f xml:space="preserve"> Equity!CJ$57</f>
        <v>-685.56828126386836</v>
      </c>
      <c r="CK52" s="191">
        <f xml:space="preserve"> Equity!CK$57</f>
        <v>-3180.759871906117</v>
      </c>
      <c r="CL52" s="191">
        <f xml:space="preserve"> Equity!CL$57</f>
        <v>-3608.1285161322512</v>
      </c>
      <c r="CM52" s="191">
        <f xml:space="preserve"> Equity!CM$57</f>
        <v>-666.19808575299317</v>
      </c>
      <c r="CN52" s="191">
        <f xml:space="preserve"> Equity!CN$57</f>
        <v>-663.41760335030904</v>
      </c>
      <c r="CO52" s="191">
        <f xml:space="preserve"> Equity!CO$57</f>
        <v>-3146.1264816515677</v>
      </c>
      <c r="CP52" s="191">
        <f xml:space="preserve"> Equity!CP$57</f>
        <v>-3571.2997457678875</v>
      </c>
      <c r="CQ52" s="191">
        <f xml:space="preserve"> Equity!CQ$57</f>
        <v>-643.93627140228091</v>
      </c>
      <c r="CR52" s="191">
        <f xml:space="preserve"> Equity!CR$57</f>
        <v>-641.0997608872035</v>
      </c>
      <c r="CS52" s="191">
        <f xml:space="preserve"> Equity!CS$57</f>
        <v>-3111.3866430593098</v>
      </c>
      <c r="CT52" s="191">
        <f xml:space="preserve"> Equity!CT$57</f>
        <v>-3534.3740555861114</v>
      </c>
      <c r="CU52" s="191">
        <f xml:space="preserve"> Equity!CU$57</f>
        <v>-621.50366407852198</v>
      </c>
      <c r="CV52" s="191">
        <f xml:space="preserve"> Equity!CV$57</f>
        <v>-618.60999645653737</v>
      </c>
      <c r="CW52" s="191">
        <f xml:space="preserve"> Equity!CW$57</f>
        <v>-3076.5352686952083</v>
      </c>
      <c r="CX52" s="191">
        <f xml:space="preserve"> Equity!CX$57</f>
        <v>-3497.3462826620735</v>
      </c>
      <c r="CY52" s="191">
        <f xml:space="preserve"> Equity!CY$57</f>
        <v>-598.89544015944239</v>
      </c>
      <c r="CZ52" s="191">
        <f xml:space="preserve"> Equity!CZ$57</f>
        <v>-595.94346368623292</v>
      </c>
      <c r="DA52" s="191">
        <f xml:space="preserve"> Equity!DA$57</f>
        <v>-3041.5671832498269</v>
      </c>
      <c r="DB52" s="191">
        <f xml:space="preserve"> Equity!DB$57</f>
        <v>-3460.2111760052694</v>
      </c>
      <c r="DC52" s="191">
        <f xml:space="preserve"> Equity!DC$57</f>
        <v>-576.10668570027906</v>
      </c>
      <c r="DD52" s="191">
        <f xml:space="preserve"> Equity!DD$57</f>
        <v>-573.09522542330069</v>
      </c>
      <c r="DE52" s="191">
        <f xml:space="preserve"> Equity!DE$57</f>
        <v>-3006.477121694857</v>
      </c>
      <c r="DF52" s="191">
        <f xml:space="preserve"> Equity!DF$57</f>
        <v>-3422.9633947055136</v>
      </c>
      <c r="DG52" s="191">
        <f xml:space="preserve"> Equity!DG$57</f>
        <v>-553.13239457952204</v>
      </c>
      <c r="DH52" s="191">
        <f xml:space="preserve"> Equity!DH$57</f>
        <v>-550.06025187035084</v>
      </c>
      <c r="DI52" s="191">
        <f xml:space="preserve"> Equity!DI$57</f>
        <v>0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236</v>
      </c>
      <c r="F53" s="163"/>
      <c r="G53" s="163" t="str">
        <f>SMU</f>
        <v>$ 000s</v>
      </c>
      <c r="H53" s="163">
        <f xml:space="preserve"> SUM(J53:EA53)</f>
        <v>100000.00000000003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1530.7428821331532</v>
      </c>
      <c r="P53" s="163">
        <f t="shared" si="36"/>
        <v>967.98426377830538</v>
      </c>
      <c r="Q53" s="163">
        <f t="shared" si="36"/>
        <v>-784.55900878741113</v>
      </c>
      <c r="R53" s="163">
        <f t="shared" si="36"/>
        <v>729.47998872046082</v>
      </c>
      <c r="S53" s="163">
        <f t="shared" si="36"/>
        <v>3097.5232373845779</v>
      </c>
      <c r="T53" s="163">
        <f t="shared" si="36"/>
        <v>968.22879172262128</v>
      </c>
      <c r="U53" s="163">
        <f t="shared" si="36"/>
        <v>-775.69997053253155</v>
      </c>
      <c r="V53" s="163">
        <f t="shared" si="36"/>
        <v>730.80699398122397</v>
      </c>
      <c r="W53" s="163">
        <f t="shared" si="36"/>
        <v>3087.103627190862</v>
      </c>
      <c r="X53" s="163">
        <f t="shared" si="36"/>
        <v>984.73662715583146</v>
      </c>
      <c r="Y53" s="163">
        <f t="shared" si="36"/>
        <v>-783.14820360753856</v>
      </c>
      <c r="Z53" s="163">
        <f t="shared" si="36"/>
        <v>732.12701707765973</v>
      </c>
      <c r="AA53" s="163">
        <f t="shared" si="36"/>
        <v>3076.7361748120429</v>
      </c>
      <c r="AB53" s="163">
        <f t="shared" si="36"/>
        <v>968.71938328941951</v>
      </c>
      <c r="AC53" s="163">
        <f t="shared" si="36"/>
        <v>-758.11507574788902</v>
      </c>
      <c r="AD53" s="163">
        <f t="shared" si="36"/>
        <v>733.44008508673414</v>
      </c>
      <c r="AE53" s="163">
        <f t="shared" si="36"/>
        <v>3066.420627183667</v>
      </c>
      <c r="AF53" s="163">
        <f t="shared" si="36"/>
        <v>968.96551168941369</v>
      </c>
      <c r="AG53" s="163">
        <f t="shared" si="36"/>
        <v>-749.38879372580914</v>
      </c>
      <c r="AH53" s="163">
        <f t="shared" si="36"/>
        <v>734.74622479633581</v>
      </c>
      <c r="AI53" s="163">
        <f t="shared" si="36"/>
        <v>3056.1567326298273</v>
      </c>
      <c r="AJ53" s="163">
        <f t="shared" si="36"/>
        <v>969.21223925965342</v>
      </c>
      <c r="AK53" s="163">
        <f t="shared" si="36"/>
        <v>-740.70634031933014</v>
      </c>
      <c r="AL53" s="163">
        <f t="shared" si="36"/>
        <v>736.04546270362152</v>
      </c>
      <c r="AM53" s="163">
        <f t="shared" si="36"/>
        <v>3045.9442408588479</v>
      </c>
      <c r="AN53" s="163">
        <f t="shared" si="36"/>
        <v>985.25122264106653</v>
      </c>
      <c r="AO53" s="163">
        <f t="shared" si="36"/>
        <v>-747.85912869714002</v>
      </c>
      <c r="AP53" s="163">
        <f t="shared" si="36"/>
        <v>737.33782501327732</v>
      </c>
      <c r="AQ53" s="163">
        <f t="shared" si="36"/>
        <v>3035.7829029590757</v>
      </c>
      <c r="AR53" s="163">
        <f t="shared" si="36"/>
        <v>969.70762755262331</v>
      </c>
      <c r="AS53" s="163">
        <f t="shared" si="36"/>
        <v>-723.4720817450052</v>
      </c>
      <c r="AT53" s="163">
        <f t="shared" si="36"/>
        <v>738.62333763574497</v>
      </c>
      <c r="AU53" s="163">
        <f t="shared" si="36"/>
        <v>3025.6724713947165</v>
      </c>
      <c r="AV53" s="163">
        <f t="shared" si="36"/>
        <v>969.95635753955094</v>
      </c>
      <c r="AW53" s="163">
        <f t="shared" si="36"/>
        <v>-714.91986079924618</v>
      </c>
      <c r="AX53" s="163">
        <f t="shared" si="36"/>
        <v>739.90202618537296</v>
      </c>
      <c r="AY53" s="163">
        <f t="shared" si="36"/>
        <v>3015.6127000017718</v>
      </c>
      <c r="AZ53" s="163">
        <f t="shared" si="36"/>
        <v>970.2058252495026</v>
      </c>
      <c r="BA53" s="163">
        <f t="shared" si="36"/>
        <v>-706.41063690806504</v>
      </c>
      <c r="BB53" s="163">
        <f t="shared" si="36"/>
        <v>741.17391597853384</v>
      </c>
      <c r="BC53" s="163">
        <f t="shared" si="36"/>
        <v>3005.6033439840294</v>
      </c>
      <c r="BD53" s="163">
        <f t="shared" si="36"/>
        <v>985.77335655459683</v>
      </c>
      <c r="BE53" s="163">
        <f t="shared" si="36"/>
        <v>-713.26149493852608</v>
      </c>
      <c r="BF53" s="163">
        <f t="shared" si="36"/>
        <v>742.43903203166428</v>
      </c>
      <c r="BG53" s="163">
        <f t="shared" si="36"/>
        <v>2995.6441599091504</v>
      </c>
      <c r="BH53" s="163">
        <f t="shared" si="36"/>
        <v>970.70711898360628</v>
      </c>
      <c r="BI53" s="163">
        <f t="shared" si="36"/>
        <v>-689.52036199356644</v>
      </c>
      <c r="BJ53" s="163">
        <f t="shared" si="36"/>
        <v>743.69739905924416</v>
      </c>
      <c r="BK53" s="163">
        <f t="shared" si="36"/>
        <v>2985.7349057048255</v>
      </c>
      <c r="BL53" s="163">
        <f t="shared" si="36"/>
        <v>970.95901914901788</v>
      </c>
      <c r="BM53" s="163">
        <f t="shared" si="36"/>
        <v>-681.13890482366742</v>
      </c>
      <c r="BN53" s="163">
        <f t="shared" si="36"/>
        <v>744.94904147173384</v>
      </c>
      <c r="BO53" s="163">
        <f t="shared" si="36"/>
        <v>2975.8753406550072</v>
      </c>
      <c r="BP53" s="163">
        <f t="shared" si="36"/>
        <v>971.21180534636937</v>
      </c>
      <c r="BQ53" s="163">
        <f t="shared" si="36"/>
        <v>-672.79963241065661</v>
      </c>
      <c r="BR53" s="163">
        <f t="shared" si="36"/>
        <v>746.19398337343773</v>
      </c>
      <c r="BS53" s="163">
        <f t="shared" si="36"/>
        <v>2966.0652253962171</v>
      </c>
      <c r="BT53" s="163">
        <f t="shared" si="36"/>
        <v>986.30435059941806</v>
      </c>
      <c r="BU53" s="163">
        <f t="shared" si="36"/>
        <v>-679.34117899714056</v>
      </c>
      <c r="BV53" s="163">
        <f t="shared" si="36"/>
        <v>747.43224856028974</v>
      </c>
      <c r="BW53" s="163">
        <f t="shared" ref="BW53:EA53" si="37" xml:space="preserve"> BW50 + BW52</f>
        <v>2956.3043219139508</v>
      </c>
      <c r="BX53" s="163">
        <f t="shared" si="37"/>
        <v>971.72019130968602</v>
      </c>
      <c r="BY53" s="163">
        <f t="shared" si="37"/>
        <v>-656.24684272014838</v>
      </c>
      <c r="BZ53" s="163">
        <f t="shared" si="37"/>
        <v>748.66386051761037</v>
      </c>
      <c r="CA53" s="163">
        <f t="shared" si="37"/>
        <v>2946.5923935391452</v>
      </c>
      <c r="CB53" s="163">
        <f t="shared" si="37"/>
        <v>971.97587051644086</v>
      </c>
      <c r="CC53" s="163">
        <f t="shared" si="37"/>
        <v>-648.03292885501241</v>
      </c>
      <c r="CD53" s="163">
        <f t="shared" si="37"/>
        <v>749.8888424177685</v>
      </c>
      <c r="CE53" s="163">
        <f t="shared" si="37"/>
        <v>2936.9292049447395</v>
      </c>
      <c r="CF53" s="163">
        <f t="shared" si="37"/>
        <v>972.2325946652727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974.06250169295845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1530.7428821331532</v>
      </c>
      <c r="P63" s="191">
        <f xml:space="preserve"> Equity!P$39</f>
        <v>2498.7271459114586</v>
      </c>
      <c r="Q63" s="191">
        <f xml:space="preserve"> Equity!Q$39</f>
        <v>1714.1681371240475</v>
      </c>
      <c r="R63" s="191">
        <f xml:space="preserve"> Equity!R$39</f>
        <v>2443.6481258445083</v>
      </c>
      <c r="S63" s="191">
        <f xml:space="preserve"> Equity!S$39</f>
        <v>5541.1713632290866</v>
      </c>
      <c r="T63" s="191">
        <f xml:space="preserve"> Equity!T$39</f>
        <v>6509.400154951707</v>
      </c>
      <c r="U63" s="191">
        <f xml:space="preserve"> Equity!U$39</f>
        <v>5733.7001844191745</v>
      </c>
      <c r="V63" s="191">
        <f xml:space="preserve"> Equity!V$39</f>
        <v>6464.5071784003976</v>
      </c>
      <c r="W63" s="191">
        <f xml:space="preserve"> Equity!W$39</f>
        <v>9551.6108055912591</v>
      </c>
      <c r="X63" s="191">
        <f xml:space="preserve"> Equity!X$39</f>
        <v>10536.34743274709</v>
      </c>
      <c r="Y63" s="191">
        <f xml:space="preserve"> Equity!Y$39</f>
        <v>9753.1992291395527</v>
      </c>
      <c r="Z63" s="191">
        <f xml:space="preserve"> Equity!Z$39</f>
        <v>10485.326246217212</v>
      </c>
      <c r="AA63" s="191">
        <f xml:space="preserve"> Equity!AA$39</f>
        <v>13562.062421029255</v>
      </c>
      <c r="AB63" s="191">
        <f xml:space="preserve"> Equity!AB$39</f>
        <v>14530.781804318674</v>
      </c>
      <c r="AC63" s="191">
        <f xml:space="preserve"> Equity!AC$39</f>
        <v>13772.666728570784</v>
      </c>
      <c r="AD63" s="191">
        <f xml:space="preserve"> Equity!AD$39</f>
        <v>14506.10681365752</v>
      </c>
      <c r="AE63" s="191">
        <f xml:space="preserve"> Equity!AE$39</f>
        <v>17572.527440841186</v>
      </c>
      <c r="AF63" s="191">
        <f xml:space="preserve"> Equity!AF$39</f>
        <v>18541.4929525306</v>
      </c>
      <c r="AG63" s="191">
        <f xml:space="preserve"> Equity!AG$39</f>
        <v>17792.104158804788</v>
      </c>
      <c r="AH63" s="191">
        <f xml:space="preserve"> Equity!AH$39</f>
        <v>18526.850383601122</v>
      </c>
      <c r="AI63" s="191">
        <f xml:space="preserve"> Equity!AI$39</f>
        <v>21583.007116230947</v>
      </c>
      <c r="AJ63" s="191">
        <f xml:space="preserve"> Equity!AJ$39</f>
        <v>22552.219355490601</v>
      </c>
      <c r="AK63" s="191">
        <f xml:space="preserve"> Equity!AK$39</f>
        <v>21811.513015171273</v>
      </c>
      <c r="AL63" s="191">
        <f xml:space="preserve"> Equity!AL$39</f>
        <v>22547.558477874893</v>
      </c>
      <c r="AM63" s="191">
        <f xml:space="preserve"> Equity!AM$39</f>
        <v>25593.502718733744</v>
      </c>
      <c r="AN63" s="191">
        <f xml:space="preserve"> Equity!AN$39</f>
        <v>26578.753941374813</v>
      </c>
      <c r="AO63" s="191">
        <f xml:space="preserve"> Equity!AO$39</f>
        <v>25830.89481267767</v>
      </c>
      <c r="AP63" s="191">
        <f xml:space="preserve"> Equity!AP$39</f>
        <v>26568.232637690948</v>
      </c>
      <c r="AQ63" s="191">
        <f xml:space="preserve"> Equity!AQ$39</f>
        <v>29604.015540650023</v>
      </c>
      <c r="AR63" s="191">
        <f xml:space="preserve"> Equity!AR$39</f>
        <v>30573.723168202647</v>
      </c>
      <c r="AS63" s="191">
        <f xml:space="preserve"> Equity!AS$39</f>
        <v>29850.25108645764</v>
      </c>
      <c r="AT63" s="191">
        <f xml:space="preserve"> Equity!AT$39</f>
        <v>30588.874424093388</v>
      </c>
      <c r="AU63" s="191">
        <f xml:space="preserve"> Equity!AU$39</f>
        <v>33614.546895488107</v>
      </c>
      <c r="AV63" s="191">
        <f xml:space="preserve"> Equity!AV$39</f>
        <v>34584.503253027659</v>
      </c>
      <c r="AW63" s="191">
        <f xml:space="preserve"> Equity!AW$39</f>
        <v>33869.583392228407</v>
      </c>
      <c r="AX63" s="191">
        <f xml:space="preserve"> Equity!AX$39</f>
        <v>34609.48541841378</v>
      </c>
      <c r="AY63" s="191">
        <f xml:space="preserve"> Equity!AY$39</f>
        <v>37625.098118415553</v>
      </c>
      <c r="AZ63" s="191">
        <f xml:space="preserve"> Equity!AZ$39</f>
        <v>38595.303943665058</v>
      </c>
      <c r="BA63" s="191">
        <f xml:space="preserve"> Equity!BA$39</f>
        <v>37888.893306756996</v>
      </c>
      <c r="BB63" s="191">
        <f xml:space="preserve"> Equity!BB$39</f>
        <v>38630.067222735524</v>
      </c>
      <c r="BC63" s="191">
        <f xml:space="preserve"> Equity!BC$39</f>
        <v>41635.670566719549</v>
      </c>
      <c r="BD63" s="191">
        <f xml:space="preserve"> Equity!BD$39</f>
        <v>42621.44392327415</v>
      </c>
      <c r="BE63" s="191">
        <f xml:space="preserve"> Equity!BE$39</f>
        <v>41908.182428335625</v>
      </c>
      <c r="BF63" s="191">
        <f xml:space="preserve"> Equity!BF$39</f>
        <v>42650.621460367292</v>
      </c>
      <c r="BG63" s="191">
        <f xml:space="preserve"> Equity!BG$39</f>
        <v>45646.265620276448</v>
      </c>
      <c r="BH63" s="191">
        <f xml:space="preserve"> Equity!BH$39</f>
        <v>46616.972739260054</v>
      </c>
      <c r="BI63" s="191">
        <f xml:space="preserve"> Equity!BI$39</f>
        <v>45927.452377266483</v>
      </c>
      <c r="BJ63" s="191">
        <f xml:space="preserve"> Equity!BJ$39</f>
        <v>46671.149776325728</v>
      </c>
      <c r="BK63" s="191">
        <f xml:space="preserve"> Equity!BK$39</f>
        <v>49656.884682030555</v>
      </c>
      <c r="BL63" s="191">
        <f xml:space="preserve"> Equity!BL$39</f>
        <v>50627.843701179576</v>
      </c>
      <c r="BM63" s="191">
        <f xml:space="preserve"> Equity!BM$39</f>
        <v>49946.704796355909</v>
      </c>
      <c r="BN63" s="191">
        <f xml:space="preserve"> Equity!BN$39</f>
        <v>50691.653837827638</v>
      </c>
      <c r="BO63" s="191">
        <f xml:space="preserve"> Equity!BO$39</f>
        <v>53667.52917848264</v>
      </c>
      <c r="BP63" s="191">
        <f xml:space="preserve"> Equity!BP$39</f>
        <v>54638.740983829011</v>
      </c>
      <c r="BQ63" s="191">
        <f xml:space="preserve"> Equity!BQ$39</f>
        <v>53965.941351418354</v>
      </c>
      <c r="BR63" s="191">
        <f xml:space="preserve"> Equity!BR$39</f>
        <v>54712.13533479179</v>
      </c>
      <c r="BS63" s="191">
        <f xml:space="preserve"> Equity!BS$39</f>
        <v>57678.200560188008</v>
      </c>
      <c r="BT63" s="191">
        <f xml:space="preserve"> Equity!BT$39</f>
        <v>58664.504910787429</v>
      </c>
      <c r="BU63" s="191">
        <f xml:space="preserve"> Equity!BU$39</f>
        <v>57985.163731790286</v>
      </c>
      <c r="BV63" s="191">
        <f xml:space="preserve"> Equity!BV$39</f>
        <v>58732.595980350576</v>
      </c>
      <c r="BW63" s="191">
        <f xml:space="preserve"> Equity!BW$39</f>
        <v>61688.900302264527</v>
      </c>
      <c r="BX63" s="191">
        <f xml:space="preserve"> Equity!BX$39</f>
        <v>62660.620493574213</v>
      </c>
      <c r="BY63" s="191">
        <f xml:space="preserve"> Equity!BY$39</f>
        <v>62004.373650854061</v>
      </c>
      <c r="BZ63" s="191">
        <f xml:space="preserve"> Equity!BZ$39</f>
        <v>62753.037511371665</v>
      </c>
      <c r="CA63" s="191">
        <f xml:space="preserve"> Equity!CA$39</f>
        <v>65699.629904910806</v>
      </c>
      <c r="CB63" s="191">
        <f xml:space="preserve"> Equity!CB$39</f>
        <v>66671.605775427248</v>
      </c>
      <c r="CC63" s="191">
        <f xml:space="preserve"> Equity!CC$39</f>
        <v>66023.572846572235</v>
      </c>
      <c r="CD63" s="191">
        <f xml:space="preserve"> Equity!CD$39</f>
        <v>66773.461688990006</v>
      </c>
      <c r="CE63" s="191">
        <f xml:space="preserve"> Equity!CE$39</f>
        <v>69710.390893934746</v>
      </c>
      <c r="CF63" s="191">
        <f xml:space="preserve"> Equity!CF$39</f>
        <v>70682.623488600017</v>
      </c>
      <c r="CG63" s="191">
        <f xml:space="preserve"> Equity!CG$39</f>
        <v>70042.763082032354</v>
      </c>
      <c r="CH63" s="191">
        <f xml:space="preserve"> Equity!CH$39</f>
        <v>70793.870299150134</v>
      </c>
      <c r="CI63" s="191">
        <f xml:space="preserve"> Equity!CI$39</f>
        <v>73721.184821292438</v>
      </c>
      <c r="CJ63" s="191">
        <f xml:space="preserve"> Equity!CJ$39</f>
        <v>74708.03044382896</v>
      </c>
      <c r="CK63" s="191">
        <f xml:space="preserve"> Equity!CK$39</f>
        <v>74061.946146002432</v>
      </c>
      <c r="CL63" s="191">
        <f xml:space="preserve"> Equity!CL$39</f>
        <v>74814.265153159315</v>
      </c>
      <c r="CM63" s="191">
        <f xml:space="preserve"> Equity!CM$39</f>
        <v>77732.013265638103</v>
      </c>
      <c r="CN63" s="191">
        <f xml:space="preserve"> Equity!CN$39</f>
        <v>78704.762610119855</v>
      </c>
      <c r="CO63" s="191">
        <f xml:space="preserve"> Equity!CO$39</f>
        <v>78081.123853497484</v>
      </c>
      <c r="CP63" s="191">
        <f xml:space="preserve"> Equity!CP$39</f>
        <v>78834.648088251401</v>
      </c>
      <c r="CQ63" s="191">
        <f xml:space="preserve"> Equity!CQ$39</f>
        <v>81742.877832884682</v>
      </c>
      <c r="CR63" s="191">
        <f xml:space="preserve"> Equity!CR$39</f>
        <v>82715.887288231592</v>
      </c>
      <c r="CS63" s="191">
        <f xml:space="preserve"> Equity!CS$39</f>
        <v>82100.298046357013</v>
      </c>
      <c r="CT63" s="191">
        <f xml:space="preserve"> Equity!CT$39</f>
        <v>82855.020968161843</v>
      </c>
      <c r="CU63" s="191">
        <f xml:space="preserve"> Equity!CU$39</f>
        <v>85753.780156775814</v>
      </c>
      <c r="CV63" s="191">
        <f xml:space="preserve"> Equity!CV$39</f>
        <v>86727.05093835594</v>
      </c>
      <c r="CW63" s="191">
        <f xml:space="preserve"> Equity!CW$39</f>
        <v>86119.470593834194</v>
      </c>
      <c r="CX63" s="191">
        <f xml:space="preserve"> Equity!CX$39</f>
        <v>86875.385683714165</v>
      </c>
      <c r="CY63" s="191">
        <f xml:space="preserve"> Equity!CY$39</f>
        <v>89764.721899469223</v>
      </c>
      <c r="CZ63" s="191">
        <f xml:space="preserve"> Equity!CZ$39</f>
        <v>90752.120593905114</v>
      </c>
      <c r="DA63" s="191">
        <f xml:space="preserve"> Equity!DA$39</f>
        <v>90138.6433931965</v>
      </c>
      <c r="DB63" s="191">
        <f xml:space="preserve"> Equity!DB$39</f>
        <v>90895.744153417763</v>
      </c>
      <c r="DC63" s="191">
        <f xml:space="preserve"> Equity!DC$39</f>
        <v>93775.704752131613</v>
      </c>
      <c r="DD63" s="191">
        <f xml:space="preserve"> Equity!DD$39</f>
        <v>94749.502011160206</v>
      </c>
      <c r="DE63" s="191">
        <f xml:space="preserve"> Equity!DE$39</f>
        <v>94157.81837033818</v>
      </c>
      <c r="DF63" s="191">
        <f xml:space="preserve"> Equity!DF$39</f>
        <v>94916.098324077684</v>
      </c>
      <c r="DG63" s="191">
        <f xml:space="preserve"> Equity!DG$39</f>
        <v>97786.730435545585</v>
      </c>
      <c r="DH63" s="191">
        <f xml:space="preserve"> Equity!DH$39</f>
        <v>98760.792937238541</v>
      </c>
      <c r="DI63" s="191">
        <f xml:space="preserve"> Equity!DI$39</f>
        <v>100000</v>
      </c>
      <c r="DJ63" s="191">
        <f xml:space="preserve"> Equity!DJ$39</f>
        <v>100000</v>
      </c>
      <c r="DK63" s="191">
        <f xml:space="preserve"> Equity!DK$39</f>
        <v>100000</v>
      </c>
      <c r="DL63" s="191">
        <f xml:space="preserve"> Equity!DL$39</f>
        <v>100000</v>
      </c>
      <c r="DM63" s="191">
        <f xml:space="preserve"> Equity!DM$39</f>
        <v>100000</v>
      </c>
      <c r="DN63" s="191">
        <f xml:space="preserve"> Equity!DN$39</f>
        <v>100000</v>
      </c>
      <c r="DO63" s="191">
        <f xml:space="preserve"> Equity!DO$39</f>
        <v>100000</v>
      </c>
      <c r="DP63" s="191">
        <f xml:space="preserve"> Equity!DP$39</f>
        <v>100000</v>
      </c>
      <c r="DQ63" s="191">
        <f xml:space="preserve"> Equity!DQ$39</f>
        <v>100000</v>
      </c>
      <c r="DR63" s="191">
        <f xml:space="preserve"> Equity!DR$39</f>
        <v>100000</v>
      </c>
      <c r="DS63" s="191">
        <f xml:space="preserve"> Equity!DS$39</f>
        <v>100000</v>
      </c>
      <c r="DT63" s="191">
        <f xml:space="preserve"> Equity!DT$39</f>
        <v>100000</v>
      </c>
      <c r="DU63" s="191">
        <f xml:space="preserve"> Equity!DU$39</f>
        <v>100000</v>
      </c>
      <c r="DV63" s="191">
        <f xml:space="preserve"> Equity!DV$39</f>
        <v>100000</v>
      </c>
      <c r="DW63" s="191">
        <f xml:space="preserve"> Equity!DW$39</f>
        <v>100000</v>
      </c>
      <c r="DX63" s="191">
        <f xml:space="preserve"> Equity!DX$39</f>
        <v>100000</v>
      </c>
      <c r="DY63" s="191">
        <f xml:space="preserve"> Equity!DY$39</f>
        <v>100000</v>
      </c>
      <c r="DZ63" s="191">
        <f xml:space="preserve"> Equity!DZ$39</f>
        <v>100000</v>
      </c>
      <c r="EA63" s="191">
        <f xml:space="preserve"> Equity!EA$39</f>
        <v>100000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3124.1260343070653</v>
      </c>
      <c r="P65" s="188">
        <f t="shared" si="42"/>
        <v>4127.5188125781251</v>
      </c>
      <c r="Q65" s="188">
        <f t="shared" si="42"/>
        <v>5126.7480944801246</v>
      </c>
      <c r="R65" s="188">
        <f t="shared" si="42"/>
        <v>6125.9972497899989</v>
      </c>
      <c r="S65" s="188">
        <f t="shared" si="42"/>
        <v>7126.6272360389485</v>
      </c>
      <c r="T65" s="188">
        <f t="shared" si="42"/>
        <v>8130.0883804906789</v>
      </c>
      <c r="U65" s="188">
        <f t="shared" si="42"/>
        <v>9129.3021320371627</v>
      </c>
      <c r="V65" s="188">
        <f t="shared" si="42"/>
        <v>10128.536157450637</v>
      </c>
      <c r="W65" s="188">
        <f t="shared" si="42"/>
        <v>11129.178838237891</v>
      </c>
      <c r="X65" s="188">
        <f t="shared" si="42"/>
        <v>12131.251377840388</v>
      </c>
      <c r="Y65" s="188">
        <f t="shared" si="42"/>
        <v>13131.90763472959</v>
      </c>
      <c r="Z65" s="188">
        <f t="shared" si="42"/>
        <v>14131.12622537168</v>
      </c>
      <c r="AA65" s="188">
        <f t="shared" si="42"/>
        <v>15131.781856498539</v>
      </c>
      <c r="AB65" s="188">
        <f t="shared" si="42"/>
        <v>16135.383893909499</v>
      </c>
      <c r="AC65" s="188">
        <f t="shared" si="42"/>
        <v>17134.565639605647</v>
      </c>
      <c r="AD65" s="188">
        <f t="shared" si="42"/>
        <v>18133.768484457985</v>
      </c>
      <c r="AE65" s="188">
        <f t="shared" si="42"/>
        <v>19134.437326880274</v>
      </c>
      <c r="AF65" s="188">
        <f t="shared" si="42"/>
        <v>20138.111947148336</v>
      </c>
      <c r="AG65" s="188">
        <f t="shared" si="42"/>
        <v>21137.277204610622</v>
      </c>
      <c r="AH65" s="188">
        <f t="shared" si="42"/>
        <v>22136.463986387658</v>
      </c>
      <c r="AI65" s="188">
        <f t="shared" si="42"/>
        <v>23137.146306319592</v>
      </c>
      <c r="AJ65" s="188">
        <f t="shared" si="42"/>
        <v>24140.894972025661</v>
      </c>
      <c r="AK65" s="188">
        <f t="shared" si="42"/>
        <v>25140.043409007925</v>
      </c>
      <c r="AL65" s="188">
        <f t="shared" si="42"/>
        <v>26139.213804030649</v>
      </c>
      <c r="AM65" s="188">
        <f t="shared" si="42"/>
        <v>27139.909873050805</v>
      </c>
      <c r="AN65" s="188">
        <f t="shared" si="42"/>
        <v>28142.154580904149</v>
      </c>
      <c r="AO65" s="188">
        <f t="shared" si="42"/>
        <v>29142.865353808669</v>
      </c>
      <c r="AP65" s="188">
        <f t="shared" ref="AP65:BU65" si="43">SUM(AP63:AP64)</f>
        <v>30142.019031875781</v>
      </c>
      <c r="AQ65" s="188">
        <f t="shared" si="43"/>
        <v>31142.729127035156</v>
      </c>
      <c r="AR65" s="188">
        <f t="shared" si="43"/>
        <v>32146.630389840786</v>
      </c>
      <c r="AS65" s="188">
        <f t="shared" si="43"/>
        <v>33145.744162209878</v>
      </c>
      <c r="AT65" s="188">
        <f t="shared" si="43"/>
        <v>34144.880786466354</v>
      </c>
      <c r="AU65" s="188">
        <f t="shared" si="43"/>
        <v>35145.605190398688</v>
      </c>
      <c r="AV65" s="188">
        <f t="shared" si="43"/>
        <v>36149.585065602922</v>
      </c>
      <c r="AW65" s="188">
        <f t="shared" si="43"/>
        <v>37148.680980041579</v>
      </c>
      <c r="AX65" s="188">
        <f t="shared" si="43"/>
        <v>38147.800206844593</v>
      </c>
      <c r="AY65" s="188">
        <f t="shared" si="43"/>
        <v>39148.539207878821</v>
      </c>
      <c r="AZ65" s="188">
        <f t="shared" si="43"/>
        <v>40152.59927956084</v>
      </c>
      <c r="BA65" s="188">
        <f t="shared" si="43"/>
        <v>41151.676976222836</v>
      </c>
      <c r="BB65" s="188">
        <f t="shared" si="43"/>
        <v>42150.778455004991</v>
      </c>
      <c r="BC65" s="188">
        <f t="shared" si="43"/>
        <v>43151.532347280016</v>
      </c>
      <c r="BD65" s="188">
        <f t="shared" si="43"/>
        <v>44153.963525599014</v>
      </c>
      <c r="BE65" s="188">
        <f t="shared" si="43"/>
        <v>45154.73334322701</v>
      </c>
      <c r="BF65" s="188">
        <f t="shared" si="43"/>
        <v>46153.816716356814</v>
      </c>
      <c r="BG65" s="188">
        <f t="shared" si="43"/>
        <v>47154.585799938599</v>
      </c>
      <c r="BH65" s="188">
        <f t="shared" si="43"/>
        <v>48158.811145136926</v>
      </c>
      <c r="BI65" s="188">
        <f t="shared" si="43"/>
        <v>49157.851297556423</v>
      </c>
      <c r="BJ65" s="188">
        <f t="shared" si="43"/>
        <v>50156.916200195898</v>
      </c>
      <c r="BK65" s="188">
        <f t="shared" si="43"/>
        <v>51157.70078119688</v>
      </c>
      <c r="BL65" s="188">
        <f t="shared" si="43"/>
        <v>52162.011269216266</v>
      </c>
      <c r="BM65" s="188">
        <f t="shared" si="43"/>
        <v>53161.032080226491</v>
      </c>
      <c r="BN65" s="188">
        <f t="shared" si="43"/>
        <v>54160.078140186015</v>
      </c>
      <c r="BO65" s="188">
        <f t="shared" si="43"/>
        <v>55160.878530886941</v>
      </c>
      <c r="BP65" s="188">
        <f t="shared" si="43"/>
        <v>56165.275877397857</v>
      </c>
      <c r="BQ65" s="188">
        <f t="shared" si="43"/>
        <v>57164.276957259732</v>
      </c>
      <c r="BR65" s="188">
        <f t="shared" si="43"/>
        <v>58163.303794849882</v>
      </c>
      <c r="BS65" s="188">
        <f t="shared" si="43"/>
        <v>59164.120313824125</v>
      </c>
      <c r="BT65" s="188">
        <f t="shared" si="43"/>
        <v>60166.753452925048</v>
      </c>
      <c r="BU65" s="188">
        <f t="shared" si="43"/>
        <v>61167.587220189671</v>
      </c>
      <c r="BV65" s="188">
        <f t="shared" ref="BV65:DA65" si="44">SUM(BV63:BV64)</f>
        <v>62166.594448070071</v>
      </c>
      <c r="BW65" s="188">
        <f t="shared" si="44"/>
        <v>63167.427420310414</v>
      </c>
      <c r="BX65" s="188">
        <f t="shared" si="44"/>
        <v>64172.003769798903</v>
      </c>
      <c r="BY65" s="188">
        <f t="shared" si="44"/>
        <v>65170.964186574842</v>
      </c>
      <c r="BZ65" s="188">
        <f t="shared" si="44"/>
        <v>66169.95140960002</v>
      </c>
      <c r="CA65" s="188">
        <f t="shared" si="44"/>
        <v>67170.801166648016</v>
      </c>
      <c r="CB65" s="188">
        <f t="shared" si="44"/>
        <v>68175.469731869729</v>
      </c>
      <c r="CC65" s="188">
        <f t="shared" si="44"/>
        <v>69174.409200523267</v>
      </c>
      <c r="CD65" s="188">
        <f t="shared" si="44"/>
        <v>70173.376015585382</v>
      </c>
      <c r="CE65" s="188">
        <f t="shared" si="44"/>
        <v>71174.242895663308</v>
      </c>
      <c r="CF65" s="188">
        <f t="shared" si="44"/>
        <v>72179.00553481144</v>
      </c>
      <c r="CG65" s="188">
        <f t="shared" si="44"/>
        <v>73177.923633227401</v>
      </c>
      <c r="CH65" s="188">
        <f t="shared" si="44"/>
        <v>74176.869629095774</v>
      </c>
      <c r="CI65" s="188">
        <f t="shared" si="44"/>
        <v>75177.753977241257</v>
      </c>
      <c r="CJ65" s="188">
        <f t="shared" si="44"/>
        <v>76180.605854238762</v>
      </c>
      <c r="CK65" s="188">
        <f t="shared" si="44"/>
        <v>77181.508883509945</v>
      </c>
      <c r="CL65" s="188">
        <f t="shared" si="44"/>
        <v>78180.433640667427</v>
      </c>
      <c r="CM65" s="188">
        <f t="shared" si="44"/>
        <v>79181.335808870761</v>
      </c>
      <c r="CN65" s="188">
        <f t="shared" si="44"/>
        <v>80186.292320979905</v>
      </c>
      <c r="CO65" s="188">
        <f t="shared" si="44"/>
        <v>81185.166378380585</v>
      </c>
      <c r="CP65" s="188">
        <f t="shared" si="44"/>
        <v>82184.069468856484</v>
      </c>
      <c r="CQ65" s="188">
        <f t="shared" si="44"/>
        <v>83184.989816200759</v>
      </c>
      <c r="CR65" s="188">
        <f t="shared" si="44"/>
        <v>84190.046204510247</v>
      </c>
      <c r="CS65" s="188">
        <f t="shared" si="44"/>
        <v>85188.89757360387</v>
      </c>
      <c r="CT65" s="188">
        <f t="shared" si="44"/>
        <v>86187.778560803708</v>
      </c>
      <c r="CU65" s="188">
        <f t="shared" si="44"/>
        <v>87188.717453607736</v>
      </c>
      <c r="CV65" s="188">
        <f t="shared" si="44"/>
        <v>88193.875730673011</v>
      </c>
      <c r="CW65" s="188">
        <f t="shared" si="44"/>
        <v>89192.703954278841</v>
      </c>
      <c r="CX65" s="188">
        <f t="shared" si="44"/>
        <v>90191.562392810563</v>
      </c>
      <c r="CY65" s="188">
        <f t="shared" si="44"/>
        <v>91192.520204774613</v>
      </c>
      <c r="CZ65" s="188">
        <f t="shared" si="44"/>
        <v>92195.608990477602</v>
      </c>
      <c r="DA65" s="188">
        <f t="shared" si="44"/>
        <v>93196.58703542997</v>
      </c>
      <c r="DB65" s="188">
        <f t="shared" ref="DB65:EA65" si="45">SUM(DB63:DB64)</f>
        <v>94195.422470926613</v>
      </c>
      <c r="DC65" s="188">
        <f t="shared" si="45"/>
        <v>95196.399583281251</v>
      </c>
      <c r="DD65" s="188">
        <f t="shared" si="45"/>
        <v>96201.767838557615</v>
      </c>
      <c r="DE65" s="188">
        <f t="shared" si="45"/>
        <v>97200.548362610294</v>
      </c>
      <c r="DF65" s="188">
        <f t="shared" si="45"/>
        <v>98199.360331549178</v>
      </c>
      <c r="DG65" s="188">
        <f t="shared" si="45"/>
        <v>99200.357133206926</v>
      </c>
      <c r="DH65" s="188">
        <f t="shared" si="45"/>
        <v>100205.83356151458</v>
      </c>
      <c r="DI65" s="188">
        <f t="shared" si="45"/>
        <v>100000</v>
      </c>
      <c r="DJ65" s="188">
        <f t="shared" si="45"/>
        <v>100000</v>
      </c>
      <c r="DK65" s="188">
        <f t="shared" si="45"/>
        <v>100000</v>
      </c>
      <c r="DL65" s="188">
        <f t="shared" si="45"/>
        <v>100000</v>
      </c>
      <c r="DM65" s="188">
        <f t="shared" si="45"/>
        <v>100000</v>
      </c>
      <c r="DN65" s="188">
        <f t="shared" si="45"/>
        <v>100000</v>
      </c>
      <c r="DO65" s="188">
        <f t="shared" si="45"/>
        <v>100000</v>
      </c>
      <c r="DP65" s="188">
        <f t="shared" si="45"/>
        <v>100000</v>
      </c>
      <c r="DQ65" s="188">
        <f t="shared" si="45"/>
        <v>100000</v>
      </c>
      <c r="DR65" s="188">
        <f t="shared" si="45"/>
        <v>100000</v>
      </c>
      <c r="DS65" s="188">
        <f t="shared" si="45"/>
        <v>100000</v>
      </c>
      <c r="DT65" s="188">
        <f t="shared" si="45"/>
        <v>100000</v>
      </c>
      <c r="DU65" s="188">
        <f t="shared" si="45"/>
        <v>100000</v>
      </c>
      <c r="DV65" s="188">
        <f t="shared" si="45"/>
        <v>100000</v>
      </c>
      <c r="DW65" s="188">
        <f t="shared" si="45"/>
        <v>100000</v>
      </c>
      <c r="DX65" s="188">
        <f t="shared" si="45"/>
        <v>100000</v>
      </c>
      <c r="DY65" s="188">
        <f t="shared" si="45"/>
        <v>100000</v>
      </c>
      <c r="DZ65" s="188">
        <f t="shared" si="45"/>
        <v>100000</v>
      </c>
      <c r="EA65" s="188">
        <f t="shared" si="45"/>
        <v>100000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100124.12603430706</v>
      </c>
      <c r="P67" s="163">
        <f t="shared" si="46"/>
        <v>100127.51881257813</v>
      </c>
      <c r="Q67" s="163">
        <f t="shared" si="46"/>
        <v>100126.74809448012</v>
      </c>
      <c r="R67" s="163">
        <f t="shared" si="46"/>
        <v>100125.99724979</v>
      </c>
      <c r="S67" s="163">
        <f t="shared" si="46"/>
        <v>100126.62723603894</v>
      </c>
      <c r="T67" s="163">
        <f t="shared" si="46"/>
        <v>100130.08838049068</v>
      </c>
      <c r="U67" s="163">
        <f t="shared" si="46"/>
        <v>100129.30213203716</v>
      </c>
      <c r="V67" s="163">
        <f t="shared" si="46"/>
        <v>100128.53615745064</v>
      </c>
      <c r="W67" s="163">
        <f t="shared" si="46"/>
        <v>100129.17883823789</v>
      </c>
      <c r="X67" s="163">
        <f t="shared" si="46"/>
        <v>100131.25137784038</v>
      </c>
      <c r="Y67" s="163">
        <f t="shared" si="46"/>
        <v>100131.90763472959</v>
      </c>
      <c r="Z67" s="163">
        <f t="shared" si="46"/>
        <v>100131.12622537168</v>
      </c>
      <c r="AA67" s="163">
        <f t="shared" si="46"/>
        <v>100131.78185649854</v>
      </c>
      <c r="AB67" s="163">
        <f t="shared" si="46"/>
        <v>100135.3838939095</v>
      </c>
      <c r="AC67" s="163">
        <f t="shared" si="46"/>
        <v>100134.56563960564</v>
      </c>
      <c r="AD67" s="163">
        <f t="shared" si="46"/>
        <v>100133.76848445798</v>
      </c>
      <c r="AE67" s="163">
        <f t="shared" si="46"/>
        <v>100134.43732688027</v>
      </c>
      <c r="AF67" s="163">
        <f t="shared" si="46"/>
        <v>100138.11194714834</v>
      </c>
      <c r="AG67" s="163">
        <f t="shared" si="46"/>
        <v>100137.27720461063</v>
      </c>
      <c r="AH67" s="163">
        <f t="shared" si="46"/>
        <v>100136.46398638765</v>
      </c>
      <c r="AI67" s="163">
        <f t="shared" si="46"/>
        <v>100137.1463063196</v>
      </c>
      <c r="AJ67" s="163">
        <f t="shared" si="46"/>
        <v>100140.89497202566</v>
      </c>
      <c r="AK67" s="163">
        <f t="shared" si="46"/>
        <v>100140.04340900792</v>
      </c>
      <c r="AL67" s="163">
        <f t="shared" si="46"/>
        <v>100139.21380403065</v>
      </c>
      <c r="AM67" s="163">
        <f t="shared" si="46"/>
        <v>100139.90987305081</v>
      </c>
      <c r="AN67" s="163">
        <f t="shared" si="46"/>
        <v>100142.15458090414</v>
      </c>
      <c r="AO67" s="163">
        <f t="shared" si="46"/>
        <v>100142.86535380867</v>
      </c>
      <c r="AP67" s="163">
        <f t="shared" ref="AP67:BU67" si="47" xml:space="preserve"> AP65 + AP60</f>
        <v>100142.01903187578</v>
      </c>
      <c r="AQ67" s="163">
        <f t="shared" si="47"/>
        <v>100142.72912703516</v>
      </c>
      <c r="AR67" s="163">
        <f t="shared" si="47"/>
        <v>100146.63038984078</v>
      </c>
      <c r="AS67" s="163">
        <f t="shared" si="47"/>
        <v>100145.74416220988</v>
      </c>
      <c r="AT67" s="163">
        <f t="shared" si="47"/>
        <v>100144.88078646635</v>
      </c>
      <c r="AU67" s="163">
        <f t="shared" si="47"/>
        <v>100145.6051903987</v>
      </c>
      <c r="AV67" s="163">
        <f t="shared" si="47"/>
        <v>100149.58506560292</v>
      </c>
      <c r="AW67" s="163">
        <f t="shared" si="47"/>
        <v>100148.68098004158</v>
      </c>
      <c r="AX67" s="163">
        <f t="shared" si="47"/>
        <v>100147.80020684459</v>
      </c>
      <c r="AY67" s="163">
        <f t="shared" si="47"/>
        <v>100148.53920787881</v>
      </c>
      <c r="AZ67" s="163">
        <f t="shared" si="47"/>
        <v>100152.59927956085</v>
      </c>
      <c r="BA67" s="163">
        <f t="shared" si="47"/>
        <v>100151.67697622284</v>
      </c>
      <c r="BB67" s="163">
        <f t="shared" si="47"/>
        <v>100150.778455005</v>
      </c>
      <c r="BC67" s="163">
        <f t="shared" si="47"/>
        <v>100151.53234728001</v>
      </c>
      <c r="BD67" s="163">
        <f t="shared" si="47"/>
        <v>100153.96352559901</v>
      </c>
      <c r="BE67" s="163">
        <f t="shared" si="47"/>
        <v>100154.73334322701</v>
      </c>
      <c r="BF67" s="163">
        <f t="shared" si="47"/>
        <v>100153.81671635681</v>
      </c>
      <c r="BG67" s="163">
        <f t="shared" si="47"/>
        <v>100154.58579993859</v>
      </c>
      <c r="BH67" s="163">
        <f t="shared" si="47"/>
        <v>100158.81114513692</v>
      </c>
      <c r="BI67" s="163">
        <f t="shared" si="47"/>
        <v>100157.85129755642</v>
      </c>
      <c r="BJ67" s="163">
        <f t="shared" si="47"/>
        <v>100156.9162001959</v>
      </c>
      <c r="BK67" s="163">
        <f t="shared" si="47"/>
        <v>100157.70078119688</v>
      </c>
      <c r="BL67" s="163">
        <f t="shared" si="47"/>
        <v>100162.01126921627</v>
      </c>
      <c r="BM67" s="163">
        <f t="shared" si="47"/>
        <v>100161.03208022649</v>
      </c>
      <c r="BN67" s="163">
        <f t="shared" si="47"/>
        <v>100160.07814018601</v>
      </c>
      <c r="BO67" s="163">
        <f t="shared" si="47"/>
        <v>100160.87853088694</v>
      </c>
      <c r="BP67" s="163">
        <f t="shared" si="47"/>
        <v>100165.27587739786</v>
      </c>
      <c r="BQ67" s="163">
        <f t="shared" si="47"/>
        <v>100164.27695725973</v>
      </c>
      <c r="BR67" s="163">
        <f t="shared" si="47"/>
        <v>100163.30379484988</v>
      </c>
      <c r="BS67" s="163">
        <f t="shared" si="47"/>
        <v>100164.12031382413</v>
      </c>
      <c r="BT67" s="163">
        <f t="shared" si="47"/>
        <v>100166.75345292504</v>
      </c>
      <c r="BU67" s="163">
        <f t="shared" si="47"/>
        <v>100167.58722018967</v>
      </c>
      <c r="BV67" s="163">
        <f t="shared" ref="BV67:DA67" si="48" xml:space="preserve"> BV65 + BV60</f>
        <v>100166.59444807007</v>
      </c>
      <c r="BW67" s="163">
        <f t="shared" si="48"/>
        <v>100167.42742031041</v>
      </c>
      <c r="BX67" s="163">
        <f t="shared" si="48"/>
        <v>100172.0037697989</v>
      </c>
      <c r="BY67" s="163">
        <f t="shared" si="48"/>
        <v>100170.96418657484</v>
      </c>
      <c r="BZ67" s="163">
        <f t="shared" si="48"/>
        <v>100169.95140960002</v>
      </c>
      <c r="CA67" s="163">
        <f t="shared" si="48"/>
        <v>100170.80116664802</v>
      </c>
      <c r="CB67" s="163">
        <f t="shared" si="48"/>
        <v>100175.46973186973</v>
      </c>
      <c r="CC67" s="163">
        <f t="shared" si="48"/>
        <v>100174.40920052327</v>
      </c>
      <c r="CD67" s="163">
        <f t="shared" si="48"/>
        <v>100173.37601558538</v>
      </c>
      <c r="CE67" s="163">
        <f t="shared" si="48"/>
        <v>100174.24289566331</v>
      </c>
      <c r="CF67" s="163">
        <f t="shared" si="48"/>
        <v>100179.00553481144</v>
      </c>
      <c r="CG67" s="163">
        <f t="shared" si="48"/>
        <v>100177.9236332274</v>
      </c>
      <c r="CH67" s="163">
        <f t="shared" si="48"/>
        <v>100176.86962909577</v>
      </c>
      <c r="CI67" s="163">
        <f t="shared" si="48"/>
        <v>100177.75397724126</v>
      </c>
      <c r="CJ67" s="163">
        <f t="shared" si="48"/>
        <v>100180.60585423876</v>
      </c>
      <c r="CK67" s="163">
        <f t="shared" si="48"/>
        <v>100181.50888350995</v>
      </c>
      <c r="CL67" s="163">
        <f t="shared" si="48"/>
        <v>100180.43364066743</v>
      </c>
      <c r="CM67" s="163">
        <f t="shared" si="48"/>
        <v>100181.33580887076</v>
      </c>
      <c r="CN67" s="163">
        <f t="shared" si="48"/>
        <v>100186.2923209799</v>
      </c>
      <c r="CO67" s="163">
        <f t="shared" si="48"/>
        <v>100185.16637838059</v>
      </c>
      <c r="CP67" s="163">
        <f t="shared" si="48"/>
        <v>100184.06946885648</v>
      </c>
      <c r="CQ67" s="163">
        <f t="shared" si="48"/>
        <v>100184.98981620076</v>
      </c>
      <c r="CR67" s="163">
        <f t="shared" si="48"/>
        <v>100190.04620451025</v>
      </c>
      <c r="CS67" s="163">
        <f t="shared" si="48"/>
        <v>100188.89757360387</v>
      </c>
      <c r="CT67" s="163">
        <f t="shared" si="48"/>
        <v>100187.77856080371</v>
      </c>
      <c r="CU67" s="163">
        <f t="shared" si="48"/>
        <v>100188.71745360774</v>
      </c>
      <c r="CV67" s="163">
        <f t="shared" si="48"/>
        <v>100193.87573067301</v>
      </c>
      <c r="CW67" s="163">
        <f t="shared" si="48"/>
        <v>100192.70395427884</v>
      </c>
      <c r="CX67" s="163">
        <f t="shared" si="48"/>
        <v>100191.56239281056</v>
      </c>
      <c r="CY67" s="163">
        <f t="shared" si="48"/>
        <v>100192.52020477461</v>
      </c>
      <c r="CZ67" s="163">
        <f t="shared" si="48"/>
        <v>100195.6089904776</v>
      </c>
      <c r="DA67" s="163">
        <f t="shared" si="48"/>
        <v>100196.58703542997</v>
      </c>
      <c r="DB67" s="163">
        <f t="shared" ref="DB67:EA67" si="49" xml:space="preserve"> DB65 + DB60</f>
        <v>100195.42247092661</v>
      </c>
      <c r="DC67" s="163">
        <f t="shared" si="49"/>
        <v>100196.39958328125</v>
      </c>
      <c r="DD67" s="163">
        <f t="shared" si="49"/>
        <v>100201.76783855761</v>
      </c>
      <c r="DE67" s="163">
        <f t="shared" si="49"/>
        <v>100200.54836261029</v>
      </c>
      <c r="DF67" s="163">
        <f t="shared" si="49"/>
        <v>100199.36033154918</v>
      </c>
      <c r="DG67" s="163">
        <f t="shared" si="49"/>
        <v>100200.35713320693</v>
      </c>
      <c r="DH67" s="163">
        <f t="shared" si="49"/>
        <v>100205.83356151458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139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140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141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2305.3983516483513</v>
      </c>
      <c r="N74" s="191">
        <f xml:space="preserve"> Equity!N$28</f>
        <v>1577.252377717391</v>
      </c>
      <c r="O74" s="191">
        <f xml:space="preserve"> Equity!O$28</f>
        <v>0</v>
      </c>
      <c r="P74" s="191">
        <f xml:space="preserve"> Equity!P$28</f>
        <v>0</v>
      </c>
      <c r="Q74" s="191">
        <f xml:space="preserve"> Equity!Q$28</f>
        <v>0</v>
      </c>
      <c r="R74" s="191">
        <f xml:space="preserve"> Equity!R$28</f>
        <v>0</v>
      </c>
      <c r="S74" s="191">
        <f xml:space="preserve"> Equity!S$28</f>
        <v>0</v>
      </c>
      <c r="T74" s="191">
        <f xml:space="preserve"> Equity!T$28</f>
        <v>0</v>
      </c>
      <c r="U74" s="191">
        <f xml:space="preserve"> Equity!U$28</f>
        <v>0</v>
      </c>
      <c r="V74" s="191">
        <f xml:space="preserve"> Equity!V$28</f>
        <v>0</v>
      </c>
      <c r="W74" s="191">
        <f xml:space="preserve"> Equity!W$28</f>
        <v>0</v>
      </c>
      <c r="X74" s="191">
        <f xml:space="preserve"> Equity!X$28</f>
        <v>0</v>
      </c>
      <c r="Y74" s="191">
        <f xml:space="preserve"> Equity!Y$28</f>
        <v>0</v>
      </c>
      <c r="Z74" s="191">
        <f xml:space="preserve"> Equity!Z$28</f>
        <v>0</v>
      </c>
      <c r="AA74" s="191">
        <f xml:space="preserve"> Equity!AA$28</f>
        <v>0</v>
      </c>
      <c r="AB74" s="191">
        <f xml:space="preserve"> Equity!AB$28</f>
        <v>0</v>
      </c>
      <c r="AC74" s="191">
        <f xml:space="preserve"> Equity!AC$28</f>
        <v>0</v>
      </c>
      <c r="AD74" s="191">
        <f xml:space="preserve"> Equity!AD$28</f>
        <v>0</v>
      </c>
      <c r="AE74" s="191">
        <f xml:space="preserve"> Equity!AE$28</f>
        <v>0</v>
      </c>
      <c r="AF74" s="191">
        <f xml:space="preserve"> Equity!AF$28</f>
        <v>0</v>
      </c>
      <c r="AG74" s="191">
        <f xml:space="preserve"> Equity!AG$28</f>
        <v>0</v>
      </c>
      <c r="AH74" s="191">
        <f xml:space="preserve"> Equity!AH$28</f>
        <v>0</v>
      </c>
      <c r="AI74" s="191">
        <f xml:space="preserve"> Equity!AI$28</f>
        <v>0</v>
      </c>
      <c r="AJ74" s="191">
        <f xml:space="preserve"> Equity!AJ$28</f>
        <v>0</v>
      </c>
      <c r="AK74" s="191">
        <f xml:space="preserve"> Equity!AK$28</f>
        <v>0</v>
      </c>
      <c r="AL74" s="191">
        <f xml:space="preserve"> Equity!AL$28</f>
        <v>0</v>
      </c>
      <c r="AM74" s="191">
        <f xml:space="preserve"> Equity!AM$28</f>
        <v>0</v>
      </c>
      <c r="AN74" s="191">
        <f xml:space="preserve"> Equity!AN$28</f>
        <v>0</v>
      </c>
      <c r="AO74" s="191">
        <f xml:space="preserve"> Equity!AO$28</f>
        <v>0</v>
      </c>
      <c r="AP74" s="191">
        <f xml:space="preserve"> Equity!AP$28</f>
        <v>0</v>
      </c>
      <c r="AQ74" s="191">
        <f xml:space="preserve"> Equity!AQ$28</f>
        <v>0</v>
      </c>
      <c r="AR74" s="191">
        <f xml:space="preserve"> Equity!AR$28</f>
        <v>0</v>
      </c>
      <c r="AS74" s="191">
        <f xml:space="preserve"> Equity!AS$28</f>
        <v>0</v>
      </c>
      <c r="AT74" s="191">
        <f xml:space="preserve"> Equity!AT$28</f>
        <v>0</v>
      </c>
      <c r="AU74" s="191">
        <f xml:space="preserve"> Equity!AU$28</f>
        <v>0</v>
      </c>
      <c r="AV74" s="191">
        <f xml:space="preserve"> Equity!AV$28</f>
        <v>0</v>
      </c>
      <c r="AW74" s="191">
        <f xml:space="preserve"> Equity!AW$28</f>
        <v>0</v>
      </c>
      <c r="AX74" s="191">
        <f xml:space="preserve"> Equity!AX$28</f>
        <v>0</v>
      </c>
      <c r="AY74" s="191">
        <f xml:space="preserve"> Equity!AY$28</f>
        <v>0</v>
      </c>
      <c r="AZ74" s="191">
        <f xml:space="preserve"> Equity!AZ$28</f>
        <v>0</v>
      </c>
      <c r="BA74" s="191">
        <f xml:space="preserve"> Equity!BA$28</f>
        <v>0</v>
      </c>
      <c r="BB74" s="191">
        <f xml:space="preserve"> Equity!BB$28</f>
        <v>0</v>
      </c>
      <c r="BC74" s="191">
        <f xml:space="preserve"> Equity!BC$28</f>
        <v>0</v>
      </c>
      <c r="BD74" s="191">
        <f xml:space="preserve"> Equity!BD$28</f>
        <v>0</v>
      </c>
      <c r="BE74" s="191">
        <f xml:space="preserve"> Equity!BE$28</f>
        <v>0</v>
      </c>
      <c r="BF74" s="191">
        <f xml:space="preserve"> Equity!BF$28</f>
        <v>0</v>
      </c>
      <c r="BG74" s="191">
        <f xml:space="preserve"> Equity!BG$28</f>
        <v>0</v>
      </c>
      <c r="BH74" s="191">
        <f xml:space="preserve"> Equity!BH$28</f>
        <v>0</v>
      </c>
      <c r="BI74" s="191">
        <f xml:space="preserve"> Equity!BI$28</f>
        <v>0</v>
      </c>
      <c r="BJ74" s="191">
        <f xml:space="preserve"> Equity!BJ$28</f>
        <v>0</v>
      </c>
      <c r="BK74" s="191">
        <f xml:space="preserve"> Equity!BK$28</f>
        <v>0</v>
      </c>
      <c r="BL74" s="191">
        <f xml:space="preserve"> Equity!BL$28</f>
        <v>0</v>
      </c>
      <c r="BM74" s="191">
        <f xml:space="preserve"> Equity!BM$28</f>
        <v>0</v>
      </c>
      <c r="BN74" s="191">
        <f xml:space="preserve"> Equity!BN$28</f>
        <v>0</v>
      </c>
      <c r="BO74" s="191">
        <f xml:space="preserve"> Equity!BO$28</f>
        <v>0</v>
      </c>
      <c r="BP74" s="191">
        <f xml:space="preserve"> Equity!BP$28</f>
        <v>0</v>
      </c>
      <c r="BQ74" s="191">
        <f xml:space="preserve"> Equity!BQ$28</f>
        <v>0</v>
      </c>
      <c r="BR74" s="191">
        <f xml:space="preserve"> Equity!BR$28</f>
        <v>0</v>
      </c>
      <c r="BS74" s="191">
        <f xml:space="preserve"> Equity!BS$28</f>
        <v>0</v>
      </c>
      <c r="BT74" s="191">
        <f xml:space="preserve"> Equity!BT$28</f>
        <v>0</v>
      </c>
      <c r="BU74" s="191">
        <f xml:space="preserve"> Equity!BU$28</f>
        <v>0</v>
      </c>
      <c r="BV74" s="191">
        <f xml:space="preserve"> Equity!BV$28</f>
        <v>0</v>
      </c>
      <c r="BW74" s="191">
        <f xml:space="preserve"> Equity!BW$28</f>
        <v>0</v>
      </c>
      <c r="BX74" s="191">
        <f xml:space="preserve"> Equity!BX$28</f>
        <v>0</v>
      </c>
      <c r="BY74" s="191">
        <f xml:space="preserve"> Equity!BY$28</f>
        <v>0</v>
      </c>
      <c r="BZ74" s="191">
        <f xml:space="preserve"> Equity!BZ$28</f>
        <v>0</v>
      </c>
      <c r="CA74" s="191">
        <f xml:space="preserve"> Equity!CA$28</f>
        <v>0</v>
      </c>
      <c r="CB74" s="191">
        <f xml:space="preserve"> Equity!CB$28</f>
        <v>0</v>
      </c>
      <c r="CC74" s="191">
        <f xml:space="preserve"> Equity!CC$28</f>
        <v>0</v>
      </c>
      <c r="CD74" s="191">
        <f xml:space="preserve"> Equity!CD$28</f>
        <v>0</v>
      </c>
      <c r="CE74" s="191">
        <f xml:space="preserve"> Equity!CE$28</f>
        <v>0</v>
      </c>
      <c r="CF74" s="191">
        <f xml:space="preserve"> Equity!CF$28</f>
        <v>0</v>
      </c>
      <c r="CG74" s="191">
        <f xml:space="preserve"> Equity!CG$28</f>
        <v>0</v>
      </c>
      <c r="CH74" s="191">
        <f xml:space="preserve"> Equity!CH$28</f>
        <v>0</v>
      </c>
      <c r="CI74" s="191">
        <f xml:space="preserve"> Equity!CI$28</f>
        <v>0</v>
      </c>
      <c r="CJ74" s="191">
        <f xml:space="preserve"> Equity!CJ$28</f>
        <v>0</v>
      </c>
      <c r="CK74" s="191">
        <f xml:space="preserve"> Equity!CK$28</f>
        <v>0</v>
      </c>
      <c r="CL74" s="191">
        <f xml:space="preserve"> Equity!CL$28</f>
        <v>0</v>
      </c>
      <c r="CM74" s="191">
        <f xml:space="preserve"> Equity!CM$28</f>
        <v>0</v>
      </c>
      <c r="CN74" s="191">
        <f xml:space="preserve"> Equity!CN$28</f>
        <v>0</v>
      </c>
      <c r="CO74" s="191">
        <f xml:space="preserve"> Equity!CO$28</f>
        <v>0</v>
      </c>
      <c r="CP74" s="191">
        <f xml:space="preserve"> Equity!CP$28</f>
        <v>0</v>
      </c>
      <c r="CQ74" s="191">
        <f xml:space="preserve"> Equity!CQ$28</f>
        <v>0</v>
      </c>
      <c r="CR74" s="191">
        <f xml:space="preserve"> Equity!CR$28</f>
        <v>0</v>
      </c>
      <c r="CS74" s="191">
        <f xml:space="preserve"> Equity!CS$28</f>
        <v>0</v>
      </c>
      <c r="CT74" s="191">
        <f xml:space="preserve"> Equity!CT$28</f>
        <v>0</v>
      </c>
      <c r="CU74" s="191">
        <f xml:space="preserve"> Equity!CU$28</f>
        <v>0</v>
      </c>
      <c r="CV74" s="191">
        <f xml:space="preserve"> Equity!CV$28</f>
        <v>0</v>
      </c>
      <c r="CW74" s="191">
        <f xml:space="preserve"> Equity!CW$28</f>
        <v>0</v>
      </c>
      <c r="CX74" s="191">
        <f xml:space="preserve"> Equity!CX$28</f>
        <v>0</v>
      </c>
      <c r="CY74" s="191">
        <f xml:space="preserve"> Equity!CY$28</f>
        <v>0</v>
      </c>
      <c r="CZ74" s="191">
        <f xml:space="preserve"> Equity!CZ$28</f>
        <v>0</v>
      </c>
      <c r="DA74" s="191">
        <f xml:space="preserve"> Equity!DA$28</f>
        <v>0</v>
      </c>
      <c r="DB74" s="191">
        <f xml:space="preserve"> Equity!DB$28</f>
        <v>0</v>
      </c>
      <c r="DC74" s="191">
        <f xml:space="preserve"> Equity!DC$28</f>
        <v>0</v>
      </c>
      <c r="DD74" s="191">
        <f xml:space="preserve"> Equity!DD$28</f>
        <v>0</v>
      </c>
      <c r="DE74" s="191">
        <f xml:space="preserve"> Equity!DE$28</f>
        <v>0</v>
      </c>
      <c r="DF74" s="191">
        <f xml:space="preserve"> Equity!DF$28</f>
        <v>0</v>
      </c>
      <c r="DG74" s="191">
        <f xml:space="preserve"> Equity!DG$28</f>
        <v>0</v>
      </c>
      <c r="DH74" s="191">
        <f xml:space="preserve"> Equity!DH$28</f>
        <v>0</v>
      </c>
      <c r="DI74" s="191">
        <f xml:space="preserve"> Equity!DI$28</f>
        <v>0</v>
      </c>
      <c r="DJ74" s="191">
        <f xml:space="preserve"> Equity!DJ$28</f>
        <v>0</v>
      </c>
      <c r="DK74" s="191">
        <f xml:space="preserve"> Equity!DK$28</f>
        <v>0</v>
      </c>
      <c r="DL74" s="191">
        <f xml:space="preserve"> Equity!DL$28</f>
        <v>0</v>
      </c>
      <c r="DM74" s="191">
        <f xml:space="preserve"> Equity!DM$28</f>
        <v>0</v>
      </c>
      <c r="DN74" s="191">
        <f xml:space="preserve"> Equity!DN$28</f>
        <v>0</v>
      </c>
      <c r="DO74" s="191">
        <f xml:space="preserve"> Equity!DO$28</f>
        <v>0</v>
      </c>
      <c r="DP74" s="191">
        <f xml:space="preserve"> Equity!DP$28</f>
        <v>0</v>
      </c>
      <c r="DQ74" s="191">
        <f xml:space="preserve"> Equity!DQ$28</f>
        <v>0</v>
      </c>
      <c r="DR74" s="191">
        <f xml:space="preserve"> Equity!DR$28</f>
        <v>0</v>
      </c>
      <c r="DS74" s="191">
        <f xml:space="preserve"> Equity!DS$28</f>
        <v>0</v>
      </c>
      <c r="DT74" s="191">
        <f xml:space="preserve"> Equity!DT$28</f>
        <v>0</v>
      </c>
      <c r="DU74" s="191">
        <f xml:space="preserve"> Equity!DU$28</f>
        <v>0</v>
      </c>
      <c r="DV74" s="191">
        <f xml:space="preserve"> Equity!DV$28</f>
        <v>0</v>
      </c>
      <c r="DW74" s="191">
        <f xml:space="preserve"> Equity!DW$28</f>
        <v>0</v>
      </c>
      <c r="DX74" s="191">
        <f xml:space="preserve"> Equity!DX$28</f>
        <v>0</v>
      </c>
      <c r="DY74" s="191">
        <f xml:space="preserve"> Equity!DY$28</f>
        <v>0</v>
      </c>
      <c r="DZ74" s="191">
        <f xml:space="preserve"> Equity!DZ$28</f>
        <v>0</v>
      </c>
      <c r="EA74" s="191">
        <f xml:space="preserve"> Equity!EA$28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100124.12603430706</v>
      </c>
      <c r="P75" s="163">
        <f t="shared" si="50"/>
        <v>100127.51881257813</v>
      </c>
      <c r="Q75" s="163">
        <f t="shared" si="50"/>
        <v>100126.74809448012</v>
      </c>
      <c r="R75" s="163">
        <f t="shared" si="50"/>
        <v>100125.99724979</v>
      </c>
      <c r="S75" s="163">
        <f t="shared" si="50"/>
        <v>100126.62723603894</v>
      </c>
      <c r="T75" s="163">
        <f t="shared" si="50"/>
        <v>100130.08838049068</v>
      </c>
      <c r="U75" s="163">
        <f t="shared" si="50"/>
        <v>100129.30213203716</v>
      </c>
      <c r="V75" s="163">
        <f t="shared" si="50"/>
        <v>100128.53615745064</v>
      </c>
      <c r="W75" s="163">
        <f t="shared" si="50"/>
        <v>100129.17883823789</v>
      </c>
      <c r="X75" s="163">
        <f t="shared" si="50"/>
        <v>100131.2513778404</v>
      </c>
      <c r="Y75" s="163">
        <f t="shared" si="50"/>
        <v>100131.90763472959</v>
      </c>
      <c r="Z75" s="163">
        <f t="shared" si="50"/>
        <v>100131.12622537168</v>
      </c>
      <c r="AA75" s="163">
        <f t="shared" si="50"/>
        <v>100131.78185649854</v>
      </c>
      <c r="AB75" s="163">
        <f t="shared" si="50"/>
        <v>100135.3838939095</v>
      </c>
      <c r="AC75" s="163">
        <f t="shared" si="50"/>
        <v>100134.56563960566</v>
      </c>
      <c r="AD75" s="163">
        <f t="shared" si="50"/>
        <v>100133.76848445799</v>
      </c>
      <c r="AE75" s="163">
        <f t="shared" si="50"/>
        <v>100134.43732688027</v>
      </c>
      <c r="AF75" s="163">
        <f t="shared" si="50"/>
        <v>100138.11194714834</v>
      </c>
      <c r="AG75" s="163">
        <f t="shared" si="50"/>
        <v>100137.27720461063</v>
      </c>
      <c r="AH75" s="163">
        <f t="shared" si="50"/>
        <v>100136.46398638767</v>
      </c>
      <c r="AI75" s="163">
        <f t="shared" si="50"/>
        <v>100137.1463063196</v>
      </c>
      <c r="AJ75" s="163">
        <f t="shared" si="50"/>
        <v>100140.89497202568</v>
      </c>
      <c r="AK75" s="163">
        <f t="shared" si="50"/>
        <v>100140.04340900794</v>
      </c>
      <c r="AL75" s="163">
        <f t="shared" si="50"/>
        <v>100139.21380403066</v>
      </c>
      <c r="AM75" s="163">
        <f t="shared" si="50"/>
        <v>100139.90987305081</v>
      </c>
      <c r="AN75" s="163">
        <f t="shared" si="50"/>
        <v>100142.15458090416</v>
      </c>
      <c r="AO75" s="163">
        <f t="shared" si="50"/>
        <v>100142.86535380868</v>
      </c>
      <c r="AP75" s="163">
        <f t="shared" ref="AP75:BU75" si="51" xml:space="preserve"> SUM(AP69:AP74)</f>
        <v>100142.0190318758</v>
      </c>
      <c r="AQ75" s="163">
        <f t="shared" si="51"/>
        <v>100142.72912703517</v>
      </c>
      <c r="AR75" s="163">
        <f t="shared" si="51"/>
        <v>100146.63038984079</v>
      </c>
      <c r="AS75" s="163">
        <f t="shared" si="51"/>
        <v>100145.74416220988</v>
      </c>
      <c r="AT75" s="163">
        <f t="shared" si="51"/>
        <v>100144.88078646637</v>
      </c>
      <c r="AU75" s="163">
        <f t="shared" si="51"/>
        <v>100145.6051903987</v>
      </c>
      <c r="AV75" s="163">
        <f t="shared" si="51"/>
        <v>100149.58506560292</v>
      </c>
      <c r="AW75" s="163">
        <f t="shared" si="51"/>
        <v>100148.68098004159</v>
      </c>
      <c r="AX75" s="163">
        <f t="shared" si="51"/>
        <v>100147.80020684461</v>
      </c>
      <c r="AY75" s="163">
        <f t="shared" si="51"/>
        <v>100148.53920787883</v>
      </c>
      <c r="AZ75" s="163">
        <f t="shared" si="51"/>
        <v>100152.59927956085</v>
      </c>
      <c r="BA75" s="163">
        <f t="shared" si="51"/>
        <v>100151.67697622285</v>
      </c>
      <c r="BB75" s="163">
        <f t="shared" si="51"/>
        <v>100150.778455005</v>
      </c>
      <c r="BC75" s="163">
        <f t="shared" si="51"/>
        <v>100151.53234728002</v>
      </c>
      <c r="BD75" s="163">
        <f t="shared" si="51"/>
        <v>100153.96352559903</v>
      </c>
      <c r="BE75" s="163">
        <f t="shared" si="51"/>
        <v>100154.73334322702</v>
      </c>
      <c r="BF75" s="163">
        <f t="shared" si="51"/>
        <v>100153.81671635681</v>
      </c>
      <c r="BG75" s="163">
        <f t="shared" si="51"/>
        <v>100154.58579993861</v>
      </c>
      <c r="BH75" s="163">
        <f t="shared" si="51"/>
        <v>100158.81114513692</v>
      </c>
      <c r="BI75" s="163">
        <f t="shared" si="51"/>
        <v>100157.85129755642</v>
      </c>
      <c r="BJ75" s="163">
        <f t="shared" si="51"/>
        <v>100156.9162001959</v>
      </c>
      <c r="BK75" s="163">
        <f t="shared" si="51"/>
        <v>100157.70078119688</v>
      </c>
      <c r="BL75" s="163">
        <f t="shared" si="51"/>
        <v>100162.01126921627</v>
      </c>
      <c r="BM75" s="163">
        <f t="shared" si="51"/>
        <v>100161.03208022649</v>
      </c>
      <c r="BN75" s="163">
        <f t="shared" si="51"/>
        <v>100160.07814018601</v>
      </c>
      <c r="BO75" s="163">
        <f t="shared" si="51"/>
        <v>100160.87853088696</v>
      </c>
      <c r="BP75" s="163">
        <f t="shared" si="51"/>
        <v>100165.27587739786</v>
      </c>
      <c r="BQ75" s="163">
        <f t="shared" si="51"/>
        <v>100164.27695725975</v>
      </c>
      <c r="BR75" s="163">
        <f t="shared" si="51"/>
        <v>100163.30379484988</v>
      </c>
      <c r="BS75" s="163">
        <f t="shared" si="51"/>
        <v>100164.12031382414</v>
      </c>
      <c r="BT75" s="163">
        <f t="shared" si="51"/>
        <v>100166.75345292506</v>
      </c>
      <c r="BU75" s="163">
        <f t="shared" si="51"/>
        <v>100167.58722018967</v>
      </c>
      <c r="BV75" s="163">
        <f t="shared" ref="BV75:DA75" si="52" xml:space="preserve"> SUM(BV69:BV74)</f>
        <v>100166.59444807007</v>
      </c>
      <c r="BW75" s="163">
        <f t="shared" si="52"/>
        <v>100167.42742031043</v>
      </c>
      <c r="BX75" s="163">
        <f t="shared" si="52"/>
        <v>100172.00376979892</v>
      </c>
      <c r="BY75" s="163">
        <f t="shared" si="52"/>
        <v>100170.96418657486</v>
      </c>
      <c r="BZ75" s="163">
        <f t="shared" si="52"/>
        <v>100169.95140960003</v>
      </c>
      <c r="CA75" s="163">
        <f t="shared" si="52"/>
        <v>100170.80116664803</v>
      </c>
      <c r="CB75" s="163">
        <f t="shared" si="52"/>
        <v>100175.46973186974</v>
      </c>
      <c r="CC75" s="163">
        <f t="shared" si="52"/>
        <v>100174.40920052328</v>
      </c>
      <c r="CD75" s="163">
        <f t="shared" si="52"/>
        <v>100173.3760155854</v>
      </c>
      <c r="CE75" s="163">
        <f t="shared" si="52"/>
        <v>100174.24289566332</v>
      </c>
      <c r="CF75" s="163">
        <f t="shared" si="52"/>
        <v>100179.00553481145</v>
      </c>
      <c r="CG75" s="163">
        <f t="shared" si="52"/>
        <v>100177.92363322743</v>
      </c>
      <c r="CH75" s="163">
        <f t="shared" si="52"/>
        <v>100176.86962909582</v>
      </c>
      <c r="CI75" s="163">
        <f t="shared" si="52"/>
        <v>100177.75397724129</v>
      </c>
      <c r="CJ75" s="163">
        <f t="shared" si="52"/>
        <v>100180.60585423879</v>
      </c>
      <c r="CK75" s="163">
        <f t="shared" si="52"/>
        <v>100181.50888350999</v>
      </c>
      <c r="CL75" s="163">
        <f t="shared" si="52"/>
        <v>100180.43364066746</v>
      </c>
      <c r="CM75" s="163">
        <f t="shared" si="52"/>
        <v>100181.33580887079</v>
      </c>
      <c r="CN75" s="163">
        <f t="shared" si="52"/>
        <v>100186.29232097992</v>
      </c>
      <c r="CO75" s="163">
        <f t="shared" si="52"/>
        <v>100185.16637838059</v>
      </c>
      <c r="CP75" s="163">
        <f t="shared" si="52"/>
        <v>100184.06946885648</v>
      </c>
      <c r="CQ75" s="163">
        <f t="shared" si="52"/>
        <v>100184.98981620077</v>
      </c>
      <c r="CR75" s="163">
        <f t="shared" si="52"/>
        <v>100190.04620451026</v>
      </c>
      <c r="CS75" s="163">
        <f t="shared" si="52"/>
        <v>100188.89757360388</v>
      </c>
      <c r="CT75" s="163">
        <f t="shared" si="52"/>
        <v>100187.77856080372</v>
      </c>
      <c r="CU75" s="163">
        <f t="shared" si="52"/>
        <v>100188.71745360775</v>
      </c>
      <c r="CV75" s="163">
        <f t="shared" si="52"/>
        <v>100193.87573067303</v>
      </c>
      <c r="CW75" s="163">
        <f t="shared" si="52"/>
        <v>100192.70395427884</v>
      </c>
      <c r="CX75" s="163">
        <f t="shared" si="52"/>
        <v>100191.56239281056</v>
      </c>
      <c r="CY75" s="163">
        <f t="shared" si="52"/>
        <v>100192.52020477461</v>
      </c>
      <c r="CZ75" s="163">
        <f t="shared" si="52"/>
        <v>100195.60899047759</v>
      </c>
      <c r="DA75" s="163">
        <f t="shared" si="52"/>
        <v>100196.58703542998</v>
      </c>
      <c r="DB75" s="163">
        <f t="shared" ref="DB75:EA75" si="53" xml:space="preserve"> SUM(DB69:DB74)</f>
        <v>100195.42247092661</v>
      </c>
      <c r="DC75" s="163">
        <f t="shared" si="53"/>
        <v>100196.39958328125</v>
      </c>
      <c r="DD75" s="163">
        <f t="shared" si="53"/>
        <v>100201.7678385576</v>
      </c>
      <c r="DE75" s="163">
        <f t="shared" si="53"/>
        <v>100200.54836261028</v>
      </c>
      <c r="DF75" s="163">
        <f t="shared" si="53"/>
        <v>100199.36033154916</v>
      </c>
      <c r="DG75" s="163">
        <f t="shared" si="53"/>
        <v>100200.35713320691</v>
      </c>
      <c r="DH75" s="163">
        <f t="shared" si="53"/>
        <v>100205.83356151456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100124.12603430706</v>
      </c>
      <c r="P80" s="190">
        <f t="shared" si="54"/>
        <v>100127.51881257813</v>
      </c>
      <c r="Q80" s="190">
        <f t="shared" si="54"/>
        <v>100126.74809448012</v>
      </c>
      <c r="R80" s="190">
        <f t="shared" si="54"/>
        <v>100125.99724979</v>
      </c>
      <c r="S80" s="190">
        <f t="shared" si="54"/>
        <v>100126.62723603894</v>
      </c>
      <c r="T80" s="190">
        <f t="shared" si="54"/>
        <v>100130.08838049068</v>
      </c>
      <c r="U80" s="190">
        <f t="shared" si="54"/>
        <v>100129.30213203716</v>
      </c>
      <c r="V80" s="190">
        <f t="shared" si="54"/>
        <v>100128.53615745064</v>
      </c>
      <c r="W80" s="190">
        <f t="shared" si="54"/>
        <v>100129.17883823789</v>
      </c>
      <c r="X80" s="190">
        <f t="shared" si="54"/>
        <v>100131.25137784038</v>
      </c>
      <c r="Y80" s="190">
        <f t="shared" si="54"/>
        <v>100131.90763472959</v>
      </c>
      <c r="Z80" s="190">
        <f t="shared" si="54"/>
        <v>100131.12622537168</v>
      </c>
      <c r="AA80" s="190">
        <f t="shared" si="54"/>
        <v>100131.78185649854</v>
      </c>
      <c r="AB80" s="190">
        <f t="shared" si="54"/>
        <v>100135.3838939095</v>
      </c>
      <c r="AC80" s="190">
        <f t="shared" si="54"/>
        <v>100134.56563960564</v>
      </c>
      <c r="AD80" s="190">
        <f t="shared" si="54"/>
        <v>100133.76848445798</v>
      </c>
      <c r="AE80" s="190">
        <f t="shared" si="54"/>
        <v>100134.43732688027</v>
      </c>
      <c r="AF80" s="190">
        <f t="shared" si="54"/>
        <v>100138.11194714834</v>
      </c>
      <c r="AG80" s="190">
        <f t="shared" si="54"/>
        <v>100137.27720461063</v>
      </c>
      <c r="AH80" s="190">
        <f t="shared" si="54"/>
        <v>100136.46398638765</v>
      </c>
      <c r="AI80" s="190">
        <f t="shared" si="54"/>
        <v>100137.1463063196</v>
      </c>
      <c r="AJ80" s="190">
        <f t="shared" si="54"/>
        <v>100140.89497202566</v>
      </c>
      <c r="AK80" s="190">
        <f t="shared" si="54"/>
        <v>100140.04340900792</v>
      </c>
      <c r="AL80" s="190">
        <f t="shared" si="54"/>
        <v>100139.21380403065</v>
      </c>
      <c r="AM80" s="190">
        <f t="shared" si="54"/>
        <v>100139.90987305081</v>
      </c>
      <c r="AN80" s="190">
        <f t="shared" si="54"/>
        <v>100142.15458090414</v>
      </c>
      <c r="AO80" s="190">
        <f t="shared" si="54"/>
        <v>100142.86535380867</v>
      </c>
      <c r="AP80" s="190">
        <f t="shared" si="54"/>
        <v>100142.01903187578</v>
      </c>
      <c r="AQ80" s="190">
        <f t="shared" si="54"/>
        <v>100142.72912703516</v>
      </c>
      <c r="AR80" s="190">
        <f t="shared" si="54"/>
        <v>100146.63038984078</v>
      </c>
      <c r="AS80" s="190">
        <f t="shared" si="54"/>
        <v>100145.74416220988</v>
      </c>
      <c r="AT80" s="190">
        <f t="shared" si="54"/>
        <v>100144.88078646635</v>
      </c>
      <c r="AU80" s="190">
        <f t="shared" si="54"/>
        <v>100145.6051903987</v>
      </c>
      <c r="AV80" s="190">
        <f t="shared" si="54"/>
        <v>100149.58506560292</v>
      </c>
      <c r="AW80" s="190">
        <f t="shared" si="54"/>
        <v>100148.68098004158</v>
      </c>
      <c r="AX80" s="190">
        <f t="shared" si="54"/>
        <v>100147.80020684459</v>
      </c>
      <c r="AY80" s="190">
        <f t="shared" si="54"/>
        <v>100148.53920787881</v>
      </c>
      <c r="AZ80" s="190">
        <f t="shared" si="54"/>
        <v>100152.59927956085</v>
      </c>
      <c r="BA80" s="190">
        <f t="shared" si="54"/>
        <v>100151.67697622284</v>
      </c>
      <c r="BB80" s="190">
        <f t="shared" si="54"/>
        <v>100150.778455005</v>
      </c>
      <c r="BC80" s="190">
        <f t="shared" si="54"/>
        <v>100151.53234728001</v>
      </c>
      <c r="BD80" s="190">
        <f t="shared" si="54"/>
        <v>100153.96352559901</v>
      </c>
      <c r="BE80" s="190">
        <f t="shared" si="54"/>
        <v>100154.73334322701</v>
      </c>
      <c r="BF80" s="190">
        <f t="shared" si="54"/>
        <v>100153.81671635681</v>
      </c>
      <c r="BG80" s="190">
        <f t="shared" si="54"/>
        <v>100154.58579993859</v>
      </c>
      <c r="BH80" s="190">
        <f t="shared" si="54"/>
        <v>100158.81114513692</v>
      </c>
      <c r="BI80" s="190">
        <f t="shared" si="54"/>
        <v>100157.85129755642</v>
      </c>
      <c r="BJ80" s="190">
        <f t="shared" si="54"/>
        <v>100156.9162001959</v>
      </c>
      <c r="BK80" s="190">
        <f t="shared" si="54"/>
        <v>100157.70078119688</v>
      </c>
      <c r="BL80" s="190">
        <f t="shared" si="54"/>
        <v>100162.01126921627</v>
      </c>
      <c r="BM80" s="190">
        <f t="shared" si="54"/>
        <v>100161.03208022649</v>
      </c>
      <c r="BN80" s="190">
        <f t="shared" si="54"/>
        <v>100160.07814018601</v>
      </c>
      <c r="BO80" s="190">
        <f t="shared" si="54"/>
        <v>100160.87853088694</v>
      </c>
      <c r="BP80" s="190">
        <f t="shared" si="54"/>
        <v>100165.27587739786</v>
      </c>
      <c r="BQ80" s="190">
        <f t="shared" si="54"/>
        <v>100164.27695725973</v>
      </c>
      <c r="BR80" s="190">
        <f t="shared" ref="BR80:EA80" si="55" xml:space="preserve"> BR$67</f>
        <v>100163.30379484988</v>
      </c>
      <c r="BS80" s="190">
        <f t="shared" si="55"/>
        <v>100164.12031382413</v>
      </c>
      <c r="BT80" s="190">
        <f t="shared" si="55"/>
        <v>100166.75345292504</v>
      </c>
      <c r="BU80" s="190">
        <f t="shared" si="55"/>
        <v>100167.58722018967</v>
      </c>
      <c r="BV80" s="190">
        <f t="shared" si="55"/>
        <v>100166.59444807007</v>
      </c>
      <c r="BW80" s="190">
        <f t="shared" si="55"/>
        <v>100167.42742031041</v>
      </c>
      <c r="BX80" s="190">
        <f t="shared" si="55"/>
        <v>100172.0037697989</v>
      </c>
      <c r="BY80" s="190">
        <f t="shared" si="55"/>
        <v>100170.96418657484</v>
      </c>
      <c r="BZ80" s="190">
        <f t="shared" si="55"/>
        <v>100169.95140960002</v>
      </c>
      <c r="CA80" s="190">
        <f t="shared" si="55"/>
        <v>100170.80116664802</v>
      </c>
      <c r="CB80" s="190">
        <f t="shared" si="55"/>
        <v>100175.46973186973</v>
      </c>
      <c r="CC80" s="190">
        <f t="shared" si="55"/>
        <v>100174.40920052327</v>
      </c>
      <c r="CD80" s="190">
        <f t="shared" si="55"/>
        <v>100173.37601558538</v>
      </c>
      <c r="CE80" s="190">
        <f t="shared" si="55"/>
        <v>100174.24289566331</v>
      </c>
      <c r="CF80" s="190">
        <f t="shared" si="55"/>
        <v>100179.00553481144</v>
      </c>
      <c r="CG80" s="190">
        <f t="shared" si="55"/>
        <v>100177.9236332274</v>
      </c>
      <c r="CH80" s="190">
        <f t="shared" si="55"/>
        <v>100176.86962909577</v>
      </c>
      <c r="CI80" s="190">
        <f t="shared" si="55"/>
        <v>100177.75397724126</v>
      </c>
      <c r="CJ80" s="190">
        <f t="shared" si="55"/>
        <v>100180.60585423876</v>
      </c>
      <c r="CK80" s="190">
        <f t="shared" si="55"/>
        <v>100181.50888350995</v>
      </c>
      <c r="CL80" s="190">
        <f t="shared" si="55"/>
        <v>100180.43364066743</v>
      </c>
      <c r="CM80" s="190">
        <f t="shared" si="55"/>
        <v>100181.33580887076</v>
      </c>
      <c r="CN80" s="190">
        <f t="shared" si="55"/>
        <v>100186.2923209799</v>
      </c>
      <c r="CO80" s="190">
        <f t="shared" si="55"/>
        <v>100185.16637838059</v>
      </c>
      <c r="CP80" s="190">
        <f t="shared" si="55"/>
        <v>100184.06946885648</v>
      </c>
      <c r="CQ80" s="190">
        <f t="shared" si="55"/>
        <v>100184.98981620076</v>
      </c>
      <c r="CR80" s="190">
        <f t="shared" si="55"/>
        <v>100190.04620451025</v>
      </c>
      <c r="CS80" s="190">
        <f t="shared" si="55"/>
        <v>100188.89757360387</v>
      </c>
      <c r="CT80" s="190">
        <f t="shared" si="55"/>
        <v>100187.77856080371</v>
      </c>
      <c r="CU80" s="190">
        <f t="shared" si="55"/>
        <v>100188.71745360774</v>
      </c>
      <c r="CV80" s="190">
        <f t="shared" si="55"/>
        <v>100193.87573067301</v>
      </c>
      <c r="CW80" s="190">
        <f t="shared" si="55"/>
        <v>100192.70395427884</v>
      </c>
      <c r="CX80" s="190">
        <f t="shared" si="55"/>
        <v>100191.56239281056</v>
      </c>
      <c r="CY80" s="190">
        <f t="shared" si="55"/>
        <v>100192.52020477461</v>
      </c>
      <c r="CZ80" s="190">
        <f t="shared" si="55"/>
        <v>100195.6089904776</v>
      </c>
      <c r="DA80" s="190">
        <f t="shared" si="55"/>
        <v>100196.58703542997</v>
      </c>
      <c r="DB80" s="190">
        <f t="shared" si="55"/>
        <v>100195.42247092661</v>
      </c>
      <c r="DC80" s="190">
        <f t="shared" si="55"/>
        <v>100196.39958328125</v>
      </c>
      <c r="DD80" s="190">
        <f t="shared" si="55"/>
        <v>100201.76783855761</v>
      </c>
      <c r="DE80" s="190">
        <f t="shared" si="55"/>
        <v>100200.54836261029</v>
      </c>
      <c r="DF80" s="190">
        <f t="shared" si="55"/>
        <v>100199.36033154918</v>
      </c>
      <c r="DG80" s="190">
        <f t="shared" si="55"/>
        <v>100200.35713320693</v>
      </c>
      <c r="DH80" s="190">
        <f t="shared" si="55"/>
        <v>100205.83356151458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100124.12603430706</v>
      </c>
      <c r="P81" s="190">
        <f t="shared" si="57"/>
        <v>100127.51881257813</v>
      </c>
      <c r="Q81" s="190">
        <f t="shared" si="57"/>
        <v>100126.74809448012</v>
      </c>
      <c r="R81" s="190">
        <f t="shared" si="57"/>
        <v>100125.99724979</v>
      </c>
      <c r="S81" s="190">
        <f t="shared" si="57"/>
        <v>100126.62723603894</v>
      </c>
      <c r="T81" s="190">
        <f t="shared" si="57"/>
        <v>100130.08838049068</v>
      </c>
      <c r="U81" s="190">
        <f t="shared" si="57"/>
        <v>100129.30213203716</v>
      </c>
      <c r="V81" s="190">
        <f t="shared" si="57"/>
        <v>100128.53615745064</v>
      </c>
      <c r="W81" s="190">
        <f t="shared" si="57"/>
        <v>100129.17883823789</v>
      </c>
      <c r="X81" s="190">
        <f t="shared" si="57"/>
        <v>100131.2513778404</v>
      </c>
      <c r="Y81" s="190">
        <f t="shared" si="57"/>
        <v>100131.90763472959</v>
      </c>
      <c r="Z81" s="190">
        <f t="shared" si="57"/>
        <v>100131.12622537168</v>
      </c>
      <c r="AA81" s="190">
        <f t="shared" si="57"/>
        <v>100131.78185649854</v>
      </c>
      <c r="AB81" s="190">
        <f t="shared" si="57"/>
        <v>100135.3838939095</v>
      </c>
      <c r="AC81" s="190">
        <f t="shared" si="57"/>
        <v>100134.56563960566</v>
      </c>
      <c r="AD81" s="190">
        <f t="shared" si="57"/>
        <v>100133.76848445799</v>
      </c>
      <c r="AE81" s="190">
        <f t="shared" si="57"/>
        <v>100134.43732688027</v>
      </c>
      <c r="AF81" s="190">
        <f t="shared" si="57"/>
        <v>100138.11194714834</v>
      </c>
      <c r="AG81" s="190">
        <f t="shared" si="57"/>
        <v>100137.27720461063</v>
      </c>
      <c r="AH81" s="190">
        <f t="shared" si="57"/>
        <v>100136.46398638767</v>
      </c>
      <c r="AI81" s="190">
        <f t="shared" si="57"/>
        <v>100137.1463063196</v>
      </c>
      <c r="AJ81" s="190">
        <f t="shared" si="57"/>
        <v>100140.89497202568</v>
      </c>
      <c r="AK81" s="190">
        <f t="shared" si="57"/>
        <v>100140.04340900794</v>
      </c>
      <c r="AL81" s="190">
        <f t="shared" si="57"/>
        <v>100139.21380403066</v>
      </c>
      <c r="AM81" s="190">
        <f t="shared" si="57"/>
        <v>100139.90987305081</v>
      </c>
      <c r="AN81" s="190">
        <f t="shared" si="57"/>
        <v>100142.15458090416</v>
      </c>
      <c r="AO81" s="190">
        <f t="shared" si="57"/>
        <v>100142.86535380868</v>
      </c>
      <c r="AP81" s="190">
        <f t="shared" si="57"/>
        <v>100142.0190318758</v>
      </c>
      <c r="AQ81" s="190">
        <f t="shared" si="57"/>
        <v>100142.72912703517</v>
      </c>
      <c r="AR81" s="190">
        <f t="shared" si="57"/>
        <v>100146.63038984079</v>
      </c>
      <c r="AS81" s="190">
        <f t="shared" si="57"/>
        <v>100145.74416220988</v>
      </c>
      <c r="AT81" s="190">
        <f t="shared" ref="AT81:BY81" si="58" xml:space="preserve"> AT$75</f>
        <v>100144.88078646637</v>
      </c>
      <c r="AU81" s="190">
        <f t="shared" si="58"/>
        <v>100145.6051903987</v>
      </c>
      <c r="AV81" s="190">
        <f t="shared" si="58"/>
        <v>100149.58506560292</v>
      </c>
      <c r="AW81" s="190">
        <f t="shared" si="58"/>
        <v>100148.68098004159</v>
      </c>
      <c r="AX81" s="190">
        <f t="shared" si="58"/>
        <v>100147.80020684461</v>
      </c>
      <c r="AY81" s="190">
        <f t="shared" si="58"/>
        <v>100148.53920787883</v>
      </c>
      <c r="AZ81" s="190">
        <f t="shared" si="58"/>
        <v>100152.59927956085</v>
      </c>
      <c r="BA81" s="190">
        <f t="shared" si="58"/>
        <v>100151.67697622285</v>
      </c>
      <c r="BB81" s="190">
        <f t="shared" si="58"/>
        <v>100150.778455005</v>
      </c>
      <c r="BC81" s="190">
        <f t="shared" si="58"/>
        <v>100151.53234728002</v>
      </c>
      <c r="BD81" s="190">
        <f t="shared" si="58"/>
        <v>100153.96352559903</v>
      </c>
      <c r="BE81" s="190">
        <f t="shared" si="58"/>
        <v>100154.73334322702</v>
      </c>
      <c r="BF81" s="190">
        <f t="shared" si="58"/>
        <v>100153.81671635681</v>
      </c>
      <c r="BG81" s="190">
        <f t="shared" si="58"/>
        <v>100154.58579993861</v>
      </c>
      <c r="BH81" s="190">
        <f t="shared" si="58"/>
        <v>100158.81114513692</v>
      </c>
      <c r="BI81" s="190">
        <f t="shared" si="58"/>
        <v>100157.85129755642</v>
      </c>
      <c r="BJ81" s="190">
        <f t="shared" si="58"/>
        <v>100156.9162001959</v>
      </c>
      <c r="BK81" s="190">
        <f t="shared" si="58"/>
        <v>100157.70078119688</v>
      </c>
      <c r="BL81" s="190">
        <f t="shared" si="58"/>
        <v>100162.01126921627</v>
      </c>
      <c r="BM81" s="190">
        <f t="shared" si="58"/>
        <v>100161.03208022649</v>
      </c>
      <c r="BN81" s="190">
        <f t="shared" si="58"/>
        <v>100160.07814018601</v>
      </c>
      <c r="BO81" s="190">
        <f t="shared" si="58"/>
        <v>100160.87853088696</v>
      </c>
      <c r="BP81" s="190">
        <f t="shared" si="58"/>
        <v>100165.27587739786</v>
      </c>
      <c r="BQ81" s="190">
        <f t="shared" si="58"/>
        <v>100164.27695725975</v>
      </c>
      <c r="BR81" s="190">
        <f t="shared" si="58"/>
        <v>100163.30379484988</v>
      </c>
      <c r="BS81" s="190">
        <f t="shared" si="58"/>
        <v>100164.12031382414</v>
      </c>
      <c r="BT81" s="190">
        <f t="shared" si="58"/>
        <v>100166.75345292506</v>
      </c>
      <c r="BU81" s="190">
        <f t="shared" si="58"/>
        <v>100167.58722018967</v>
      </c>
      <c r="BV81" s="190">
        <f t="shared" si="58"/>
        <v>100166.59444807007</v>
      </c>
      <c r="BW81" s="190">
        <f t="shared" si="58"/>
        <v>100167.42742031043</v>
      </c>
      <c r="BX81" s="190">
        <f t="shared" si="58"/>
        <v>100172.00376979892</v>
      </c>
      <c r="BY81" s="190">
        <f t="shared" si="58"/>
        <v>100170.96418657486</v>
      </c>
      <c r="BZ81" s="190">
        <f t="shared" ref="BZ81:DE81" si="59" xml:space="preserve"> BZ$75</f>
        <v>100169.95140960003</v>
      </c>
      <c r="CA81" s="190">
        <f t="shared" si="59"/>
        <v>100170.80116664803</v>
      </c>
      <c r="CB81" s="190">
        <f t="shared" si="59"/>
        <v>100175.46973186974</v>
      </c>
      <c r="CC81" s="190">
        <f t="shared" si="59"/>
        <v>100174.40920052328</v>
      </c>
      <c r="CD81" s="190">
        <f t="shared" si="59"/>
        <v>100173.3760155854</v>
      </c>
      <c r="CE81" s="190">
        <f t="shared" si="59"/>
        <v>100174.24289566332</v>
      </c>
      <c r="CF81" s="190">
        <f t="shared" si="59"/>
        <v>100179.00553481145</v>
      </c>
      <c r="CG81" s="190">
        <f t="shared" si="59"/>
        <v>100177.92363322743</v>
      </c>
      <c r="CH81" s="190">
        <f t="shared" si="59"/>
        <v>100176.86962909582</v>
      </c>
      <c r="CI81" s="190">
        <f t="shared" si="59"/>
        <v>100177.75397724129</v>
      </c>
      <c r="CJ81" s="190">
        <f t="shared" si="59"/>
        <v>100180.60585423879</v>
      </c>
      <c r="CK81" s="190">
        <f t="shared" si="59"/>
        <v>100181.50888350999</v>
      </c>
      <c r="CL81" s="190">
        <f t="shared" si="59"/>
        <v>100180.43364066746</v>
      </c>
      <c r="CM81" s="190">
        <f t="shared" si="59"/>
        <v>100181.33580887079</v>
      </c>
      <c r="CN81" s="190">
        <f t="shared" si="59"/>
        <v>100186.29232097992</v>
      </c>
      <c r="CO81" s="190">
        <f t="shared" si="59"/>
        <v>100185.16637838059</v>
      </c>
      <c r="CP81" s="190">
        <f t="shared" si="59"/>
        <v>100184.06946885648</v>
      </c>
      <c r="CQ81" s="190">
        <f t="shared" si="59"/>
        <v>100184.98981620077</v>
      </c>
      <c r="CR81" s="190">
        <f t="shared" si="59"/>
        <v>100190.04620451026</v>
      </c>
      <c r="CS81" s="190">
        <f t="shared" si="59"/>
        <v>100188.89757360388</v>
      </c>
      <c r="CT81" s="190">
        <f t="shared" si="59"/>
        <v>100187.77856080372</v>
      </c>
      <c r="CU81" s="190">
        <f t="shared" si="59"/>
        <v>100188.71745360775</v>
      </c>
      <c r="CV81" s="190">
        <f t="shared" si="59"/>
        <v>100193.87573067303</v>
      </c>
      <c r="CW81" s="190">
        <f t="shared" si="59"/>
        <v>100192.70395427884</v>
      </c>
      <c r="CX81" s="190">
        <f t="shared" si="59"/>
        <v>100191.56239281056</v>
      </c>
      <c r="CY81" s="190">
        <f t="shared" si="59"/>
        <v>100192.52020477461</v>
      </c>
      <c r="CZ81" s="190">
        <f t="shared" si="59"/>
        <v>100195.60899047759</v>
      </c>
      <c r="DA81" s="190">
        <f t="shared" si="59"/>
        <v>100196.58703542998</v>
      </c>
      <c r="DB81" s="190">
        <f t="shared" si="59"/>
        <v>100195.42247092661</v>
      </c>
      <c r="DC81" s="190">
        <f t="shared" si="59"/>
        <v>100196.39958328125</v>
      </c>
      <c r="DD81" s="190">
        <f t="shared" si="59"/>
        <v>100201.7678385576</v>
      </c>
      <c r="DE81" s="190">
        <f t="shared" si="59"/>
        <v>100200.54836261028</v>
      </c>
      <c r="DF81" s="190">
        <f t="shared" ref="DF81:EA81" si="60" xml:space="preserve"> DF$75</f>
        <v>100199.36033154916</v>
      </c>
      <c r="DG81" s="190">
        <f t="shared" si="60"/>
        <v>100200.35713320691</v>
      </c>
      <c r="DH81" s="190">
        <f t="shared" si="60"/>
        <v>100205.83356151456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-222667.04122730839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-10243.656015390625</v>
      </c>
      <c r="L24" s="9">
        <f xml:space="preserve"> SUMIFS('FS Qtr'!$J24:$EA24, 'FS Qtr'!$J$4:$EA$4, 'FS Ann'!L$4)</f>
        <v>-10134.630150719528</v>
      </c>
      <c r="M24" s="9">
        <f xml:space="preserve"> SUMIFS('FS Qtr'!$J24:$EA24, 'FS Qtr'!$J$4:$EA$4, 'FS Ann'!M$4)</f>
        <v>-10025.37772180723</v>
      </c>
      <c r="N24" s="9">
        <f xml:space="preserve"> SUMIFS('FS Qtr'!$J24:$EA24, 'FS Qtr'!$J$4:$EA$4, 'FS Ann'!N$4)</f>
        <v>-9915.8843604772446</v>
      </c>
      <c r="O24" s="9">
        <f xml:space="preserve"> SUMIFS('FS Qtr'!$J24:$EA24, 'FS Qtr'!$J$4:$EA$4, 'FS Ann'!O$4)</f>
        <v>-9806.1354577972652</v>
      </c>
      <c r="P24" s="9">
        <f xml:space="preserve"> SUMIFS('FS Qtr'!$J24:$EA24, 'FS Qtr'!$J$4:$EA$4, 'FS Ann'!P$4)</f>
        <v>-9696.1161589851545</v>
      </c>
      <c r="Q24" s="9">
        <f xml:space="preserve"> SUMIFS('FS Qtr'!$J24:$EA24, 'FS Qtr'!$J$4:$EA$4, 'FS Ann'!Q$4)</f>
        <v>-9585.8113582135375</v>
      </c>
      <c r="R24" s="9">
        <f xml:space="preserve"> SUMIFS('FS Qtr'!$J24:$EA24, 'FS Qtr'!$J$4:$EA$4, 'FS Ann'!R$4)</f>
        <v>-9475.2056933108615</v>
      </c>
      <c r="S24" s="9">
        <f xml:space="preserve"> SUMIFS('FS Qtr'!$J24:$EA24, 'FS Qtr'!$J$4:$EA$4, 'FS Ann'!S$4)</f>
        <v>-9364.2835403569352</v>
      </c>
      <c r="T24" s="9">
        <f xml:space="preserve"> SUMIFS('FS Qtr'!$J24:$EA24, 'FS Qtr'!$J$4:$EA$4, 'FS Ann'!T$4)</f>
        <v>-9253.0290081706808</v>
      </c>
      <c r="U24" s="9">
        <f xml:space="preserve"> SUMIFS('FS Qtr'!$J24:$EA24, 'FS Qtr'!$J$4:$EA$4, 'FS Ann'!U$4)</f>
        <v>-9141.4259326880456</v>
      </c>
      <c r="V24" s="9">
        <f xml:space="preserve"> SUMIFS('FS Qtr'!$J24:$EA24, 'FS Qtr'!$J$4:$EA$4, 'FS Ann'!V$4)</f>
        <v>-9029.4578712277926</v>
      </c>
      <c r="W24" s="9">
        <f xml:space="preserve"> SUMIFS('FS Qtr'!$J24:$EA24, 'FS Qtr'!$J$4:$EA$4, 'FS Ann'!W$4)</f>
        <v>-8917.1080966429254</v>
      </c>
      <c r="X24" s="9">
        <f xml:space="preserve"> SUMIFS('FS Qtr'!$J24:$EA24, 'FS Qtr'!$J$4:$EA$4, 'FS Ann'!X$4)</f>
        <v>-8804.3595913553727</v>
      </c>
      <c r="Y24" s="9">
        <f xml:space="preserve"> SUMIFS('FS Qtr'!$J24:$EA24, 'FS Qtr'!$J$4:$EA$4, 'FS Ann'!Y$4)</f>
        <v>-8691.1950412717197</v>
      </c>
      <c r="Z24" s="9">
        <f xml:space="preserve"> SUMIFS('FS Qtr'!$J24:$EA24, 'FS Qtr'!$J$4:$EA$4, 'FS Ann'!Z$4)</f>
        <v>-8577.5968295774019</v>
      </c>
      <c r="AA24" s="9">
        <f xml:space="preserve"> SUMIFS('FS Qtr'!$J24:$EA24, 'FS Qtr'!$J$4:$EA$4, 'FS Ann'!AA$4)</f>
        <v>-8463.5470304070659</v>
      </c>
      <c r="AB24" s="9">
        <f xml:space="preserve"> SUMIFS('FS Qtr'!$J24:$EA24, 'FS Qtr'!$J$4:$EA$4, 'FS Ann'!AB$4)</f>
        <v>-8349.0274023884922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-7532.6331628502439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-222667.04122730839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-10243.656015390625</v>
      </c>
      <c r="L51" s="9">
        <f xml:space="preserve"> SUMIFS('FS Qtr'!$J52:$EA52, 'FS Qtr'!$J$4:$EA$4, 'FS Ann'!L$4)</f>
        <v>-10134.630150719528</v>
      </c>
      <c r="M51" s="9">
        <f xml:space="preserve"> SUMIFS('FS Qtr'!$J52:$EA52, 'FS Qtr'!$J$4:$EA$4, 'FS Ann'!M$4)</f>
        <v>-10025.37772180723</v>
      </c>
      <c r="N51" s="9">
        <f xml:space="preserve"> SUMIFS('FS Qtr'!$J52:$EA52, 'FS Qtr'!$J$4:$EA$4, 'FS Ann'!N$4)</f>
        <v>-9915.8843604772446</v>
      </c>
      <c r="O51" s="9">
        <f xml:space="preserve"> SUMIFS('FS Qtr'!$J52:$EA52, 'FS Qtr'!$J$4:$EA$4, 'FS Ann'!O$4)</f>
        <v>-9806.1354577972652</v>
      </c>
      <c r="P51" s="9">
        <f xml:space="preserve"> SUMIFS('FS Qtr'!$J52:$EA52, 'FS Qtr'!$J$4:$EA$4, 'FS Ann'!P$4)</f>
        <v>-9696.1161589851545</v>
      </c>
      <c r="Q51" s="9">
        <f xml:space="preserve"> SUMIFS('FS Qtr'!$J52:$EA52, 'FS Qtr'!$J$4:$EA$4, 'FS Ann'!Q$4)</f>
        <v>-9585.8113582135375</v>
      </c>
      <c r="R51" s="9">
        <f xml:space="preserve"> SUMIFS('FS Qtr'!$J52:$EA52, 'FS Qtr'!$J$4:$EA$4, 'FS Ann'!R$4)</f>
        <v>-9475.2056933108615</v>
      </c>
      <c r="S51" s="9">
        <f xml:space="preserve"> SUMIFS('FS Qtr'!$J52:$EA52, 'FS Qtr'!$J$4:$EA$4, 'FS Ann'!S$4)</f>
        <v>-9364.2835403569352</v>
      </c>
      <c r="T51" s="9">
        <f xml:space="preserve"> SUMIFS('FS Qtr'!$J52:$EA52, 'FS Qtr'!$J$4:$EA$4, 'FS Ann'!T$4)</f>
        <v>-9253.0290081706808</v>
      </c>
      <c r="U51" s="9">
        <f xml:space="preserve"> SUMIFS('FS Qtr'!$J52:$EA52, 'FS Qtr'!$J$4:$EA$4, 'FS Ann'!U$4)</f>
        <v>-9141.4259326880456</v>
      </c>
      <c r="V51" s="9">
        <f xml:space="preserve"> SUMIFS('FS Qtr'!$J52:$EA52, 'FS Qtr'!$J$4:$EA$4, 'FS Ann'!V$4)</f>
        <v>-9029.4578712277926</v>
      </c>
      <c r="W51" s="9">
        <f xml:space="preserve"> SUMIFS('FS Qtr'!$J52:$EA52, 'FS Qtr'!$J$4:$EA$4, 'FS Ann'!W$4)</f>
        <v>-8917.1080966429254</v>
      </c>
      <c r="X51" s="9">
        <f xml:space="preserve"> SUMIFS('FS Qtr'!$J52:$EA52, 'FS Qtr'!$J$4:$EA$4, 'FS Ann'!X$4)</f>
        <v>-8804.3595913553727</v>
      </c>
      <c r="Y51" s="9">
        <f xml:space="preserve"> SUMIFS('FS Qtr'!$J52:$EA52, 'FS Qtr'!$J$4:$EA$4, 'FS Ann'!Y$4)</f>
        <v>-8691.1950412717197</v>
      </c>
      <c r="Z51" s="9">
        <f xml:space="preserve"> SUMIFS('FS Qtr'!$J52:$EA52, 'FS Qtr'!$J$4:$EA$4, 'FS Ann'!Z$4)</f>
        <v>-8577.5968295774019</v>
      </c>
      <c r="AA51" s="9">
        <f xml:space="preserve"> SUMIFS('FS Qtr'!$J52:$EA52, 'FS Qtr'!$J$4:$EA$4, 'FS Ann'!AA$4)</f>
        <v>-8463.5470304070659</v>
      </c>
      <c r="AB51" s="9">
        <f xml:space="preserve"> SUMIFS('FS Qtr'!$J52:$EA52, 'FS Qtr'!$J$4:$EA$4, 'FS Ann'!AB$4)</f>
        <v>-8349.0274023884922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-7532.6331628502439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99999.999999999956</v>
      </c>
      <c r="I52" s="50"/>
      <c r="J52" s="50">
        <f xml:space="preserve"> J49 + J51</f>
        <v>0</v>
      </c>
      <c r="K52" s="50">
        <f t="shared" ref="K52:AN52" si="11" xml:space="preserve"> K49 + K51</f>
        <v>2498.72714591146</v>
      </c>
      <c r="L52" s="50">
        <f t="shared" si="11"/>
        <v>4010.6730090402489</v>
      </c>
      <c r="M52" s="50">
        <f t="shared" si="11"/>
        <v>4026.947277795387</v>
      </c>
      <c r="N52" s="50">
        <f t="shared" si="11"/>
        <v>3994.4343715715841</v>
      </c>
      <c r="O52" s="50">
        <f t="shared" si="11"/>
        <v>4010.7111482119271</v>
      </c>
      <c r="P52" s="50">
        <f t="shared" si="11"/>
        <v>4010.7264029600065</v>
      </c>
      <c r="Q52" s="50">
        <f t="shared" si="11"/>
        <v>4026.5345858842029</v>
      </c>
      <c r="R52" s="50">
        <f t="shared" si="11"/>
        <v>3994.9692268278359</v>
      </c>
      <c r="S52" s="50">
        <f t="shared" si="11"/>
        <v>4010.7800848250099</v>
      </c>
      <c r="T52" s="50">
        <f t="shared" si="11"/>
        <v>4010.8006906373994</v>
      </c>
      <c r="U52" s="50">
        <f t="shared" si="11"/>
        <v>4026.1399796090955</v>
      </c>
      <c r="V52" s="50">
        <f t="shared" si="11"/>
        <v>3995.5288159858937</v>
      </c>
      <c r="W52" s="50">
        <f t="shared" si="11"/>
        <v>4010.8709619195197</v>
      </c>
      <c r="X52" s="50">
        <f t="shared" si="11"/>
        <v>4010.8972826494428</v>
      </c>
      <c r="Y52" s="50">
        <f t="shared" si="11"/>
        <v>4025.7639269584142</v>
      </c>
      <c r="Z52" s="50">
        <f t="shared" si="11"/>
        <v>3996.115582786786</v>
      </c>
      <c r="AA52" s="50">
        <f t="shared" si="11"/>
        <v>4010.9852818530471</v>
      </c>
      <c r="AB52" s="50">
        <f t="shared" si="11"/>
        <v>4011.0177131727669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4011.290926078339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2498.7271459114586</v>
      </c>
      <c r="M63" s="9">
        <f xml:space="preserve"> SUMIFS( 'FS Qtr'!$J63:$EA63, 'FS Qtr'!$J$2:$EA$2, 'FS Ann'!M$2)</f>
        <v>6509.400154951707</v>
      </c>
      <c r="N63" s="9">
        <f xml:space="preserve"> SUMIFS( 'FS Qtr'!$J63:$EA63, 'FS Qtr'!$J$2:$EA$2, 'FS Ann'!N$2)</f>
        <v>10536.34743274709</v>
      </c>
      <c r="O63" s="9">
        <f xml:space="preserve"> SUMIFS( 'FS Qtr'!$J63:$EA63, 'FS Qtr'!$J$2:$EA$2, 'FS Ann'!O$2)</f>
        <v>14530.781804318674</v>
      </c>
      <c r="P63" s="9">
        <f xml:space="preserve"> SUMIFS( 'FS Qtr'!$J63:$EA63, 'FS Qtr'!$J$2:$EA$2, 'FS Ann'!P$2)</f>
        <v>18541.4929525306</v>
      </c>
      <c r="Q63" s="9">
        <f xml:space="preserve"> SUMIFS( 'FS Qtr'!$J63:$EA63, 'FS Qtr'!$J$2:$EA$2, 'FS Ann'!Q$2)</f>
        <v>22552.219355490601</v>
      </c>
      <c r="R63" s="9">
        <f xml:space="preserve"> SUMIFS( 'FS Qtr'!$J63:$EA63, 'FS Qtr'!$J$2:$EA$2, 'FS Ann'!R$2)</f>
        <v>26578.753941374813</v>
      </c>
      <c r="S63" s="9">
        <f xml:space="preserve"> SUMIFS( 'FS Qtr'!$J63:$EA63, 'FS Qtr'!$J$2:$EA$2, 'FS Ann'!S$2)</f>
        <v>30573.723168202647</v>
      </c>
      <c r="T63" s="9">
        <f xml:space="preserve"> SUMIFS( 'FS Qtr'!$J63:$EA63, 'FS Qtr'!$J$2:$EA$2, 'FS Ann'!T$2)</f>
        <v>34584.503253027659</v>
      </c>
      <c r="U63" s="9">
        <f xml:space="preserve"> SUMIFS( 'FS Qtr'!$J63:$EA63, 'FS Qtr'!$J$2:$EA$2, 'FS Ann'!U$2)</f>
        <v>38595.303943665058</v>
      </c>
      <c r="V63" s="9">
        <f xml:space="preserve"> SUMIFS( 'FS Qtr'!$J63:$EA63, 'FS Qtr'!$J$2:$EA$2, 'FS Ann'!V$2)</f>
        <v>42621.44392327415</v>
      </c>
      <c r="W63" s="9">
        <f xml:space="preserve"> SUMIFS( 'FS Qtr'!$J63:$EA63, 'FS Qtr'!$J$2:$EA$2, 'FS Ann'!W$2)</f>
        <v>46616.972739260054</v>
      </c>
      <c r="X63" s="9">
        <f xml:space="preserve"> SUMIFS( 'FS Qtr'!$J63:$EA63, 'FS Qtr'!$J$2:$EA$2, 'FS Ann'!X$2)</f>
        <v>50627.843701179576</v>
      </c>
      <c r="Y63" s="9">
        <f xml:space="preserve"> SUMIFS( 'FS Qtr'!$J63:$EA63, 'FS Qtr'!$J$2:$EA$2, 'FS Ann'!Y$2)</f>
        <v>54638.740983829011</v>
      </c>
      <c r="Z63" s="9">
        <f xml:space="preserve"> SUMIFS( 'FS Qtr'!$J63:$EA63, 'FS Qtr'!$J$2:$EA$2, 'FS Ann'!Z$2)</f>
        <v>58664.504910787429</v>
      </c>
      <c r="AA63" s="9">
        <f xml:space="preserve"> SUMIFS( 'FS Qtr'!$J63:$EA63, 'FS Qtr'!$J$2:$EA$2, 'FS Ann'!AA$2)</f>
        <v>62660.620493574213</v>
      </c>
      <c r="AB63" s="9">
        <f xml:space="preserve"> SUMIFS( 'FS Qtr'!$J63:$EA63, 'FS Qtr'!$J$2:$EA$2, 'FS Ann'!AB$2)</f>
        <v>66671.605775427248</v>
      </c>
      <c r="AC63" s="9">
        <f xml:space="preserve"> SUMIFS( 'FS Qtr'!$J63:$EA63, 'FS Qtr'!$J$2:$EA$2, 'FS Ann'!AC$2)</f>
        <v>70682.623488600017</v>
      </c>
      <c r="AD63" s="9">
        <f xml:space="preserve"> SUMIFS( 'FS Qtr'!$J63:$EA63, 'FS Qtr'!$J$2:$EA$2, 'FS Ann'!AD$2)</f>
        <v>74708.03044382896</v>
      </c>
      <c r="AE63" s="9">
        <f xml:space="preserve"> SUMIFS( 'FS Qtr'!$J63:$EA63, 'FS Qtr'!$J$2:$EA$2, 'FS Ann'!AE$2)</f>
        <v>78704.762610119855</v>
      </c>
      <c r="AF63" s="9">
        <f xml:space="preserve"> SUMIFS( 'FS Qtr'!$J63:$EA63, 'FS Qtr'!$J$2:$EA$2, 'FS Ann'!AF$2)</f>
        <v>82715.887288231592</v>
      </c>
      <c r="AG63" s="9">
        <f xml:space="preserve"> SUMIFS( 'FS Qtr'!$J63:$EA63, 'FS Qtr'!$J$2:$EA$2, 'FS Ann'!AG$2)</f>
        <v>86727.05093835594</v>
      </c>
      <c r="AH63" s="9">
        <f xml:space="preserve"> SUMIFS( 'FS Qtr'!$J63:$EA63, 'FS Qtr'!$J$2:$EA$2, 'FS Ann'!AH$2)</f>
        <v>90752.120593905114</v>
      </c>
      <c r="AI63" s="9">
        <f xml:space="preserve"> SUMIFS( 'FS Qtr'!$J63:$EA63, 'FS Qtr'!$J$2:$EA$2, 'FS Ann'!AI$2)</f>
        <v>94749.502011160206</v>
      </c>
      <c r="AJ63" s="9">
        <f xml:space="preserve"> SUMIFS( 'FS Qtr'!$J63:$EA63, 'FS Qtr'!$J$2:$EA$2, 'FS Ann'!AJ$2)</f>
        <v>98760.792937238541</v>
      </c>
      <c r="AK63" s="9">
        <f xml:space="preserve"> SUMIFS( 'FS Qtr'!$J63:$EA63, 'FS Qtr'!$J$2:$EA$2, 'FS Ann'!AK$2)</f>
        <v>100000</v>
      </c>
      <c r="AL63" s="9">
        <f xml:space="preserve"> SUMIFS( 'FS Qtr'!$J63:$EA63, 'FS Qtr'!$J$2:$EA$2, 'FS Ann'!AL$2)</f>
        <v>100000</v>
      </c>
      <c r="AM63" s="9">
        <f xml:space="preserve"> SUMIFS( 'FS Qtr'!$J63:$EA63, 'FS Qtr'!$J$2:$EA$2, 'FS Ann'!AM$2)</f>
        <v>100000</v>
      </c>
      <c r="AN63" s="9">
        <f xml:space="preserve"> SUMIFS( 'FS Qtr'!$J63:$EA63, 'FS Qtr'!$J$2:$EA$2, 'FS Ann'!AN$2)</f>
        <v>100000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4127.5188125781251</v>
      </c>
      <c r="M65" s="50">
        <f t="shared" si="13"/>
        <v>8130.0883804906789</v>
      </c>
      <c r="N65" s="50">
        <f t="shared" si="13"/>
        <v>12131.251377840388</v>
      </c>
      <c r="O65" s="50">
        <f t="shared" si="13"/>
        <v>16135.383893909499</v>
      </c>
      <c r="P65" s="50">
        <f t="shared" si="13"/>
        <v>20138.111947148336</v>
      </c>
      <c r="Q65" s="50">
        <f t="shared" si="13"/>
        <v>24140.894972025661</v>
      </c>
      <c r="R65" s="50">
        <f t="shared" si="13"/>
        <v>28142.154580904149</v>
      </c>
      <c r="S65" s="50">
        <f t="shared" si="13"/>
        <v>32146.630389840786</v>
      </c>
      <c r="T65" s="50">
        <f t="shared" si="13"/>
        <v>36149.585065602922</v>
      </c>
      <c r="U65" s="50">
        <f t="shared" si="13"/>
        <v>40152.59927956084</v>
      </c>
      <c r="V65" s="50">
        <f t="shared" si="13"/>
        <v>44153.963525599014</v>
      </c>
      <c r="W65" s="50">
        <f t="shared" si="13"/>
        <v>48158.811145136926</v>
      </c>
      <c r="X65" s="50">
        <f t="shared" si="13"/>
        <v>52162.011269216266</v>
      </c>
      <c r="Y65" s="50">
        <f t="shared" si="13"/>
        <v>56165.275877397857</v>
      </c>
      <c r="Z65" s="50">
        <f t="shared" si="13"/>
        <v>60166.753452925048</v>
      </c>
      <c r="AA65" s="50">
        <f t="shared" si="13"/>
        <v>64172.003769798903</v>
      </c>
      <c r="AB65" s="50">
        <f t="shared" si="13"/>
        <v>68175.469731869729</v>
      </c>
      <c r="AC65" s="50">
        <f t="shared" si="13"/>
        <v>72179.00553481144</v>
      </c>
      <c r="AD65" s="50">
        <f t="shared" si="13"/>
        <v>76180.605854238762</v>
      </c>
      <c r="AE65" s="50">
        <f t="shared" si="13"/>
        <v>80186.292320979905</v>
      </c>
      <c r="AF65" s="50">
        <f t="shared" si="13"/>
        <v>84190.046204510247</v>
      </c>
      <c r="AG65" s="50">
        <f t="shared" si="13"/>
        <v>88193.875730673011</v>
      </c>
      <c r="AH65" s="50">
        <f t="shared" si="13"/>
        <v>92195.608990477602</v>
      </c>
      <c r="AI65" s="50">
        <f t="shared" si="13"/>
        <v>96201.767838557615</v>
      </c>
      <c r="AJ65" s="50">
        <f t="shared" si="13"/>
        <v>100205.83356151458</v>
      </c>
      <c r="AK65" s="50">
        <f t="shared" si="13"/>
        <v>100000</v>
      </c>
      <c r="AL65" s="50">
        <f t="shared" si="13"/>
        <v>100000</v>
      </c>
      <c r="AM65" s="50">
        <f t="shared" si="13"/>
        <v>100000</v>
      </c>
      <c r="AN65" s="50">
        <f t="shared" si="13"/>
        <v>100000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100127.51881257813</v>
      </c>
      <c r="M67" s="50">
        <f t="shared" si="14"/>
        <v>100130.08838049068</v>
      </c>
      <c r="N67" s="50">
        <f t="shared" si="14"/>
        <v>100131.25137784038</v>
      </c>
      <c r="O67" s="50">
        <f t="shared" si="14"/>
        <v>100135.3838939095</v>
      </c>
      <c r="P67" s="50">
        <f t="shared" si="14"/>
        <v>100138.11194714834</v>
      </c>
      <c r="Q67" s="50">
        <f t="shared" si="14"/>
        <v>100140.89497202566</v>
      </c>
      <c r="R67" s="50">
        <f t="shared" si="14"/>
        <v>100142.15458090414</v>
      </c>
      <c r="S67" s="50">
        <f t="shared" si="14"/>
        <v>100146.63038984078</v>
      </c>
      <c r="T67" s="50">
        <f t="shared" si="14"/>
        <v>100149.58506560292</v>
      </c>
      <c r="U67" s="50">
        <f t="shared" si="14"/>
        <v>100152.59927956085</v>
      </c>
      <c r="V67" s="50">
        <f t="shared" si="14"/>
        <v>100153.96352559901</v>
      </c>
      <c r="W67" s="50">
        <f t="shared" si="14"/>
        <v>100158.81114513692</v>
      </c>
      <c r="X67" s="50">
        <f t="shared" si="14"/>
        <v>100162.01126921627</v>
      </c>
      <c r="Y67" s="50">
        <f t="shared" si="14"/>
        <v>100165.27587739786</v>
      </c>
      <c r="Z67" s="50">
        <f t="shared" si="14"/>
        <v>100166.75345292504</v>
      </c>
      <c r="AA67" s="50">
        <f t="shared" si="14"/>
        <v>100172.0037697989</v>
      </c>
      <c r="AB67" s="50">
        <f t="shared" si="14"/>
        <v>100175.46973186973</v>
      </c>
      <c r="AC67" s="50">
        <f t="shared" si="14"/>
        <v>100179.00553481144</v>
      </c>
      <c r="AD67" s="50">
        <f t="shared" si="14"/>
        <v>100180.60585423876</v>
      </c>
      <c r="AE67" s="50">
        <f t="shared" si="14"/>
        <v>100186.2923209799</v>
      </c>
      <c r="AF67" s="50">
        <f t="shared" si="14"/>
        <v>100190.04620451025</v>
      </c>
      <c r="AG67" s="50">
        <f t="shared" si="14"/>
        <v>100193.87573067301</v>
      </c>
      <c r="AH67" s="50">
        <f t="shared" si="14"/>
        <v>100195.6089904776</v>
      </c>
      <c r="AI67" s="50">
        <f t="shared" si="14"/>
        <v>100201.76783855761</v>
      </c>
      <c r="AJ67" s="50">
        <f t="shared" si="14"/>
        <v>100205.83356151458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100127.51881257813</v>
      </c>
      <c r="M75" s="50">
        <f t="shared" si="15"/>
        <v>100130.08838049068</v>
      </c>
      <c r="N75" s="50">
        <f t="shared" si="15"/>
        <v>100131.2513778404</v>
      </c>
      <c r="O75" s="50">
        <f t="shared" si="15"/>
        <v>100135.3838939095</v>
      </c>
      <c r="P75" s="50">
        <f t="shared" si="15"/>
        <v>100138.11194714834</v>
      </c>
      <c r="Q75" s="50">
        <f t="shared" si="15"/>
        <v>100140.89497202568</v>
      </c>
      <c r="R75" s="50">
        <f t="shared" si="15"/>
        <v>100142.15458090416</v>
      </c>
      <c r="S75" s="50">
        <f t="shared" si="15"/>
        <v>100146.63038984079</v>
      </c>
      <c r="T75" s="50">
        <f t="shared" si="15"/>
        <v>100149.58506560292</v>
      </c>
      <c r="U75" s="50">
        <f t="shared" si="15"/>
        <v>100152.59927956085</v>
      </c>
      <c r="V75" s="50">
        <f t="shared" si="15"/>
        <v>100153.96352559903</v>
      </c>
      <c r="W75" s="50">
        <f t="shared" si="15"/>
        <v>100158.81114513692</v>
      </c>
      <c r="X75" s="50">
        <f t="shared" si="15"/>
        <v>100162.01126921627</v>
      </c>
      <c r="Y75" s="50">
        <f t="shared" si="15"/>
        <v>100165.27587739786</v>
      </c>
      <c r="Z75" s="50">
        <f t="shared" si="15"/>
        <v>100166.75345292506</v>
      </c>
      <c r="AA75" s="50">
        <f t="shared" si="15"/>
        <v>100172.00376979892</v>
      </c>
      <c r="AB75" s="50">
        <f t="shared" si="15"/>
        <v>100175.46973186974</v>
      </c>
      <c r="AC75" s="50">
        <f t="shared" si="15"/>
        <v>100179.00553481145</v>
      </c>
      <c r="AD75" s="50">
        <f t="shared" si="15"/>
        <v>100180.60585423879</v>
      </c>
      <c r="AE75" s="50">
        <f t="shared" si="15"/>
        <v>100186.29232097992</v>
      </c>
      <c r="AF75" s="50">
        <f t="shared" si="15"/>
        <v>100190.04620451026</v>
      </c>
      <c r="AG75" s="50">
        <f t="shared" si="15"/>
        <v>100193.87573067303</v>
      </c>
      <c r="AH75" s="50">
        <f t="shared" si="15"/>
        <v>100195.60899047759</v>
      </c>
      <c r="AI75" s="50">
        <f t="shared" si="15"/>
        <v>100201.7678385576</v>
      </c>
      <c r="AJ75" s="50">
        <f t="shared" si="15"/>
        <v>100205.83356151456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100127.51881257813</v>
      </c>
      <c r="M80" s="113">
        <f t="shared" si="16"/>
        <v>100130.08838049068</v>
      </c>
      <c r="N80" s="113">
        <f t="shared" si="16"/>
        <v>100131.25137784038</v>
      </c>
      <c r="O80" s="113">
        <f t="shared" si="16"/>
        <v>100135.3838939095</v>
      </c>
      <c r="P80" s="113">
        <f t="shared" si="16"/>
        <v>100138.11194714834</v>
      </c>
      <c r="Q80" s="113">
        <f t="shared" si="16"/>
        <v>100140.89497202566</v>
      </c>
      <c r="R80" s="113">
        <f t="shared" si="16"/>
        <v>100142.15458090414</v>
      </c>
      <c r="S80" s="113">
        <f t="shared" si="16"/>
        <v>100146.63038984078</v>
      </c>
      <c r="T80" s="113">
        <f t="shared" si="16"/>
        <v>100149.58506560292</v>
      </c>
      <c r="U80" s="113">
        <f t="shared" si="16"/>
        <v>100152.59927956085</v>
      </c>
      <c r="V80" s="113">
        <f t="shared" si="16"/>
        <v>100153.96352559901</v>
      </c>
      <c r="W80" s="113">
        <f t="shared" si="16"/>
        <v>100158.81114513692</v>
      </c>
      <c r="X80" s="113">
        <f t="shared" si="16"/>
        <v>100162.01126921627</v>
      </c>
      <c r="Y80" s="113">
        <f t="shared" si="16"/>
        <v>100165.27587739786</v>
      </c>
      <c r="Z80" s="113">
        <f t="shared" si="16"/>
        <v>100166.75345292504</v>
      </c>
      <c r="AA80" s="113">
        <f t="shared" si="16"/>
        <v>100172.0037697989</v>
      </c>
      <c r="AB80" s="113">
        <f t="shared" si="16"/>
        <v>100175.46973186973</v>
      </c>
      <c r="AC80" s="113">
        <f t="shared" si="16"/>
        <v>100179.00553481144</v>
      </c>
      <c r="AD80" s="113">
        <f t="shared" si="16"/>
        <v>100180.60585423876</v>
      </c>
      <c r="AE80" s="113">
        <f t="shared" si="16"/>
        <v>100186.2923209799</v>
      </c>
      <c r="AF80" s="113">
        <f t="shared" si="16"/>
        <v>100190.04620451025</v>
      </c>
      <c r="AG80" s="113">
        <f t="shared" si="16"/>
        <v>100193.87573067301</v>
      </c>
      <c r="AH80" s="113">
        <f t="shared" si="16"/>
        <v>100195.6089904776</v>
      </c>
      <c r="AI80" s="113">
        <f t="shared" si="16"/>
        <v>100201.76783855761</v>
      </c>
      <c r="AJ80" s="113">
        <f t="shared" si="16"/>
        <v>100205.83356151458</v>
      </c>
      <c r="AK80" s="113">
        <f xml:space="preserve"> AK$67</f>
        <v>100000</v>
      </c>
      <c r="AL80" s="113">
        <f xml:space="preserve"> AL$67</f>
        <v>100000</v>
      </c>
      <c r="AM80" s="113">
        <f xml:space="preserve"> AM$67</f>
        <v>100000</v>
      </c>
      <c r="AN80" s="113">
        <f xml:space="preserve"> AN$67</f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100127.51881257813</v>
      </c>
      <c r="M81" s="113">
        <f t="shared" si="17"/>
        <v>100130.08838049068</v>
      </c>
      <c r="N81" s="113">
        <f t="shared" si="17"/>
        <v>100131.2513778404</v>
      </c>
      <c r="O81" s="113">
        <f t="shared" si="17"/>
        <v>100135.3838939095</v>
      </c>
      <c r="P81" s="113">
        <f t="shared" si="17"/>
        <v>100138.11194714834</v>
      </c>
      <c r="Q81" s="113">
        <f t="shared" si="17"/>
        <v>100140.89497202568</v>
      </c>
      <c r="R81" s="113">
        <f t="shared" si="17"/>
        <v>100142.15458090416</v>
      </c>
      <c r="S81" s="113">
        <f t="shared" si="17"/>
        <v>100146.63038984079</v>
      </c>
      <c r="T81" s="113">
        <f t="shared" si="17"/>
        <v>100149.58506560292</v>
      </c>
      <c r="U81" s="113">
        <f t="shared" si="17"/>
        <v>100152.59927956085</v>
      </c>
      <c r="V81" s="113">
        <f t="shared" si="17"/>
        <v>100153.96352559903</v>
      </c>
      <c r="W81" s="113">
        <f t="shared" si="17"/>
        <v>100158.81114513692</v>
      </c>
      <c r="X81" s="113">
        <f t="shared" si="17"/>
        <v>100162.01126921627</v>
      </c>
      <c r="Y81" s="113">
        <f t="shared" si="17"/>
        <v>100165.27587739786</v>
      </c>
      <c r="Z81" s="113">
        <f t="shared" si="17"/>
        <v>100166.75345292506</v>
      </c>
      <c r="AA81" s="113">
        <f t="shared" si="17"/>
        <v>100172.00376979892</v>
      </c>
      <c r="AB81" s="113">
        <f t="shared" si="17"/>
        <v>100175.46973186974</v>
      </c>
      <c r="AC81" s="113">
        <f t="shared" si="17"/>
        <v>100179.00553481145</v>
      </c>
      <c r="AD81" s="113">
        <f t="shared" si="17"/>
        <v>100180.60585423879</v>
      </c>
      <c r="AE81" s="113">
        <f t="shared" si="17"/>
        <v>100186.29232097992</v>
      </c>
      <c r="AF81" s="113">
        <f t="shared" si="17"/>
        <v>100190.04620451026</v>
      </c>
      <c r="AG81" s="113">
        <f t="shared" si="17"/>
        <v>100193.87573067303</v>
      </c>
      <c r="AH81" s="113">
        <f t="shared" si="17"/>
        <v>100195.60899047759</v>
      </c>
      <c r="AI81" s="113">
        <f t="shared" si="17"/>
        <v>100201.7678385576</v>
      </c>
      <c r="AJ81" s="113">
        <f t="shared" si="17"/>
        <v>100205.83356151456</v>
      </c>
      <c r="AK81" s="113">
        <f xml:space="preserve"> AK$75</f>
        <v>100000</v>
      </c>
      <c r="AL81" s="113">
        <f xml:space="preserve"> AL$75</f>
        <v>100000</v>
      </c>
      <c r="AM81" s="113">
        <f xml:space="preserve"> AM$75</f>
        <v>100000</v>
      </c>
      <c r="AN81" s="113">
        <f xml:space="preserve"> AN$75</f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Y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O11" sqref="O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3" width="12.53125" style="67" customWidth="1"/>
    <col min="24" max="24" width="0.46484375" style="114" customWidth="1"/>
    <col min="25" max="25" width="0" hidden="1" customWidth="1"/>
    <col min="26" max="16384" width="9.1328125" hidden="1"/>
  </cols>
  <sheetData>
    <row r="1" spans="1:24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4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COUNTIF(J6:J74, "tu")</f>
        <v>0</v>
      </c>
      <c r="N2" s="219">
        <v>44572</v>
      </c>
      <c r="O2" s="219">
        <v>44572</v>
      </c>
      <c r="P2" s="219">
        <v>44572</v>
      </c>
      <c r="Q2" s="219">
        <v>44571</v>
      </c>
      <c r="R2" s="219">
        <v>44571</v>
      </c>
      <c r="S2" s="219">
        <v>44564</v>
      </c>
      <c r="T2" s="219">
        <v>44564</v>
      </c>
      <c r="U2" s="219">
        <v>44564</v>
      </c>
      <c r="V2" s="219"/>
      <c r="W2" s="219"/>
    </row>
    <row r="3" spans="1:24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/>
      <c r="W3" s="218"/>
      <c r="X3" s="139"/>
    </row>
    <row r="4" spans="1:24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115"/>
    </row>
    <row r="5" spans="1:24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10</v>
      </c>
      <c r="I5" s="72"/>
      <c r="J5" s="314">
        <f xml:space="preserve"> MATCH($H$5, M5:X5, 0)</f>
        <v>2</v>
      </c>
      <c r="K5" s="261" t="s">
        <v>65</v>
      </c>
      <c r="L5" s="259" t="s">
        <v>66</v>
      </c>
      <c r="M5" s="116"/>
      <c r="N5" s="220">
        <v>10</v>
      </c>
      <c r="O5" s="220">
        <v>9</v>
      </c>
      <c r="P5" s="220">
        <v>8</v>
      </c>
      <c r="Q5" s="220">
        <v>7</v>
      </c>
      <c r="R5" s="220">
        <v>6</v>
      </c>
      <c r="S5" s="220">
        <v>5</v>
      </c>
      <c r="T5" s="220">
        <v>4</v>
      </c>
      <c r="U5" s="220">
        <v>3</v>
      </c>
      <c r="V5" s="220">
        <v>2</v>
      </c>
      <c r="W5" s="220">
        <v>1</v>
      </c>
      <c r="X5" s="116"/>
    </row>
    <row r="6" spans="1:24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16"/>
    </row>
    <row r="7" spans="1:24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116"/>
    </row>
    <row r="8" spans="1:24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116"/>
    </row>
    <row r="9" spans="1:24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"/>
    </row>
    <row r="10" spans="1:24" outlineLevel="1" x14ac:dyDescent="0.35">
      <c r="A10" s="491"/>
      <c r="B10" s="491"/>
      <c r="C10" s="492"/>
      <c r="D10" s="493"/>
      <c r="E10" s="494" t="str">
        <f>Metrics!E$20</f>
        <v>Equity IRR</v>
      </c>
      <c r="F10" s="494"/>
      <c r="G10" s="494" t="str">
        <f>Metrics!G$20</f>
        <v>%</v>
      </c>
      <c r="H10" s="494">
        <f>Metrics!F$20</f>
        <v>8.4725400805473347E-2</v>
      </c>
      <c r="I10" s="495"/>
      <c r="J10" s="316" t="str">
        <f xml:space="preserve"> IF(ABS(K10) &gt; TRK_TOL, "tu", "vw")</f>
        <v>vw</v>
      </c>
      <c r="K10" s="81">
        <f xml:space="preserve"> H10 - INDEX(M10:X10, $J$5)</f>
        <v>0</v>
      </c>
      <c r="L10" s="81">
        <f xml:space="preserve"> IF(ABS(K10) &gt; TRK_TOL, IF(INDEX(M10:X10, $J$5) = 0, 0, H10 / INDEX(M10:X10, $J$5) - 1), 0)</f>
        <v>0</v>
      </c>
      <c r="M10" s="271"/>
      <c r="N10" s="257">
        <v>8.4725400805473347E-2</v>
      </c>
      <c r="O10" s="257">
        <v>0.13478659987449648</v>
      </c>
      <c r="P10" s="257"/>
      <c r="Q10" s="257"/>
      <c r="R10" s="257"/>
      <c r="S10" s="257"/>
      <c r="T10" s="257"/>
      <c r="U10" s="257"/>
      <c r="V10" s="257"/>
      <c r="W10" s="257"/>
      <c r="X10" s="138"/>
    </row>
    <row r="11" spans="1:24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INDEX(M11:X11, $J$5)</f>
        <v>0</v>
      </c>
      <c r="L11" s="81">
        <f xml:space="preserve"> IF(ABS(K11) &gt; TRK_TOL, IF(INDEX(M11:X11, $J$5) = 0, 0, H11 / INDEX(M11:X11,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71"/>
    </row>
    <row r="12" spans="1:24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INDEX(M12:X12, $J$5)</f>
        <v>0</v>
      </c>
      <c r="L12" s="81">
        <f xml:space="preserve"> IF(ABS(K12) &gt; TRK_TOL, IF(INDEX(M12:X12, $J$5) = 0, 0, H12 / INDEX(M12:X12,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71"/>
    </row>
    <row r="13" spans="1:24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INDEX(M13:X13, $J$5)</f>
        <v>0</v>
      </c>
      <c r="L13" s="81">
        <f xml:space="preserve"> IF(ABS(K13) &gt; TRK_TOL, IF(INDEX(M13:X13, $J$5) = 0, 0, H13 / INDEX(M13:X13,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39"/>
    </row>
    <row r="14" spans="1:24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136"/>
    </row>
    <row r="15" spans="1:24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131"/>
    </row>
    <row r="16" spans="1:24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131"/>
    </row>
    <row r="17" spans="1:24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131"/>
    </row>
    <row r="18" spans="1:24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</row>
    <row r="19" spans="1:24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INDEX(M19:X19, $J$5)</f>
        <v>0</v>
      </c>
      <c r="L19" s="274">
        <f xml:space="preserve"> IF(ABS(K19) &gt; TRK_TOL, IF(INDEX(M19:X19, $J$5) = 0, 0, H19 / INDEX(M19:X19,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0</v>
      </c>
      <c r="V19" s="281"/>
      <c r="W19" s="281"/>
      <c r="X19" s="280"/>
    </row>
    <row r="20" spans="1:24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INDEX(M20:X20, $J$5)</f>
        <v>0</v>
      </c>
      <c r="L20" s="274">
        <f xml:space="preserve"> IF(ABS(K20) &gt; TRK_TOL, IF(INDEX(M20:X20, $J$5) = 0, 0, H20 / INDEX(M20:X20,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0</v>
      </c>
      <c r="T20" s="281">
        <v>0</v>
      </c>
      <c r="U20" s="281">
        <v>0</v>
      </c>
      <c r="V20" s="281"/>
      <c r="W20" s="281"/>
      <c r="X20" s="282"/>
    </row>
    <row r="21" spans="1:24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INDEX(M21:X21, $J$5)</f>
        <v>0</v>
      </c>
      <c r="L21" s="285">
        <f xml:space="preserve"> IF(ABS(K21) &gt; TRK_TOL, IF(INDEX(M21:X21, $J$5) = 0, 0, H21 / INDEX(M21:X21,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371409.67882059288</v>
      </c>
      <c r="T21" s="287">
        <v>371409.67882059288</v>
      </c>
      <c r="U21" s="287">
        <v>10000</v>
      </c>
      <c r="V21" s="287"/>
      <c r="W21" s="287"/>
      <c r="X21" s="286"/>
    </row>
    <row r="22" spans="1:24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7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0"/>
    </row>
    <row r="23" spans="1:24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INDEX(M23:X23, $J$5)</f>
        <v>0</v>
      </c>
      <c r="L23" s="274">
        <f xml:space="preserve"> IF(ABS(K23) &gt; TRK_TOL, IF(INDEX(M23:X23, $J$5) = 0, 0, H23 / INDEX(M23:X23, $J$5) - 1), 0)</f>
        <v>0</v>
      </c>
      <c r="M23" s="280"/>
      <c r="N23" s="281">
        <v>-100000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/>
      <c r="W23" s="281"/>
      <c r="X23" s="280"/>
    </row>
    <row r="24" spans="1:24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INDEX(M24:X24, $J$5)</f>
        <v>0</v>
      </c>
      <c r="L24" s="285">
        <f xml:space="preserve"> IF(ABS(K24) &gt; TRK_TOL, IF(INDEX(M24:X24, $J$5) = 0, 0, H24 / INDEX(M24:X24, $J$5) - 1), 0)</f>
        <v>0</v>
      </c>
      <c r="M24" s="288"/>
      <c r="N24" s="287">
        <v>222667.04122730848</v>
      </c>
      <c r="O24" s="287">
        <v>322667.04122730839</v>
      </c>
      <c r="P24" s="287">
        <v>322667.04122730839</v>
      </c>
      <c r="Q24" s="287">
        <v>322667.04122730839</v>
      </c>
      <c r="R24" s="287">
        <v>322667.04122730839</v>
      </c>
      <c r="S24" s="287">
        <v>371409.67882059288</v>
      </c>
      <c r="T24" s="287">
        <v>371409.67882059288</v>
      </c>
      <c r="U24" s="287">
        <v>10000</v>
      </c>
      <c r="V24" s="287"/>
      <c r="W24" s="287"/>
      <c r="X24" s="288"/>
    </row>
    <row r="25" spans="1:24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0"/>
    </row>
    <row r="26" spans="1:24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INDEX(M26:X26, $J$5)</f>
        <v>0</v>
      </c>
      <c r="L26" s="274">
        <f xml:space="preserve"> IF(ABS(K26) &gt; TRK_TOL, IF(INDEX(M26:X26, $J$5) = 0, 0, H26 / INDEX(M26:X26,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/>
      <c r="W26" s="281"/>
      <c r="X26" s="289"/>
    </row>
    <row r="27" spans="1:24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INDEX(M27:X27, $J$5)</f>
        <v>0</v>
      </c>
      <c r="L27" s="274">
        <f xml:space="preserve"> IF(ABS(K27) &gt; TRK_TOL, IF(INDEX(M27:X27, $J$5) = 0, 0, H27 / INDEX(M27:X27,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/>
      <c r="W27" s="281"/>
      <c r="X27" s="289"/>
    </row>
    <row r="28" spans="1:24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INDEX(M28:X28, $J$5)</f>
        <v>0</v>
      </c>
      <c r="L28" s="274">
        <f xml:space="preserve"> IF(ABS(K28) &gt; TRK_TOL, IF(INDEX(M28:X28, $J$5) = 0, 0, H28 / INDEX(M28:X28,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/>
      <c r="W28" s="281"/>
      <c r="X28" s="291"/>
    </row>
    <row r="29" spans="1:24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INDEX(M29:X29, $J$5)</f>
        <v>0</v>
      </c>
      <c r="L29" s="285">
        <f xml:space="preserve"> IF(ABS(K29) &gt; TRK_TOL, IF(INDEX(M29:X29, $J$5) = 0, 0, H29 / INDEX(M29:X29, $J$5) - 1), 0)</f>
        <v>0</v>
      </c>
      <c r="M29" s="286"/>
      <c r="N29" s="287">
        <v>222667.04122730848</v>
      </c>
      <c r="O29" s="287">
        <v>322667.04122730839</v>
      </c>
      <c r="P29" s="287">
        <v>322667.04122730839</v>
      </c>
      <c r="Q29" s="287">
        <v>322667.04122730839</v>
      </c>
      <c r="R29" s="287">
        <v>322667.04122730839</v>
      </c>
      <c r="S29" s="287">
        <v>371409.67882059288</v>
      </c>
      <c r="T29" s="287">
        <v>371409.67882059288</v>
      </c>
      <c r="U29" s="287">
        <v>10000</v>
      </c>
      <c r="V29" s="287"/>
      <c r="W29" s="287"/>
      <c r="X29" s="286"/>
    </row>
    <row r="30" spans="1:24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91"/>
    </row>
    <row r="31" spans="1:24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INDEX(M31:X31, $J$5)</f>
        <v>0</v>
      </c>
      <c r="L31" s="274">
        <f xml:space="preserve"> IF(ABS(K31) &gt; TRK_TOL, IF(INDEX(M31:X31, $J$5) = 0, 0, H31 / INDEX(M31:X31,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/>
      <c r="W31" s="281"/>
      <c r="X31" s="291"/>
    </row>
    <row r="32" spans="1:24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INDEX(M32:X32, $J$5)</f>
        <v>0</v>
      </c>
      <c r="L32" s="285">
        <f xml:space="preserve"> IF(ABS(K32) &gt; TRK_TOL, IF(INDEX(M32:X32, $J$5) = 0, 0, H32 / INDEX(M32:X32, $J$5) - 1), 0)</f>
        <v>0</v>
      </c>
      <c r="M32" s="286"/>
      <c r="N32" s="287">
        <v>222667.04122730848</v>
      </c>
      <c r="O32" s="287">
        <v>322667.04122730839</v>
      </c>
      <c r="P32" s="287">
        <v>322667.04122730839</v>
      </c>
      <c r="Q32" s="287">
        <v>322667.04122730839</v>
      </c>
      <c r="R32" s="287">
        <v>322667.04122730839</v>
      </c>
      <c r="S32" s="287">
        <v>371409.67882059288</v>
      </c>
      <c r="T32" s="287">
        <v>371409.67882059288</v>
      </c>
      <c r="U32" s="287">
        <v>10000</v>
      </c>
      <c r="V32" s="287"/>
      <c r="W32" s="287"/>
      <c r="X32" s="286"/>
    </row>
    <row r="33" spans="1:24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91"/>
    </row>
    <row r="34" spans="1:24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INDEX(M34:X34, $J$5)</f>
        <v>0</v>
      </c>
      <c r="L34" s="274">
        <f xml:space="preserve"> IF(ABS(K34) &gt; TRK_TOL, IF(INDEX(M34:X34, $J$5) = 0, 0, H34 / INDEX(M34:X34, $J$5) - 1), 0)</f>
        <v>0</v>
      </c>
      <c r="M34" s="291"/>
      <c r="N34" s="281">
        <v>-222667.04122730848</v>
      </c>
      <c r="O34" s="281">
        <v>-322667.04122730857</v>
      </c>
      <c r="P34" s="281">
        <v>-322667.04122730857</v>
      </c>
      <c r="Q34" s="281">
        <v>0</v>
      </c>
      <c r="R34" s="281">
        <v>0</v>
      </c>
      <c r="S34" s="281">
        <v>0</v>
      </c>
      <c r="T34" s="281">
        <v>0</v>
      </c>
      <c r="U34" s="281">
        <v>0</v>
      </c>
      <c r="V34" s="281"/>
      <c r="W34" s="281"/>
      <c r="X34" s="291"/>
    </row>
    <row r="35" spans="1:24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0</v>
      </c>
      <c r="I35" s="283"/>
      <c r="J35" s="318" t="str">
        <f xml:space="preserve"> IF(ABS(K35) &gt; TRK_TOL, "tu", "vw")</f>
        <v>vw</v>
      </c>
      <c r="K35" s="284">
        <f xml:space="preserve"> H35 - INDEX(M35:X35, $J$5)</f>
        <v>0</v>
      </c>
      <c r="L35" s="285">
        <f xml:space="preserve"> IF(ABS(K35) &gt; TRK_TOL, IF(INDEX(M35:X35, $J$5) = 0, 0, H35 / INDEX(M35:X35, $J$5) - 1), 0)</f>
        <v>0</v>
      </c>
      <c r="M35" s="288"/>
      <c r="N35" s="344">
        <v>0</v>
      </c>
      <c r="O35" s="344">
        <v>-9.0949470177292824E-13</v>
      </c>
      <c r="P35" s="344">
        <v>-9.0949470177292824E-13</v>
      </c>
      <c r="Q35" s="344">
        <v>322667.04122730839</v>
      </c>
      <c r="R35" s="344">
        <v>322667.04122730839</v>
      </c>
      <c r="S35" s="344">
        <v>371409.67882059288</v>
      </c>
      <c r="T35" s="344">
        <v>371409.67882059288</v>
      </c>
      <c r="U35" s="344">
        <v>10000</v>
      </c>
      <c r="V35" s="344"/>
      <c r="W35" s="344"/>
      <c r="X35" s="288"/>
    </row>
    <row r="36" spans="1:24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80"/>
    </row>
    <row r="37" spans="1:24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80"/>
    </row>
    <row r="38" spans="1:24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80"/>
    </row>
    <row r="39" spans="1:24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80"/>
    </row>
    <row r="40" spans="1:24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INDEX(M40:X40, $J$5)</f>
        <v>0</v>
      </c>
      <c r="L40" s="274">
        <f xml:space="preserve"> IF(ABS(K40) &gt; TRK_TOL, IF(INDEX(M40:X40, $J$5) = 0, 0, H40 / INDEX(M40:X40,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0</v>
      </c>
      <c r="U40" s="281">
        <v>0</v>
      </c>
      <c r="V40" s="281"/>
      <c r="W40" s="281"/>
      <c r="X40" s="289"/>
    </row>
    <row r="41" spans="1:24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INDEX(M41:X41, $J$5)</f>
        <v>0</v>
      </c>
      <c r="L41" s="274">
        <f xml:space="preserve"> IF(ABS(K41) &gt; TRK_TOL, IF(INDEX(M41:X41, $J$5) = 0, 0, H41 / INDEX(M41:X41,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0</v>
      </c>
      <c r="S41" s="281">
        <v>0</v>
      </c>
      <c r="T41" s="281">
        <v>0</v>
      </c>
      <c r="U41" s="281">
        <v>0</v>
      </c>
      <c r="V41" s="281"/>
      <c r="W41" s="281"/>
      <c r="X41" s="289"/>
    </row>
    <row r="42" spans="1:24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INDEX(M42:X42, $J$5)</f>
        <v>0</v>
      </c>
      <c r="L42" s="274">
        <f xml:space="preserve"> IF(ABS(K42) &gt; TRK_TOL, IF(INDEX(M42:X42, $J$5) = 0, 0, H42 / INDEX(M42:X42,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/>
      <c r="W42" s="281"/>
      <c r="X42" s="289"/>
    </row>
    <row r="43" spans="1:24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INDEX(M43:X43, $J$5)</f>
        <v>0</v>
      </c>
      <c r="L43" s="285">
        <f xml:space="preserve"> IF(ABS(K43) &gt; TRK_TOL, IF(INDEX(M43:X43, $J$5) = 0, 0, H43 / INDEX(M43:X43,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322667.04122730828</v>
      </c>
      <c r="R43" s="287">
        <v>371409.67882059258</v>
      </c>
      <c r="S43" s="287">
        <v>371409.67882059258</v>
      </c>
      <c r="T43" s="287">
        <v>10000</v>
      </c>
      <c r="U43" s="287">
        <v>10000</v>
      </c>
      <c r="V43" s="287"/>
      <c r="W43" s="287"/>
      <c r="X43" s="286"/>
    </row>
    <row r="44" spans="1:24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9"/>
    </row>
    <row r="45" spans="1:24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INDEX(M45:X45, $J$5)</f>
        <v>0</v>
      </c>
      <c r="L45" s="274">
        <f xml:space="preserve"> IF(ABS(K45) &gt; TRK_TOL, IF(INDEX(M45:X45, $J$5) = 0, 0, H45 / INDEX(M45:X45,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/>
      <c r="W45" s="281"/>
      <c r="X45" s="289"/>
    </row>
    <row r="46" spans="1:24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INDEX(M46:X46, $J$5)</f>
        <v>0</v>
      </c>
      <c r="L46" s="274">
        <f xml:space="preserve"> IF(ABS(K46) &gt; TRK_TOL, IF(INDEX(M46:X46, $J$5) = 0, 0, H46 / INDEX(M46:X46,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/>
      <c r="W46" s="281"/>
      <c r="X46" s="289"/>
    </row>
    <row r="47" spans="1:24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322667.04122730828</v>
      </c>
      <c r="R47" s="287">
        <v>371409.67882059258</v>
      </c>
      <c r="S47" s="287">
        <v>371409.67882059258</v>
      </c>
      <c r="T47" s="287">
        <v>10000</v>
      </c>
      <c r="U47" s="287">
        <v>10000</v>
      </c>
      <c r="V47" s="287"/>
      <c r="W47" s="287"/>
      <c r="X47" s="286"/>
    </row>
    <row r="48" spans="1:24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9"/>
    </row>
    <row r="49" spans="1:24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INDEX(M49:X49, $J$5)</f>
        <v>0</v>
      </c>
      <c r="L49" s="274">
        <f xml:space="preserve"> IF(ABS(K49) &gt; TRK_TOL, IF(INDEX(M49:X49, $J$5) = 0, 0, H49 / INDEX(M49:X49,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/>
      <c r="W49" s="281"/>
      <c r="X49" s="291"/>
    </row>
    <row r="50" spans="1:24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INDEX(M50:X50, $J$5)</f>
        <v>0</v>
      </c>
      <c r="L50" s="274">
        <f xml:space="preserve"> IF(ABS(K50) &gt; TRK_TOL, IF(INDEX(M50:X50, $J$5) = 0, 0, H50 / INDEX(M50:X50,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/>
      <c r="W50" s="281"/>
      <c r="X50" s="291"/>
    </row>
    <row r="51" spans="1:24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INDEX(M51:X51, $J$5)</f>
        <v>0</v>
      </c>
      <c r="L51" s="274">
        <f xml:space="preserve"> IF(ABS(K51) &gt; TRK_TOL, IF(INDEX(M51:X51, $J$5) = 0, 0, H51 / INDEX(M51:X51,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/>
      <c r="W51" s="281"/>
      <c r="X51" s="291"/>
    </row>
    <row r="52" spans="1:24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INDEX(M52:X52, $J$5)</f>
        <v>0</v>
      </c>
      <c r="L52" s="285">
        <f xml:space="preserve"> IF(ABS(K52) &gt; TRK_TOL, IF(INDEX(M52:X52, $J$5) = 0, 0, H52 / INDEX(M52:X52,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322667.04122730828</v>
      </c>
      <c r="R52" s="287">
        <v>371409.67882059258</v>
      </c>
      <c r="S52" s="287">
        <v>371409.67882059258</v>
      </c>
      <c r="T52" s="287">
        <v>10000</v>
      </c>
      <c r="U52" s="287">
        <v>10000</v>
      </c>
      <c r="V52" s="287"/>
      <c r="W52" s="287"/>
      <c r="X52" s="286"/>
    </row>
    <row r="53" spans="1:24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91"/>
    </row>
    <row r="54" spans="1:24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INDEX(M54:X54, $J$5)</f>
        <v>0</v>
      </c>
      <c r="L54" s="274">
        <f xml:space="preserve"> IF(ABS(K54) &gt; TRK_TOL, IF(INDEX(M54:X54, $J$5) = 0, 0, H54 / INDEX(M54:X54,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/>
      <c r="W54" s="281"/>
      <c r="X54" s="291"/>
    </row>
    <row r="55" spans="1:24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INDEX(M55:X55, $J$5)</f>
        <v>0</v>
      </c>
      <c r="L55" s="274">
        <f xml:space="preserve"> IF(ABS(K55) &gt; TRK_TOL, IF(INDEX(M55:X55, $J$5) = 0, 0, H55 / INDEX(M55:X55,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/>
      <c r="W55" s="281"/>
      <c r="X55" s="291"/>
    </row>
    <row r="56" spans="1:24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INDEX(M56:X56, $J$5)</f>
        <v>0</v>
      </c>
      <c r="L56" s="274">
        <f xml:space="preserve"> IF(ABS(K56) &gt; TRK_TOL, IF(INDEX(M56:X56, $J$5) = 0, 0, H56 / INDEX(M56:X56,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/>
      <c r="W56" s="281"/>
      <c r="X56" s="291"/>
    </row>
    <row r="57" spans="1:24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INDEX(M57:X57, $J$5)</f>
        <v>0</v>
      </c>
      <c r="L57" s="285">
        <f xml:space="preserve"> IF(ABS(K57) &gt; TRK_TOL, IF(INDEX(M57:X57, $J$5) = 0, 0, H57 / INDEX(M57:X57,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322667.04122730828</v>
      </c>
      <c r="R57" s="287">
        <v>371409.67882059258</v>
      </c>
      <c r="S57" s="287">
        <v>371409.67882059258</v>
      </c>
      <c r="T57" s="287">
        <v>10000</v>
      </c>
      <c r="U57" s="287">
        <v>10000</v>
      </c>
      <c r="V57" s="287"/>
      <c r="W57" s="287"/>
      <c r="X57" s="286"/>
    </row>
    <row r="58" spans="1:24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91"/>
    </row>
    <row r="59" spans="1:24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INDEX(M59:X59, $J$5)</f>
        <v>0</v>
      </c>
      <c r="L59" s="274">
        <f xml:space="preserve"> IF(ABS(K59) &gt; TRK_TOL, IF(INDEX(M59:X59, $J$5) = 0, 0, H59 / INDEX(M59:X59,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/>
      <c r="W59" s="281"/>
      <c r="X59" s="291"/>
    </row>
    <row r="60" spans="1:24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322667.04122730857</v>
      </c>
      <c r="P60" s="287">
        <v>322667.04122730857</v>
      </c>
      <c r="Q60" s="287">
        <v>322667.04122730828</v>
      </c>
      <c r="R60" s="287">
        <v>371409.67882059258</v>
      </c>
      <c r="S60" s="287">
        <v>371409.67882059258</v>
      </c>
      <c r="T60" s="287">
        <v>10000</v>
      </c>
      <c r="U60" s="287">
        <v>10000</v>
      </c>
      <c r="V60" s="287"/>
      <c r="W60" s="287"/>
      <c r="X60" s="286"/>
    </row>
    <row r="61" spans="1:24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91"/>
    </row>
    <row r="62" spans="1:24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INDEX(M62:X62, $J$5)</f>
        <v>0</v>
      </c>
      <c r="L62" s="274">
        <f xml:space="preserve"> IF(ABS(K62) &gt; TRK_TOL, IF(INDEX(M62:X62, $J$5) = 0, 0, H62 / INDEX(M62:X62, $J$5) - 1), 0)</f>
        <v>0</v>
      </c>
      <c r="M62" s="291"/>
      <c r="N62" s="281">
        <v>-222667.04122730848</v>
      </c>
      <c r="O62" s="281">
        <v>-322667.04122730857</v>
      </c>
      <c r="P62" s="281">
        <v>-322667.04122730857</v>
      </c>
      <c r="Q62" s="281">
        <v>0</v>
      </c>
      <c r="R62" s="281">
        <v>0</v>
      </c>
      <c r="S62" s="281">
        <v>0</v>
      </c>
      <c r="T62" s="281">
        <v>0</v>
      </c>
      <c r="U62" s="281">
        <v>0</v>
      </c>
      <c r="V62" s="281"/>
      <c r="W62" s="281"/>
      <c r="X62" s="291"/>
    </row>
    <row r="63" spans="1:24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100000.00000000003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100000.00000000003</v>
      </c>
      <c r="O63" s="287">
        <v>0</v>
      </c>
      <c r="P63" s="287">
        <v>0</v>
      </c>
      <c r="Q63" s="287">
        <v>322667.04122730828</v>
      </c>
      <c r="R63" s="287">
        <v>371409.67882059258</v>
      </c>
      <c r="S63" s="287">
        <v>371409.67882059258</v>
      </c>
      <c r="T63" s="287">
        <v>10000</v>
      </c>
      <c r="U63" s="287">
        <v>10000</v>
      </c>
      <c r="V63" s="287"/>
      <c r="W63" s="287"/>
      <c r="X63" s="286"/>
    </row>
    <row r="64" spans="1:24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91"/>
    </row>
    <row r="65" spans="1:24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91"/>
    </row>
    <row r="66" spans="1:24" outlineLevel="1" x14ac:dyDescent="0.35">
      <c r="A66" s="62" t="s">
        <v>250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91"/>
    </row>
    <row r="67" spans="1:24" outlineLevel="1" x14ac:dyDescent="0.35">
      <c r="A67" s="73"/>
      <c r="B67" s="75"/>
      <c r="C67" s="82"/>
      <c r="D67" s="72"/>
      <c r="E67" s="279" t="s">
        <v>249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INDEX(M67:X67, $J$5)</f>
        <v>0</v>
      </c>
      <c r="L67" s="274">
        <f xml:space="preserve"> IF(ABS(K67) &gt; TRK_TOL, IF(INDEX(M67:X67, $J$5) = 0, 0, H67 / INDEX(M67:X67,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91"/>
    </row>
    <row r="68" spans="1:24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91"/>
    </row>
    <row r="69" spans="1:24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9"/>
    </row>
    <row r="70" spans="1:24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89"/>
    </row>
    <row r="71" spans="1:24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44572.684799074072</v>
      </c>
      <c r="I71" s="292"/>
      <c r="K71" s="151"/>
      <c r="L71" s="276"/>
      <c r="M71" s="289"/>
      <c r="N71" s="300">
        <v>44572.466787384263</v>
      </c>
      <c r="O71" s="300">
        <v>44572.374983333335</v>
      </c>
      <c r="P71" s="300">
        <v>44572.287801157407</v>
      </c>
      <c r="Q71" s="300">
        <v>44571.375070023147</v>
      </c>
      <c r="R71" s="300">
        <v>44571.345448263892</v>
      </c>
      <c r="S71" s="300">
        <v>44564.56703564815</v>
      </c>
      <c r="T71" s="300">
        <v>44564.437968171296</v>
      </c>
      <c r="U71" s="300">
        <v>44564.41158414352</v>
      </c>
      <c r="V71" s="300">
        <v>43909.144523958334</v>
      </c>
      <c r="W71" s="300"/>
      <c r="X71" s="289"/>
    </row>
    <row r="72" spans="1:24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dep END 01a.xlsx</v>
      </c>
      <c r="I72" s="292"/>
      <c r="K72" s="151"/>
      <c r="L72" s="276"/>
      <c r="M72" s="289"/>
      <c r="N72" s="303" t="s">
        <v>248</v>
      </c>
      <c r="O72" s="303" t="s">
        <v>242</v>
      </c>
      <c r="P72" s="303" t="s">
        <v>237</v>
      </c>
      <c r="Q72" s="303" t="s">
        <v>217</v>
      </c>
      <c r="R72" s="303" t="s">
        <v>210</v>
      </c>
      <c r="S72" s="303" t="s">
        <v>203</v>
      </c>
      <c r="T72" s="303" t="s">
        <v>186</v>
      </c>
      <c r="U72" s="303" t="s">
        <v>164</v>
      </c>
      <c r="V72" s="303" t="s">
        <v>119</v>
      </c>
      <c r="W72" s="303"/>
      <c r="X72" s="289"/>
    </row>
    <row r="73" spans="1:24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89"/>
    </row>
    <row r="74" spans="1:24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289"/>
    </row>
    <row r="76" spans="1:24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A15:XFD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2023-09-21T09:50:14Z</dcterms:modified>
</cp:coreProperties>
</file>