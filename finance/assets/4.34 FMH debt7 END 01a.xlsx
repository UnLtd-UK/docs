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0243BCF0-0A9E-4825-8213-F2CB19E6A852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Chart1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InpC!$F$69</definedName>
    <definedName name="InputRowTemplate">InpC!$E$84:$S$84</definedName>
    <definedName name="InputStored">InpC!$J$3:$S$3</definedName>
    <definedName name="OutputRowTemplate">Output!$E$69:$AE$69</definedName>
    <definedName name="SMU">InpC!$F$72</definedName>
    <definedName name="TrackActive">Output!$H$5</definedName>
    <definedName name="TrackLiveResults">Output!$H$6:$H$76</definedName>
    <definedName name="TrackStoredResults">Output!$M$5:$AE$5</definedName>
    <definedName name="TRK_TOL">InpC!$F$68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69" l="1"/>
  <c r="E12" i="269"/>
  <c r="G11" i="269"/>
  <c r="E11" i="269"/>
  <c r="K30" i="286"/>
  <c r="BA30" i="286"/>
  <c r="BC30" i="286"/>
  <c r="BE30" i="286"/>
  <c r="BG30" i="286"/>
  <c r="BI30" i="286"/>
  <c r="BK30" i="286"/>
  <c r="BM30" i="286"/>
  <c r="BO30" i="286"/>
  <c r="BQ30" i="286"/>
  <c r="BS30" i="286"/>
  <c r="BU30" i="286"/>
  <c r="BW30" i="286"/>
  <c r="BY30" i="286"/>
  <c r="CA30" i="286"/>
  <c r="CC30" i="286"/>
  <c r="CE30" i="286"/>
  <c r="CG30" i="286"/>
  <c r="CI30" i="286"/>
  <c r="CK30" i="286"/>
  <c r="CM30" i="286"/>
  <c r="CO30" i="286"/>
  <c r="CQ30" i="286"/>
  <c r="CS30" i="286"/>
  <c r="CU30" i="286"/>
  <c r="CW30" i="286"/>
  <c r="CY30" i="286"/>
  <c r="DA30" i="286"/>
  <c r="DC30" i="286"/>
  <c r="DE30" i="286"/>
  <c r="DG30" i="286"/>
  <c r="DI30" i="286"/>
  <c r="DK30" i="286"/>
  <c r="DM30" i="286"/>
  <c r="DO30" i="286"/>
  <c r="DQ30" i="286"/>
  <c r="DS30" i="286"/>
  <c r="DU30" i="286"/>
  <c r="DW30" i="286"/>
  <c r="DY30" i="286"/>
  <c r="EA30" i="286"/>
  <c r="EA29" i="286"/>
  <c r="DZ29" i="286"/>
  <c r="DZ30" i="286" s="1"/>
  <c r="DY29" i="286"/>
  <c r="DX29" i="286"/>
  <c r="DX30" i="286" s="1"/>
  <c r="DW29" i="286"/>
  <c r="DV29" i="286"/>
  <c r="DV30" i="286" s="1"/>
  <c r="DU29" i="286"/>
  <c r="DT29" i="286"/>
  <c r="DT30" i="286" s="1"/>
  <c r="DS29" i="286"/>
  <c r="DR29" i="286"/>
  <c r="DR30" i="286" s="1"/>
  <c r="DQ29" i="286"/>
  <c r="DP29" i="286"/>
  <c r="DP30" i="286" s="1"/>
  <c r="DO29" i="286"/>
  <c r="DN29" i="286"/>
  <c r="DN30" i="286" s="1"/>
  <c r="DM29" i="286"/>
  <c r="DL29" i="286"/>
  <c r="DL30" i="286" s="1"/>
  <c r="DK29" i="286"/>
  <c r="DJ29" i="286"/>
  <c r="DJ30" i="286" s="1"/>
  <c r="DI29" i="286"/>
  <c r="DH29" i="286"/>
  <c r="DH30" i="286" s="1"/>
  <c r="DG29" i="286"/>
  <c r="DF29" i="286"/>
  <c r="DF30" i="286" s="1"/>
  <c r="DE29" i="286"/>
  <c r="DD29" i="286"/>
  <c r="DD30" i="286" s="1"/>
  <c r="DC29" i="286"/>
  <c r="DB29" i="286"/>
  <c r="DB30" i="286" s="1"/>
  <c r="DA29" i="286"/>
  <c r="CZ29" i="286"/>
  <c r="CZ30" i="286" s="1"/>
  <c r="CY29" i="286"/>
  <c r="CX29" i="286"/>
  <c r="CX30" i="286" s="1"/>
  <c r="CW29" i="286"/>
  <c r="CV29" i="286"/>
  <c r="CV30" i="286" s="1"/>
  <c r="CU29" i="286"/>
  <c r="CT29" i="286"/>
  <c r="CT30" i="286" s="1"/>
  <c r="CS29" i="286"/>
  <c r="CR29" i="286"/>
  <c r="CR30" i="286" s="1"/>
  <c r="CQ29" i="286"/>
  <c r="CP29" i="286"/>
  <c r="CP30" i="286" s="1"/>
  <c r="CO29" i="286"/>
  <c r="CN29" i="286"/>
  <c r="CN30" i="286" s="1"/>
  <c r="CM29" i="286"/>
  <c r="CL29" i="286"/>
  <c r="CL30" i="286" s="1"/>
  <c r="CK29" i="286"/>
  <c r="CJ29" i="286"/>
  <c r="CJ30" i="286" s="1"/>
  <c r="CI29" i="286"/>
  <c r="CH29" i="286"/>
  <c r="CH30" i="286" s="1"/>
  <c r="CG29" i="286"/>
  <c r="CF29" i="286"/>
  <c r="CF30" i="286" s="1"/>
  <c r="CE29" i="286"/>
  <c r="CD29" i="286"/>
  <c r="CD30" i="286" s="1"/>
  <c r="CC29" i="286"/>
  <c r="CB29" i="286"/>
  <c r="CB30" i="286" s="1"/>
  <c r="CA29" i="286"/>
  <c r="BZ29" i="286"/>
  <c r="BZ30" i="286" s="1"/>
  <c r="BY29" i="286"/>
  <c r="BX29" i="286"/>
  <c r="BX30" i="286" s="1"/>
  <c r="BW29" i="286"/>
  <c r="BV29" i="286"/>
  <c r="BV30" i="286" s="1"/>
  <c r="BU29" i="286"/>
  <c r="BT29" i="286"/>
  <c r="BT30" i="286" s="1"/>
  <c r="BS29" i="286"/>
  <c r="BR29" i="286"/>
  <c r="BR30" i="286" s="1"/>
  <c r="BQ29" i="286"/>
  <c r="BP29" i="286"/>
  <c r="BP30" i="286" s="1"/>
  <c r="BO29" i="286"/>
  <c r="BN29" i="286"/>
  <c r="BN30" i="286" s="1"/>
  <c r="BM29" i="286"/>
  <c r="BL29" i="286"/>
  <c r="BL30" i="286" s="1"/>
  <c r="BK29" i="286"/>
  <c r="BJ29" i="286"/>
  <c r="BJ30" i="286" s="1"/>
  <c r="BI29" i="286"/>
  <c r="BH29" i="286"/>
  <c r="BH30" i="286" s="1"/>
  <c r="BG29" i="286"/>
  <c r="BF29" i="286"/>
  <c r="BF30" i="286" s="1"/>
  <c r="BE29" i="286"/>
  <c r="BD29" i="286"/>
  <c r="BD30" i="286" s="1"/>
  <c r="BC29" i="286"/>
  <c r="BB29" i="286"/>
  <c r="BB30" i="286" s="1"/>
  <c r="BA29" i="286"/>
  <c r="AZ29" i="286"/>
  <c r="AY29" i="286"/>
  <c r="AX29" i="286"/>
  <c r="AW29" i="286"/>
  <c r="AV29" i="286"/>
  <c r="AU29" i="286"/>
  <c r="AT29" i="286"/>
  <c r="AS29" i="286"/>
  <c r="AR29" i="286"/>
  <c r="AQ29" i="286"/>
  <c r="AP29" i="286"/>
  <c r="AO29" i="286"/>
  <c r="AN29" i="286"/>
  <c r="AM29" i="286"/>
  <c r="AL29" i="286"/>
  <c r="AK29" i="286"/>
  <c r="AJ29" i="286"/>
  <c r="AI29" i="286"/>
  <c r="AH29" i="286"/>
  <c r="AG29" i="286"/>
  <c r="AF29" i="286"/>
  <c r="AE29" i="286"/>
  <c r="AD29" i="286"/>
  <c r="AC29" i="286"/>
  <c r="AB29" i="286"/>
  <c r="AA29" i="286"/>
  <c r="Z29" i="286"/>
  <c r="Y29" i="286"/>
  <c r="X29" i="286"/>
  <c r="W29" i="286"/>
  <c r="V29" i="286"/>
  <c r="U29" i="286"/>
  <c r="T29" i="286"/>
  <c r="S29" i="286"/>
  <c r="R29" i="286"/>
  <c r="Q29" i="286"/>
  <c r="P29" i="286"/>
  <c r="O29" i="286"/>
  <c r="N29" i="286"/>
  <c r="M29" i="286"/>
  <c r="L29" i="286"/>
  <c r="L30" i="286" s="1"/>
  <c r="K29" i="286"/>
  <c r="J29" i="286"/>
  <c r="J30" i="286" s="1"/>
  <c r="I29" i="286"/>
  <c r="H29" i="286"/>
  <c r="G29" i="286"/>
  <c r="F29" i="286"/>
  <c r="E29" i="286"/>
  <c r="E28" i="286"/>
  <c r="F28" i="286"/>
  <c r="G28" i="286"/>
  <c r="H28" i="286"/>
  <c r="I28" i="286"/>
  <c r="J28" i="286"/>
  <c r="K28" i="286"/>
  <c r="L28" i="286"/>
  <c r="M28" i="286"/>
  <c r="M30" i="286" s="1"/>
  <c r="N28" i="286"/>
  <c r="O28" i="286"/>
  <c r="O30" i="286" s="1"/>
  <c r="P28" i="286"/>
  <c r="Q28" i="286"/>
  <c r="Q30" i="286" s="1"/>
  <c r="R28" i="286"/>
  <c r="S28" i="286"/>
  <c r="S30" i="286" s="1"/>
  <c r="T28" i="286"/>
  <c r="U28" i="286"/>
  <c r="U30" i="286" s="1"/>
  <c r="V28" i="286"/>
  <c r="W28" i="286"/>
  <c r="W30" i="286" s="1"/>
  <c r="X28" i="286"/>
  <c r="Y28" i="286"/>
  <c r="Y30" i="286" s="1"/>
  <c r="Z28" i="286"/>
  <c r="AA28" i="286"/>
  <c r="AA30" i="286" s="1"/>
  <c r="AB28" i="286"/>
  <c r="AC28" i="286"/>
  <c r="AC30" i="286" s="1"/>
  <c r="AD28" i="286"/>
  <c r="AE28" i="286"/>
  <c r="AE30" i="286" s="1"/>
  <c r="AF28" i="286"/>
  <c r="AG28" i="286"/>
  <c r="AG30" i="286" s="1"/>
  <c r="AH28" i="286"/>
  <c r="AI28" i="286"/>
  <c r="AI30" i="286" s="1"/>
  <c r="AJ28" i="286"/>
  <c r="AK28" i="286"/>
  <c r="AK30" i="286" s="1"/>
  <c r="AL28" i="286"/>
  <c r="AM28" i="286"/>
  <c r="AM30" i="286" s="1"/>
  <c r="AN28" i="286"/>
  <c r="AO28" i="286"/>
  <c r="AO30" i="286" s="1"/>
  <c r="AP28" i="286"/>
  <c r="AQ28" i="286"/>
  <c r="AQ30" i="286" s="1"/>
  <c r="AR28" i="286"/>
  <c r="AS28" i="286"/>
  <c r="AS30" i="286" s="1"/>
  <c r="AT28" i="286"/>
  <c r="AU28" i="286"/>
  <c r="AU30" i="286" s="1"/>
  <c r="AV28" i="286"/>
  <c r="AW28" i="286"/>
  <c r="AW30" i="286" s="1"/>
  <c r="AX28" i="286"/>
  <c r="AY28" i="286"/>
  <c r="AY30" i="286" s="1"/>
  <c r="AZ28" i="286"/>
  <c r="BA28" i="286"/>
  <c r="BB28" i="286"/>
  <c r="BC28" i="286"/>
  <c r="BD28" i="286"/>
  <c r="BE28" i="286"/>
  <c r="BF28" i="286"/>
  <c r="BG28" i="286"/>
  <c r="BH28" i="286"/>
  <c r="BI28" i="286"/>
  <c r="BJ28" i="286"/>
  <c r="BK28" i="286"/>
  <c r="BL28" i="286"/>
  <c r="BM28" i="286"/>
  <c r="BN28" i="286"/>
  <c r="BO28" i="286"/>
  <c r="BP28" i="286"/>
  <c r="BQ28" i="286"/>
  <c r="BR28" i="286"/>
  <c r="BS28" i="286"/>
  <c r="BT28" i="286"/>
  <c r="BU28" i="286"/>
  <c r="BV28" i="286"/>
  <c r="BW28" i="286"/>
  <c r="BX28" i="286"/>
  <c r="BY28" i="286"/>
  <c r="BZ28" i="286"/>
  <c r="CA28" i="286"/>
  <c r="CB28" i="286"/>
  <c r="CC28" i="286"/>
  <c r="CD28" i="286"/>
  <c r="CE28" i="286"/>
  <c r="CF28" i="286"/>
  <c r="CG28" i="286"/>
  <c r="CH28" i="286"/>
  <c r="CI28" i="286"/>
  <c r="CJ28" i="286"/>
  <c r="CK28" i="286"/>
  <c r="CL28" i="286"/>
  <c r="CM28" i="286"/>
  <c r="CN28" i="286"/>
  <c r="CO28" i="286"/>
  <c r="CP28" i="286"/>
  <c r="CQ28" i="286"/>
  <c r="CR28" i="286"/>
  <c r="CS28" i="286"/>
  <c r="CT28" i="286"/>
  <c r="CU28" i="286"/>
  <c r="CV28" i="286"/>
  <c r="CW28" i="286"/>
  <c r="CX28" i="286"/>
  <c r="CY28" i="286"/>
  <c r="CZ28" i="286"/>
  <c r="DA28" i="286"/>
  <c r="DB28" i="286"/>
  <c r="DC28" i="286"/>
  <c r="DD28" i="286"/>
  <c r="DE28" i="286"/>
  <c r="DF28" i="286"/>
  <c r="DG28" i="286"/>
  <c r="DH28" i="286"/>
  <c r="DI28" i="286"/>
  <c r="DJ28" i="286"/>
  <c r="DK28" i="286"/>
  <c r="DL28" i="286"/>
  <c r="DM28" i="286"/>
  <c r="DN28" i="286"/>
  <c r="DO28" i="286"/>
  <c r="DP28" i="286"/>
  <c r="DQ28" i="286"/>
  <c r="DR28" i="286"/>
  <c r="DS28" i="286"/>
  <c r="DT28" i="286"/>
  <c r="DU28" i="286"/>
  <c r="DV28" i="286"/>
  <c r="DW28" i="286"/>
  <c r="DX28" i="286"/>
  <c r="DY28" i="286"/>
  <c r="DZ28" i="286"/>
  <c r="EA28" i="286"/>
  <c r="EA27" i="286"/>
  <c r="DZ27" i="286"/>
  <c r="DY27" i="286"/>
  <c r="DX27" i="286"/>
  <c r="DW27" i="286"/>
  <c r="DV27" i="286"/>
  <c r="DU27" i="286"/>
  <c r="DT27" i="286"/>
  <c r="DS27" i="286"/>
  <c r="DR27" i="286"/>
  <c r="DQ27" i="286"/>
  <c r="DP27" i="286"/>
  <c r="DO27" i="286"/>
  <c r="DN27" i="286"/>
  <c r="DM27" i="286"/>
  <c r="DL27" i="286"/>
  <c r="DK27" i="286"/>
  <c r="DJ27" i="286"/>
  <c r="DI27" i="286"/>
  <c r="DH27" i="286"/>
  <c r="DG27" i="286"/>
  <c r="DF27" i="286"/>
  <c r="DE27" i="286"/>
  <c r="DD27" i="286"/>
  <c r="DC27" i="286"/>
  <c r="DB27" i="286"/>
  <c r="DA27" i="286"/>
  <c r="CZ27" i="286"/>
  <c r="CY27" i="286"/>
  <c r="CX27" i="286"/>
  <c r="CW27" i="286"/>
  <c r="CV27" i="286"/>
  <c r="CU27" i="286"/>
  <c r="CT27" i="286"/>
  <c r="CS27" i="286"/>
  <c r="CR27" i="286"/>
  <c r="CQ27" i="286"/>
  <c r="CP27" i="286"/>
  <c r="CO27" i="286"/>
  <c r="CN27" i="286"/>
  <c r="CM27" i="286"/>
  <c r="CL27" i="286"/>
  <c r="CK27" i="286"/>
  <c r="CJ27" i="286"/>
  <c r="CI27" i="286"/>
  <c r="CH27" i="286"/>
  <c r="CG27" i="286"/>
  <c r="CF27" i="286"/>
  <c r="CE27" i="286"/>
  <c r="CD27" i="286"/>
  <c r="CC27" i="286"/>
  <c r="CB27" i="286"/>
  <c r="CA27" i="286"/>
  <c r="BZ27" i="286"/>
  <c r="BY27" i="286"/>
  <c r="BX27" i="286"/>
  <c r="BW27" i="286"/>
  <c r="BV27" i="286"/>
  <c r="BU27" i="286"/>
  <c r="BT27" i="286"/>
  <c r="BS27" i="286"/>
  <c r="BR27" i="286"/>
  <c r="BQ27" i="286"/>
  <c r="BP27" i="286"/>
  <c r="BO27" i="286"/>
  <c r="BN27" i="286"/>
  <c r="BM27" i="286"/>
  <c r="BL27" i="286"/>
  <c r="BK27" i="286"/>
  <c r="BJ27" i="286"/>
  <c r="BI27" i="286"/>
  <c r="BH27" i="286"/>
  <c r="BG27" i="286"/>
  <c r="BF27" i="286"/>
  <c r="BE27" i="286"/>
  <c r="BD27" i="286"/>
  <c r="BC27" i="286"/>
  <c r="BB27" i="286"/>
  <c r="BA27" i="286"/>
  <c r="AZ27" i="286"/>
  <c r="AY27" i="286"/>
  <c r="AX27" i="286"/>
  <c r="AW27" i="286"/>
  <c r="AV27" i="286"/>
  <c r="AU27" i="286"/>
  <c r="AT27" i="286"/>
  <c r="AS27" i="286"/>
  <c r="AR27" i="286"/>
  <c r="AQ27" i="286"/>
  <c r="AP27" i="286"/>
  <c r="AO27" i="286"/>
  <c r="AN27" i="286"/>
  <c r="AM27" i="286"/>
  <c r="AL27" i="286"/>
  <c r="AK27" i="286"/>
  <c r="AJ27" i="286"/>
  <c r="AI27" i="286"/>
  <c r="AH27" i="286"/>
  <c r="AG27" i="286"/>
  <c r="AF27" i="286"/>
  <c r="AE27" i="286"/>
  <c r="AD27" i="286"/>
  <c r="AC27" i="286"/>
  <c r="AB27" i="286"/>
  <c r="AA27" i="286"/>
  <c r="Z27" i="286"/>
  <c r="Y27" i="286"/>
  <c r="X27" i="286"/>
  <c r="W27" i="286"/>
  <c r="V27" i="286"/>
  <c r="U27" i="286"/>
  <c r="T27" i="286"/>
  <c r="S27" i="286"/>
  <c r="R27" i="286"/>
  <c r="Q27" i="286"/>
  <c r="P27" i="286"/>
  <c r="O27" i="286"/>
  <c r="N27" i="286"/>
  <c r="M27" i="286"/>
  <c r="L27" i="286"/>
  <c r="K27" i="286"/>
  <c r="J27" i="286"/>
  <c r="I27" i="286"/>
  <c r="H27" i="286"/>
  <c r="G27" i="286"/>
  <c r="F27" i="286"/>
  <c r="E27" i="286"/>
  <c r="E46" i="287"/>
  <c r="F46" i="287"/>
  <c r="I46" i="287"/>
  <c r="G41" i="287"/>
  <c r="G46" i="287" s="1"/>
  <c r="E40" i="287"/>
  <c r="F40" i="287"/>
  <c r="I40" i="287"/>
  <c r="E39" i="287"/>
  <c r="F39" i="287"/>
  <c r="I39" i="287"/>
  <c r="G37" i="287"/>
  <c r="G39" i="287" s="1"/>
  <c r="E35" i="287"/>
  <c r="I36" i="287"/>
  <c r="G36" i="287"/>
  <c r="F36" i="287"/>
  <c r="E36" i="287"/>
  <c r="G33" i="287"/>
  <c r="G35" i="287" s="1"/>
  <c r="E32" i="287"/>
  <c r="G32" i="287"/>
  <c r="E31" i="287"/>
  <c r="I28" i="287"/>
  <c r="G28" i="287"/>
  <c r="F28" i="287"/>
  <c r="E28" i="287"/>
  <c r="E27" i="287"/>
  <c r="F27" i="287"/>
  <c r="G27" i="287"/>
  <c r="H27" i="287"/>
  <c r="I27" i="287"/>
  <c r="E24" i="287"/>
  <c r="F24" i="287"/>
  <c r="G24" i="287"/>
  <c r="H24" i="287"/>
  <c r="I24" i="287"/>
  <c r="I23" i="287"/>
  <c r="G23" i="287"/>
  <c r="F23" i="287"/>
  <c r="E23" i="287"/>
  <c r="G78" i="287"/>
  <c r="I77" i="287"/>
  <c r="F77" i="287"/>
  <c r="E77" i="287"/>
  <c r="E76" i="287"/>
  <c r="F76" i="287"/>
  <c r="I76" i="287"/>
  <c r="G55" i="287"/>
  <c r="E55" i="287"/>
  <c r="G54" i="287"/>
  <c r="E54" i="287"/>
  <c r="G53" i="287"/>
  <c r="E53" i="287"/>
  <c r="I16" i="265"/>
  <c r="F16" i="265"/>
  <c r="F28" i="269" s="1"/>
  <c r="F35" i="265"/>
  <c r="F47" i="269" s="1"/>
  <c r="I35" i="265"/>
  <c r="G62" i="287"/>
  <c r="G35" i="265" s="1"/>
  <c r="G35" i="277" s="1"/>
  <c r="E62" i="287"/>
  <c r="E35" i="265" s="1"/>
  <c r="E47" i="269" s="1"/>
  <c r="G61" i="287"/>
  <c r="E60" i="287"/>
  <c r="F60" i="287"/>
  <c r="G60" i="287"/>
  <c r="H60" i="287"/>
  <c r="I60" i="287"/>
  <c r="E59" i="287"/>
  <c r="F59" i="287"/>
  <c r="H59" i="287"/>
  <c r="I59" i="287"/>
  <c r="E56" i="287"/>
  <c r="F56" i="287"/>
  <c r="G56" i="287"/>
  <c r="H56" i="287"/>
  <c r="I56" i="287"/>
  <c r="E10" i="286"/>
  <c r="G44" i="287"/>
  <c r="E44" i="287"/>
  <c r="G10" i="287"/>
  <c r="E10" i="287"/>
  <c r="E71" i="287"/>
  <c r="F71" i="287"/>
  <c r="I71" i="287"/>
  <c r="F36" i="265"/>
  <c r="F48" i="269" s="1"/>
  <c r="I36" i="265"/>
  <c r="G49" i="287"/>
  <c r="G36" i="265" s="1"/>
  <c r="G36" i="277" s="1"/>
  <c r="E49" i="287"/>
  <c r="E36" i="265" s="1"/>
  <c r="E36" i="277" s="1"/>
  <c r="G48" i="287"/>
  <c r="G71" i="287" s="1"/>
  <c r="E45" i="287"/>
  <c r="F45" i="287"/>
  <c r="I45" i="287"/>
  <c r="E19" i="287"/>
  <c r="F19" i="287"/>
  <c r="G19" i="287"/>
  <c r="I19" i="287"/>
  <c r="G17" i="287"/>
  <c r="E17" i="287"/>
  <c r="E16" i="287"/>
  <c r="G20" i="287"/>
  <c r="G45" i="287" s="1"/>
  <c r="G18" i="287"/>
  <c r="F18" i="287"/>
  <c r="E1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67" i="287"/>
  <c r="G12" i="287"/>
  <c r="E11" i="287"/>
  <c r="G72" i="287"/>
  <c r="G70" i="265" s="1"/>
  <c r="G70" i="277" s="1"/>
  <c r="J70" i="287"/>
  <c r="J59" i="287" s="1"/>
  <c r="G70" i="287"/>
  <c r="G59" i="287" s="1"/>
  <c r="I68" i="287"/>
  <c r="G68" i="287"/>
  <c r="F68" i="287"/>
  <c r="E6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2" i="48"/>
  <c r="G20" i="282" s="1"/>
  <c r="G61" i="48"/>
  <c r="G118" i="281" s="1"/>
  <c r="G60" i="48"/>
  <c r="G59" i="48"/>
  <c r="G46" i="280" s="1"/>
  <c r="G58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N30" i="286" l="1"/>
  <c r="F32" i="286" s="1"/>
  <c r="H12" i="269" s="1"/>
  <c r="K12" i="269" s="1"/>
  <c r="P30" i="286"/>
  <c r="R30" i="286"/>
  <c r="T30" i="286"/>
  <c r="V30" i="286"/>
  <c r="X30" i="286"/>
  <c r="Z30" i="286"/>
  <c r="AB30" i="286"/>
  <c r="AD30" i="286"/>
  <c r="AF30" i="286"/>
  <c r="AH30" i="286"/>
  <c r="AJ30" i="286"/>
  <c r="AL30" i="286"/>
  <c r="AN30" i="286"/>
  <c r="AP30" i="286"/>
  <c r="AR30" i="286"/>
  <c r="AT30" i="286"/>
  <c r="AV30" i="286"/>
  <c r="AX30" i="286"/>
  <c r="AZ30" i="286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76" i="287"/>
  <c r="G40" i="287"/>
  <c r="G67" i="287"/>
  <c r="G31" i="287"/>
  <c r="G77" i="287"/>
  <c r="E16" i="265"/>
  <c r="G16" i="265"/>
  <c r="G16" i="277" s="1"/>
  <c r="F35" i="277"/>
  <c r="F55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16" i="287"/>
  <c r="G12" i="280"/>
  <c r="G11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2" i="48"/>
  <c r="F61" i="48"/>
  <c r="F118" i="281" s="1"/>
  <c r="F60" i="48"/>
  <c r="F59" i="48"/>
  <c r="F46" i="280" s="1"/>
  <c r="F58" i="48"/>
  <c r="F35" i="280" s="1"/>
  <c r="F54" i="48"/>
  <c r="A1" i="264"/>
  <c r="H3" i="269"/>
  <c r="A1" i="269"/>
  <c r="A1" i="277"/>
  <c r="A1" i="286"/>
  <c r="A1" i="281"/>
  <c r="A1" i="273"/>
  <c r="A1" i="275"/>
  <c r="A1" i="265"/>
  <c r="A1" i="280"/>
  <c r="A1" i="282"/>
  <c r="I62" i="48" a="1"/>
  <c r="I62" i="48" s="1"/>
  <c r="I60" i="48" a="1"/>
  <c r="I60" i="48" s="1"/>
  <c r="I58" i="48" a="1"/>
  <c r="I58" i="48" s="1"/>
  <c r="I55" i="48" a="1"/>
  <c r="I55" i="48" s="1"/>
  <c r="I6" i="48"/>
  <c r="F84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4" i="48" a="1"/>
  <c r="I54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29" i="269"/>
  <c r="L57" i="269"/>
  <c r="L58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L12" i="269" l="1"/>
  <c r="J12" i="269"/>
  <c r="F31" i="286"/>
  <c r="H11" i="269" s="1"/>
  <c r="K11" i="269" s="1"/>
  <c r="K5" i="282"/>
  <c r="K5" i="286"/>
  <c r="E16" i="277"/>
  <c r="E28" i="269"/>
  <c r="L44" i="269"/>
  <c r="I59" i="48" a="1"/>
  <c r="I59" i="48" s="1"/>
  <c r="I61" i="48" a="1"/>
  <c r="I61" i="48" s="1"/>
  <c r="I50" i="48" a="1"/>
  <c r="I50" i="48" s="1"/>
  <c r="F55" i="287"/>
  <c r="I49" i="48" a="1"/>
  <c r="I49" i="48" s="1"/>
  <c r="F54" i="287"/>
  <c r="J53" i="269"/>
  <c r="I48" i="48" a="1"/>
  <c r="I48" i="48" s="1"/>
  <c r="F53" i="287"/>
  <c r="J56" i="269"/>
  <c r="L30" i="269"/>
  <c r="I45" i="48" a="1"/>
  <c r="I45" i="48" s="1"/>
  <c r="F17" i="287"/>
  <c r="F117" i="273"/>
  <c r="I47" i="48" a="1"/>
  <c r="I47" i="48" s="1"/>
  <c r="F44" i="287"/>
  <c r="I46" i="48" a="1"/>
  <c r="I46" i="48" s="1"/>
  <c r="F10" i="287"/>
  <c r="F11" i="280"/>
  <c r="F11" i="287"/>
  <c r="F12" i="287" s="1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4" i="48" a="1"/>
  <c r="I84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L11" i="269" l="1"/>
  <c r="J11" i="269"/>
  <c r="F16" i="287"/>
  <c r="F31" i="287"/>
  <c r="J39" i="273"/>
  <c r="J41" i="273" s="1"/>
  <c r="F67" i="287"/>
  <c r="F12" i="280"/>
  <c r="F13" i="280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F95" i="273" l="1"/>
  <c r="F23" i="280"/>
  <c r="F10" i="286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56" i="287" s="1"/>
  <c r="J57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L24" i="273" l="1"/>
  <c r="L25" i="273" s="1"/>
  <c r="J60" i="287"/>
  <c r="J61" i="287" s="1"/>
  <c r="J40" i="287" s="1"/>
  <c r="J24" i="287"/>
  <c r="J62" i="287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56" i="287" s="1"/>
  <c r="L57" i="287" s="1"/>
  <c r="L2" i="281"/>
  <c r="L96" i="273"/>
  <c r="L97" i="273" s="1"/>
  <c r="L90" i="273"/>
  <c r="L91" i="273" s="1"/>
  <c r="L75" i="273"/>
  <c r="L32" i="273"/>
  <c r="L33" i="273" s="1"/>
  <c r="L2" i="273"/>
  <c r="J76" i="273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38" i="273" l="1"/>
  <c r="K68" i="287"/>
  <c r="K23" i="287"/>
  <c r="J68" i="287"/>
  <c r="J23" i="287"/>
  <c r="J25" i="287" s="1"/>
  <c r="J27" i="287" s="1"/>
  <c r="K19" i="287"/>
  <c r="K20" i="287" s="1"/>
  <c r="K45" i="287" s="1"/>
  <c r="K36" i="287"/>
  <c r="K28" i="287"/>
  <c r="L19" i="287"/>
  <c r="L20" i="287" s="1"/>
  <c r="L45" i="287" s="1"/>
  <c r="L36" i="287"/>
  <c r="L28" i="287"/>
  <c r="J19" i="287"/>
  <c r="J20" i="287" s="1"/>
  <c r="J45" i="287" s="1"/>
  <c r="J36" i="287"/>
  <c r="J28" i="287"/>
  <c r="L60" i="287"/>
  <c r="L24" i="287"/>
  <c r="J35" i="265"/>
  <c r="J76" i="287"/>
  <c r="K106" i="281"/>
  <c r="K56" i="287"/>
  <c r="K57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56" i="287" s="1"/>
  <c r="M57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L68" i="287" l="1"/>
  <c r="L72" i="287" s="1"/>
  <c r="L70" i="265" s="1"/>
  <c r="L23" i="287"/>
  <c r="L25" i="287" s="1"/>
  <c r="L27" i="287" s="1"/>
  <c r="M60" i="287"/>
  <c r="M24" i="287"/>
  <c r="K60" i="287"/>
  <c r="K24" i="287"/>
  <c r="K25" i="287" s="1"/>
  <c r="K27" i="287" s="1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M70" i="287"/>
  <c r="M59" i="287" s="1"/>
  <c r="M61" i="287" s="1"/>
  <c r="M40" i="287" s="1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K58" i="273"/>
  <c r="K60" i="273" s="1"/>
  <c r="J73" i="265"/>
  <c r="N19" i="286"/>
  <c r="N2" i="275"/>
  <c r="N2" i="265"/>
  <c r="N2" i="286"/>
  <c r="N2" i="280"/>
  <c r="N2" i="282"/>
  <c r="N148" i="273"/>
  <c r="N149" i="273" s="1"/>
  <c r="N56" i="287" s="1"/>
  <c r="N57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P20" i="273" l="1"/>
  <c r="N19" i="287"/>
  <c r="N20" i="287" s="1"/>
  <c r="N45" i="287" s="1"/>
  <c r="N36" i="287"/>
  <c r="N28" i="287"/>
  <c r="M68" i="287"/>
  <c r="M23" i="287"/>
  <c r="M25" i="287" s="1"/>
  <c r="M27" i="287" s="1"/>
  <c r="M19" i="287"/>
  <c r="M20" i="287" s="1"/>
  <c r="M36" i="287"/>
  <c r="M28" i="287"/>
  <c r="N60" i="287"/>
  <c r="N24" i="287"/>
  <c r="M62" i="287"/>
  <c r="M35" i="265" s="1"/>
  <c r="M76" i="287"/>
  <c r="K11" i="265"/>
  <c r="K14" i="265" s="1"/>
  <c r="M45" i="287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32" i="273"/>
  <c r="O33" i="273" s="1"/>
  <c r="O148" i="273"/>
  <c r="O149" i="273" s="1"/>
  <c r="O56" i="287" s="1"/>
  <c r="O57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M16" i="265" l="1"/>
  <c r="N68" i="287"/>
  <c r="N23" i="287"/>
  <c r="O68" i="287"/>
  <c r="O23" i="287"/>
  <c r="O19" i="287"/>
  <c r="O20" i="287" s="1"/>
  <c r="O45" i="287" s="1"/>
  <c r="O36" i="287"/>
  <c r="O28" i="287"/>
  <c r="N25" i="287"/>
  <c r="N27" i="287"/>
  <c r="O60" i="287"/>
  <c r="O24" i="287"/>
  <c r="O25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M29" i="280" s="1"/>
  <c r="M73" i="265" s="1"/>
  <c r="K19" i="280"/>
  <c r="K49" i="265" s="1"/>
  <c r="M26" i="282"/>
  <c r="N23" i="282" s="1"/>
  <c r="J53" i="281"/>
  <c r="J62" i="281" s="1"/>
  <c r="J63" i="281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56" i="287" s="1"/>
  <c r="P57" i="287" s="1"/>
  <c r="P2" i="281"/>
  <c r="P96" i="273"/>
  <c r="P97" i="273" s="1"/>
  <c r="P90" i="273"/>
  <c r="P91" i="273" s="1"/>
  <c r="P75" i="273"/>
  <c r="P76" i="273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68" i="287" l="1"/>
  <c r="P23" i="287"/>
  <c r="P19" i="287"/>
  <c r="P20" i="287" s="1"/>
  <c r="P45" i="287" s="1"/>
  <c r="P36" i="287"/>
  <c r="P28" i="287"/>
  <c r="O27" i="287"/>
  <c r="P60" i="287"/>
  <c r="P24" i="287"/>
  <c r="P25" i="287" s="1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56" i="287" s="1"/>
  <c r="Q57" i="287" s="1"/>
  <c r="Q75" i="273"/>
  <c r="Q76" i="273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Q68" i="287" l="1"/>
  <c r="Q23" i="287"/>
  <c r="Q19" i="287"/>
  <c r="Q20" i="287" s="1"/>
  <c r="Q45" i="287" s="1"/>
  <c r="Q36" i="287"/>
  <c r="Q28" i="287"/>
  <c r="P27" i="287"/>
  <c r="Q60" i="287"/>
  <c r="Q24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16" i="280"/>
  <c r="N18" i="280" s="1"/>
  <c r="R25" i="282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56" i="287" s="1"/>
  <c r="R57" i="287" s="1"/>
  <c r="R90" i="273"/>
  <c r="R91" i="273" s="1"/>
  <c r="R2" i="281"/>
  <c r="R96" i="273"/>
  <c r="R97" i="273" s="1"/>
  <c r="R75" i="273"/>
  <c r="R76" i="273" s="1"/>
  <c r="R32" i="273"/>
  <c r="R33" i="273" s="1"/>
  <c r="R2" i="273"/>
  <c r="K31" i="265"/>
  <c r="L83" i="265"/>
  <c r="L82" i="265"/>
  <c r="Q25" i="287" l="1"/>
  <c r="R68" i="287"/>
  <c r="R23" i="287"/>
  <c r="R19" i="287"/>
  <c r="R20" i="287" s="1"/>
  <c r="R45" i="287" s="1"/>
  <c r="R36" i="287"/>
  <c r="R28" i="287"/>
  <c r="R60" i="287"/>
  <c r="R24" i="287"/>
  <c r="Q27" i="287"/>
  <c r="R25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56" i="287" s="1"/>
  <c r="S57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S19" i="287" l="1"/>
  <c r="S20" i="287" s="1"/>
  <c r="S45" i="287" s="1"/>
  <c r="S36" i="287"/>
  <c r="S28" i="287"/>
  <c r="R27" i="287"/>
  <c r="S60" i="287"/>
  <c r="S24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O19" i="280"/>
  <c r="O49" i="265" s="1"/>
  <c r="O28" i="280"/>
  <c r="O29" i="280" s="1"/>
  <c r="P26" i="280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56" i="287" s="1"/>
  <c r="T57" i="287" s="1"/>
  <c r="T2" i="281"/>
  <c r="T96" i="273"/>
  <c r="T97" i="273" s="1"/>
  <c r="T90" i="273"/>
  <c r="T91" i="273" s="1"/>
  <c r="T75" i="273"/>
  <c r="T76" i="273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68" i="287" l="1"/>
  <c r="T23" i="287"/>
  <c r="S68" i="287"/>
  <c r="S23" i="287"/>
  <c r="S25" i="287" s="1"/>
  <c r="T19" i="287"/>
  <c r="T20" i="287" s="1"/>
  <c r="T45" i="287" s="1"/>
  <c r="T36" i="287"/>
  <c r="T28" i="287"/>
  <c r="T60" i="287"/>
  <c r="T24" i="287"/>
  <c r="T25" i="282"/>
  <c r="O73" i="265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P16" i="280"/>
  <c r="P18" i="280" s="1"/>
  <c r="U25" i="282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56" i="287" s="1"/>
  <c r="U57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S27" i="287" l="1"/>
  <c r="T25" i="287"/>
  <c r="U19" i="287"/>
  <c r="U20" i="287" s="1"/>
  <c r="U45" i="287" s="1"/>
  <c r="U36" i="287"/>
  <c r="U28" i="287"/>
  <c r="U60" i="287"/>
  <c r="U24" i="287"/>
  <c r="T27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P28" i="280"/>
  <c r="P29" i="280" s="1"/>
  <c r="P73" i="265" s="1"/>
  <c r="P15" i="286"/>
  <c r="Q26" i="280"/>
  <c r="P19" i="280"/>
  <c r="P49" i="265" s="1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56" i="287" s="1"/>
  <c r="V57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U68" i="287" l="1"/>
  <c r="U23" i="287"/>
  <c r="U25" i="287" s="1"/>
  <c r="V19" i="287"/>
  <c r="V20" i="287" s="1"/>
  <c r="V45" i="287" s="1"/>
  <c r="V36" i="287"/>
  <c r="V28" i="287"/>
  <c r="V60" i="287"/>
  <c r="V24" i="287"/>
  <c r="U27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56" i="287" s="1"/>
  <c r="W57" i="287" s="1"/>
  <c r="W2" i="273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68" i="287" l="1"/>
  <c r="V23" i="287"/>
  <c r="W19" i="287"/>
  <c r="W20" i="287" s="1"/>
  <c r="W45" i="287" s="1"/>
  <c r="W36" i="287"/>
  <c r="W28" i="287"/>
  <c r="V25" i="287"/>
  <c r="V27" i="287" s="1"/>
  <c r="W60" i="287"/>
  <c r="W24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56" i="287" s="1"/>
  <c r="X57" i="287" s="1"/>
  <c r="X2" i="281"/>
  <c r="X96" i="273"/>
  <c r="X97" i="273" s="1"/>
  <c r="X90" i="273"/>
  <c r="X91" i="273" s="1"/>
  <c r="X75" i="273"/>
  <c r="X32" i="273"/>
  <c r="X33" i="273" s="1"/>
  <c r="X2" i="273"/>
  <c r="M58" i="280"/>
  <c r="M59" i="280" s="1"/>
  <c r="M67" i="280" s="1"/>
  <c r="M39" i="280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X19" i="287" l="1"/>
  <c r="X20" i="287" s="1"/>
  <c r="X45" i="287" s="1"/>
  <c r="X36" i="287"/>
  <c r="X28" i="287"/>
  <c r="W68" i="287"/>
  <c r="W23" i="287"/>
  <c r="W25" i="287" s="1"/>
  <c r="W27" i="287" s="1"/>
  <c r="X60" i="287"/>
  <c r="X24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R16" i="280"/>
  <c r="R18" i="280" s="1"/>
  <c r="R15" i="286" s="1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56" i="287" s="1"/>
  <c r="Y57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X68" i="287" l="1"/>
  <c r="X23" i="287"/>
  <c r="X25" i="287" s="1"/>
  <c r="Y19" i="287"/>
  <c r="Y20" i="287" s="1"/>
  <c r="Y45" i="287" s="1"/>
  <c r="Y36" i="287"/>
  <c r="Y28" i="287"/>
  <c r="Y60" i="287"/>
  <c r="Y24" i="287"/>
  <c r="X27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R19" i="280"/>
  <c r="R49" i="265" s="1"/>
  <c r="R28" i="280"/>
  <c r="R29" i="280" s="1"/>
  <c r="R73" i="265" s="1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61" i="28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56" i="287" s="1"/>
  <c r="Z57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V45" i="281" l="1"/>
  <c r="V47" i="281" s="1"/>
  <c r="V51" i="281" s="1"/>
  <c r="V84" i="281"/>
  <c r="Y68" i="287"/>
  <c r="Y23" i="287"/>
  <c r="Y25" i="287" s="1"/>
  <c r="Y27" i="287" s="1"/>
  <c r="Z25" i="282"/>
  <c r="Z19" i="287"/>
  <c r="Z20" i="287" s="1"/>
  <c r="Z45" i="287" s="1"/>
  <c r="Z36" i="287"/>
  <c r="Z28" i="287"/>
  <c r="Z60" i="287"/>
  <c r="Z24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S26" i="280"/>
  <c r="S16" i="280" s="1"/>
  <c r="S18" i="280" s="1"/>
  <c r="S15" i="286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56" i="287" s="1"/>
  <c r="AA57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Z68" i="287" l="1"/>
  <c r="Z23" i="287"/>
  <c r="AA19" i="287"/>
  <c r="AA20" i="287" s="1"/>
  <c r="AA45" i="287" s="1"/>
  <c r="AA36" i="287"/>
  <c r="AA28" i="287"/>
  <c r="Z25" i="287"/>
  <c r="Z27" i="287" s="1"/>
  <c r="AA60" i="287"/>
  <c r="AA24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56" i="287" s="1"/>
  <c r="AB57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68" i="287" l="1"/>
  <c r="AA23" i="287"/>
  <c r="AA25" i="287" s="1"/>
  <c r="AB19" i="287"/>
  <c r="AB20" i="287" s="1"/>
  <c r="AB45" i="287" s="1"/>
  <c r="AB36" i="287"/>
  <c r="AB28" i="287"/>
  <c r="AB68" i="287"/>
  <c r="AB23" i="287"/>
  <c r="AA27" i="287"/>
  <c r="AB60" i="287"/>
  <c r="AB24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S73" i="265"/>
  <c r="T16" i="280"/>
  <c r="T18" i="280" s="1"/>
  <c r="T15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56" i="287" s="1"/>
  <c r="AC57" i="287" s="1"/>
  <c r="AC75" i="273"/>
  <c r="AC32" i="273"/>
  <c r="AC33" i="273" s="1"/>
  <c r="AC2" i="273"/>
  <c r="V76" i="281"/>
  <c r="V78" i="281" s="1"/>
  <c r="V85" i="281" s="1"/>
  <c r="V86" i="281" s="1"/>
  <c r="W83" i="281" s="1"/>
  <c r="AB25" i="287" l="1"/>
  <c r="AC19" i="287"/>
  <c r="AC20" i="287" s="1"/>
  <c r="AC45" i="287" s="1"/>
  <c r="AC36" i="287"/>
  <c r="AC28" i="287"/>
  <c r="AB27" i="287"/>
  <c r="AC60" i="287"/>
  <c r="AC24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T19" i="280"/>
  <c r="T49" i="265" s="1"/>
  <c r="T28" i="280"/>
  <c r="T29" i="280" s="1"/>
  <c r="T73" i="265" s="1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56" i="287" s="1"/>
  <c r="AD57" i="287" s="1"/>
  <c r="AD90" i="273"/>
  <c r="AD91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D68" i="287" l="1"/>
  <c r="AD23" i="287"/>
  <c r="AC68" i="287"/>
  <c r="AC23" i="287"/>
  <c r="AD19" i="287"/>
  <c r="AD20" i="287" s="1"/>
  <c r="AD45" i="287" s="1"/>
  <c r="AD36" i="287"/>
  <c r="AD28" i="287"/>
  <c r="AC25" i="287"/>
  <c r="AC27" i="287" s="1"/>
  <c r="AD60" i="287"/>
  <c r="AD24" i="287"/>
  <c r="AD25" i="287" s="1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56" i="287" s="1"/>
  <c r="AE57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19" i="287" l="1"/>
  <c r="AE20" i="287" s="1"/>
  <c r="AE45" i="287" s="1"/>
  <c r="AE36" i="287"/>
  <c r="AE28" i="287"/>
  <c r="AE60" i="287"/>
  <c r="AE24" i="287"/>
  <c r="AD27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56" i="287" s="1"/>
  <c r="AF57" i="287" s="1"/>
  <c r="AF2" i="281"/>
  <c r="AF96" i="273"/>
  <c r="AF97" i="273" s="1"/>
  <c r="AF90" i="273"/>
  <c r="AF91" i="273" s="1"/>
  <c r="AF75" i="273"/>
  <c r="AF76" i="273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E68" i="287" l="1"/>
  <c r="AE23" i="287"/>
  <c r="AE25" i="287" s="1"/>
  <c r="AF68" i="287"/>
  <c r="AF23" i="287"/>
  <c r="AF19" i="287"/>
  <c r="AF20" i="287" s="1"/>
  <c r="AF45" i="287" s="1"/>
  <c r="AF36" i="287"/>
  <c r="AF28" i="287"/>
  <c r="AE27" i="287"/>
  <c r="AF60" i="287"/>
  <c r="AF24" i="287"/>
  <c r="AF25" i="287" s="1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56" i="287" s="1"/>
  <c r="AG57" i="287" s="1"/>
  <c r="AG75" i="273"/>
  <c r="AG32" i="273"/>
  <c r="AG33" i="273" s="1"/>
  <c r="AG2" i="273"/>
  <c r="Q30" i="265"/>
  <c r="Q33" i="265" s="1"/>
  <c r="Q62" i="281"/>
  <c r="Q63" i="281" s="1"/>
  <c r="R69" i="265"/>
  <c r="S121" i="281"/>
  <c r="AG19" i="287" l="1"/>
  <c r="AG20" i="287" s="1"/>
  <c r="AG45" i="287" s="1"/>
  <c r="AG36" i="287"/>
  <c r="AG28" i="287"/>
  <c r="AF27" i="287"/>
  <c r="AG60" i="287"/>
  <c r="AG24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V19" i="280"/>
  <c r="V49" i="265" s="1"/>
  <c r="V28" i="280"/>
  <c r="V29" i="280" s="1"/>
  <c r="V73" i="265" s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56" i="287" s="1"/>
  <c r="AH57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G68" i="287" l="1"/>
  <c r="AG23" i="287"/>
  <c r="AG25" i="287" s="1"/>
  <c r="AH19" i="287"/>
  <c r="AH20" i="287" s="1"/>
  <c r="AH45" i="287" s="1"/>
  <c r="AH36" i="287"/>
  <c r="AH28" i="287"/>
  <c r="AG27" i="287"/>
  <c r="AH60" i="287"/>
  <c r="AH24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W26" i="280"/>
  <c r="W16" i="280" s="1"/>
  <c r="W18" i="280" s="1"/>
  <c r="W15" i="286" s="1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56" i="287" s="1"/>
  <c r="AI57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E50" i="281" l="1"/>
  <c r="AE71" i="281"/>
  <c r="AE73" i="281" s="1"/>
  <c r="AE77" i="281" s="1"/>
  <c r="AI19" i="287"/>
  <c r="AI20" i="287" s="1"/>
  <c r="AI45" i="287" s="1"/>
  <c r="AI36" i="287"/>
  <c r="AI28" i="287"/>
  <c r="AH68" i="287"/>
  <c r="AH23" i="287"/>
  <c r="AH25" i="287" s="1"/>
  <c r="AH27" i="287" s="1"/>
  <c r="AI60" i="287"/>
  <c r="AI24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W19" i="280"/>
  <c r="W49" i="265" s="1"/>
  <c r="W28" i="280"/>
  <c r="W29" i="280" s="1"/>
  <c r="X26" i="280" s="1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56" i="287" s="1"/>
  <c r="AJ57" i="287" s="1"/>
  <c r="AJ2" i="281"/>
  <c r="AJ96" i="273"/>
  <c r="AJ97" i="273" s="1"/>
  <c r="AJ90" i="273"/>
  <c r="AJ91" i="273" s="1"/>
  <c r="AJ75" i="273"/>
  <c r="AJ76" i="273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16" i="282" l="1"/>
  <c r="AJ13" i="265" s="1"/>
  <c r="AJ68" i="287"/>
  <c r="AJ23" i="287"/>
  <c r="AI68" i="287"/>
  <c r="AI23" i="287"/>
  <c r="AJ19" i="287"/>
  <c r="AJ20" i="287" s="1"/>
  <c r="AJ45" i="287" s="1"/>
  <c r="AJ36" i="287"/>
  <c r="AJ28" i="287"/>
  <c r="AI25" i="287"/>
  <c r="AI27" i="287" s="1"/>
  <c r="AJ60" i="287"/>
  <c r="AJ24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56" i="287" s="1"/>
  <c r="AK57" i="287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K68" i="287" l="1"/>
  <c r="AK23" i="287"/>
  <c r="AK19" i="287"/>
  <c r="AK20" i="287" s="1"/>
  <c r="AK45" i="287" s="1"/>
  <c r="AK36" i="287"/>
  <c r="AK28" i="287"/>
  <c r="AJ25" i="287"/>
  <c r="AJ27" i="287" s="1"/>
  <c r="AK60" i="287"/>
  <c r="AK24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56" i="287" s="1"/>
  <c r="AL57" i="287" s="1"/>
  <c r="AL90" i="273"/>
  <c r="AL91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H71" i="281" l="1"/>
  <c r="AH73" i="281" s="1"/>
  <c r="AH77" i="281" s="1"/>
  <c r="AK25" i="287"/>
  <c r="AL19" i="287"/>
  <c r="AL20" i="287" s="1"/>
  <c r="AL45" i="287" s="1"/>
  <c r="AL36" i="287"/>
  <c r="AL28" i="287"/>
  <c r="AL68" i="287"/>
  <c r="AL23" i="287"/>
  <c r="AK27" i="287"/>
  <c r="AL60" i="287"/>
  <c r="AL24" i="287"/>
  <c r="AL25" i="287" s="1"/>
  <c r="AH45" i="281"/>
  <c r="AH47" i="281" s="1"/>
  <c r="AH51" i="281" s="1"/>
  <c r="AH61" i="281"/>
  <c r="AL25" i="282"/>
  <c r="AL112" i="273"/>
  <c r="AM113" i="273" s="1"/>
  <c r="AM59" i="273" s="1"/>
  <c r="AL17" i="280"/>
  <c r="Y26" i="280"/>
  <c r="AM108" i="273"/>
  <c r="AM109" i="273" s="1"/>
  <c r="AM14" i="282" s="1"/>
  <c r="AM15" i="282" s="1"/>
  <c r="AM16" i="282" s="1"/>
  <c r="AM13" i="265" s="1"/>
  <c r="AM124" i="273"/>
  <c r="AM125" i="273" s="1"/>
  <c r="AM2" i="287"/>
  <c r="Y16" i="280"/>
  <c r="Y18" i="280" s="1"/>
  <c r="Y15" i="286" s="1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56" i="287" s="1"/>
  <c r="AM57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M19" i="287" l="1"/>
  <c r="AM20" i="287" s="1"/>
  <c r="AM45" i="287" s="1"/>
  <c r="AM36" i="287"/>
  <c r="AM28" i="287"/>
  <c r="AM60" i="287"/>
  <c r="AM24" i="287"/>
  <c r="AL27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Y19" i="280"/>
  <c r="Y49" i="265" s="1"/>
  <c r="Y28" i="280"/>
  <c r="Y29" i="280" s="1"/>
  <c r="Y7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56" i="287" s="1"/>
  <c r="AN57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M68" i="287" l="1"/>
  <c r="AM23" i="287"/>
  <c r="AM25" i="287" s="1"/>
  <c r="AM27" i="287" s="1"/>
  <c r="AN16" i="282"/>
  <c r="AN13" i="265" s="1"/>
  <c r="AN19" i="287"/>
  <c r="AN20" i="287" s="1"/>
  <c r="AN45" i="287" s="1"/>
  <c r="AN36" i="287"/>
  <c r="AN28" i="287"/>
  <c r="AN60" i="287"/>
  <c r="AN24" i="287"/>
  <c r="Z26" i="280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56" i="287" s="1"/>
  <c r="AO57" i="287" s="1"/>
  <c r="AO75" i="273"/>
  <c r="AO76" i="273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N68" i="287" l="1"/>
  <c r="AN23" i="287"/>
  <c r="AN25" i="287" s="1"/>
  <c r="AO68" i="287"/>
  <c r="AO23" i="287"/>
  <c r="AO25" i="287" s="1"/>
  <c r="AO19" i="287"/>
  <c r="AO20" i="287" s="1"/>
  <c r="AO45" i="287" s="1"/>
  <c r="AO36" i="287"/>
  <c r="AO28" i="287"/>
  <c r="AO60" i="287"/>
  <c r="AO24" i="287"/>
  <c r="AN27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Z19" i="280"/>
  <c r="Z49" i="265" s="1"/>
  <c r="Z28" i="280"/>
  <c r="Z29" i="280" s="1"/>
  <c r="Z7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56" i="287" s="1"/>
  <c r="AP57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P19" i="287" l="1"/>
  <c r="AP20" i="287" s="1"/>
  <c r="AP45" i="287" s="1"/>
  <c r="AP36" i="287"/>
  <c r="AP28" i="287"/>
  <c r="AP60" i="287"/>
  <c r="AP24" i="287"/>
  <c r="AO27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56" i="287" s="1"/>
  <c r="AQ57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P68" i="287" l="1"/>
  <c r="AP23" i="287"/>
  <c r="AQ19" i="287"/>
  <c r="AQ20" i="287" s="1"/>
  <c r="AQ45" i="287" s="1"/>
  <c r="AQ36" i="287"/>
  <c r="AQ28" i="287"/>
  <c r="AP25" i="287"/>
  <c r="AP27" i="287" s="1"/>
  <c r="AQ60" i="287"/>
  <c r="AQ24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A19" i="280"/>
  <c r="AA49" i="265" s="1"/>
  <c r="AA28" i="280"/>
  <c r="AA29" i="280" s="1"/>
  <c r="AB26" i="280" s="1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56" i="287" s="1"/>
  <c r="AR57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N45" i="281" l="1"/>
  <c r="AN47" i="281" s="1"/>
  <c r="AN51" i="281" s="1"/>
  <c r="AN61" i="281"/>
  <c r="AQ68" i="287"/>
  <c r="AQ23" i="287"/>
  <c r="AQ25" i="287" s="1"/>
  <c r="AR68" i="287"/>
  <c r="AR23" i="287"/>
  <c r="AR19" i="287"/>
  <c r="AR20" i="287" s="1"/>
  <c r="AR45" i="287" s="1"/>
  <c r="AR36" i="287"/>
  <c r="AR28" i="287"/>
  <c r="AQ27" i="287"/>
  <c r="AR60" i="287"/>
  <c r="AR24" i="287"/>
  <c r="AR25" i="287" s="1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A73" i="265"/>
  <c r="AB16" i="280"/>
  <c r="AB18" i="280" s="1"/>
  <c r="AB15" i="286" s="1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56" i="287" s="1"/>
  <c r="AS57" i="287" s="1"/>
  <c r="AS75" i="273"/>
  <c r="AS32" i="273"/>
  <c r="AS33" i="273" s="1"/>
  <c r="AS2" i="273"/>
  <c r="AL76" i="281"/>
  <c r="AL78" i="281" s="1"/>
  <c r="AL85" i="281" s="1"/>
  <c r="AL86" i="281" s="1"/>
  <c r="AM83" i="281" s="1"/>
  <c r="AS19" i="287" l="1"/>
  <c r="AS20" i="287" s="1"/>
  <c r="AS45" i="287" s="1"/>
  <c r="AS36" i="287"/>
  <c r="AS28" i="287"/>
  <c r="AR27" i="287"/>
  <c r="AS60" i="287"/>
  <c r="AS24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B19" i="280"/>
  <c r="AB49" i="265" s="1"/>
  <c r="AB28" i="280"/>
  <c r="AB29" i="280" s="1"/>
  <c r="AC26" i="280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56" i="287" s="1"/>
  <c r="AT57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S68" i="287" l="1"/>
  <c r="AS23" i="287"/>
  <c r="AS25" i="287" s="1"/>
  <c r="AS27" i="287" s="1"/>
  <c r="AT68" i="287"/>
  <c r="AT23" i="287"/>
  <c r="AT19" i="287"/>
  <c r="AT20" i="287" s="1"/>
  <c r="AT45" i="287" s="1"/>
  <c r="AT36" i="287"/>
  <c r="AT28" i="287"/>
  <c r="AT60" i="287"/>
  <c r="AT24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B73" i="265"/>
  <c r="AC16" i="280"/>
  <c r="AC18" i="280" s="1"/>
  <c r="AC15" i="286" s="1"/>
  <c r="AU16" i="282"/>
  <c r="AU13" i="265" s="1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56" i="287" s="1"/>
  <c r="AU57" i="287" s="1"/>
  <c r="AU2" i="273"/>
  <c r="AT25" i="287" l="1"/>
  <c r="AQ61" i="281"/>
  <c r="AU19" i="287"/>
  <c r="AU20" i="287" s="1"/>
  <c r="AU45" i="287" s="1"/>
  <c r="AU36" i="287"/>
  <c r="AU28" i="287"/>
  <c r="AT27" i="287"/>
  <c r="AU60" i="287"/>
  <c r="AU24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56" i="287" s="1"/>
  <c r="AV57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V19" i="287" l="1"/>
  <c r="AV20" i="287" s="1"/>
  <c r="AV45" i="287" s="1"/>
  <c r="AV36" i="287"/>
  <c r="AV28" i="287"/>
  <c r="AU68" i="287"/>
  <c r="AU23" i="287"/>
  <c r="AU25" i="287" s="1"/>
  <c r="AU27" i="287" s="1"/>
  <c r="AV60" i="287"/>
  <c r="AV24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56" i="287" s="1"/>
  <c r="AW57" i="287" s="1"/>
  <c r="AW75" i="273"/>
  <c r="AW76" i="273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V68" i="287" l="1"/>
  <c r="AV23" i="287"/>
  <c r="AW68" i="287"/>
  <c r="AW23" i="287"/>
  <c r="AW19" i="287"/>
  <c r="AW20" i="287" s="1"/>
  <c r="AW45" i="287" s="1"/>
  <c r="AW36" i="287"/>
  <c r="AW28" i="287"/>
  <c r="AV25" i="287"/>
  <c r="AV27" i="287" s="1"/>
  <c r="AW60" i="287"/>
  <c r="AW24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D19" i="280"/>
  <c r="AD49" i="265" s="1"/>
  <c r="AD28" i="280"/>
  <c r="AD29" i="280" s="1"/>
  <c r="AE26" i="280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56" i="287" s="1"/>
  <c r="AX57" i="287" s="1"/>
  <c r="AX90" i="273"/>
  <c r="AX91" i="273" s="1"/>
  <c r="AX2" i="281"/>
  <c r="AX96" i="273"/>
  <c r="AX97" i="273" s="1"/>
  <c r="AX75" i="273"/>
  <c r="AX76" i="273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W25" i="287" l="1"/>
  <c r="AX68" i="287"/>
  <c r="AX23" i="287"/>
  <c r="AX19" i="287"/>
  <c r="AX20" i="287" s="1"/>
  <c r="AX45" i="287" s="1"/>
  <c r="AX36" i="287"/>
  <c r="AX28" i="287"/>
  <c r="AW27" i="287"/>
  <c r="AX60" i="287"/>
  <c r="AX24" i="287"/>
  <c r="AX25" i="287" s="1"/>
  <c r="AX16" i="282"/>
  <c r="AX13" i="265" s="1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AE16" i="280"/>
  <c r="AE18" i="280" s="1"/>
  <c r="AE15" i="286" s="1"/>
  <c r="AY25" i="282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56" i="287" s="1"/>
  <c r="AY57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Y19" i="287" l="1"/>
  <c r="AY20" i="287" s="1"/>
  <c r="AY45" i="287" s="1"/>
  <c r="AY36" i="287"/>
  <c r="AY28" i="287"/>
  <c r="AX27" i="287"/>
  <c r="AY60" i="287"/>
  <c r="AY24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E19" i="280"/>
  <c r="AE49" i="265" s="1"/>
  <c r="AE28" i="280"/>
  <c r="AE29" i="280" s="1"/>
  <c r="AF26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56" i="287" s="1"/>
  <c r="AZ57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V50" i="281" l="1"/>
  <c r="AZ19" i="287"/>
  <c r="AZ20" i="287" s="1"/>
  <c r="AZ45" i="287" s="1"/>
  <c r="AZ36" i="287"/>
  <c r="AZ28" i="287"/>
  <c r="AY68" i="287"/>
  <c r="AY23" i="287"/>
  <c r="AY25" i="287" s="1"/>
  <c r="AY27" i="287" s="1"/>
  <c r="AZ60" i="287"/>
  <c r="AZ24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2" i="287"/>
  <c r="AE73" i="265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56" i="287" s="1"/>
  <c r="BA57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Z68" i="287" l="1"/>
  <c r="AZ23" i="287"/>
  <c r="BA19" i="287"/>
  <c r="BA20" i="287" s="1"/>
  <c r="BA45" i="287" s="1"/>
  <c r="BA36" i="287"/>
  <c r="BA28" i="287"/>
  <c r="AZ25" i="287"/>
  <c r="AZ27" i="287" s="1"/>
  <c r="BA60" i="287"/>
  <c r="BA24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56" i="287" s="1"/>
  <c r="BB57" i="287" s="1"/>
  <c r="BB90" i="273"/>
  <c r="BB91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A68" i="287" l="1"/>
  <c r="BA23" i="287"/>
  <c r="BB68" i="287"/>
  <c r="BB23" i="287"/>
  <c r="BB19" i="287"/>
  <c r="BB20" i="287" s="1"/>
  <c r="BB45" i="287" s="1"/>
  <c r="BB36" i="287"/>
  <c r="BB28" i="287"/>
  <c r="BA25" i="287"/>
  <c r="BA27" i="287" s="1"/>
  <c r="BB60" i="287"/>
  <c r="BB24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AG26" i="280"/>
  <c r="AG16" i="280" s="1"/>
  <c r="AG18" i="280" s="1"/>
  <c r="AG15" i="286" s="1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32" i="273"/>
  <c r="BC33" i="273" s="1"/>
  <c r="BC148" i="273"/>
  <c r="BC149" i="273" s="1"/>
  <c r="BC56" i="287" s="1"/>
  <c r="BC57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BB25" i="287" l="1"/>
  <c r="BC68" i="287"/>
  <c r="BC23" i="287"/>
  <c r="BC19" i="287"/>
  <c r="BC20" i="287" s="1"/>
  <c r="BC45" i="287" s="1"/>
  <c r="BC36" i="287"/>
  <c r="BC28" i="287"/>
  <c r="BB27" i="287"/>
  <c r="BC60" i="287"/>
  <c r="BC24" i="287"/>
  <c r="BC25" i="287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G19" i="280"/>
  <c r="AG49" i="265" s="1"/>
  <c r="AG28" i="280"/>
  <c r="AG29" i="280" s="1"/>
  <c r="AG73" i="265" s="1"/>
  <c r="BD25" i="282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56" i="287" s="1"/>
  <c r="BD57" i="287" s="1"/>
  <c r="BD2" i="281"/>
  <c r="BD96" i="273"/>
  <c r="BD97" i="273" s="1"/>
  <c r="BD90" i="273"/>
  <c r="BD91" i="273" s="1"/>
  <c r="BD75" i="273"/>
  <c r="BD76" i="273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61" i="28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H26" i="280" l="1"/>
  <c r="AZ45" i="281"/>
  <c r="AZ47" i="281" s="1"/>
  <c r="AZ51" i="281" s="1"/>
  <c r="AZ84" i="281"/>
  <c r="BD68" i="287"/>
  <c r="BD23" i="287"/>
  <c r="BD19" i="287"/>
  <c r="BD20" i="287" s="1"/>
  <c r="BD45" i="287" s="1"/>
  <c r="BD36" i="287"/>
  <c r="BD28" i="287"/>
  <c r="BC27" i="287"/>
  <c r="BD60" i="287"/>
  <c r="BD24" i="287"/>
  <c r="BD25" i="287" s="1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56" i="287" s="1"/>
  <c r="BE57" i="287" s="1"/>
  <c r="BE75" i="273"/>
  <c r="BE76" i="273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E68" i="287" l="1"/>
  <c r="BE23" i="287"/>
  <c r="BE19" i="287"/>
  <c r="BE20" i="287" s="1"/>
  <c r="BE45" i="287" s="1"/>
  <c r="BE36" i="287"/>
  <c r="BE28" i="287"/>
  <c r="BD27" i="287"/>
  <c r="BE60" i="287"/>
  <c r="BE24" i="287"/>
  <c r="BE25" i="287" s="1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56" i="287" s="1"/>
  <c r="BF57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F19" i="287" l="1"/>
  <c r="BF20" i="287" s="1"/>
  <c r="BF45" i="287" s="1"/>
  <c r="BF36" i="287"/>
  <c r="BF28" i="287"/>
  <c r="BF60" i="287"/>
  <c r="BF24" i="287"/>
  <c r="BE27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AH73" i="265"/>
  <c r="AI16" i="280"/>
  <c r="AI18" i="280" s="1"/>
  <c r="AI15" i="286" s="1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32" i="273"/>
  <c r="BG33" i="273" s="1"/>
  <c r="BG148" i="273"/>
  <c r="BG149" i="273" s="1"/>
  <c r="BG56" i="287" s="1"/>
  <c r="BG57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68" i="287" l="1"/>
  <c r="BF23" i="287"/>
  <c r="BF25" i="287" s="1"/>
  <c r="BG68" i="287"/>
  <c r="BG23" i="287"/>
  <c r="BG19" i="287"/>
  <c r="BG20" i="287" s="1"/>
  <c r="BG45" i="287" s="1"/>
  <c r="BG36" i="287"/>
  <c r="BG28" i="287"/>
  <c r="BF27" i="287"/>
  <c r="BG60" i="287"/>
  <c r="BG24" i="287"/>
  <c r="BG25" i="287" s="1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AI19" i="280"/>
  <c r="AI49" i="265" s="1"/>
  <c r="AI28" i="280"/>
  <c r="AI29" i="280" s="1"/>
  <c r="AI7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56" i="287" s="1"/>
  <c r="BH57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H19" i="287" l="1"/>
  <c r="BH20" i="287" s="1"/>
  <c r="BH45" i="287" s="1"/>
  <c r="BH36" i="287"/>
  <c r="BH28" i="287"/>
  <c r="BG27" i="287"/>
  <c r="BH60" i="287"/>
  <c r="BH24" i="287"/>
  <c r="BH25" i="282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56" i="287" s="1"/>
  <c r="BI57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H68" i="287" l="1"/>
  <c r="BH23" i="287"/>
  <c r="BI19" i="287"/>
  <c r="BI20" i="287" s="1"/>
  <c r="BI45" i="287" s="1"/>
  <c r="BI36" i="287"/>
  <c r="BI28" i="287"/>
  <c r="BH25" i="287"/>
  <c r="BH27" i="287" s="1"/>
  <c r="BI60" i="287"/>
  <c r="BI24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AJ19" i="280"/>
  <c r="AJ49" i="265" s="1"/>
  <c r="AJ28" i="280"/>
  <c r="AJ29" i="280" s="1"/>
  <c r="AJ73" i="265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56" i="287" s="1"/>
  <c r="BJ57" i="287" s="1"/>
  <c r="BJ90" i="273"/>
  <c r="BJ91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68" i="287" l="1"/>
  <c r="BI23" i="287"/>
  <c r="BJ68" i="287"/>
  <c r="BJ23" i="287"/>
  <c r="BJ19" i="287"/>
  <c r="BJ20" i="287" s="1"/>
  <c r="BJ45" i="287" s="1"/>
  <c r="BJ36" i="287"/>
  <c r="BJ28" i="287"/>
  <c r="BI25" i="287"/>
  <c r="BI27" i="287" s="1"/>
  <c r="BJ60" i="287"/>
  <c r="BJ24" i="287"/>
  <c r="BJ25" i="282"/>
  <c r="AK26" i="280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AK16" i="280"/>
  <c r="AK18" i="280" s="1"/>
  <c r="AK15" i="286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56" i="287" s="1"/>
  <c r="BK57" i="287" s="1"/>
  <c r="BK2" i="273"/>
  <c r="BJ52" i="273"/>
  <c r="BJ42" i="273"/>
  <c r="BJ4" i="287" s="1"/>
  <c r="BK19" i="287" l="1"/>
  <c r="BK20" i="287" s="1"/>
  <c r="BK45" i="287" s="1"/>
  <c r="BK36" i="287"/>
  <c r="BK28" i="287"/>
  <c r="BJ25" i="287"/>
  <c r="BJ27" i="287" s="1"/>
  <c r="BK60" i="287"/>
  <c r="BK24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56" i="287" s="1"/>
  <c r="BL57" i="287" s="1"/>
  <c r="BL2" i="281"/>
  <c r="BL96" i="273"/>
  <c r="BL97" i="273" s="1"/>
  <c r="BL90" i="273"/>
  <c r="BL91" i="273" s="1"/>
  <c r="BL75" i="273"/>
  <c r="BL76" i="273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68" i="287" l="1"/>
  <c r="BL23" i="287"/>
  <c r="BK68" i="287"/>
  <c r="BK23" i="287"/>
  <c r="BL19" i="287"/>
  <c r="BL20" i="287" s="1"/>
  <c r="BL45" i="287" s="1"/>
  <c r="BL36" i="287"/>
  <c r="BL28" i="287"/>
  <c r="BK25" i="287"/>
  <c r="BK27" i="287" s="1"/>
  <c r="BL60" i="287"/>
  <c r="BL24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AL16" i="280"/>
  <c r="AL18" i="280" s="1"/>
  <c r="AL15" i="286" s="1"/>
  <c r="BM25" i="282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56" i="287" s="1"/>
  <c r="BM57" i="287" s="1"/>
  <c r="BM75" i="273"/>
  <c r="BM76" i="273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L25" i="287" l="1"/>
  <c r="BM68" i="287"/>
  <c r="BM23" i="287"/>
  <c r="BM19" i="287"/>
  <c r="BM20" i="287" s="1"/>
  <c r="BM45" i="287" s="1"/>
  <c r="BM36" i="287"/>
  <c r="BM28" i="287"/>
  <c r="BL27" i="287"/>
  <c r="BM60" i="287"/>
  <c r="BM24" i="287"/>
  <c r="BM25" i="287" s="1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AL19" i="280"/>
  <c r="AL49" i="265" s="1"/>
  <c r="AL28" i="280"/>
  <c r="AL29" i="280" s="1"/>
  <c r="AL73" i="265" s="1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56" i="287" s="1"/>
  <c r="BN57" i="287" s="1"/>
  <c r="BN90" i="273"/>
  <c r="BN91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BM20" i="275" l="1"/>
  <c r="BN17" i="275" s="1"/>
  <c r="BN16" i="282"/>
  <c r="BN13" i="265" s="1"/>
  <c r="BN68" i="287"/>
  <c r="BN23" i="287"/>
  <c r="BN19" i="287"/>
  <c r="BN20" i="287" s="1"/>
  <c r="BN45" i="287" s="1"/>
  <c r="BN36" i="287"/>
  <c r="BN28" i="287"/>
  <c r="BM27" i="287"/>
  <c r="BN60" i="287"/>
  <c r="BN24" i="287"/>
  <c r="BN25" i="287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AM26" i="280"/>
  <c r="AM16" i="280" s="1"/>
  <c r="AM18" i="280" s="1"/>
  <c r="AM15" i="286" s="1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56" i="287" s="1"/>
  <c r="BO57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25" i="282" l="1"/>
  <c r="BO19" i="287"/>
  <c r="BO20" i="287" s="1"/>
  <c r="BO45" i="287" s="1"/>
  <c r="BO36" i="287"/>
  <c r="BO28" i="287"/>
  <c r="BN27" i="287"/>
  <c r="BO60" i="287"/>
  <c r="BO24" i="287"/>
  <c r="BK61" i="28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AM19" i="280"/>
  <c r="AM49" i="265" s="1"/>
  <c r="AM28" i="280"/>
  <c r="AM29" i="280" s="1"/>
  <c r="AN26" i="280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56" i="287" s="1"/>
  <c r="BP57" i="287" s="1"/>
  <c r="BP2" i="281"/>
  <c r="BP96" i="273"/>
  <c r="BP97" i="273" s="1"/>
  <c r="BP90" i="273"/>
  <c r="BP91" i="273" s="1"/>
  <c r="BP75" i="273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L59" i="265"/>
  <c r="BL60" i="265" s="1"/>
  <c r="BM23" i="282"/>
  <c r="BM26" i="282" s="1"/>
  <c r="AC52" i="281"/>
  <c r="AC53" i="281" s="1"/>
  <c r="BO68" i="287" l="1"/>
  <c r="BO23" i="287"/>
  <c r="BO25" i="287" s="1"/>
  <c r="BO27" i="287" s="1"/>
  <c r="BP68" i="287"/>
  <c r="BP23" i="287"/>
  <c r="BP16" i="282"/>
  <c r="BP13" i="265" s="1"/>
  <c r="BP19" i="287"/>
  <c r="BP20" i="287" s="1"/>
  <c r="BP45" i="287" s="1"/>
  <c r="BP36" i="287"/>
  <c r="BP28" i="287"/>
  <c r="BP60" i="287"/>
  <c r="BP24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AM73" i="265"/>
  <c r="AN16" i="280"/>
  <c r="AN18" i="280" s="1"/>
  <c r="AN15" i="286" s="1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56" i="287" s="1"/>
  <c r="BQ57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19" i="287" l="1"/>
  <c r="BQ20" i="287" s="1"/>
  <c r="BQ45" i="287" s="1"/>
  <c r="BQ36" i="287"/>
  <c r="BQ28" i="287"/>
  <c r="BP25" i="287"/>
  <c r="BP27" i="287" s="1"/>
  <c r="BQ60" i="287"/>
  <c r="BQ24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AN19" i="280"/>
  <c r="AN49" i="265" s="1"/>
  <c r="AN28" i="280"/>
  <c r="AN29" i="280" s="1"/>
  <c r="AO26" i="280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56" i="287" s="1"/>
  <c r="BR57" i="287" s="1"/>
  <c r="BR90" i="273"/>
  <c r="BR91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R16" i="282" l="1"/>
  <c r="BR13" i="265" s="1"/>
  <c r="BQ68" i="287"/>
  <c r="BQ23" i="287"/>
  <c r="BR19" i="287"/>
  <c r="BR20" i="287" s="1"/>
  <c r="BR45" i="287" s="1"/>
  <c r="BR36" i="287"/>
  <c r="BR28" i="287"/>
  <c r="BR68" i="287"/>
  <c r="BR23" i="287"/>
  <c r="BQ25" i="287"/>
  <c r="BQ27" i="287"/>
  <c r="BR60" i="287"/>
  <c r="BR24" i="287"/>
  <c r="BR25" i="287" s="1"/>
  <c r="AN73" i="265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56" i="287" s="1"/>
  <c r="BS57" i="287" s="1"/>
  <c r="BS2" i="273"/>
  <c r="AD52" i="281"/>
  <c r="AD53" i="281" s="1"/>
  <c r="BS76" i="273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19" i="287" l="1"/>
  <c r="BS20" i="287" s="1"/>
  <c r="BS45" i="287" s="1"/>
  <c r="BS36" i="287"/>
  <c r="BS28" i="287"/>
  <c r="BS68" i="287"/>
  <c r="BS23" i="287"/>
  <c r="BR27" i="287"/>
  <c r="BS60" i="287"/>
  <c r="BS24" i="287"/>
  <c r="BS25" i="287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56" i="287" s="1"/>
  <c r="BT57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19" i="287" l="1"/>
  <c r="BT20" i="287" s="1"/>
  <c r="BT45" i="287" s="1"/>
  <c r="BT36" i="287"/>
  <c r="BT28" i="287"/>
  <c r="BS27" i="287"/>
  <c r="BT60" i="287"/>
  <c r="BT24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56" i="287" s="1"/>
  <c r="BU57" i="287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V147" i="273"/>
  <c r="BV24" i="273"/>
  <c r="BV25" i="273" s="1"/>
  <c r="BU19" i="287" l="1"/>
  <c r="BU20" i="287" s="1"/>
  <c r="BU45" i="287" s="1"/>
  <c r="BU36" i="287"/>
  <c r="BU28" i="287"/>
  <c r="BT68" i="287"/>
  <c r="BT23" i="287"/>
  <c r="BT25" i="287" s="1"/>
  <c r="BT27" i="287" s="1"/>
  <c r="BU68" i="287"/>
  <c r="BU23" i="287"/>
  <c r="BU60" i="287"/>
  <c r="BU24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AP19" i="280"/>
  <c r="AP49" i="265" s="1"/>
  <c r="AP28" i="280"/>
  <c r="AP29" i="280" s="1"/>
  <c r="AQ26" i="280" s="1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56" i="287" s="1"/>
  <c r="BV57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T122" i="281"/>
  <c r="BT105" i="281"/>
  <c r="BT107" i="281" s="1"/>
  <c r="BT111" i="281" s="1"/>
  <c r="BT98" i="281"/>
  <c r="BT10" i="265" s="1"/>
  <c r="BT110" i="281"/>
  <c r="BV19" i="287" l="1"/>
  <c r="BV20" i="287" s="1"/>
  <c r="BV45" i="287" s="1"/>
  <c r="BV36" i="287"/>
  <c r="BV28" i="287"/>
  <c r="BV68" i="287"/>
  <c r="BV23" i="287"/>
  <c r="BU25" i="287"/>
  <c r="BU27" i="287" s="1"/>
  <c r="BV60" i="287"/>
  <c r="BV24" i="287"/>
  <c r="BV25" i="287" s="1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AQ16" i="280"/>
  <c r="AQ18" i="280" s="1"/>
  <c r="AQ15" i="286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56" i="287" s="1"/>
  <c r="BW57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9" i="287" l="1"/>
  <c r="BW20" i="287" s="1"/>
  <c r="BW45" i="287" s="1"/>
  <c r="BW36" i="287"/>
  <c r="BW28" i="287"/>
  <c r="BW60" i="287"/>
  <c r="BW24" i="287"/>
  <c r="BV27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56" i="287" s="1"/>
  <c r="BX57" i="287" s="1"/>
  <c r="BX2" i="281"/>
  <c r="BX96" i="273"/>
  <c r="BX97" i="273" s="1"/>
  <c r="BX90" i="273"/>
  <c r="BX91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V4" i="275"/>
  <c r="BV4" i="265"/>
  <c r="BV4" i="286"/>
  <c r="BV4" i="280"/>
  <c r="BV4" i="282"/>
  <c r="BV4" i="281"/>
  <c r="BV4" i="273"/>
  <c r="AG112" i="281"/>
  <c r="AG113" i="281" s="1"/>
  <c r="BX68" i="287" l="1"/>
  <c r="BX23" i="287"/>
  <c r="BX19" i="287"/>
  <c r="BX20" i="287" s="1"/>
  <c r="BX45" i="287" s="1"/>
  <c r="BX36" i="287"/>
  <c r="BX28" i="287"/>
  <c r="BW68" i="287"/>
  <c r="BW23" i="287"/>
  <c r="BW25" i="287" s="1"/>
  <c r="BW27" i="287"/>
  <c r="BX60" i="287"/>
  <c r="BX24" i="287"/>
  <c r="BX25" i="287" s="1"/>
  <c r="BX25" i="282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56" i="287" s="1"/>
  <c r="BY57" i="287" s="1"/>
  <c r="BY75" i="273"/>
  <c r="BY76" i="273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68" i="287" l="1"/>
  <c r="BY23" i="287"/>
  <c r="BY19" i="287"/>
  <c r="BY20" i="287" s="1"/>
  <c r="BY45" i="287" s="1"/>
  <c r="BY36" i="287"/>
  <c r="BY28" i="287"/>
  <c r="BX27" i="287"/>
  <c r="BY60" i="287"/>
  <c r="BY24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AR19" i="280"/>
  <c r="AR49" i="265" s="1"/>
  <c r="AR28" i="280"/>
  <c r="AR29" i="280" s="1"/>
  <c r="AS26" i="280" s="1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56" i="287" s="1"/>
  <c r="BZ57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Y25" i="287" l="1"/>
  <c r="BZ19" i="287"/>
  <c r="BZ20" i="287" s="1"/>
  <c r="BZ45" i="287" s="1"/>
  <c r="BZ36" i="287"/>
  <c r="BZ28" i="287"/>
  <c r="BZ60" i="287"/>
  <c r="BZ24" i="287"/>
  <c r="BY27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AR73" i="265"/>
  <c r="AS16" i="280"/>
  <c r="AS18" i="280" s="1"/>
  <c r="AS15" i="286" s="1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56" i="287" s="1"/>
  <c r="CA57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Y110" i="281"/>
  <c r="BY105" i="281"/>
  <c r="BY107" i="281" s="1"/>
  <c r="BY111" i="281" s="1"/>
  <c r="BY98" i="281"/>
  <c r="BY10" i="265" s="1"/>
  <c r="BY122" i="281"/>
  <c r="BZ68" i="287" l="1"/>
  <c r="BZ23" i="287"/>
  <c r="BZ25" i="287" s="1"/>
  <c r="CA19" i="287"/>
  <c r="CA20" i="287" s="1"/>
  <c r="CA45" i="287" s="1"/>
  <c r="CA36" i="287"/>
  <c r="CA28" i="287"/>
  <c r="BZ27" i="287"/>
  <c r="CA60" i="287"/>
  <c r="CA24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AS19" i="280"/>
  <c r="AS49" i="265" s="1"/>
  <c r="AS28" i="280"/>
  <c r="AS29" i="280" s="1"/>
  <c r="AT26" i="280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56" i="287" s="1"/>
  <c r="CB57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AH114" i="281"/>
  <c r="AH31" i="265" s="1"/>
  <c r="AH123" i="281"/>
  <c r="AH124" i="281" s="1"/>
  <c r="CA68" i="287" l="1"/>
  <c r="CA23" i="287"/>
  <c r="CA25" i="287" s="1"/>
  <c r="CB68" i="287"/>
  <c r="CB23" i="287"/>
  <c r="CB19" i="287"/>
  <c r="CB20" i="287" s="1"/>
  <c r="CB45" i="287" s="1"/>
  <c r="CB36" i="287"/>
  <c r="CB28" i="287"/>
  <c r="CB60" i="287"/>
  <c r="CB24" i="287"/>
  <c r="CB16" i="282"/>
  <c r="CB13" i="265" s="1"/>
  <c r="AS73" i="265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AT16" i="280"/>
  <c r="AT18" i="280" s="1"/>
  <c r="AT15" i="286" s="1"/>
  <c r="CC25" i="282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56" i="287" s="1"/>
  <c r="CC57" i="287" s="1"/>
  <c r="CC75" i="273"/>
  <c r="CC76" i="273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A27" i="287" l="1"/>
  <c r="CB25" i="287"/>
  <c r="CC68" i="287"/>
  <c r="CC23" i="287"/>
  <c r="CC19" i="287"/>
  <c r="CC20" i="287" s="1"/>
  <c r="CC45" i="287" s="1"/>
  <c r="CC36" i="287"/>
  <c r="CC28" i="287"/>
  <c r="CB27" i="287"/>
  <c r="CC60" i="287"/>
  <c r="CC24" i="287"/>
  <c r="CC25" i="287" s="1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56" i="287" s="1"/>
  <c r="CD57" i="287" s="1"/>
  <c r="CD90" i="273"/>
  <c r="CD91" i="273" s="1"/>
  <c r="CD2" i="281"/>
  <c r="CD96" i="273"/>
  <c r="CD97" i="273" s="1"/>
  <c r="CD75" i="273"/>
  <c r="CD76" i="273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D19" i="287" l="1"/>
  <c r="CD20" i="287" s="1"/>
  <c r="CD45" i="287" s="1"/>
  <c r="CD36" i="287"/>
  <c r="CD28" i="287"/>
  <c r="CD68" i="287"/>
  <c r="CD23" i="287"/>
  <c r="CC27" i="287"/>
  <c r="CD60" i="287"/>
  <c r="CD24" i="287"/>
  <c r="CD25" i="287" s="1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AT73" i="265"/>
  <c r="AU16" i="280"/>
  <c r="AU18" i="280" s="1"/>
  <c r="AU15" i="286" s="1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32" i="273"/>
  <c r="CE33" i="273" s="1"/>
  <c r="CE148" i="273"/>
  <c r="CE149" i="273" s="1"/>
  <c r="CE56" i="287" s="1"/>
  <c r="CE57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A71" i="281" l="1"/>
  <c r="CA73" i="281" s="1"/>
  <c r="CA77" i="281" s="1"/>
  <c r="CA50" i="281"/>
  <c r="CA45" i="281"/>
  <c r="CA47" i="281" s="1"/>
  <c r="CA51" i="281" s="1"/>
  <c r="CE68" i="287"/>
  <c r="CE23" i="287"/>
  <c r="CE16" i="282"/>
  <c r="CE13" i="265" s="1"/>
  <c r="CE19" i="287"/>
  <c r="CE20" i="287" s="1"/>
  <c r="CE45" i="287" s="1"/>
  <c r="CE36" i="287"/>
  <c r="CE28" i="287"/>
  <c r="CE60" i="287"/>
  <c r="CE24" i="287"/>
  <c r="CE25" i="287" s="1"/>
  <c r="CD27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56" i="287" s="1"/>
  <c r="CF57" i="287" s="1"/>
  <c r="CF2" i="281"/>
  <c r="CF96" i="273"/>
  <c r="CF97" i="273" s="1"/>
  <c r="CF90" i="273"/>
  <c r="CF91" i="273" s="1"/>
  <c r="CF75" i="273"/>
  <c r="CF76" i="273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CF68" i="287" l="1"/>
  <c r="CF23" i="287"/>
  <c r="CF19" i="287"/>
  <c r="CF20" i="287" s="1"/>
  <c r="CF45" i="287" s="1"/>
  <c r="CF28" i="287"/>
  <c r="CF36" i="287"/>
  <c r="CE27" i="287"/>
  <c r="CF60" i="287"/>
  <c r="CF24" i="287"/>
  <c r="CF25" i="287" s="1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AV26" i="280"/>
  <c r="AV16" i="280" s="1"/>
  <c r="AV18" i="280" s="1"/>
  <c r="AV15" i="286" s="1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56" i="287" s="1"/>
  <c r="CG57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19" i="287" l="1"/>
  <c r="CG20" i="287" s="1"/>
  <c r="CG45" i="287" s="1"/>
  <c r="CG36" i="287"/>
  <c r="CG28" i="287"/>
  <c r="CF27" i="287"/>
  <c r="CG60" i="287"/>
  <c r="CG24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56" i="287" s="1"/>
  <c r="CH57" i="287" s="1"/>
  <c r="CH90" i="273"/>
  <c r="CH91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G68" i="287" l="1"/>
  <c r="CG23" i="287"/>
  <c r="CH68" i="287"/>
  <c r="CH23" i="287"/>
  <c r="CH19" i="287"/>
  <c r="CH20" i="287" s="1"/>
  <c r="CH45" i="287" s="1"/>
  <c r="CH28" i="287"/>
  <c r="CH36" i="287"/>
  <c r="CG25" i="287"/>
  <c r="CG27" i="287" s="1"/>
  <c r="CH60" i="287"/>
  <c r="CH24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AW16" i="280"/>
  <c r="AW18" i="280" s="1"/>
  <c r="AW15" i="286" s="1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32" i="273"/>
  <c r="CI33" i="273" s="1"/>
  <c r="CI148" i="273"/>
  <c r="CI149" i="273" s="1"/>
  <c r="CI56" i="287" s="1"/>
  <c r="CI57" i="287" s="1"/>
  <c r="CI2" i="273"/>
  <c r="CI68" i="287" l="1"/>
  <c r="CI23" i="287"/>
  <c r="CI19" i="287"/>
  <c r="CI20" i="287" s="1"/>
  <c r="CI45" i="287" s="1"/>
  <c r="CI36" i="287"/>
  <c r="CI28" i="287"/>
  <c r="CH25" i="287"/>
  <c r="CH27" i="287" s="1"/>
  <c r="CI60" i="287"/>
  <c r="CI24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56" i="287" s="1"/>
  <c r="CJ57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F9" i="265" l="1"/>
  <c r="CF11" i="265" s="1"/>
  <c r="CF14" i="265" s="1"/>
  <c r="CJ19" i="287"/>
  <c r="CJ20" i="287" s="1"/>
  <c r="CJ45" i="287" s="1"/>
  <c r="CJ28" i="287"/>
  <c r="CJ36" i="287"/>
  <c r="CI25" i="287"/>
  <c r="CI27" i="287" s="1"/>
  <c r="CJ60" i="287"/>
  <c r="CJ24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AW73" i="265"/>
  <c r="AX16" i="280"/>
  <c r="AX18" i="280" s="1"/>
  <c r="AX15" i="286" s="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56" i="287" s="1"/>
  <c r="CK57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K19" i="287" l="1"/>
  <c r="CK20" i="287" s="1"/>
  <c r="CK45" i="287" s="1"/>
  <c r="CK36" i="287"/>
  <c r="CK28" i="287"/>
  <c r="CJ68" i="287"/>
  <c r="CJ23" i="287"/>
  <c r="CJ25" i="287"/>
  <c r="CJ27" i="287" s="1"/>
  <c r="CK60" i="287"/>
  <c r="CK24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56" i="287" s="1"/>
  <c r="CL57" i="287" s="1"/>
  <c r="CL90" i="273"/>
  <c r="CL91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68" i="287" l="1"/>
  <c r="CK23" i="287"/>
  <c r="CL68" i="287"/>
  <c r="CL23" i="287"/>
  <c r="CL19" i="287"/>
  <c r="CL20" i="287" s="1"/>
  <c r="CL45" i="287" s="1"/>
  <c r="CL28" i="287"/>
  <c r="CL36" i="287"/>
  <c r="CK25" i="287"/>
  <c r="CK27" i="287" s="1"/>
  <c r="CL60" i="287"/>
  <c r="CL24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I84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32" i="273"/>
  <c r="CM33" i="273" s="1"/>
  <c r="CM148" i="273"/>
  <c r="CM149" i="273" s="1"/>
  <c r="CM56" i="287" s="1"/>
  <c r="CM57" i="287" s="1"/>
  <c r="CM2" i="273"/>
  <c r="CM68" i="287" l="1"/>
  <c r="CM23" i="287"/>
  <c r="CM19" i="287"/>
  <c r="CM20" i="287" s="1"/>
  <c r="CM45" i="287" s="1"/>
  <c r="CM36" i="287"/>
  <c r="CM28" i="287"/>
  <c r="CL20" i="275"/>
  <c r="CM17" i="275" s="1"/>
  <c r="CI61" i="281"/>
  <c r="CI9" i="265"/>
  <c r="CI11" i="265" s="1"/>
  <c r="CI14" i="265" s="1"/>
  <c r="CL25" i="287"/>
  <c r="CL27" i="287"/>
  <c r="CM60" i="287"/>
  <c r="CM24" i="287"/>
  <c r="CM25" i="287" s="1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56" i="287" s="1"/>
  <c r="CN57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N19" i="287" l="1"/>
  <c r="CN20" i="287" s="1"/>
  <c r="CN45" i="287" s="1"/>
  <c r="CN28" i="287"/>
  <c r="CN36" i="287"/>
  <c r="CJ50" i="281"/>
  <c r="CM20" i="275"/>
  <c r="CN17" i="275" s="1"/>
  <c r="CM27" i="287"/>
  <c r="CN60" i="287"/>
  <c r="CN24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56" i="287" s="1"/>
  <c r="CO57" i="287" s="1"/>
  <c r="CO75" i="273"/>
  <c r="CO76" i="273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H76" i="281"/>
  <c r="CH78" i="281" s="1"/>
  <c r="CH85" i="281" s="1"/>
  <c r="CH86" i="281" s="1"/>
  <c r="CI83" i="281" s="1"/>
  <c r="CK66" i="273"/>
  <c r="CK67" i="273" s="1"/>
  <c r="CK3" i="287" s="1"/>
  <c r="CL60" i="273"/>
  <c r="CN68" i="287" l="1"/>
  <c r="CN23" i="287"/>
  <c r="CN25" i="287" s="1"/>
  <c r="CO68" i="287"/>
  <c r="CO23" i="287"/>
  <c r="CO25" i="287" s="1"/>
  <c r="CO19" i="287"/>
  <c r="CO20" i="287" s="1"/>
  <c r="CO45" i="287" s="1"/>
  <c r="CO36" i="287"/>
  <c r="CO28" i="287"/>
  <c r="CO60" i="287"/>
  <c r="CO24" i="287"/>
  <c r="CN27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56" i="287" s="1"/>
  <c r="CP57" i="287" s="1"/>
  <c r="CP90" i="273"/>
  <c r="CP91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P19" i="287" l="1"/>
  <c r="CP20" i="287" s="1"/>
  <c r="CP45" i="287" s="1"/>
  <c r="CP28" i="287"/>
  <c r="CP36" i="287"/>
  <c r="CL50" i="281"/>
  <c r="CP68" i="287"/>
  <c r="CP23" i="287"/>
  <c r="CO27" i="287"/>
  <c r="CP60" i="287"/>
  <c r="CP24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BA26" i="280"/>
  <c r="BA16" i="280" s="1"/>
  <c r="BA18" i="280" s="1"/>
  <c r="BA15" i="286" s="1"/>
  <c r="CQ25" i="282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32" i="273"/>
  <c r="CQ33" i="273" s="1"/>
  <c r="CQ148" i="273"/>
  <c r="CQ149" i="273" s="1"/>
  <c r="CQ56" i="287" s="1"/>
  <c r="CQ57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68" i="287" l="1"/>
  <c r="CQ23" i="287"/>
  <c r="CQ19" i="287"/>
  <c r="CQ20" i="287" s="1"/>
  <c r="CQ45" i="287" s="1"/>
  <c r="CQ36" i="287"/>
  <c r="CQ28" i="287"/>
  <c r="CP25" i="287"/>
  <c r="CP27" i="287" s="1"/>
  <c r="CQ60" i="287"/>
  <c r="CQ24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56" i="287" s="1"/>
  <c r="CR57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R68" i="287" l="1"/>
  <c r="CR23" i="287"/>
  <c r="CR19" i="287"/>
  <c r="CR20" i="287" s="1"/>
  <c r="CR45" i="287" s="1"/>
  <c r="CR28" i="287"/>
  <c r="CR36" i="287"/>
  <c r="CQ25" i="287"/>
  <c r="CQ27" i="287" s="1"/>
  <c r="CR60" i="287"/>
  <c r="CR24" i="287"/>
  <c r="CR25" i="287" s="1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56" i="287" s="1"/>
  <c r="CS57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S19" i="287" l="1"/>
  <c r="CS20" i="287" s="1"/>
  <c r="CS45" i="287" s="1"/>
  <c r="CS36" i="287"/>
  <c r="CS28" i="287"/>
  <c r="CS60" i="287"/>
  <c r="CS24" i="287"/>
  <c r="CR27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56" i="287" s="1"/>
  <c r="CT57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S68" i="287" l="1"/>
  <c r="CS23" i="287"/>
  <c r="CS25" i="287" s="1"/>
  <c r="CT19" i="287"/>
  <c r="CT20" i="287" s="1"/>
  <c r="CT45" i="287" s="1"/>
  <c r="CT28" i="287"/>
  <c r="CT36" i="287"/>
  <c r="CT60" i="287"/>
  <c r="CT24" i="287"/>
  <c r="CS27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56" i="287" s="1"/>
  <c r="CU57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T68" i="287" l="1"/>
  <c r="CT23" i="287"/>
  <c r="CU68" i="287"/>
  <c r="CU23" i="287"/>
  <c r="CU19" i="287"/>
  <c r="CU20" i="287" s="1"/>
  <c r="CU45" i="287" s="1"/>
  <c r="CU36" i="287"/>
  <c r="CU28" i="287"/>
  <c r="CT25" i="287"/>
  <c r="CT27" i="287" s="1"/>
  <c r="CU60" i="287"/>
  <c r="CU24" i="287"/>
  <c r="CU25" i="287" s="1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56" i="287" s="1"/>
  <c r="CV57" i="287" s="1"/>
  <c r="CV2" i="281"/>
  <c r="CV96" i="273"/>
  <c r="CV97" i="273" s="1"/>
  <c r="CV90" i="273"/>
  <c r="CV91" i="273" s="1"/>
  <c r="CV75" i="273"/>
  <c r="CV76" i="273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V68" i="287" l="1"/>
  <c r="CV23" i="287"/>
  <c r="CV25" i="287" s="1"/>
  <c r="CV19" i="287"/>
  <c r="CV20" i="287" s="1"/>
  <c r="CV45" i="287" s="1"/>
  <c r="CV28" i="287"/>
  <c r="CV36" i="287"/>
  <c r="CV60" i="287"/>
  <c r="CV24" i="287"/>
  <c r="CU27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BC73" i="265"/>
  <c r="BD16" i="280"/>
  <c r="BD18" i="280" s="1"/>
  <c r="BD15" i="286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56" i="287" s="1"/>
  <c r="CW57" i="287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19" i="287" l="1"/>
  <c r="CW20" i="287" s="1"/>
  <c r="CW45" i="287" s="1"/>
  <c r="CW36" i="287"/>
  <c r="CW28" i="287"/>
  <c r="CW68" i="287"/>
  <c r="CW23" i="287"/>
  <c r="CW60" i="287"/>
  <c r="CW24" i="287"/>
  <c r="CV27" i="287"/>
  <c r="CW25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BD19" i="280"/>
  <c r="BD49" i="265" s="1"/>
  <c r="BD28" i="280"/>
  <c r="BD29" i="280" s="1"/>
  <c r="BD73" i="265" s="1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56" i="287" s="1"/>
  <c r="CX57" i="287" s="1"/>
  <c r="CX90" i="273"/>
  <c r="CX91" i="273" s="1"/>
  <c r="CX2" i="281"/>
  <c r="CX96" i="273"/>
  <c r="CX97" i="273" s="1"/>
  <c r="CX75" i="273"/>
  <c r="CX76" i="273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X68" i="287" l="1"/>
  <c r="CX23" i="287"/>
  <c r="CX25" i="287" s="1"/>
  <c r="CX19" i="287"/>
  <c r="CX20" i="287" s="1"/>
  <c r="CX45" i="287" s="1"/>
  <c r="CX28" i="287"/>
  <c r="CX36" i="287"/>
  <c r="CX60" i="287"/>
  <c r="CX24" i="287"/>
  <c r="CW27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71" i="281"/>
  <c r="CU73" i="281" s="1"/>
  <c r="CU77" i="281" s="1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56" i="287" s="1"/>
  <c r="CY57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Y19" i="287" l="1"/>
  <c r="CY20" i="287" s="1"/>
  <c r="CY45" i="287" s="1"/>
  <c r="CY36" i="287"/>
  <c r="CY28" i="287"/>
  <c r="CU50" i="281"/>
  <c r="CU45" i="281"/>
  <c r="CU47" i="281" s="1"/>
  <c r="CU51" i="281" s="1"/>
  <c r="CX27" i="287"/>
  <c r="CY60" i="287"/>
  <c r="CY24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84" i="281"/>
  <c r="CV61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56" i="287" s="1"/>
  <c r="CZ57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Y68" i="287" l="1"/>
  <c r="CY23" i="287"/>
  <c r="CY25" i="287" s="1"/>
  <c r="CY27" i="287" s="1"/>
  <c r="CZ19" i="287"/>
  <c r="CZ20" i="287" s="1"/>
  <c r="CZ45" i="287" s="1"/>
  <c r="CZ28" i="287"/>
  <c r="CZ36" i="287"/>
  <c r="CZ60" i="287"/>
  <c r="CZ24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BE73" i="265"/>
  <c r="BF16" i="280"/>
  <c r="BF18" i="280" s="1"/>
  <c r="BF15" i="286" s="1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56" i="287" s="1"/>
  <c r="DA57" i="287" s="1"/>
  <c r="DA75" i="273"/>
  <c r="DA76" i="273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68" i="287" l="1"/>
  <c r="CZ23" i="287"/>
  <c r="DA19" i="287"/>
  <c r="DA20" i="287" s="1"/>
  <c r="DA45" i="287" s="1"/>
  <c r="DA36" i="287"/>
  <c r="DA28" i="287"/>
  <c r="DA68" i="287"/>
  <c r="DA23" i="287"/>
  <c r="CZ25" i="287"/>
  <c r="CZ27" i="287" s="1"/>
  <c r="DA60" i="287"/>
  <c r="DA24" i="287"/>
  <c r="DA25" i="287" s="1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56" i="287" s="1"/>
  <c r="DB57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B19" i="287" l="1"/>
  <c r="DB20" i="287" s="1"/>
  <c r="DB45" i="287" s="1"/>
  <c r="DB28" i="287"/>
  <c r="DB36" i="287"/>
  <c r="DA27" i="287"/>
  <c r="DB60" i="287"/>
  <c r="DB24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56" i="287" s="1"/>
  <c r="DC57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52" i="273"/>
  <c r="DB42" i="273"/>
  <c r="DB4" i="287" s="1"/>
  <c r="DC19" i="287" l="1"/>
  <c r="DC20" i="287" s="1"/>
  <c r="DC45" i="287" s="1"/>
  <c r="DC36" i="287"/>
  <c r="DC28" i="287"/>
  <c r="DB68" i="287"/>
  <c r="DB23" i="287"/>
  <c r="DB25" i="287" s="1"/>
  <c r="DB27" i="287" s="1"/>
  <c r="DC60" i="287"/>
  <c r="DC24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56" i="287" s="1"/>
  <c r="DD57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D68" i="287" l="1"/>
  <c r="DD23" i="287"/>
  <c r="DC68" i="287"/>
  <c r="DC23" i="287"/>
  <c r="DD19" i="287"/>
  <c r="DD20" i="287" s="1"/>
  <c r="DD45" i="287" s="1"/>
  <c r="DD28" i="287"/>
  <c r="DD36" i="287"/>
  <c r="DC25" i="287"/>
  <c r="DC27" i="287" s="1"/>
  <c r="DD60" i="287"/>
  <c r="DD24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56" i="287" s="1"/>
  <c r="DE57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E19" i="287" l="1"/>
  <c r="DE20" i="287" s="1"/>
  <c r="DE45" i="287" s="1"/>
  <c r="DE36" i="287"/>
  <c r="DE28" i="287"/>
  <c r="DD25" i="287"/>
  <c r="DD27" i="287" s="1"/>
  <c r="DE60" i="287"/>
  <c r="DE24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56" i="287" s="1"/>
  <c r="DF57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68" i="287" l="1"/>
  <c r="DE23" i="287"/>
  <c r="DF19" i="287"/>
  <c r="DF20" i="287" s="1"/>
  <c r="DF45" i="287" s="1"/>
  <c r="DF28" i="287"/>
  <c r="DF36" i="287"/>
  <c r="DE25" i="287"/>
  <c r="DE27" i="287" s="1"/>
  <c r="DF60" i="287"/>
  <c r="DF24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BH73" i="265"/>
  <c r="BI16" i="280"/>
  <c r="BI18" i="280" s="1"/>
  <c r="BI15" i="286" s="1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32" i="273"/>
  <c r="DG33" i="273" s="1"/>
  <c r="DG148" i="273"/>
  <c r="DG149" i="273" s="1"/>
  <c r="DG56" i="287" s="1"/>
  <c r="DG57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C71" i="281" l="1"/>
  <c r="DC73" i="281" s="1"/>
  <c r="DC77" i="281" s="1"/>
  <c r="DF68" i="287"/>
  <c r="DF23" i="287"/>
  <c r="DG68" i="287"/>
  <c r="DG23" i="287"/>
  <c r="DG19" i="287"/>
  <c r="DG20" i="287" s="1"/>
  <c r="DG45" i="287" s="1"/>
  <c r="DG36" i="287"/>
  <c r="DG28" i="287"/>
  <c r="DF25" i="287"/>
  <c r="DF27" i="287" s="1"/>
  <c r="DG60" i="287"/>
  <c r="DG24" i="287"/>
  <c r="DG25" i="287" s="1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BI19" i="280"/>
  <c r="BI49" i="265" s="1"/>
  <c r="BI28" i="280"/>
  <c r="BI29" i="280" s="1"/>
  <c r="BI73" i="265" s="1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56" i="287" s="1"/>
  <c r="DH57" i="287" s="1"/>
  <c r="DH2" i="281"/>
  <c r="DH96" i="273"/>
  <c r="DH97" i="273" s="1"/>
  <c r="DH90" i="273"/>
  <c r="DH91" i="273" s="1"/>
  <c r="DH75" i="273"/>
  <c r="DH76" i="273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D71" i="281" l="1"/>
  <c r="DD73" i="281" s="1"/>
  <c r="DD77" i="281" s="1"/>
  <c r="DH68" i="287"/>
  <c r="DH23" i="287"/>
  <c r="DD50" i="281"/>
  <c r="DD9" i="265"/>
  <c r="DD11" i="265" s="1"/>
  <c r="DD14" i="265" s="1"/>
  <c r="DH25" i="282"/>
  <c r="DH19" i="287"/>
  <c r="DH20" i="287" s="1"/>
  <c r="DH45" i="287" s="1"/>
  <c r="DH28" i="287"/>
  <c r="DH36" i="287"/>
  <c r="DH60" i="287"/>
  <c r="DH24" i="287"/>
  <c r="DG27" i="287"/>
  <c r="DH25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BJ26" i="280"/>
  <c r="BJ16" i="280" s="1"/>
  <c r="BJ18" i="280" s="1"/>
  <c r="BJ15" i="286" s="1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56" i="287" s="1"/>
  <c r="DI57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I19" i="287" l="1"/>
  <c r="DI20" i="287" s="1"/>
  <c r="DI45" i="287" s="1"/>
  <c r="DI36" i="287"/>
  <c r="DI28" i="287"/>
  <c r="DH27" i="287"/>
  <c r="DI60" i="287"/>
  <c r="DI24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BJ19" i="280"/>
  <c r="BJ49" i="265" s="1"/>
  <c r="BJ28" i="280"/>
  <c r="BJ29" i="280" s="1"/>
  <c r="BJ73" i="265" s="1"/>
  <c r="BK26" i="280"/>
  <c r="DJ25" i="282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56" i="287" s="1"/>
  <c r="DJ57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68" i="287" l="1"/>
  <c r="DI23" i="287"/>
  <c r="DJ19" i="287"/>
  <c r="DJ20" i="287" s="1"/>
  <c r="DJ45" i="287" s="1"/>
  <c r="DJ28" i="287"/>
  <c r="DJ36" i="287"/>
  <c r="DI25" i="287"/>
  <c r="DI27" i="287" s="1"/>
  <c r="DJ60" i="287"/>
  <c r="DJ24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32" i="273"/>
  <c r="DK33" i="273" s="1"/>
  <c r="DK148" i="273"/>
  <c r="DK149" i="273" s="1"/>
  <c r="DK56" i="287" s="1"/>
  <c r="DK57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H12" i="281"/>
  <c r="DH14" i="281" s="1"/>
  <c r="DH28" i="281" s="1"/>
  <c r="DH30" i="281" s="1"/>
  <c r="DH36" i="281" s="1"/>
  <c r="DH38" i="281" s="1"/>
  <c r="DI143" i="273"/>
  <c r="DK68" i="287" l="1"/>
  <c r="DK23" i="287"/>
  <c r="DK19" i="287"/>
  <c r="DK20" i="287" s="1"/>
  <c r="DK45" i="287" s="1"/>
  <c r="DK36" i="287"/>
  <c r="DK28" i="287"/>
  <c r="DJ68" i="287"/>
  <c r="DJ23" i="287"/>
  <c r="DJ25" i="287" s="1"/>
  <c r="DK60" i="287"/>
  <c r="DK24" i="287"/>
  <c r="DJ27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56" i="287" s="1"/>
  <c r="DL57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61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L68" i="287" l="1"/>
  <c r="DL23" i="287"/>
  <c r="DL19" i="287"/>
  <c r="DL20" i="287" s="1"/>
  <c r="DL45" i="287" s="1"/>
  <c r="DL28" i="287"/>
  <c r="DL36" i="287"/>
  <c r="DK25" i="287"/>
  <c r="DK27" i="287" s="1"/>
  <c r="DL60" i="287"/>
  <c r="DL24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BK73" i="265"/>
  <c r="BL16" i="280"/>
  <c r="BL18" i="280" s="1"/>
  <c r="BL15" i="286" s="1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56" i="287" s="1"/>
  <c r="DM57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J26" i="282"/>
  <c r="DK20" i="275"/>
  <c r="DL17" i="275" s="1"/>
  <c r="DM16" i="282" l="1"/>
  <c r="DM13" i="265" s="1"/>
  <c r="DM19" i="287"/>
  <c r="DM20" i="287" s="1"/>
  <c r="DM45" i="287" s="1"/>
  <c r="DM36" i="287"/>
  <c r="DM28" i="287"/>
  <c r="DL25" i="287"/>
  <c r="DL27" i="287"/>
  <c r="DM60" i="287"/>
  <c r="DM24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56" i="287" s="1"/>
  <c r="DN57" i="287" s="1"/>
  <c r="DN90" i="273"/>
  <c r="DN91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68" i="287" l="1"/>
  <c r="DN23" i="287"/>
  <c r="DN19" i="287"/>
  <c r="DN20" i="287" s="1"/>
  <c r="DN45" i="287" s="1"/>
  <c r="DN28" i="287"/>
  <c r="DN36" i="287"/>
  <c r="DM68" i="287"/>
  <c r="DM23" i="287"/>
  <c r="DM25" i="287" s="1"/>
  <c r="DM27" i="287" s="1"/>
  <c r="DN60" i="287"/>
  <c r="DN24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BM26" i="280"/>
  <c r="BM16" i="280" s="1"/>
  <c r="BM18" i="280" s="1"/>
  <c r="BM15" i="286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32" i="273"/>
  <c r="DO33" i="273" s="1"/>
  <c r="DO148" i="273"/>
  <c r="DO149" i="273" s="1"/>
  <c r="DO56" i="287" s="1"/>
  <c r="DO57" i="287" s="1"/>
  <c r="DO2" i="273"/>
  <c r="DO68" i="287" l="1"/>
  <c r="DO23" i="287"/>
  <c r="DO19" i="287"/>
  <c r="DO20" i="287" s="1"/>
  <c r="DO45" i="287" s="1"/>
  <c r="DO36" i="287"/>
  <c r="DO28" i="287"/>
  <c r="DN25" i="287"/>
  <c r="DN27" i="287" s="1"/>
  <c r="DO60" i="287"/>
  <c r="DO24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BM19" i="280"/>
  <c r="BM49" i="265" s="1"/>
  <c r="BM28" i="280"/>
  <c r="BM29" i="280" s="1"/>
  <c r="BN26" i="280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56" i="287" s="1"/>
  <c r="DP57" i="287" s="1"/>
  <c r="DP2" i="281"/>
  <c r="DP96" i="273"/>
  <c r="DP97" i="273" s="1"/>
  <c r="DP90" i="273"/>
  <c r="DP91" i="273" s="1"/>
  <c r="DP75" i="273"/>
  <c r="DP76" i="273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16" i="282" l="1"/>
  <c r="DP13" i="265" s="1"/>
  <c r="DP68" i="287"/>
  <c r="DP23" i="287"/>
  <c r="DP19" i="287"/>
  <c r="DP20" i="287" s="1"/>
  <c r="DP45" i="287" s="1"/>
  <c r="DP28" i="287"/>
  <c r="DP36" i="287"/>
  <c r="DO25" i="287"/>
  <c r="DO27" i="287" s="1"/>
  <c r="DP60" i="287"/>
  <c r="DP24" i="287"/>
  <c r="DP25" i="287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56" i="287" s="1"/>
  <c r="DQ57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Q19" i="287" l="1"/>
  <c r="DQ20" i="287" s="1"/>
  <c r="DQ45" i="287" s="1"/>
  <c r="DQ36" i="287"/>
  <c r="DQ28" i="287"/>
  <c r="DQ60" i="287"/>
  <c r="DQ24" i="287"/>
  <c r="DP27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56" i="287" s="1"/>
  <c r="DR57" i="287" s="1"/>
  <c r="DR90" i="273"/>
  <c r="DR91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Q68" i="287" l="1"/>
  <c r="DQ23" i="287"/>
  <c r="DQ25" i="287" s="1"/>
  <c r="DR68" i="287"/>
  <c r="DR23" i="287"/>
  <c r="DR19" i="287"/>
  <c r="DR20" i="287" s="1"/>
  <c r="DR45" i="287" s="1"/>
  <c r="DR28" i="287"/>
  <c r="DR36" i="287"/>
  <c r="DQ27" i="287"/>
  <c r="DR60" i="287"/>
  <c r="DR24" i="287"/>
  <c r="DR25" i="287" s="1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BN73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32" i="273"/>
  <c r="DS33" i="273" s="1"/>
  <c r="DS148" i="273"/>
  <c r="DS149" i="273" s="1"/>
  <c r="DS56" i="287" s="1"/>
  <c r="DS57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S68" i="287" l="1"/>
  <c r="DS23" i="287"/>
  <c r="DS19" i="287"/>
  <c r="DS20" i="287" s="1"/>
  <c r="DS45" i="287" s="1"/>
  <c r="DS36" i="287"/>
  <c r="DS28" i="287"/>
  <c r="DR27" i="287"/>
  <c r="DS60" i="287"/>
  <c r="DS24" i="287"/>
  <c r="DS25" i="287" s="1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BO19" i="280"/>
  <c r="BO49" i="265" s="1"/>
  <c r="BO28" i="280"/>
  <c r="BO29" i="280" s="1"/>
  <c r="BO7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56" i="287" s="1"/>
  <c r="DT57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9" i="287" l="1"/>
  <c r="DT20" i="287" s="1"/>
  <c r="DT45" i="287" s="1"/>
  <c r="DT28" i="287"/>
  <c r="DT36" i="287"/>
  <c r="DS27" i="287"/>
  <c r="DT60" i="287"/>
  <c r="DT24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BP26" i="280"/>
  <c r="BP16" i="280" s="1"/>
  <c r="BP18" i="280" s="1"/>
  <c r="BP15" i="286" s="1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56" i="287" s="1"/>
  <c r="DU57" i="287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U19" i="287" l="1"/>
  <c r="DU20" i="287" s="1"/>
  <c r="DU45" i="287" s="1"/>
  <c r="DU36" i="287"/>
  <c r="DU28" i="287"/>
  <c r="DT68" i="287"/>
  <c r="DT23" i="287"/>
  <c r="DT25" i="287" s="1"/>
  <c r="DU68" i="287"/>
  <c r="DU23" i="287"/>
  <c r="DU60" i="287"/>
  <c r="DU24" i="287"/>
  <c r="DU25" i="287" s="1"/>
  <c r="DT27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BP19" i="280"/>
  <c r="BP49" i="265" s="1"/>
  <c r="BP28" i="280"/>
  <c r="BP29" i="280" s="1"/>
  <c r="BQ26" i="280" s="1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56" i="287" s="1"/>
  <c r="DV57" i="287" s="1"/>
  <c r="DV90" i="273"/>
  <c r="DV91" i="273" s="1"/>
  <c r="DV2" i="281"/>
  <c r="DV96" i="273"/>
  <c r="DV97" i="273" s="1"/>
  <c r="DV75" i="273"/>
  <c r="DV76" i="273" s="1"/>
  <c r="DV32" i="273"/>
  <c r="DV33" i="273" s="1"/>
  <c r="DV2" i="273"/>
  <c r="DV16" i="282" l="1"/>
  <c r="DV13" i="265" s="1"/>
  <c r="DV68" i="287"/>
  <c r="DV23" i="287"/>
  <c r="DV19" i="287"/>
  <c r="DV20" i="287" s="1"/>
  <c r="DV45" i="287" s="1"/>
  <c r="DV28" i="287"/>
  <c r="DV36" i="287"/>
  <c r="DU27" i="287"/>
  <c r="DV60" i="287"/>
  <c r="DV24" i="287"/>
  <c r="BP73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56" i="287" s="1"/>
  <c r="DW57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V25" i="287" l="1"/>
  <c r="DW19" i="287"/>
  <c r="DW20" i="287" s="1"/>
  <c r="DW45" i="287" s="1"/>
  <c r="DW36" i="287"/>
  <c r="DW28" i="287"/>
  <c r="DW60" i="287"/>
  <c r="DW24" i="287"/>
  <c r="DV27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56" i="287" s="1"/>
  <c r="DX57" i="287" s="1"/>
  <c r="DX2" i="281"/>
  <c r="DX96" i="273"/>
  <c r="DX97" i="273" s="1"/>
  <c r="DX90" i="273"/>
  <c r="DX91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68" i="287" l="1"/>
  <c r="DW23" i="287"/>
  <c r="DW25" i="287" s="1"/>
  <c r="DX68" i="287"/>
  <c r="DX23" i="287"/>
  <c r="DX19" i="287"/>
  <c r="DX20" i="287" s="1"/>
  <c r="DX45" i="287" s="1"/>
  <c r="DX28" i="287"/>
  <c r="DX36" i="287"/>
  <c r="DW27" i="287"/>
  <c r="DX60" i="287"/>
  <c r="DX24" i="287"/>
  <c r="DX25" i="287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56" i="287" s="1"/>
  <c r="DY57" i="287" s="1"/>
  <c r="DY75" i="273"/>
  <c r="DY76" i="273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Y68" i="287" l="1"/>
  <c r="DY23" i="287"/>
  <c r="DY19" i="287"/>
  <c r="DY20" i="287" s="1"/>
  <c r="DY45" i="287" s="1"/>
  <c r="DY36" i="287"/>
  <c r="DY28" i="287"/>
  <c r="DX27" i="287"/>
  <c r="DY60" i="287"/>
  <c r="DY24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BR19" i="280"/>
  <c r="BR49" i="265" s="1"/>
  <c r="BR28" i="280"/>
  <c r="BR29" i="280" s="1"/>
  <c r="BR73" i="265" s="1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56" i="287" s="1"/>
  <c r="DZ57" i="287" s="1"/>
  <c r="DZ90" i="273"/>
  <c r="DZ91" i="273" s="1"/>
  <c r="DZ2" i="281"/>
  <c r="DZ96" i="273"/>
  <c r="DZ97" i="273" s="1"/>
  <c r="DZ75" i="273"/>
  <c r="DZ76" i="273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Y25" i="287" l="1"/>
  <c r="DZ68" i="287"/>
  <c r="DZ23" i="287"/>
  <c r="DZ19" i="287"/>
  <c r="DZ20" i="287" s="1"/>
  <c r="DZ45" i="287" s="1"/>
  <c r="DZ28" i="287"/>
  <c r="DZ36" i="287"/>
  <c r="DZ60" i="287"/>
  <c r="DZ24" i="287"/>
  <c r="DY27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BS26" i="280"/>
  <c r="BS16" i="280" s="1"/>
  <c r="BS18" i="280" s="1"/>
  <c r="BS15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48" i="273"/>
  <c r="EA149" i="273" s="1"/>
  <c r="EA56" i="287" s="1"/>
  <c r="EA57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68" i="287" l="1"/>
  <c r="EA23" i="287"/>
  <c r="EA36" i="287"/>
  <c r="EA28" i="287"/>
  <c r="DZ25" i="287"/>
  <c r="DZ27" i="287"/>
  <c r="EA60" i="287"/>
  <c r="EA24" i="287"/>
  <c r="EA25" i="287" s="1"/>
  <c r="EA27" i="287" s="1"/>
  <c r="F29" i="287" s="1"/>
  <c r="F32" i="287" s="1"/>
  <c r="F33" i="287" s="1"/>
  <c r="F35" i="287" s="1"/>
  <c r="H125" i="273"/>
  <c r="EA19" i="287"/>
  <c r="EA20" i="287" s="1"/>
  <c r="EA17" i="280"/>
  <c r="BS19" i="280"/>
  <c r="BS49" i="265" s="1"/>
  <c r="BS28" i="280"/>
  <c r="BS29" i="280" s="1"/>
  <c r="BT26" i="280" s="1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73" i="277"/>
  <c r="M73" i="277"/>
  <c r="K69" i="277"/>
  <c r="M64" i="277"/>
  <c r="M71" i="277"/>
  <c r="M72" i="277"/>
  <c r="M69" i="277"/>
  <c r="N69" i="277"/>
  <c r="N73" i="277"/>
  <c r="N59" i="277"/>
  <c r="N60" i="277" s="1"/>
  <c r="N72" i="277"/>
  <c r="N71" i="277"/>
  <c r="L73" i="277"/>
  <c r="O64" i="277"/>
  <c r="O72" i="277"/>
  <c r="O71" i="277"/>
  <c r="N64" i="277"/>
  <c r="O59" i="277"/>
  <c r="O60" i="277" s="1"/>
  <c r="O73" i="277"/>
  <c r="O69" i="277"/>
  <c r="P69" i="277"/>
  <c r="P72" i="277"/>
  <c r="P64" i="277"/>
  <c r="P71" i="277"/>
  <c r="R71" i="277"/>
  <c r="Q71" i="277"/>
  <c r="Q59" i="277"/>
  <c r="Q60" i="277" s="1"/>
  <c r="P73" i="277"/>
  <c r="R73" i="277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Q73" i="277"/>
  <c r="R72" i="277"/>
  <c r="S72" i="277"/>
  <c r="S71" i="277"/>
  <c r="S69" i="277"/>
  <c r="S73" i="277"/>
  <c r="S64" i="277"/>
  <c r="S59" i="277"/>
  <c r="S60" i="277" s="1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2" i="277"/>
  <c r="V71" i="277"/>
  <c r="T69" i="277"/>
  <c r="V73" i="277"/>
  <c r="L69" i="277"/>
  <c r="W72" i="277"/>
  <c r="W71" i="277"/>
  <c r="W59" i="277"/>
  <c r="W60" i="277" s="1"/>
  <c r="X72" i="277"/>
  <c r="X59" i="277"/>
  <c r="X60" i="277" s="1"/>
  <c r="X73" i="277"/>
  <c r="X71" i="277"/>
  <c r="Z71" i="277"/>
  <c r="Z72" i="277"/>
  <c r="Z59" i="277"/>
  <c r="Z60" i="277" s="1"/>
  <c r="Y72" i="277"/>
  <c r="Y59" i="277"/>
  <c r="Y60" i="277" s="1"/>
  <c r="L64" i="277"/>
  <c r="Y73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EA20" i="275" l="1"/>
  <c r="H68" i="287"/>
  <c r="H23" i="287"/>
  <c r="H19" i="287"/>
  <c r="H36" i="287"/>
  <c r="H28" i="287"/>
  <c r="J37" i="287"/>
  <c r="L37" i="287"/>
  <c r="L39" i="287" s="1"/>
  <c r="N37" i="287"/>
  <c r="N39" i="287" s="1"/>
  <c r="P37" i="287"/>
  <c r="P39" i="287" s="1"/>
  <c r="R37" i="287"/>
  <c r="R39" i="287" s="1"/>
  <c r="T37" i="287"/>
  <c r="T39" i="287" s="1"/>
  <c r="V37" i="287"/>
  <c r="V39" i="287" s="1"/>
  <c r="X37" i="287"/>
  <c r="X39" i="287" s="1"/>
  <c r="K37" i="287"/>
  <c r="K39" i="287" s="1"/>
  <c r="M37" i="287"/>
  <c r="M39" i="287" s="1"/>
  <c r="M41" i="287" s="1"/>
  <c r="M46" i="287" s="1"/>
  <c r="M48" i="287" s="1"/>
  <c r="O37" i="287"/>
  <c r="O39" i="287" s="1"/>
  <c r="Q37" i="287"/>
  <c r="Q39" i="287" s="1"/>
  <c r="S37" i="287"/>
  <c r="S39" i="287" s="1"/>
  <c r="U37" i="287"/>
  <c r="U39" i="287" s="1"/>
  <c r="W37" i="287"/>
  <c r="W39" i="287" s="1"/>
  <c r="Y37" i="287"/>
  <c r="Y39" i="287" s="1"/>
  <c r="AA37" i="287"/>
  <c r="AA39" i="287" s="1"/>
  <c r="AC37" i="287"/>
  <c r="AC39" i="287" s="1"/>
  <c r="AE37" i="287"/>
  <c r="AE39" i="287" s="1"/>
  <c r="AG37" i="287"/>
  <c r="AG39" i="287" s="1"/>
  <c r="AI37" i="287"/>
  <c r="AI39" i="287" s="1"/>
  <c r="AK37" i="287"/>
  <c r="AK39" i="287" s="1"/>
  <c r="AM37" i="287"/>
  <c r="AM39" i="287" s="1"/>
  <c r="AO37" i="287"/>
  <c r="AO39" i="287" s="1"/>
  <c r="AQ37" i="287"/>
  <c r="AQ39" i="287" s="1"/>
  <c r="AS37" i="287"/>
  <c r="AS39" i="287" s="1"/>
  <c r="AU37" i="287"/>
  <c r="AU39" i="287" s="1"/>
  <c r="AW37" i="287"/>
  <c r="AW39" i="287" s="1"/>
  <c r="AY37" i="287"/>
  <c r="AY39" i="287" s="1"/>
  <c r="BA37" i="287"/>
  <c r="BA39" i="287" s="1"/>
  <c r="BC37" i="287"/>
  <c r="BC39" i="287" s="1"/>
  <c r="AB37" i="287"/>
  <c r="AB39" i="287" s="1"/>
  <c r="AF37" i="287"/>
  <c r="AF39" i="287" s="1"/>
  <c r="AJ37" i="287"/>
  <c r="AJ39" i="287" s="1"/>
  <c r="AN37" i="287"/>
  <c r="AN39" i="287" s="1"/>
  <c r="AR37" i="287"/>
  <c r="AR39" i="287" s="1"/>
  <c r="AV37" i="287"/>
  <c r="AV39" i="287" s="1"/>
  <c r="AZ37" i="287"/>
  <c r="AZ39" i="287" s="1"/>
  <c r="BD37" i="287"/>
  <c r="BD39" i="287" s="1"/>
  <c r="BF37" i="287"/>
  <c r="BF39" i="287" s="1"/>
  <c r="BH37" i="287"/>
  <c r="BH39" i="287" s="1"/>
  <c r="BJ37" i="287"/>
  <c r="BJ39" i="287" s="1"/>
  <c r="BL37" i="287"/>
  <c r="BL39" i="287" s="1"/>
  <c r="BN37" i="287"/>
  <c r="BN39" i="287" s="1"/>
  <c r="BP37" i="287"/>
  <c r="BP39" i="287" s="1"/>
  <c r="BR37" i="287"/>
  <c r="BR39" i="287" s="1"/>
  <c r="BT37" i="287"/>
  <c r="BT39" i="287" s="1"/>
  <c r="BV37" i="287"/>
  <c r="BV39" i="287" s="1"/>
  <c r="BX37" i="287"/>
  <c r="BX39" i="287" s="1"/>
  <c r="BZ37" i="287"/>
  <c r="BZ39" i="287" s="1"/>
  <c r="CB37" i="287"/>
  <c r="CB39" i="287" s="1"/>
  <c r="CD37" i="287"/>
  <c r="CD39" i="287" s="1"/>
  <c r="CF37" i="287"/>
  <c r="CF39" i="287" s="1"/>
  <c r="CH37" i="287"/>
  <c r="CH39" i="287" s="1"/>
  <c r="CJ37" i="287"/>
  <c r="CJ39" i="287" s="1"/>
  <c r="CL37" i="287"/>
  <c r="CL39" i="287" s="1"/>
  <c r="CN37" i="287"/>
  <c r="CN39" i="287" s="1"/>
  <c r="CP37" i="287"/>
  <c r="CP39" i="287" s="1"/>
  <c r="CR37" i="287"/>
  <c r="CR39" i="287" s="1"/>
  <c r="CT37" i="287"/>
  <c r="CT39" i="287" s="1"/>
  <c r="CV37" i="287"/>
  <c r="CV39" i="287" s="1"/>
  <c r="CX37" i="287"/>
  <c r="CX39" i="287" s="1"/>
  <c r="CZ37" i="287"/>
  <c r="CZ39" i="287" s="1"/>
  <c r="DB37" i="287"/>
  <c r="DB39" i="287" s="1"/>
  <c r="DD37" i="287"/>
  <c r="DD39" i="287" s="1"/>
  <c r="DF37" i="287"/>
  <c r="DF39" i="287" s="1"/>
  <c r="DH37" i="287"/>
  <c r="DH39" i="287" s="1"/>
  <c r="DJ37" i="287"/>
  <c r="DJ39" i="287" s="1"/>
  <c r="DL37" i="287"/>
  <c r="DL39" i="287" s="1"/>
  <c r="DN37" i="287"/>
  <c r="DN39" i="287" s="1"/>
  <c r="DP37" i="287"/>
  <c r="DP39" i="287" s="1"/>
  <c r="DR37" i="287"/>
  <c r="DR39" i="287" s="1"/>
  <c r="DT37" i="287"/>
  <c r="DT39" i="287" s="1"/>
  <c r="DV37" i="287"/>
  <c r="DV39" i="287" s="1"/>
  <c r="DX37" i="287"/>
  <c r="DX39" i="287" s="1"/>
  <c r="DZ37" i="287"/>
  <c r="DZ39" i="287" s="1"/>
  <c r="Z37" i="287"/>
  <c r="Z39" i="287" s="1"/>
  <c r="AD37" i="287"/>
  <c r="AD39" i="287" s="1"/>
  <c r="AH37" i="287"/>
  <c r="AH39" i="287" s="1"/>
  <c r="AL37" i="287"/>
  <c r="AL39" i="287" s="1"/>
  <c r="AP37" i="287"/>
  <c r="AP39" i="287" s="1"/>
  <c r="AT37" i="287"/>
  <c r="AT39" i="287" s="1"/>
  <c r="AX37" i="287"/>
  <c r="AX39" i="287" s="1"/>
  <c r="BB37" i="287"/>
  <c r="BB39" i="287" s="1"/>
  <c r="BE37" i="287"/>
  <c r="BE39" i="287" s="1"/>
  <c r="BG37" i="287"/>
  <c r="BG39" i="287" s="1"/>
  <c r="BI37" i="287"/>
  <c r="BI39" i="287" s="1"/>
  <c r="BK37" i="287"/>
  <c r="BK39" i="287" s="1"/>
  <c r="BM37" i="287"/>
  <c r="BM39" i="287" s="1"/>
  <c r="BO37" i="287"/>
  <c r="BO39" i="287" s="1"/>
  <c r="BQ37" i="287"/>
  <c r="BQ39" i="287" s="1"/>
  <c r="BS37" i="287"/>
  <c r="BS39" i="287" s="1"/>
  <c r="BU37" i="287"/>
  <c r="BU39" i="287" s="1"/>
  <c r="BW37" i="287"/>
  <c r="BW39" i="287" s="1"/>
  <c r="BY37" i="287"/>
  <c r="BY39" i="287" s="1"/>
  <c r="CA37" i="287"/>
  <c r="CA39" i="287" s="1"/>
  <c r="CC37" i="287"/>
  <c r="CC39" i="287" s="1"/>
  <c r="CE37" i="287"/>
  <c r="CE39" i="287" s="1"/>
  <c r="CG37" i="287"/>
  <c r="CG39" i="287" s="1"/>
  <c r="CI37" i="287"/>
  <c r="CI39" i="287" s="1"/>
  <c r="CK37" i="287"/>
  <c r="CK39" i="287" s="1"/>
  <c r="CM37" i="287"/>
  <c r="CM39" i="287" s="1"/>
  <c r="CO37" i="287"/>
  <c r="CO39" i="287" s="1"/>
  <c r="CQ37" i="287"/>
  <c r="CQ39" i="287" s="1"/>
  <c r="CS37" i="287"/>
  <c r="CS39" i="287" s="1"/>
  <c r="CU37" i="287"/>
  <c r="CU39" i="287" s="1"/>
  <c r="CW37" i="287"/>
  <c r="CW39" i="287" s="1"/>
  <c r="CY37" i="287"/>
  <c r="CY39" i="287" s="1"/>
  <c r="DA37" i="287"/>
  <c r="DA39" i="287" s="1"/>
  <c r="DC37" i="287"/>
  <c r="DC39" i="287" s="1"/>
  <c r="DE37" i="287"/>
  <c r="DE39" i="287" s="1"/>
  <c r="DG37" i="287"/>
  <c r="DG39" i="287" s="1"/>
  <c r="DI37" i="287"/>
  <c r="DI39" i="287" s="1"/>
  <c r="DK37" i="287"/>
  <c r="DK39" i="287" s="1"/>
  <c r="DM37" i="287"/>
  <c r="DM39" i="287" s="1"/>
  <c r="DO37" i="287"/>
  <c r="DO39" i="287" s="1"/>
  <c r="DQ37" i="287"/>
  <c r="DQ39" i="287" s="1"/>
  <c r="DS37" i="287"/>
  <c r="DS39" i="287" s="1"/>
  <c r="DU37" i="287"/>
  <c r="DU39" i="287" s="1"/>
  <c r="DW37" i="287"/>
  <c r="DW39" i="287" s="1"/>
  <c r="DY37" i="287"/>
  <c r="DY39" i="287" s="1"/>
  <c r="EA37" i="287"/>
  <c r="EA39" i="287" s="1"/>
  <c r="EA45" i="287"/>
  <c r="H20" i="287"/>
  <c r="H45" i="287" s="1"/>
  <c r="H112" i="273"/>
  <c r="H17" i="280"/>
  <c r="BS73" i="265"/>
  <c r="BT16" i="280"/>
  <c r="BT18" i="280" s="1"/>
  <c r="BT15" i="286" s="1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M77" i="287" l="1"/>
  <c r="M78" i="287" s="1"/>
  <c r="M49" i="287"/>
  <c r="M36" i="265" s="1"/>
  <c r="M37" i="265" s="1"/>
  <c r="M42" i="265" s="1"/>
  <c r="M47" i="265" s="1"/>
  <c r="M50" i="265" s="1"/>
  <c r="M71" i="287"/>
  <c r="M72" i="287" s="1"/>
  <c r="J39" i="287"/>
  <c r="J41" i="287" s="1"/>
  <c r="H37" i="287"/>
  <c r="H39" i="287" s="1"/>
  <c r="BT19" i="280"/>
  <c r="BT49" i="265" s="1"/>
  <c r="BT28" i="280"/>
  <c r="BT29" i="280" s="1"/>
  <c r="BT73" i="265" s="1"/>
  <c r="Z73" i="277" s="1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M45" i="277"/>
  <c r="L31" i="277"/>
  <c r="K10" i="277"/>
  <c r="K13" i="277"/>
  <c r="M9" i="277"/>
  <c r="M11" i="277" s="1"/>
  <c r="M14" i="277" s="1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8" i="277"/>
  <c r="O43" i="277"/>
  <c r="N43" i="277"/>
  <c r="N9" i="277"/>
  <c r="O17" i="277"/>
  <c r="N18" i="277"/>
  <c r="N17" i="277"/>
  <c r="O21" i="277"/>
  <c r="N48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8" i="277"/>
  <c r="P40" i="277"/>
  <c r="P43" i="277"/>
  <c r="P39" i="277"/>
  <c r="P44" i="277"/>
  <c r="P30" i="277"/>
  <c r="P18" i="277"/>
  <c r="P31" i="277"/>
  <c r="R40" i="277"/>
  <c r="R48" i="277"/>
  <c r="Q40" i="277"/>
  <c r="Q31" i="277"/>
  <c r="R30" i="277"/>
  <c r="R13" i="277"/>
  <c r="Q21" i="277"/>
  <c r="R31" i="277"/>
  <c r="Q10" i="277"/>
  <c r="Q48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1" i="277" s="1"/>
  <c r="Q18" i="277"/>
  <c r="R18" i="277"/>
  <c r="R21" i="277"/>
  <c r="Q17" i="277"/>
  <c r="R32" i="277"/>
  <c r="Q39" i="277"/>
  <c r="R45" i="277"/>
  <c r="S40" i="277"/>
  <c r="S45" i="277"/>
  <c r="T40" i="277"/>
  <c r="S48" i="277"/>
  <c r="S31" i="277"/>
  <c r="S10" i="277"/>
  <c r="S18" i="277"/>
  <c r="T39" i="277"/>
  <c r="T13" i="277"/>
  <c r="S43" i="277"/>
  <c r="S21" i="277"/>
  <c r="T21" i="277"/>
  <c r="S13" i="277"/>
  <c r="T48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48" i="277"/>
  <c r="U18" i="277"/>
  <c r="V4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Y48" i="277"/>
  <c r="X43" i="277"/>
  <c r="W10" i="277"/>
  <c r="X45" i="277"/>
  <c r="W13" i="277"/>
  <c r="W48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48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X14" i="277" l="1"/>
  <c r="S33" i="277"/>
  <c r="K14" i="277"/>
  <c r="O33" i="277"/>
  <c r="M63" i="280"/>
  <c r="M64" i="280" s="1"/>
  <c r="M68" i="280" s="1"/>
  <c r="M69" i="280" s="1"/>
  <c r="M50" i="280"/>
  <c r="J46" i="287"/>
  <c r="J48" i="287" s="1"/>
  <c r="N70" i="287"/>
  <c r="M70" i="265"/>
  <c r="AL11" i="277"/>
  <c r="AL14" i="277" s="1"/>
  <c r="BU26" i="280"/>
  <c r="BU16" i="280" s="1"/>
  <c r="BU18" i="280" s="1"/>
  <c r="BU15" i="286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N59" i="287" l="1"/>
  <c r="N61" i="287" s="1"/>
  <c r="J77" i="287"/>
  <c r="J78" i="287" s="1"/>
  <c r="J49" i="287"/>
  <c r="J71" i="287"/>
  <c r="J72" i="287" s="1"/>
  <c r="M14" i="286"/>
  <c r="M16" i="286" s="1"/>
  <c r="M18" i="286" s="1"/>
  <c r="M40" i="280"/>
  <c r="M41" i="280" s="1"/>
  <c r="M70" i="280"/>
  <c r="M51" i="280"/>
  <c r="M52" i="280" s="1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M63" i="265" l="1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J36" i="265"/>
  <c r="M52" i="265"/>
  <c r="M53" i="265" s="1"/>
  <c r="M24" i="265"/>
  <c r="M25" i="265" s="1"/>
  <c r="K70" i="287"/>
  <c r="J70" i="265"/>
  <c r="N76" i="287"/>
  <c r="N40" i="287"/>
  <c r="N41" i="287" s="1"/>
  <c r="N46" i="287" s="1"/>
  <c r="N48" i="287" s="1"/>
  <c r="N62" i="287"/>
  <c r="BU73" i="265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N35" i="265" l="1"/>
  <c r="N16" i="265"/>
  <c r="K59" i="287"/>
  <c r="K61" i="287" s="1"/>
  <c r="J37" i="265"/>
  <c r="J42" i="265" s="1"/>
  <c r="J47" i="265" s="1"/>
  <c r="J50" i="265" s="1"/>
  <c r="M83" i="265"/>
  <c r="M82" i="265"/>
  <c r="N77" i="287"/>
  <c r="N78" i="287" s="1"/>
  <c r="N71" i="287"/>
  <c r="N72" i="287" s="1"/>
  <c r="N49" i="287"/>
  <c r="N36" i="265" s="1"/>
  <c r="BV19" i="280"/>
  <c r="BV49" i="265" s="1"/>
  <c r="BV28" i="280"/>
  <c r="BV29" i="280" s="1"/>
  <c r="BW26" i="280" s="1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J50" i="280" l="1"/>
  <c r="J63" i="280"/>
  <c r="J64" i="280" s="1"/>
  <c r="J68" i="280" s="1"/>
  <c r="J69" i="280" s="1"/>
  <c r="K76" i="287"/>
  <c r="K40" i="287"/>
  <c r="K41" i="287" s="1"/>
  <c r="K62" i="287"/>
  <c r="N19" i="265"/>
  <c r="N22" i="265" s="1"/>
  <c r="N70" i="265"/>
  <c r="O70" i="287"/>
  <c r="N37" i="265"/>
  <c r="N42" i="265" s="1"/>
  <c r="N47" i="265" s="1"/>
  <c r="N50" i="265" s="1"/>
  <c r="BV73" i="265"/>
  <c r="BW16" i="280"/>
  <c r="BW18" i="280" s="1"/>
  <c r="BW15" i="286" s="1"/>
  <c r="H14" i="277"/>
  <c r="AZ33" i="265"/>
  <c r="T30" i="277"/>
  <c r="T33" i="277" s="1"/>
  <c r="AZ64" i="265"/>
  <c r="U64" i="277" s="1"/>
  <c r="BA60" i="281"/>
  <c r="L26" i="269"/>
  <c r="J26" i="269"/>
  <c r="BB112" i="281"/>
  <c r="BB113" i="281" s="1"/>
  <c r="N50" i="280" l="1"/>
  <c r="N63" i="280"/>
  <c r="N64" i="280" s="1"/>
  <c r="N68" i="280" s="1"/>
  <c r="N39" i="280"/>
  <c r="N58" i="280"/>
  <c r="N59" i="280" s="1"/>
  <c r="N67" i="280" s="1"/>
  <c r="K46" i="287"/>
  <c r="K48" i="287" s="1"/>
  <c r="O59" i="287"/>
  <c r="O61" i="287" s="1"/>
  <c r="K16" i="265"/>
  <c r="K35" i="265"/>
  <c r="J70" i="280"/>
  <c r="J40" i="280"/>
  <c r="J41" i="280" s="1"/>
  <c r="J14" i="286"/>
  <c r="J16" i="286" s="1"/>
  <c r="J18" i="286" s="1"/>
  <c r="J51" i="280"/>
  <c r="J52" i="280" s="1"/>
  <c r="BW19" i="280"/>
  <c r="BW49" i="265" s="1"/>
  <c r="BW28" i="280"/>
  <c r="BW29" i="280" s="1"/>
  <c r="BW73" i="265" s="1"/>
  <c r="BA52" i="281"/>
  <c r="BA53" i="281" s="1"/>
  <c r="BB114" i="281"/>
  <c r="BB31" i="265" s="1"/>
  <c r="BB123" i="281"/>
  <c r="BB124" i="281" s="1"/>
  <c r="J52" i="265" l="1"/>
  <c r="J24" i="265"/>
  <c r="K77" i="287"/>
  <c r="K78" i="287" s="1"/>
  <c r="K71" i="287"/>
  <c r="K72" i="287" s="1"/>
  <c r="K49" i="287"/>
  <c r="J63" i="265"/>
  <c r="J65" i="265" s="1"/>
  <c r="J67" i="265" s="1"/>
  <c r="J80" i="265" s="1"/>
  <c r="K49" i="280"/>
  <c r="K62" i="280" s="1"/>
  <c r="J74" i="265"/>
  <c r="J75" i="265" s="1"/>
  <c r="J81" i="265" s="1"/>
  <c r="K38" i="280"/>
  <c r="K57" i="280" s="1"/>
  <c r="K19" i="265"/>
  <c r="K22" i="265" s="1"/>
  <c r="O76" i="287"/>
  <c r="O40" i="287"/>
  <c r="O41" i="287" s="1"/>
  <c r="O46" i="287" s="1"/>
  <c r="O48" i="287" s="1"/>
  <c r="O62" i="287"/>
  <c r="N69" i="280"/>
  <c r="BX26" i="280"/>
  <c r="BX16" i="280" s="1"/>
  <c r="BX18" i="280" s="1"/>
  <c r="BX15" i="286" s="1"/>
  <c r="BA30" i="265"/>
  <c r="BA62" i="281"/>
  <c r="BA63" i="281" s="1"/>
  <c r="BB69" i="265"/>
  <c r="BC121" i="281"/>
  <c r="N14" i="286" l="1"/>
  <c r="N16" i="286" s="1"/>
  <c r="N18" i="286" s="1"/>
  <c r="N51" i="280"/>
  <c r="N52" i="280" s="1"/>
  <c r="N70" i="280"/>
  <c r="N40" i="280"/>
  <c r="N41" i="280" s="1"/>
  <c r="O77" i="287"/>
  <c r="O49" i="287"/>
  <c r="O36" i="265" s="1"/>
  <c r="O71" i="287"/>
  <c r="O72" i="287" s="1"/>
  <c r="L70" i="287"/>
  <c r="L59" i="287" s="1"/>
  <c r="L61" i="287" s="1"/>
  <c r="K70" i="265"/>
  <c r="J25" i="265"/>
  <c r="O16" i="265"/>
  <c r="O35" i="265"/>
  <c r="O78" i="287"/>
  <c r="K58" i="280"/>
  <c r="K59" i="280" s="1"/>
  <c r="K67" i="280" s="1"/>
  <c r="K39" i="280"/>
  <c r="J83" i="265"/>
  <c r="J82" i="265"/>
  <c r="K36" i="265"/>
  <c r="J53" i="265"/>
  <c r="BX19" i="280"/>
  <c r="BX49" i="265" s="1"/>
  <c r="BX28" i="280"/>
  <c r="BX29" i="280" s="1"/>
  <c r="BX73" i="265" s="1"/>
  <c r="AA73" i="277" s="1"/>
  <c r="BC112" i="281"/>
  <c r="BC113" i="281" s="1"/>
  <c r="BA64" i="265"/>
  <c r="BB60" i="281"/>
  <c r="BA33" i="265"/>
  <c r="K37" i="265" l="1"/>
  <c r="K42" i="265" s="1"/>
  <c r="K47" i="265" s="1"/>
  <c r="K50" i="265" s="1"/>
  <c r="O19" i="265"/>
  <c r="O22" i="265" s="1"/>
  <c r="L40" i="287"/>
  <c r="L41" i="287" s="1"/>
  <c r="L76" i="287"/>
  <c r="L62" i="287"/>
  <c r="O38" i="280"/>
  <c r="O57" i="280" s="1"/>
  <c r="N74" i="265"/>
  <c r="N75" i="265" s="1"/>
  <c r="N81" i="265" s="1"/>
  <c r="O49" i="280"/>
  <c r="O62" i="280" s="1"/>
  <c r="N63" i="265"/>
  <c r="N65" i="265" s="1"/>
  <c r="N67" i="265" s="1"/>
  <c r="N80" i="265" s="1"/>
  <c r="O37" i="265"/>
  <c r="O42" i="265" s="1"/>
  <c r="O47" i="265" s="1"/>
  <c r="O50" i="265" s="1"/>
  <c r="O70" i="265"/>
  <c r="P70" i="287"/>
  <c r="N52" i="265"/>
  <c r="N53" i="265" s="1"/>
  <c r="N24" i="265"/>
  <c r="N25" i="265" s="1"/>
  <c r="BY26" i="280"/>
  <c r="BY16" i="280" s="1"/>
  <c r="BY18" i="280" s="1"/>
  <c r="BY15" i="286" s="1"/>
  <c r="BB52" i="281"/>
  <c r="BB53" i="281" s="1"/>
  <c r="BC123" i="281"/>
  <c r="BC124" i="281" s="1"/>
  <c r="BC114" i="281"/>
  <c r="BC31" i="265" s="1"/>
  <c r="P59" i="287" l="1"/>
  <c r="P61" i="287" s="1"/>
  <c r="N83" i="265"/>
  <c r="N82" i="265"/>
  <c r="L16" i="265"/>
  <c r="L35" i="265"/>
  <c r="L46" i="287"/>
  <c r="L48" i="287" s="1"/>
  <c r="O39" i="280"/>
  <c r="O58" i="280"/>
  <c r="O59" i="280" s="1"/>
  <c r="O67" i="280" s="1"/>
  <c r="O50" i="280"/>
  <c r="O63" i="280"/>
  <c r="O64" i="280" s="1"/>
  <c r="O68" i="280" s="1"/>
  <c r="K50" i="280"/>
  <c r="K63" i="280"/>
  <c r="K64" i="280" s="1"/>
  <c r="K68" i="280" s="1"/>
  <c r="K69" i="280" s="1"/>
  <c r="BY19" i="280"/>
  <c r="BY49" i="265" s="1"/>
  <c r="BY28" i="280"/>
  <c r="BY29" i="280" s="1"/>
  <c r="BY73" i="265" s="1"/>
  <c r="BB30" i="265"/>
  <c r="BB62" i="281"/>
  <c r="BB63" i="281" s="1"/>
  <c r="BC69" i="265"/>
  <c r="BD121" i="281"/>
  <c r="O69" i="280" l="1"/>
  <c r="J35" i="277"/>
  <c r="K70" i="280"/>
  <c r="K51" i="280"/>
  <c r="K52" i="280" s="1"/>
  <c r="K14" i="286"/>
  <c r="K16" i="286" s="1"/>
  <c r="K18" i="286" s="1"/>
  <c r="K40" i="280"/>
  <c r="K41" i="280" s="1"/>
  <c r="L77" i="287"/>
  <c r="L78" i="287" s="1"/>
  <c r="L49" i="287"/>
  <c r="L71" i="287"/>
  <c r="L19" i="265"/>
  <c r="L22" i="265" s="1"/>
  <c r="J16" i="277"/>
  <c r="J19" i="277" s="1"/>
  <c r="J22" i="277" s="1"/>
  <c r="P76" i="287"/>
  <c r="P40" i="287"/>
  <c r="P41" i="287" s="1"/>
  <c r="P62" i="287"/>
  <c r="BZ26" i="280"/>
  <c r="BZ16" i="280" s="1"/>
  <c r="BZ18" i="280" s="1"/>
  <c r="BZ15" i="286" s="1"/>
  <c r="BD112" i="281"/>
  <c r="BD113" i="281" s="1"/>
  <c r="BB64" i="265"/>
  <c r="BC60" i="281"/>
  <c r="BB33" i="265"/>
  <c r="P35" i="265" l="1"/>
  <c r="P16" i="265"/>
  <c r="L58" i="280"/>
  <c r="L39" i="280"/>
  <c r="K24" i="265"/>
  <c r="K52" i="265"/>
  <c r="P46" i="287"/>
  <c r="P48" i="287" s="1"/>
  <c r="L36" i="265"/>
  <c r="L38" i="280"/>
  <c r="L57" i="280" s="1"/>
  <c r="L59" i="280" s="1"/>
  <c r="L67" i="280" s="1"/>
  <c r="K74" i="265"/>
  <c r="K75" i="265" s="1"/>
  <c r="K81" i="265" s="1"/>
  <c r="L49" i="280"/>
  <c r="L62" i="280" s="1"/>
  <c r="K63" i="265"/>
  <c r="K65" i="265" s="1"/>
  <c r="K67" i="265" s="1"/>
  <c r="K80" i="265" s="1"/>
  <c r="O14" i="286"/>
  <c r="O16" i="286" s="1"/>
  <c r="O18" i="286" s="1"/>
  <c r="O40" i="280"/>
  <c r="O41" i="280" s="1"/>
  <c r="O70" i="280"/>
  <c r="O51" i="280"/>
  <c r="O52" i="280" s="1"/>
  <c r="BZ19" i="280"/>
  <c r="BZ49" i="265" s="1"/>
  <c r="BZ28" i="280"/>
  <c r="BZ29" i="280" s="1"/>
  <c r="CA26" i="280" s="1"/>
  <c r="BD114" i="281"/>
  <c r="BD31" i="265" s="1"/>
  <c r="BD123" i="281"/>
  <c r="BD124" i="281" s="1"/>
  <c r="BC52" i="281"/>
  <c r="BC53" i="281" s="1"/>
  <c r="P49" i="280" l="1"/>
  <c r="P62" i="280" s="1"/>
  <c r="O63" i="265"/>
  <c r="O65" i="265" s="1"/>
  <c r="O67" i="265" s="1"/>
  <c r="O80" i="265" s="1"/>
  <c r="P38" i="280"/>
  <c r="P57" i="280" s="1"/>
  <c r="O74" i="265"/>
  <c r="O75" i="265" s="1"/>
  <c r="O81" i="265" s="1"/>
  <c r="K82" i="265"/>
  <c r="K83" i="265"/>
  <c r="P77" i="287"/>
  <c r="P78" i="287" s="1"/>
  <c r="P49" i="287"/>
  <c r="P71" i="287"/>
  <c r="P72" i="287" s="1"/>
  <c r="K25" i="265"/>
  <c r="K35" i="277"/>
  <c r="O24" i="265"/>
  <c r="O25" i="265" s="1"/>
  <c r="O52" i="265"/>
  <c r="O53" i="265" s="1"/>
  <c r="J36" i="277"/>
  <c r="L37" i="265"/>
  <c r="L42" i="265" s="1"/>
  <c r="L47" i="265" s="1"/>
  <c r="L50" i="265" s="1"/>
  <c r="K53" i="265"/>
  <c r="P19" i="265"/>
  <c r="P22" i="265" s="1"/>
  <c r="K16" i="277"/>
  <c r="K19" i="277" s="1"/>
  <c r="K22" i="277" s="1"/>
  <c r="BZ73" i="265"/>
  <c r="CA16" i="280"/>
  <c r="CA18" i="280" s="1"/>
  <c r="CA15" i="286" s="1"/>
  <c r="BC30" i="265"/>
  <c r="BC62" i="281"/>
  <c r="BC63" i="281" s="1"/>
  <c r="BD69" i="265"/>
  <c r="BE121" i="281"/>
  <c r="L63" i="280" l="1"/>
  <c r="L64" i="280" s="1"/>
  <c r="L68" i="280" s="1"/>
  <c r="L69" i="280" s="1"/>
  <c r="L50" i="280"/>
  <c r="P36" i="265"/>
  <c r="P37" i="265" s="1"/>
  <c r="P42" i="265" s="1"/>
  <c r="P47" i="265" s="1"/>
  <c r="P50" i="265" s="1"/>
  <c r="O82" i="265"/>
  <c r="O83" i="265"/>
  <c r="P39" i="280"/>
  <c r="P58" i="280"/>
  <c r="Q70" i="287"/>
  <c r="P70" i="265"/>
  <c r="P59" i="280"/>
  <c r="P67" i="280" s="1"/>
  <c r="CA19" i="280"/>
  <c r="CA49" i="265" s="1"/>
  <c r="CA28" i="280"/>
  <c r="CA29" i="280" s="1"/>
  <c r="CA73" i="265" s="1"/>
  <c r="BE112" i="281"/>
  <c r="BE113" i="281" s="1"/>
  <c r="BC64" i="265"/>
  <c r="BD60" i="281"/>
  <c r="V69" i="277"/>
  <c r="BC33" i="265"/>
  <c r="Q59" i="287" l="1"/>
  <c r="Q61" i="287" s="1"/>
  <c r="P50" i="280"/>
  <c r="P63" i="280"/>
  <c r="P64" i="280" s="1"/>
  <c r="P68" i="280" s="1"/>
  <c r="P69" i="280" s="1"/>
  <c r="L70" i="277"/>
  <c r="L14" i="286"/>
  <c r="L16" i="286" s="1"/>
  <c r="L18" i="286" s="1"/>
  <c r="L51" i="280"/>
  <c r="L40" i="280"/>
  <c r="L70" i="280"/>
  <c r="CB26" i="280"/>
  <c r="CB16" i="280" s="1"/>
  <c r="CB18" i="280" s="1"/>
  <c r="CB15" i="286" s="1"/>
  <c r="BD52" i="281"/>
  <c r="BD53" i="281" s="1"/>
  <c r="BE123" i="281"/>
  <c r="BE124" i="281" s="1"/>
  <c r="BE114" i="281"/>
  <c r="BE31" i="265" s="1"/>
  <c r="P70" i="280" l="1"/>
  <c r="P51" i="280"/>
  <c r="P52" i="280" s="1"/>
  <c r="P14" i="286"/>
  <c r="P16" i="286" s="1"/>
  <c r="P18" i="286" s="1"/>
  <c r="P40" i="280"/>
  <c r="P41" i="280" s="1"/>
  <c r="L52" i="265"/>
  <c r="L24" i="265"/>
  <c r="Q40" i="287"/>
  <c r="Q41" i="287" s="1"/>
  <c r="Q62" i="287"/>
  <c r="Q76" i="287"/>
  <c r="CB19" i="280"/>
  <c r="CB49" i="265" s="1"/>
  <c r="CB28" i="280"/>
  <c r="CB29" i="280" s="1"/>
  <c r="CC26" i="280" s="1"/>
  <c r="BD30" i="265"/>
  <c r="BD62" i="281"/>
  <c r="BD63" i="281" s="1"/>
  <c r="BE69" i="265"/>
  <c r="BF121" i="281"/>
  <c r="Q46" i="287" l="1"/>
  <c r="Q48" i="287" s="1"/>
  <c r="L25" i="265"/>
  <c r="J24" i="277"/>
  <c r="J25" i="277" s="1"/>
  <c r="P74" i="265"/>
  <c r="Q38" i="280"/>
  <c r="Q57" i="280" s="1"/>
  <c r="Q49" i="280"/>
  <c r="Q62" i="280" s="1"/>
  <c r="P63" i="265"/>
  <c r="Q16" i="265"/>
  <c r="Q35" i="265"/>
  <c r="J51" i="277"/>
  <c r="L53" i="265"/>
  <c r="P52" i="265"/>
  <c r="P53" i="265" s="1"/>
  <c r="P24" i="265"/>
  <c r="P25" i="265" s="1"/>
  <c r="CB73" i="265"/>
  <c r="AB73" i="277" s="1"/>
  <c r="CC16" i="280"/>
  <c r="CC18" i="280" s="1"/>
  <c r="CC15" i="286" s="1"/>
  <c r="BF112" i="281"/>
  <c r="BF113" i="281" s="1"/>
  <c r="BD64" i="265"/>
  <c r="V64" i="277" s="1"/>
  <c r="BE60" i="281"/>
  <c r="BD33" i="265"/>
  <c r="U30" i="277"/>
  <c r="Q19" i="265" l="1"/>
  <c r="Q22" i="265" s="1"/>
  <c r="L74" i="277"/>
  <c r="L75" i="277" s="1"/>
  <c r="L81" i="277" s="1"/>
  <c r="P75" i="265"/>
  <c r="P81" i="265" s="1"/>
  <c r="Q77" i="287"/>
  <c r="Q78" i="287" s="1"/>
  <c r="Q71" i="287"/>
  <c r="Q72" i="287" s="1"/>
  <c r="Q49" i="287"/>
  <c r="P65" i="265"/>
  <c r="P67" i="265" s="1"/>
  <c r="P80" i="265" s="1"/>
  <c r="L63" i="277"/>
  <c r="L65" i="277" s="1"/>
  <c r="L67" i="277" s="1"/>
  <c r="L80" i="277" s="1"/>
  <c r="CC19" i="280"/>
  <c r="CC49" i="265" s="1"/>
  <c r="CC28" i="280"/>
  <c r="CC29" i="280" s="1"/>
  <c r="CC73" i="265" s="1"/>
  <c r="BE52" i="281"/>
  <c r="BE53" i="281" s="1"/>
  <c r="BF114" i="281"/>
  <c r="BF31" i="265" s="1"/>
  <c r="BF123" i="281"/>
  <c r="BF124" i="281" s="1"/>
  <c r="L83" i="277" l="1"/>
  <c r="L82" i="277"/>
  <c r="R70" i="287"/>
  <c r="Q70" i="265"/>
  <c r="Q58" i="280"/>
  <c r="Q59" i="280" s="1"/>
  <c r="Q67" i="280" s="1"/>
  <c r="Q39" i="280"/>
  <c r="P83" i="265"/>
  <c r="P82" i="265"/>
  <c r="Q36" i="265"/>
  <c r="CD26" i="280"/>
  <c r="CD16" i="280" s="1"/>
  <c r="CD18" i="280" s="1"/>
  <c r="CD15" i="286" s="1"/>
  <c r="BF69" i="265"/>
  <c r="BG121" i="281"/>
  <c r="BE30" i="265"/>
  <c r="BE62" i="281"/>
  <c r="BE63" i="281" s="1"/>
  <c r="Q37" i="265" l="1"/>
  <c r="Q42" i="265" s="1"/>
  <c r="Q47" i="265" s="1"/>
  <c r="Q50" i="265" s="1"/>
  <c r="R59" i="287"/>
  <c r="R61" i="287" s="1"/>
  <c r="CD19" i="280"/>
  <c r="CD49" i="265" s="1"/>
  <c r="CD28" i="280"/>
  <c r="CD29" i="280" s="1"/>
  <c r="CD73" i="265" s="1"/>
  <c r="BE64" i="265"/>
  <c r="BF60" i="281"/>
  <c r="BG112" i="281"/>
  <c r="BG113" i="281" s="1"/>
  <c r="BE33" i="265"/>
  <c r="R40" i="287" l="1"/>
  <c r="R41" i="287" s="1"/>
  <c r="R46" i="287" s="1"/>
  <c r="R48" i="287" s="1"/>
  <c r="R76" i="287"/>
  <c r="R62" i="287"/>
  <c r="Q50" i="280"/>
  <c r="Q63" i="280"/>
  <c r="Q64" i="280" s="1"/>
  <c r="Q68" i="280" s="1"/>
  <c r="Q69" i="280" s="1"/>
  <c r="CE26" i="280"/>
  <c r="CE16" i="280" s="1"/>
  <c r="CE18" i="280" s="1"/>
  <c r="CE15" i="286" s="1"/>
  <c r="BF52" i="281"/>
  <c r="BF53" i="281" s="1"/>
  <c r="BG123" i="281"/>
  <c r="BG124" i="281" s="1"/>
  <c r="BG114" i="281"/>
  <c r="BG31" i="265" s="1"/>
  <c r="Q70" i="280" l="1"/>
  <c r="Q51" i="280"/>
  <c r="Q52" i="280" s="1"/>
  <c r="Q14" i="286"/>
  <c r="Q16" i="286" s="1"/>
  <c r="Q18" i="286" s="1"/>
  <c r="Q40" i="280"/>
  <c r="Q41" i="280" s="1"/>
  <c r="R35" i="265"/>
  <c r="R16" i="265"/>
  <c r="R77" i="287"/>
  <c r="R78" i="287" s="1"/>
  <c r="R49" i="287"/>
  <c r="R36" i="265" s="1"/>
  <c r="R71" i="287"/>
  <c r="R72" i="287" s="1"/>
  <c r="CE19" i="280"/>
  <c r="CE49" i="265" s="1"/>
  <c r="CE28" i="280"/>
  <c r="CE29" i="280" s="1"/>
  <c r="CF26" i="280" s="1"/>
  <c r="CE73" i="265"/>
  <c r="BG69" i="265"/>
  <c r="BH121" i="281"/>
  <c r="BF30" i="265"/>
  <c r="BF62" i="281"/>
  <c r="BF63" i="281" s="1"/>
  <c r="R19" i="265" l="1"/>
  <c r="R22" i="265" s="1"/>
  <c r="Q74" i="265"/>
  <c r="Q75" i="265" s="1"/>
  <c r="Q81" i="265" s="1"/>
  <c r="R38" i="280"/>
  <c r="R57" i="280" s="1"/>
  <c r="R49" i="280"/>
  <c r="R62" i="280" s="1"/>
  <c r="Q63" i="265"/>
  <c r="Q65" i="265" s="1"/>
  <c r="Q67" i="265" s="1"/>
  <c r="Q80" i="265" s="1"/>
  <c r="R70" i="265"/>
  <c r="S70" i="287"/>
  <c r="R37" i="265"/>
  <c r="R42" i="265" s="1"/>
  <c r="R47" i="265" s="1"/>
  <c r="R50" i="265" s="1"/>
  <c r="Q24" i="265"/>
  <c r="Q52" i="265"/>
  <c r="CF16" i="280"/>
  <c r="CF18" i="280" s="1"/>
  <c r="CF15" i="286" s="1"/>
  <c r="BH112" i="281"/>
  <c r="BH113" i="281" s="1"/>
  <c r="BF64" i="265"/>
  <c r="BG60" i="281"/>
  <c r="BF33" i="265"/>
  <c r="Q25" i="265" l="1"/>
  <c r="R63" i="280"/>
  <c r="R50" i="280"/>
  <c r="R64" i="280"/>
  <c r="R68" i="280" s="1"/>
  <c r="R58" i="280"/>
  <c r="R39" i="280"/>
  <c r="Q53" i="265"/>
  <c r="S59" i="287"/>
  <c r="S61" i="287" s="1"/>
  <c r="Q82" i="265"/>
  <c r="Q83" i="265"/>
  <c r="R59" i="280"/>
  <c r="R67" i="280" s="1"/>
  <c r="CF19" i="280"/>
  <c r="CF49" i="265" s="1"/>
  <c r="CF28" i="280"/>
  <c r="CF29" i="280" s="1"/>
  <c r="CF73" i="265" s="1"/>
  <c r="AC73" i="277" s="1"/>
  <c r="BG52" i="281"/>
  <c r="BG53" i="281" s="1"/>
  <c r="BH114" i="281"/>
  <c r="BH31" i="265" s="1"/>
  <c r="BH123" i="281"/>
  <c r="BH124" i="281" s="1"/>
  <c r="R69" i="280" l="1"/>
  <c r="S40" i="287"/>
  <c r="S41" i="287" s="1"/>
  <c r="S46" i="287" s="1"/>
  <c r="S48" i="287" s="1"/>
  <c r="S76" i="287"/>
  <c r="S62" i="287"/>
  <c r="CG26" i="280"/>
  <c r="CG16" i="280" s="1"/>
  <c r="CG18" i="280" s="1"/>
  <c r="CG15" i="286" s="1"/>
  <c r="BH69" i="265"/>
  <c r="BI121" i="281"/>
  <c r="BG30" i="265"/>
  <c r="BG62" i="281"/>
  <c r="BG63" i="281" s="1"/>
  <c r="S16" i="265" l="1"/>
  <c r="S35" i="265"/>
  <c r="S77" i="287"/>
  <c r="S78" i="287" s="1"/>
  <c r="S71" i="287"/>
  <c r="S72" i="287" s="1"/>
  <c r="S49" i="287"/>
  <c r="S36" i="265" s="1"/>
  <c r="R14" i="286"/>
  <c r="R16" i="286" s="1"/>
  <c r="R18" i="286" s="1"/>
  <c r="R51" i="280"/>
  <c r="R52" i="280" s="1"/>
  <c r="R70" i="280"/>
  <c r="R40" i="280"/>
  <c r="R41" i="280" s="1"/>
  <c r="CG19" i="280"/>
  <c r="CG49" i="265" s="1"/>
  <c r="CG28" i="280"/>
  <c r="CG29" i="280" s="1"/>
  <c r="CH26" i="280" s="1"/>
  <c r="BG33" i="265"/>
  <c r="BG64" i="265"/>
  <c r="BH60" i="281"/>
  <c r="BI112" i="281"/>
  <c r="BI113" i="281" s="1"/>
  <c r="W69" i="277"/>
  <c r="S38" i="280" l="1"/>
  <c r="S57" i="280" s="1"/>
  <c r="R74" i="265"/>
  <c r="R75" i="265" s="1"/>
  <c r="R81" i="265" s="1"/>
  <c r="R63" i="265"/>
  <c r="R65" i="265" s="1"/>
  <c r="R67" i="265" s="1"/>
  <c r="R80" i="265" s="1"/>
  <c r="S49" i="280"/>
  <c r="S62" i="280" s="1"/>
  <c r="S70" i="265"/>
  <c r="T70" i="287"/>
  <c r="S37" i="265"/>
  <c r="S42" i="265" s="1"/>
  <c r="S47" i="265" s="1"/>
  <c r="S50" i="265" s="1"/>
  <c r="R52" i="265"/>
  <c r="R24" i="265"/>
  <c r="S19" i="265"/>
  <c r="S22" i="265" s="1"/>
  <c r="CG73" i="265"/>
  <c r="CH16" i="280"/>
  <c r="CH18" i="280" s="1"/>
  <c r="CH15" i="286" s="1"/>
  <c r="BH52" i="281"/>
  <c r="BH53" i="281" s="1"/>
  <c r="BI123" i="281"/>
  <c r="BI124" i="281" s="1"/>
  <c r="BI114" i="281"/>
  <c r="BI31" i="265" s="1"/>
  <c r="R53" i="265" l="1"/>
  <c r="T59" i="287"/>
  <c r="T61" i="287" s="1"/>
  <c r="S58" i="280"/>
  <c r="S39" i="280"/>
  <c r="R25" i="265"/>
  <c r="S63" i="280"/>
  <c r="S64" i="280" s="1"/>
  <c r="S68" i="280" s="1"/>
  <c r="S50" i="280"/>
  <c r="R82" i="265"/>
  <c r="R83" i="265"/>
  <c r="S59" i="280"/>
  <c r="S67" i="280" s="1"/>
  <c r="CH19" i="280"/>
  <c r="CH49" i="265" s="1"/>
  <c r="CH28" i="280"/>
  <c r="CH29" i="280" s="1"/>
  <c r="CH73" i="265" s="1"/>
  <c r="BI69" i="265"/>
  <c r="BJ121" i="281"/>
  <c r="BH30" i="265"/>
  <c r="BH62" i="281"/>
  <c r="BH63" i="281" s="1"/>
  <c r="S69" i="280" l="1"/>
  <c r="T40" i="287"/>
  <c r="T41" i="287" s="1"/>
  <c r="T46" i="287" s="1"/>
  <c r="T48" i="287" s="1"/>
  <c r="T62" i="287"/>
  <c r="T76" i="287"/>
  <c r="CI26" i="280"/>
  <c r="CI16" i="280" s="1"/>
  <c r="CI18" i="280" s="1"/>
  <c r="CI15" i="286" s="1"/>
  <c r="BH33" i="265"/>
  <c r="V30" i="277"/>
  <c r="BJ112" i="281"/>
  <c r="BJ113" i="281" s="1"/>
  <c r="BH64" i="265"/>
  <c r="W64" i="277" s="1"/>
  <c r="BI60" i="281"/>
  <c r="T77" i="287" l="1"/>
  <c r="T78" i="287" s="1"/>
  <c r="T71" i="287"/>
  <c r="T72" i="287" s="1"/>
  <c r="T49" i="287"/>
  <c r="T36" i="265" s="1"/>
  <c r="T35" i="265"/>
  <c r="T16" i="265"/>
  <c r="S70" i="280"/>
  <c r="S51" i="280"/>
  <c r="S52" i="280" s="1"/>
  <c r="S14" i="286"/>
  <c r="S16" i="286" s="1"/>
  <c r="S18" i="286" s="1"/>
  <c r="S40" i="280"/>
  <c r="S41" i="280" s="1"/>
  <c r="CI19" i="280"/>
  <c r="CI49" i="265" s="1"/>
  <c r="CI28" i="280"/>
  <c r="CI29" i="280" s="1"/>
  <c r="CI73" i="265" s="1"/>
  <c r="BI52" i="281"/>
  <c r="BI53" i="281" s="1"/>
  <c r="BJ114" i="281"/>
  <c r="BJ31" i="265" s="1"/>
  <c r="BJ123" i="281"/>
  <c r="BJ124" i="281" s="1"/>
  <c r="S52" i="265" l="1"/>
  <c r="S24" i="265"/>
  <c r="T37" i="265"/>
  <c r="T42" i="265" s="1"/>
  <c r="T47" i="265" s="1"/>
  <c r="T50" i="265" s="1"/>
  <c r="L35" i="277"/>
  <c r="S74" i="265"/>
  <c r="S75" i="265" s="1"/>
  <c r="S81" i="265" s="1"/>
  <c r="T38" i="280"/>
  <c r="T57" i="280" s="1"/>
  <c r="S63" i="265"/>
  <c r="S65" i="265" s="1"/>
  <c r="S67" i="265" s="1"/>
  <c r="S80" i="265" s="1"/>
  <c r="T49" i="280"/>
  <c r="T62" i="280" s="1"/>
  <c r="T19" i="265"/>
  <c r="T22" i="265" s="1"/>
  <c r="L16" i="277"/>
  <c r="L19" i="277" s="1"/>
  <c r="L22" i="277" s="1"/>
  <c r="U70" i="287"/>
  <c r="T70" i="265"/>
  <c r="M70" i="277" s="1"/>
  <c r="CJ26" i="280"/>
  <c r="CJ16" i="280" s="1"/>
  <c r="CJ18" i="280" s="1"/>
  <c r="CJ15" i="286" s="1"/>
  <c r="BJ69" i="265"/>
  <c r="BK121" i="281"/>
  <c r="BI30" i="265"/>
  <c r="BI62" i="281"/>
  <c r="BI63" i="281" s="1"/>
  <c r="S25" i="265" l="1"/>
  <c r="U59" i="287"/>
  <c r="U61" i="287" s="1"/>
  <c r="T39" i="280"/>
  <c r="T58" i="280"/>
  <c r="T59" i="280" s="1"/>
  <c r="T67" i="280" s="1"/>
  <c r="S83" i="265"/>
  <c r="S82" i="265"/>
  <c r="T63" i="280"/>
  <c r="T64" i="280" s="1"/>
  <c r="T68" i="280" s="1"/>
  <c r="T50" i="280"/>
  <c r="S53" i="265"/>
  <c r="CJ19" i="280"/>
  <c r="CJ49" i="265" s="1"/>
  <c r="CJ28" i="280"/>
  <c r="CJ29" i="280" s="1"/>
  <c r="CK26" i="280" s="1"/>
  <c r="BI64" i="265"/>
  <c r="BJ60" i="281"/>
  <c r="BK112" i="281"/>
  <c r="BK113" i="281" s="1"/>
  <c r="BI33" i="265"/>
  <c r="T69" i="280" l="1"/>
  <c r="T70" i="280" s="1"/>
  <c r="T14" i="286"/>
  <c r="T16" i="286" s="1"/>
  <c r="T18" i="286" s="1"/>
  <c r="U40" i="287"/>
  <c r="U41" i="287" s="1"/>
  <c r="U46" i="287" s="1"/>
  <c r="U48" i="287" s="1"/>
  <c r="U76" i="287"/>
  <c r="U62" i="287"/>
  <c r="CJ73" i="265"/>
  <c r="AD73" i="277" s="1"/>
  <c r="CK16" i="280"/>
  <c r="CK18" i="280" s="1"/>
  <c r="CK15" i="286" s="1"/>
  <c r="BJ52" i="281"/>
  <c r="BJ53" i="281" s="1"/>
  <c r="BK123" i="281"/>
  <c r="BK124" i="281" s="1"/>
  <c r="BK114" i="281"/>
  <c r="BK31" i="265" s="1"/>
  <c r="T40" i="280" l="1"/>
  <c r="T41" i="280" s="1"/>
  <c r="T51" i="280"/>
  <c r="T52" i="280" s="1"/>
  <c r="U16" i="265"/>
  <c r="U35" i="265"/>
  <c r="U77" i="287"/>
  <c r="U71" i="287"/>
  <c r="U72" i="287" s="1"/>
  <c r="U49" i="287"/>
  <c r="U36" i="265" s="1"/>
  <c r="T74" i="265"/>
  <c r="T75" i="265" s="1"/>
  <c r="T81" i="265" s="1"/>
  <c r="U38" i="280"/>
  <c r="U57" i="280" s="1"/>
  <c r="U78" i="287"/>
  <c r="T63" i="265"/>
  <c r="U49" i="280"/>
  <c r="U62" i="280" s="1"/>
  <c r="T52" i="265"/>
  <c r="T24" i="265"/>
  <c r="CK19" i="280"/>
  <c r="CK49" i="265" s="1"/>
  <c r="CK28" i="280"/>
  <c r="CK29" i="280" s="1"/>
  <c r="CK73" i="265" s="1"/>
  <c r="BK69" i="265"/>
  <c r="BL121" i="281"/>
  <c r="BJ30" i="265"/>
  <c r="BJ62" i="281"/>
  <c r="BJ63" i="281" s="1"/>
  <c r="T25" i="265" l="1"/>
  <c r="L24" i="277"/>
  <c r="L25" i="277" s="1"/>
  <c r="U70" i="265"/>
  <c r="V70" i="287"/>
  <c r="U37" i="265"/>
  <c r="U42" i="265" s="1"/>
  <c r="U47" i="265" s="1"/>
  <c r="U50" i="265" s="1"/>
  <c r="T53" i="265"/>
  <c r="L51" i="277"/>
  <c r="T65" i="265"/>
  <c r="T67" i="265" s="1"/>
  <c r="T80" i="265" s="1"/>
  <c r="M63" i="277"/>
  <c r="M65" i="277" s="1"/>
  <c r="M67" i="277" s="1"/>
  <c r="M80" i="277" s="1"/>
  <c r="U19" i="265"/>
  <c r="U22" i="265" s="1"/>
  <c r="CL26" i="280"/>
  <c r="CL16" i="280" s="1"/>
  <c r="CL18" i="280" s="1"/>
  <c r="CL15" i="286" s="1"/>
  <c r="BJ64" i="265"/>
  <c r="BK60" i="281"/>
  <c r="BL112" i="281"/>
  <c r="BL113" i="281" s="1"/>
  <c r="BJ33" i="265"/>
  <c r="U58" i="280" l="1"/>
  <c r="U59" i="280" s="1"/>
  <c r="U67" i="280" s="1"/>
  <c r="U39" i="280"/>
  <c r="T82" i="265"/>
  <c r="T83" i="265"/>
  <c r="U50" i="280"/>
  <c r="U63" i="280"/>
  <c r="U64" i="280" s="1"/>
  <c r="U68" i="280" s="1"/>
  <c r="V59" i="287"/>
  <c r="V61" i="287" s="1"/>
  <c r="CL19" i="280"/>
  <c r="CL49" i="265" s="1"/>
  <c r="CL28" i="280"/>
  <c r="CL29" i="280" s="1"/>
  <c r="CL73" i="265" s="1"/>
  <c r="BK52" i="281"/>
  <c r="BK53" i="281" s="1"/>
  <c r="BL114" i="281"/>
  <c r="BL31" i="265" s="1"/>
  <c r="BL123" i="281"/>
  <c r="BL124" i="281" s="1"/>
  <c r="V40" i="287" l="1"/>
  <c r="V41" i="287" s="1"/>
  <c r="V46" i="287" s="1"/>
  <c r="V48" i="287" s="1"/>
  <c r="V76" i="287"/>
  <c r="V62" i="287"/>
  <c r="U69" i="280"/>
  <c r="CM26" i="280"/>
  <c r="CM16" i="280" s="1"/>
  <c r="CM18" i="280" s="1"/>
  <c r="CM15" i="286" s="1"/>
  <c r="BL69" i="265"/>
  <c r="BM121" i="281"/>
  <c r="BK30" i="265"/>
  <c r="BK62" i="281"/>
  <c r="BK63" i="281" s="1"/>
  <c r="U70" i="280" l="1"/>
  <c r="U51" i="280"/>
  <c r="U52" i="280" s="1"/>
  <c r="U40" i="280"/>
  <c r="U41" i="280" s="1"/>
  <c r="U14" i="286"/>
  <c r="U16" i="286" s="1"/>
  <c r="U18" i="286" s="1"/>
  <c r="V35" i="265"/>
  <c r="V16" i="265"/>
  <c r="V77" i="287"/>
  <c r="V78" i="287" s="1"/>
  <c r="V49" i="287"/>
  <c r="V36" i="265" s="1"/>
  <c r="V71" i="287"/>
  <c r="V72" i="287" s="1"/>
  <c r="CM19" i="280"/>
  <c r="CM49" i="265" s="1"/>
  <c r="CM28" i="280"/>
  <c r="CM29" i="280" s="1"/>
  <c r="CN26" i="280" s="1"/>
  <c r="BK33" i="265"/>
  <c r="BK64" i="265"/>
  <c r="BL60" i="281"/>
  <c r="BM112" i="281"/>
  <c r="BM113" i="281" s="1"/>
  <c r="X69" i="277"/>
  <c r="W70" i="287" l="1"/>
  <c r="V70" i="265"/>
  <c r="V37" i="265"/>
  <c r="V42" i="265" s="1"/>
  <c r="V47" i="265" s="1"/>
  <c r="V50" i="265" s="1"/>
  <c r="U63" i="265"/>
  <c r="U65" i="265" s="1"/>
  <c r="U67" i="265" s="1"/>
  <c r="U80" i="265" s="1"/>
  <c r="V49" i="280"/>
  <c r="V62" i="280" s="1"/>
  <c r="V19" i="265"/>
  <c r="V22" i="265" s="1"/>
  <c r="U74" i="265"/>
  <c r="U75" i="265" s="1"/>
  <c r="U81" i="265" s="1"/>
  <c r="V38" i="280"/>
  <c r="V57" i="280" s="1"/>
  <c r="U24" i="265"/>
  <c r="U52" i="265"/>
  <c r="CM73" i="265"/>
  <c r="CN16" i="280"/>
  <c r="CN18" i="280" s="1"/>
  <c r="CN15" i="286" s="1"/>
  <c r="BL52" i="281"/>
  <c r="BL53" i="281" s="1"/>
  <c r="BM123" i="281"/>
  <c r="BM124" i="281" s="1"/>
  <c r="BM114" i="281"/>
  <c r="BM31" i="265" s="1"/>
  <c r="U53" i="265" l="1"/>
  <c r="U82" i="265"/>
  <c r="U83" i="265"/>
  <c r="V50" i="280"/>
  <c r="V63" i="280"/>
  <c r="W59" i="287"/>
  <c r="W61" i="287" s="1"/>
  <c r="U25" i="265"/>
  <c r="V58" i="280"/>
  <c r="V59" i="280" s="1"/>
  <c r="V67" i="280" s="1"/>
  <c r="V39" i="280"/>
  <c r="V64" i="280"/>
  <c r="V68" i="280" s="1"/>
  <c r="CN19" i="280"/>
  <c r="CN49" i="265" s="1"/>
  <c r="CN28" i="280"/>
  <c r="CN29" i="280" s="1"/>
  <c r="CO26" i="280" s="1"/>
  <c r="BM69" i="265"/>
  <c r="BN121" i="281"/>
  <c r="BL30" i="265"/>
  <c r="BL62" i="281"/>
  <c r="BL63" i="281" s="1"/>
  <c r="V69" i="280" l="1"/>
  <c r="V14" i="286" s="1"/>
  <c r="V16" i="286" s="1"/>
  <c r="V18" i="286" s="1"/>
  <c r="V40" i="280"/>
  <c r="V41" i="280" s="1"/>
  <c r="W40" i="287"/>
  <c r="W41" i="287" s="1"/>
  <c r="W46" i="287" s="1"/>
  <c r="W48" i="287" s="1"/>
  <c r="W62" i="287"/>
  <c r="W76" i="287"/>
  <c r="CN73" i="265"/>
  <c r="AE73" i="277" s="1"/>
  <c r="CO16" i="280"/>
  <c r="CO18" i="280" s="1"/>
  <c r="CO15" i="286" s="1"/>
  <c r="BL64" i="265"/>
  <c r="X64" i="277" s="1"/>
  <c r="BM60" i="281"/>
  <c r="BN112" i="281"/>
  <c r="BN113" i="281" s="1"/>
  <c r="BL33" i="265"/>
  <c r="W30" i="277"/>
  <c r="V51" i="280" l="1"/>
  <c r="V52" i="280" s="1"/>
  <c r="V70" i="280"/>
  <c r="V52" i="265" s="1"/>
  <c r="W16" i="265"/>
  <c r="W35" i="265"/>
  <c r="W38" i="280"/>
  <c r="W57" i="280" s="1"/>
  <c r="V74" i="265"/>
  <c r="V75" i="265" s="1"/>
  <c r="V81" i="265" s="1"/>
  <c r="V63" i="265"/>
  <c r="V65" i="265" s="1"/>
  <c r="V67" i="265" s="1"/>
  <c r="V80" i="265" s="1"/>
  <c r="W49" i="280"/>
  <c r="W62" i="280" s="1"/>
  <c r="W77" i="287"/>
  <c r="W78" i="287" s="1"/>
  <c r="W49" i="287"/>
  <c r="W36" i="265" s="1"/>
  <c r="W71" i="287"/>
  <c r="W72" i="287" s="1"/>
  <c r="V24" i="265"/>
  <c r="CO19" i="280"/>
  <c r="CO49" i="265" s="1"/>
  <c r="CO28" i="280"/>
  <c r="CO29" i="280" s="1"/>
  <c r="CP26" i="280" s="1"/>
  <c r="BM52" i="281"/>
  <c r="BM53" i="281" s="1"/>
  <c r="BN114" i="281"/>
  <c r="BN31" i="265" s="1"/>
  <c r="BN123" i="281"/>
  <c r="BN124" i="281" s="1"/>
  <c r="V53" i="265" l="1"/>
  <c r="V82" i="265"/>
  <c r="V83" i="265"/>
  <c r="W19" i="265"/>
  <c r="W22" i="265" s="1"/>
  <c r="V25" i="265"/>
  <c r="X70" i="287"/>
  <c r="W70" i="265"/>
  <c r="W37" i="265"/>
  <c r="W42" i="265" s="1"/>
  <c r="W47" i="265" s="1"/>
  <c r="W50" i="265" s="1"/>
  <c r="CO73" i="265"/>
  <c r="CP16" i="280"/>
  <c r="CP18" i="280" s="1"/>
  <c r="CP15" i="286" s="1"/>
  <c r="BN69" i="265"/>
  <c r="BO121" i="281"/>
  <c r="BM30" i="265"/>
  <c r="BM62" i="281"/>
  <c r="BM63" i="281" s="1"/>
  <c r="W63" i="280" l="1"/>
  <c r="W64" i="280" s="1"/>
  <c r="W68" i="280" s="1"/>
  <c r="W50" i="280"/>
  <c r="X59" i="287"/>
  <c r="X61" i="287" s="1"/>
  <c r="W39" i="280"/>
  <c r="W58" i="280"/>
  <c r="W59" i="280" s="1"/>
  <c r="W67" i="280" s="1"/>
  <c r="W69" i="280" s="1"/>
  <c r="CP19" i="280"/>
  <c r="CP49" i="265" s="1"/>
  <c r="CP28" i="280"/>
  <c r="CP29" i="280" s="1"/>
  <c r="CP73" i="265" s="1"/>
  <c r="BM64" i="265"/>
  <c r="BN60" i="281"/>
  <c r="BM33" i="265"/>
  <c r="BO112" i="281"/>
  <c r="BO113" i="281" s="1"/>
  <c r="W70" i="280" l="1"/>
  <c r="W40" i="280"/>
  <c r="W41" i="280" s="1"/>
  <c r="W51" i="280"/>
  <c r="W52" i="280" s="1"/>
  <c r="W14" i="286"/>
  <c r="W16" i="286" s="1"/>
  <c r="W18" i="286" s="1"/>
  <c r="X40" i="287"/>
  <c r="X41" i="287" s="1"/>
  <c r="X46" i="287" s="1"/>
  <c r="X48" i="287" s="1"/>
  <c r="X76" i="287"/>
  <c r="X62" i="287"/>
  <c r="CQ26" i="280"/>
  <c r="CQ16" i="280" s="1"/>
  <c r="CQ18" i="280" s="1"/>
  <c r="CQ15" i="286" s="1"/>
  <c r="BN52" i="281"/>
  <c r="BN53" i="281" s="1"/>
  <c r="BO123" i="281"/>
  <c r="BO124" i="281" s="1"/>
  <c r="BO114" i="281"/>
  <c r="BO31" i="265" s="1"/>
  <c r="X35" i="265" l="1"/>
  <c r="X16" i="265"/>
  <c r="X77" i="287"/>
  <c r="X78" i="287" s="1"/>
  <c r="X49" i="287"/>
  <c r="X36" i="265" s="1"/>
  <c r="X71" i="287"/>
  <c r="X72" i="287" s="1"/>
  <c r="X49" i="280"/>
  <c r="X62" i="280" s="1"/>
  <c r="W63" i="265"/>
  <c r="W65" i="265" s="1"/>
  <c r="W67" i="265" s="1"/>
  <c r="W80" i="265" s="1"/>
  <c r="W24" i="265"/>
  <c r="W52" i="265"/>
  <c r="X38" i="280"/>
  <c r="X57" i="280" s="1"/>
  <c r="W74" i="265"/>
  <c r="W75" i="265" s="1"/>
  <c r="W81" i="265" s="1"/>
  <c r="CQ19" i="280"/>
  <c r="CQ49" i="265" s="1"/>
  <c r="CQ28" i="280"/>
  <c r="CQ29" i="280" s="1"/>
  <c r="CQ73" i="265" s="1"/>
  <c r="BO69" i="265"/>
  <c r="BP121" i="281"/>
  <c r="BN30" i="265"/>
  <c r="BN62" i="281"/>
  <c r="BN63" i="281" s="1"/>
  <c r="W25" i="265" l="1"/>
  <c r="X19" i="265"/>
  <c r="X22" i="265" s="1"/>
  <c r="M16" i="277"/>
  <c r="M19" i="277" s="1"/>
  <c r="M22" i="277" s="1"/>
  <c r="W53" i="265"/>
  <c r="W83" i="265"/>
  <c r="W82" i="265"/>
  <c r="Y70" i="287"/>
  <c r="X70" i="265"/>
  <c r="N70" i="277" s="1"/>
  <c r="X37" i="265"/>
  <c r="X42" i="265" s="1"/>
  <c r="X47" i="265" s="1"/>
  <c r="X50" i="265" s="1"/>
  <c r="M35" i="277"/>
  <c r="CR26" i="280"/>
  <c r="CR16" i="280" s="1"/>
  <c r="CR18" i="280" s="1"/>
  <c r="CR15" i="286" s="1"/>
  <c r="BN64" i="265"/>
  <c r="BO60" i="281"/>
  <c r="BP112" i="281"/>
  <c r="BP113" i="281" s="1"/>
  <c r="BN33" i="265"/>
  <c r="X58" i="280" l="1"/>
  <c r="X59" i="280" s="1"/>
  <c r="X67" i="280" s="1"/>
  <c r="X39" i="280"/>
  <c r="X63" i="280"/>
  <c r="X64" i="280" s="1"/>
  <c r="X68" i="280" s="1"/>
  <c r="X50" i="280"/>
  <c r="Y59" i="287"/>
  <c r="Y61" i="287" s="1"/>
  <c r="CR19" i="280"/>
  <c r="CR49" i="265" s="1"/>
  <c r="CR28" i="280"/>
  <c r="CR29" i="280" s="1"/>
  <c r="CR73" i="265" s="1"/>
  <c r="AF73" i="277" s="1"/>
  <c r="BO52" i="281"/>
  <c r="BO53" i="281" s="1"/>
  <c r="BP114" i="281"/>
  <c r="BP31" i="265" s="1"/>
  <c r="BP123" i="281"/>
  <c r="BP124" i="281" s="1"/>
  <c r="X69" i="280" l="1"/>
  <c r="Y40" i="287"/>
  <c r="Y41" i="287" s="1"/>
  <c r="Y46" i="287" s="1"/>
  <c r="Y48" i="287" s="1"/>
  <c r="Y76" i="287"/>
  <c r="Y62" i="287"/>
  <c r="CS26" i="280"/>
  <c r="CS16" i="280" s="1"/>
  <c r="CS18" i="280" s="1"/>
  <c r="CS15" i="286" s="1"/>
  <c r="BP69" i="265"/>
  <c r="BQ121" i="281"/>
  <c r="BO30" i="265"/>
  <c r="BO62" i="281"/>
  <c r="BO63" i="281" s="1"/>
  <c r="Y16" i="265" l="1"/>
  <c r="Y35" i="265"/>
  <c r="Y77" i="287"/>
  <c r="Y78" i="287" s="1"/>
  <c r="Y71" i="287"/>
  <c r="Y72" i="287" s="1"/>
  <c r="Y49" i="287"/>
  <c r="Y36" i="265" s="1"/>
  <c r="X14" i="286"/>
  <c r="X16" i="286" s="1"/>
  <c r="X18" i="286" s="1"/>
  <c r="X51" i="280"/>
  <c r="X52" i="280" s="1"/>
  <c r="X40" i="280"/>
  <c r="X41" i="280" s="1"/>
  <c r="X70" i="280"/>
  <c r="CS19" i="280"/>
  <c r="CS49" i="265" s="1"/>
  <c r="CS28" i="280"/>
  <c r="CS29" i="280" s="1"/>
  <c r="CS73" i="265" s="1"/>
  <c r="BO33" i="265"/>
  <c r="Y69" i="277"/>
  <c r="BO64" i="265"/>
  <c r="BP60" i="281"/>
  <c r="BQ112" i="281"/>
  <c r="BQ113" i="281" s="1"/>
  <c r="X24" i="265" l="1"/>
  <c r="X52" i="265"/>
  <c r="Y49" i="280"/>
  <c r="Y62" i="280" s="1"/>
  <c r="X63" i="265"/>
  <c r="Z70" i="287"/>
  <c r="Y70" i="265"/>
  <c r="Y37" i="265"/>
  <c r="Y42" i="265" s="1"/>
  <c r="Y47" i="265" s="1"/>
  <c r="Y50" i="265" s="1"/>
  <c r="X74" i="265"/>
  <c r="Y38" i="280"/>
  <c r="Y57" i="280" s="1"/>
  <c r="Y19" i="265"/>
  <c r="Y22" i="265" s="1"/>
  <c r="CT26" i="280"/>
  <c r="CT16" i="280" s="1"/>
  <c r="CT18" i="280" s="1"/>
  <c r="CT15" i="286" s="1"/>
  <c r="BP52" i="281"/>
  <c r="BP53" i="281" s="1"/>
  <c r="BQ123" i="281"/>
  <c r="BQ124" i="281" s="1"/>
  <c r="BQ114" i="281"/>
  <c r="BQ31" i="265" s="1"/>
  <c r="X75" i="265" l="1"/>
  <c r="X81" i="265" s="1"/>
  <c r="N74" i="277"/>
  <c r="N75" i="277" s="1"/>
  <c r="N81" i="277" s="1"/>
  <c r="X65" i="265"/>
  <c r="X67" i="265" s="1"/>
  <c r="X80" i="265" s="1"/>
  <c r="N63" i="277"/>
  <c r="N65" i="277" s="1"/>
  <c r="N67" i="277" s="1"/>
  <c r="N80" i="277" s="1"/>
  <c r="X53" i="265"/>
  <c r="M51" i="277"/>
  <c r="Y39" i="280"/>
  <c r="Y58" i="280"/>
  <c r="Y59" i="280" s="1"/>
  <c r="Y67" i="280" s="1"/>
  <c r="Y50" i="280"/>
  <c r="Y63" i="280"/>
  <c r="Z59" i="287"/>
  <c r="Z61" i="287" s="1"/>
  <c r="Y64" i="280"/>
  <c r="Y68" i="280" s="1"/>
  <c r="X25" i="265"/>
  <c r="M24" i="277"/>
  <c r="M25" i="277" s="1"/>
  <c r="CT19" i="280"/>
  <c r="CT49" i="265" s="1"/>
  <c r="CT28" i="280"/>
  <c r="CT29" i="280" s="1"/>
  <c r="CU26" i="280" s="1"/>
  <c r="BQ69" i="265"/>
  <c r="BR121" i="281"/>
  <c r="BP30" i="265"/>
  <c r="BP62" i="281"/>
  <c r="BP63" i="281" s="1"/>
  <c r="Y69" i="280" l="1"/>
  <c r="Y70" i="280" s="1"/>
  <c r="Y51" i="280"/>
  <c r="Y52" i="280" s="1"/>
  <c r="Y40" i="280"/>
  <c r="Y41" i="280" s="1"/>
  <c r="Z40" i="287"/>
  <c r="Z41" i="287" s="1"/>
  <c r="Z46" i="287" s="1"/>
  <c r="Z48" i="287" s="1"/>
  <c r="Z62" i="287"/>
  <c r="Z76" i="287"/>
  <c r="N83" i="277"/>
  <c r="N82" i="277"/>
  <c r="X82" i="265"/>
  <c r="X83" i="265"/>
  <c r="CT73" i="265"/>
  <c r="CU16" i="280"/>
  <c r="CU18" i="280" s="1"/>
  <c r="CU15" i="286" s="1"/>
  <c r="BP33" i="265"/>
  <c r="X30" i="277"/>
  <c r="BP64" i="265"/>
  <c r="Y64" i="277" s="1"/>
  <c r="BQ60" i="281"/>
  <c r="BR112" i="281"/>
  <c r="BR113" i="281" s="1"/>
  <c r="Y14" i="286" l="1"/>
  <c r="Y16" i="286" s="1"/>
  <c r="Y18" i="286" s="1"/>
  <c r="Z35" i="265"/>
  <c r="Z16" i="265"/>
  <c r="Y74" i="265"/>
  <c r="Y75" i="265" s="1"/>
  <c r="Y81" i="265" s="1"/>
  <c r="Z38" i="280"/>
  <c r="Z57" i="280" s="1"/>
  <c r="Z49" i="280"/>
  <c r="Z62" i="280" s="1"/>
  <c r="Y63" i="265"/>
  <c r="Y65" i="265" s="1"/>
  <c r="Y67" i="265" s="1"/>
  <c r="Y80" i="265" s="1"/>
  <c r="Z77" i="287"/>
  <c r="Z78" i="287" s="1"/>
  <c r="Z49" i="287"/>
  <c r="Z36" i="265" s="1"/>
  <c r="Z71" i="287"/>
  <c r="Z72" i="287" s="1"/>
  <c r="Y24" i="265"/>
  <c r="Y52" i="265"/>
  <c r="CU19" i="280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Y25" i="265" l="1"/>
  <c r="Y82" i="265"/>
  <c r="Y83" i="265"/>
  <c r="Z19" i="265"/>
  <c r="Z22" i="265" s="1"/>
  <c r="Y53" i="265"/>
  <c r="Z70" i="265"/>
  <c r="AA70" i="287"/>
  <c r="Z37" i="265"/>
  <c r="Z42" i="265" s="1"/>
  <c r="Z47" i="265" s="1"/>
  <c r="Z50" i="265" s="1"/>
  <c r="CU73" i="265"/>
  <c r="CV16" i="280"/>
  <c r="CV18" i="280" s="1"/>
  <c r="CV15" i="286" s="1"/>
  <c r="BQ30" i="265"/>
  <c r="BQ62" i="281"/>
  <c r="BQ63" i="281" s="1"/>
  <c r="BR69" i="265"/>
  <c r="BS121" i="281"/>
  <c r="Z50" i="280" l="1"/>
  <c r="Z63" i="280"/>
  <c r="Z64" i="280" s="1"/>
  <c r="Z68" i="280" s="1"/>
  <c r="AA59" i="287"/>
  <c r="AA61" i="287" s="1"/>
  <c r="Z39" i="280"/>
  <c r="Z58" i="280"/>
  <c r="Z59" i="280" s="1"/>
  <c r="Z67" i="280" s="1"/>
  <c r="Z69" i="280" s="1"/>
  <c r="CV19" i="280"/>
  <c r="CV49" i="265" s="1"/>
  <c r="CV28" i="280"/>
  <c r="CV29" i="280" s="1"/>
  <c r="CV73" i="265" s="1"/>
  <c r="AG73" i="277" s="1"/>
  <c r="BS112" i="281"/>
  <c r="BS113" i="281" s="1"/>
  <c r="BQ64" i="265"/>
  <c r="BR60" i="281"/>
  <c r="BQ33" i="265"/>
  <c r="Z14" i="286" l="1"/>
  <c r="Z16" i="286" s="1"/>
  <c r="Z18" i="286" s="1"/>
  <c r="Z51" i="280"/>
  <c r="Z52" i="280" s="1"/>
  <c r="Z70" i="280"/>
  <c r="Z40" i="280"/>
  <c r="Z41" i="280" s="1"/>
  <c r="AA40" i="287"/>
  <c r="AA41" i="287" s="1"/>
  <c r="AA46" i="287" s="1"/>
  <c r="AA48" i="287" s="1"/>
  <c r="AA76" i="287"/>
  <c r="AA62" i="287"/>
  <c r="CW26" i="280"/>
  <c r="CW16" i="280" s="1"/>
  <c r="CW18" i="280" s="1"/>
  <c r="CW15" i="286" s="1"/>
  <c r="BR52" i="281"/>
  <c r="BR53" i="281" s="1"/>
  <c r="BS123" i="281"/>
  <c r="BS124" i="281" s="1"/>
  <c r="BS114" i="281"/>
  <c r="BS31" i="265" s="1"/>
  <c r="AA16" i="265" l="1"/>
  <c r="AA35" i="265"/>
  <c r="AA77" i="287"/>
  <c r="AA49" i="287"/>
  <c r="AA36" i="265" s="1"/>
  <c r="AA71" i="287"/>
  <c r="AA72" i="287" s="1"/>
  <c r="AA38" i="280"/>
  <c r="AA57" i="280" s="1"/>
  <c r="Z74" i="265"/>
  <c r="Z75" i="265" s="1"/>
  <c r="Z81" i="265" s="1"/>
  <c r="Z63" i="265"/>
  <c r="Z65" i="265" s="1"/>
  <c r="Z67" i="265" s="1"/>
  <c r="Z80" i="265" s="1"/>
  <c r="AA49" i="280"/>
  <c r="AA62" i="280" s="1"/>
  <c r="AA78" i="287"/>
  <c r="Z52" i="265"/>
  <c r="Z24" i="265"/>
  <c r="CW19" i="280"/>
  <c r="CW49" i="265" s="1"/>
  <c r="CW28" i="280"/>
  <c r="CW29" i="280" s="1"/>
  <c r="CX26" i="280" s="1"/>
  <c r="BS69" i="265"/>
  <c r="BT121" i="281"/>
  <c r="BR30" i="265"/>
  <c r="BR62" i="281"/>
  <c r="BR63" i="281" s="1"/>
  <c r="Z25" i="265" l="1"/>
  <c r="Z83" i="265"/>
  <c r="Z82" i="265"/>
  <c r="AA37" i="265"/>
  <c r="AA42" i="265" s="1"/>
  <c r="AA47" i="265" s="1"/>
  <c r="AA50" i="265" s="1"/>
  <c r="Z53" i="265"/>
  <c r="AA70" i="265"/>
  <c r="AB70" i="287"/>
  <c r="AA19" i="265"/>
  <c r="AA22" i="265" s="1"/>
  <c r="CW73" i="265"/>
  <c r="CX16" i="280"/>
  <c r="CX18" i="280" s="1"/>
  <c r="CX15" i="286" s="1"/>
  <c r="BR33" i="265"/>
  <c r="BT112" i="281"/>
  <c r="BT113" i="281" s="1"/>
  <c r="BR64" i="265"/>
  <c r="BS60" i="281"/>
  <c r="AA58" i="280" l="1"/>
  <c r="AA59" i="280" s="1"/>
  <c r="AA67" i="280" s="1"/>
  <c r="AA39" i="280"/>
  <c r="AB59" i="287"/>
  <c r="AB61" i="287" s="1"/>
  <c r="AA63" i="280"/>
  <c r="AA64" i="280" s="1"/>
  <c r="AA68" i="280" s="1"/>
  <c r="AA50" i="280"/>
  <c r="CX19" i="280"/>
  <c r="CX49" i="265" s="1"/>
  <c r="CX28" i="280"/>
  <c r="CX29" i="280" s="1"/>
  <c r="CX73" i="265" s="1"/>
  <c r="BS52" i="281"/>
  <c r="BS53" i="281" s="1"/>
  <c r="BT114" i="281"/>
  <c r="BT31" i="265" s="1"/>
  <c r="BT123" i="281"/>
  <c r="BT124" i="281" s="1"/>
  <c r="AB40" i="287" l="1"/>
  <c r="AB41" i="287" s="1"/>
  <c r="AB46" i="287" s="1"/>
  <c r="AB48" i="287" s="1"/>
  <c r="AB76" i="287"/>
  <c r="AB62" i="287"/>
  <c r="AA69" i="280"/>
  <c r="CY26" i="280"/>
  <c r="CY16" i="280" s="1"/>
  <c r="CY18" i="280" s="1"/>
  <c r="CY15" i="286" s="1"/>
  <c r="BT69" i="265"/>
  <c r="BU121" i="281"/>
  <c r="BS30" i="265"/>
  <c r="BS62" i="281"/>
  <c r="BS63" i="281" s="1"/>
  <c r="AA70" i="280" l="1"/>
  <c r="AA51" i="280"/>
  <c r="AA52" i="280" s="1"/>
  <c r="AA14" i="286"/>
  <c r="AA16" i="286" s="1"/>
  <c r="AA18" i="286" s="1"/>
  <c r="AA40" i="280"/>
  <c r="AA41" i="280" s="1"/>
  <c r="AB35" i="265"/>
  <c r="AB16" i="265"/>
  <c r="AB77" i="287"/>
  <c r="AB78" i="287" s="1"/>
  <c r="AB49" i="287"/>
  <c r="AB36" i="265" s="1"/>
  <c r="AB71" i="287"/>
  <c r="AB72" i="287" s="1"/>
  <c r="CY19" i="280"/>
  <c r="CY49" i="265" s="1"/>
  <c r="CY28" i="280"/>
  <c r="CY29" i="280" s="1"/>
  <c r="CY73" i="265" s="1"/>
  <c r="BS64" i="265"/>
  <c r="BT60" i="281"/>
  <c r="BU112" i="281"/>
  <c r="BU113" i="281" s="1"/>
  <c r="BS33" i="265"/>
  <c r="Z69" i="277"/>
  <c r="AB70" i="265" l="1"/>
  <c r="O70" i="277" s="1"/>
  <c r="AC70" i="287"/>
  <c r="AB37" i="265"/>
  <c r="AB42" i="265" s="1"/>
  <c r="AB47" i="265" s="1"/>
  <c r="AB50" i="265" s="1"/>
  <c r="N35" i="277"/>
  <c r="AA74" i="265"/>
  <c r="AA75" i="265" s="1"/>
  <c r="AA81" i="265" s="1"/>
  <c r="AB38" i="280"/>
  <c r="AB57" i="280" s="1"/>
  <c r="AA63" i="265"/>
  <c r="AA65" i="265" s="1"/>
  <c r="AA67" i="265" s="1"/>
  <c r="AA80" i="265" s="1"/>
  <c r="AB49" i="280"/>
  <c r="AB62" i="280" s="1"/>
  <c r="AB19" i="265"/>
  <c r="AB22" i="265" s="1"/>
  <c r="N16" i="277"/>
  <c r="N19" i="277" s="1"/>
  <c r="N22" i="277" s="1"/>
  <c r="AA52" i="265"/>
  <c r="AA24" i="265"/>
  <c r="CZ26" i="280"/>
  <c r="CZ16" i="280" s="1"/>
  <c r="CZ18" i="280" s="1"/>
  <c r="CZ15" i="286" s="1"/>
  <c r="BT52" i="281"/>
  <c r="BT53" i="281" s="1"/>
  <c r="BU123" i="281"/>
  <c r="BU124" i="281" s="1"/>
  <c r="BU114" i="281"/>
  <c r="BU31" i="265" s="1"/>
  <c r="AA53" i="265" l="1"/>
  <c r="AB39" i="280"/>
  <c r="AB58" i="280"/>
  <c r="AB59" i="280" s="1"/>
  <c r="AB67" i="280" s="1"/>
  <c r="AC59" i="287"/>
  <c r="AC61" i="287" s="1"/>
  <c r="AA25" i="265"/>
  <c r="AA82" i="265"/>
  <c r="AA83" i="265"/>
  <c r="AB63" i="280"/>
  <c r="AB64" i="280" s="1"/>
  <c r="AB68" i="280" s="1"/>
  <c r="AB50" i="280"/>
  <c r="CZ19" i="280"/>
  <c r="CZ49" i="265" s="1"/>
  <c r="CZ28" i="280"/>
  <c r="CZ29" i="280" s="1"/>
  <c r="DA26" i="280" s="1"/>
  <c r="BU69" i="265"/>
  <c r="BV121" i="281"/>
  <c r="BT30" i="265"/>
  <c r="BT62" i="281"/>
  <c r="BT63" i="281" s="1"/>
  <c r="AC40" i="287" l="1"/>
  <c r="AC41" i="287" s="1"/>
  <c r="AC46" i="287" s="1"/>
  <c r="AC48" i="287" s="1"/>
  <c r="AC62" i="287"/>
  <c r="AC76" i="287"/>
  <c r="AB69" i="280"/>
  <c r="CZ73" i="265"/>
  <c r="AH73" i="277" s="1"/>
  <c r="DA16" i="280"/>
  <c r="DA18" i="280" s="1"/>
  <c r="DA15" i="286" s="1"/>
  <c r="BT64" i="265"/>
  <c r="Z64" i="277" s="1"/>
  <c r="BU60" i="281"/>
  <c r="BV112" i="281"/>
  <c r="BV113" i="281" s="1"/>
  <c r="BT33" i="265"/>
  <c r="Y30" i="277"/>
  <c r="AB70" i="280" l="1"/>
  <c r="AB51" i="280"/>
  <c r="AB52" i="280" s="1"/>
  <c r="AB14" i="286"/>
  <c r="AB16" i="286" s="1"/>
  <c r="AB18" i="286" s="1"/>
  <c r="AB40" i="280"/>
  <c r="AB41" i="280" s="1"/>
  <c r="AC16" i="265"/>
  <c r="AC35" i="265"/>
  <c r="AC78" i="287"/>
  <c r="AC77" i="287"/>
  <c r="AC49" i="287"/>
  <c r="AC36" i="265" s="1"/>
  <c r="AC71" i="287"/>
  <c r="AC72" i="287" s="1"/>
  <c r="DA19" i="280"/>
  <c r="DA49" i="265" s="1"/>
  <c r="DA28" i="280"/>
  <c r="DA29" i="280" s="1"/>
  <c r="DA73" i="265" s="1"/>
  <c r="BU52" i="281"/>
  <c r="BU53" i="281" s="1"/>
  <c r="BV114" i="281"/>
  <c r="BV31" i="265" s="1"/>
  <c r="BV123" i="281"/>
  <c r="BV124" i="281" s="1"/>
  <c r="AC19" i="265" l="1"/>
  <c r="AC22" i="265" s="1"/>
  <c r="AB24" i="265"/>
  <c r="AB52" i="265"/>
  <c r="AC70" i="265"/>
  <c r="AD70" i="287"/>
  <c r="AC37" i="265"/>
  <c r="AC42" i="265" s="1"/>
  <c r="AC47" i="265" s="1"/>
  <c r="AC50" i="265" s="1"/>
  <c r="AB74" i="265"/>
  <c r="AC38" i="280"/>
  <c r="AC57" i="280" s="1"/>
  <c r="AB63" i="265"/>
  <c r="AC49" i="280"/>
  <c r="AC62" i="280" s="1"/>
  <c r="DB26" i="280"/>
  <c r="DB16" i="280" s="1"/>
  <c r="DB18" i="280" s="1"/>
  <c r="DB15" i="286" s="1"/>
  <c r="BV69" i="265"/>
  <c r="BW121" i="281"/>
  <c r="BU30" i="265"/>
  <c r="BU62" i="281"/>
  <c r="BU63" i="281" s="1"/>
  <c r="AB65" i="265" l="1"/>
  <c r="AB67" i="265" s="1"/>
  <c r="AB80" i="265" s="1"/>
  <c r="O63" i="277"/>
  <c r="O65" i="277" s="1"/>
  <c r="O67" i="277" s="1"/>
  <c r="O80" i="277" s="1"/>
  <c r="AB75" i="265"/>
  <c r="AB81" i="265" s="1"/>
  <c r="O74" i="277"/>
  <c r="O75" i="277" s="1"/>
  <c r="O81" i="277" s="1"/>
  <c r="AC63" i="280"/>
  <c r="AC64" i="280" s="1"/>
  <c r="AC68" i="280" s="1"/>
  <c r="AC50" i="280"/>
  <c r="AB25" i="265"/>
  <c r="N24" i="277"/>
  <c r="N25" i="277" s="1"/>
  <c r="AC58" i="280"/>
  <c r="AC59" i="280" s="1"/>
  <c r="AC67" i="280" s="1"/>
  <c r="AC69" i="280" s="1"/>
  <c r="AC39" i="280"/>
  <c r="AD59" i="287"/>
  <c r="AD61" i="287" s="1"/>
  <c r="AB53" i="265"/>
  <c r="N51" i="277"/>
  <c r="DB19" i="280"/>
  <c r="DB49" i="265" s="1"/>
  <c r="DB28" i="280"/>
  <c r="DB29" i="280" s="1"/>
  <c r="DC26" i="280" s="1"/>
  <c r="BU64" i="265"/>
  <c r="BV60" i="281"/>
  <c r="BW112" i="281"/>
  <c r="BW113" i="281" s="1"/>
  <c r="BU33" i="265"/>
  <c r="AC14" i="286" l="1"/>
  <c r="AC16" i="286" s="1"/>
  <c r="AC18" i="286" s="1"/>
  <c r="AC40" i="280"/>
  <c r="AC41" i="280" s="1"/>
  <c r="AC70" i="280"/>
  <c r="AC51" i="280"/>
  <c r="AC52" i="280" s="1"/>
  <c r="O83" i="277"/>
  <c r="O82" i="277"/>
  <c r="AD40" i="287"/>
  <c r="AD41" i="287" s="1"/>
  <c r="AD46" i="287" s="1"/>
  <c r="AD48" i="287" s="1"/>
  <c r="AD76" i="287"/>
  <c r="AD62" i="287"/>
  <c r="AB83" i="265"/>
  <c r="AB82" i="265"/>
  <c r="DB73" i="265"/>
  <c r="DC16" i="280"/>
  <c r="DC18" i="280" s="1"/>
  <c r="DC15" i="286" s="1"/>
  <c r="BV52" i="281"/>
  <c r="BV53" i="281" s="1"/>
  <c r="BW123" i="281"/>
  <c r="BW124" i="281" s="1"/>
  <c r="BW114" i="281"/>
  <c r="BW31" i="265" s="1"/>
  <c r="AD77" i="287" l="1"/>
  <c r="AD71" i="287"/>
  <c r="AD72" i="287" s="1"/>
  <c r="AD49" i="287"/>
  <c r="AD36" i="265" s="1"/>
  <c r="AD49" i="280"/>
  <c r="AD62" i="280" s="1"/>
  <c r="AC63" i="265"/>
  <c r="AC65" i="265" s="1"/>
  <c r="AC67" i="265" s="1"/>
  <c r="AC80" i="265" s="1"/>
  <c r="AC74" i="265"/>
  <c r="AC75" i="265" s="1"/>
  <c r="AC81" i="265" s="1"/>
  <c r="AD38" i="280"/>
  <c r="AD57" i="280" s="1"/>
  <c r="AD16" i="265"/>
  <c r="AD35" i="265"/>
  <c r="AD78" i="287"/>
  <c r="AC24" i="265"/>
  <c r="AC52" i="265"/>
  <c r="DC19" i="280"/>
  <c r="DC49" i="265" s="1"/>
  <c r="DC28" i="280"/>
  <c r="DC29" i="280" s="1"/>
  <c r="DC73" i="265" s="1"/>
  <c r="BW69" i="265"/>
  <c r="BX121" i="281"/>
  <c r="BV30" i="265"/>
  <c r="BV62" i="281"/>
  <c r="BV63" i="281" s="1"/>
  <c r="AC53" i="265" l="1"/>
  <c r="AD19" i="265"/>
  <c r="AD22" i="265" s="1"/>
  <c r="AE70" i="287"/>
  <c r="AD70" i="265"/>
  <c r="AC25" i="265"/>
  <c r="AD37" i="265"/>
  <c r="AD42" i="265" s="1"/>
  <c r="AD47" i="265" s="1"/>
  <c r="AD50" i="265" s="1"/>
  <c r="AC82" i="265"/>
  <c r="AC83" i="265"/>
  <c r="DD26" i="280"/>
  <c r="DD16" i="280" s="1"/>
  <c r="DD18" i="280" s="1"/>
  <c r="DD15" i="286" s="1"/>
  <c r="BV64" i="265"/>
  <c r="BW60" i="281"/>
  <c r="BX112" i="281"/>
  <c r="BX113" i="281" s="1"/>
  <c r="BV33" i="265"/>
  <c r="AD63" i="280" l="1"/>
  <c r="AD64" i="280" s="1"/>
  <c r="AD68" i="280" s="1"/>
  <c r="AD50" i="280"/>
  <c r="AE59" i="287"/>
  <c r="AE61" i="287" s="1"/>
  <c r="AD39" i="280"/>
  <c r="AD58" i="280"/>
  <c r="AD59" i="280" s="1"/>
  <c r="AD67" i="280" s="1"/>
  <c r="AD69" i="280" s="1"/>
  <c r="DD19" i="280"/>
  <c r="DD49" i="265" s="1"/>
  <c r="DD28" i="280"/>
  <c r="DD29" i="280" s="1"/>
  <c r="DD73" i="265" s="1"/>
  <c r="AI73" i="277" s="1"/>
  <c r="BW52" i="281"/>
  <c r="BW53" i="281" s="1"/>
  <c r="BX114" i="281"/>
  <c r="BX31" i="265" s="1"/>
  <c r="BX123" i="281"/>
  <c r="BX124" i="281" s="1"/>
  <c r="DE26" i="280" l="1"/>
  <c r="AD14" i="286"/>
  <c r="AD16" i="286" s="1"/>
  <c r="AD18" i="286" s="1"/>
  <c r="AD51" i="280"/>
  <c r="AD52" i="280" s="1"/>
  <c r="AD70" i="280"/>
  <c r="AD40" i="280"/>
  <c r="AD41" i="280" s="1"/>
  <c r="AE40" i="287"/>
  <c r="AE41" i="287" s="1"/>
  <c r="AE46" i="287" s="1"/>
  <c r="AE48" i="287" s="1"/>
  <c r="AE76" i="287"/>
  <c r="AE62" i="287"/>
  <c r="DE16" i="280"/>
  <c r="DE18" i="280" s="1"/>
  <c r="DE15" i="286" s="1"/>
  <c r="BX69" i="265"/>
  <c r="BY121" i="281"/>
  <c r="BW30" i="265"/>
  <c r="BW62" i="281"/>
  <c r="BW63" i="281" s="1"/>
  <c r="AE16" i="265" l="1"/>
  <c r="AE35" i="265"/>
  <c r="AD74" i="265"/>
  <c r="AD75" i="265" s="1"/>
  <c r="AD81" i="265" s="1"/>
  <c r="AE38" i="280"/>
  <c r="AE57" i="280" s="1"/>
  <c r="AE49" i="280"/>
  <c r="AE62" i="280" s="1"/>
  <c r="AD63" i="265"/>
  <c r="AD65" i="265" s="1"/>
  <c r="AD67" i="265" s="1"/>
  <c r="AD80" i="265" s="1"/>
  <c r="AE77" i="287"/>
  <c r="AE78" i="287" s="1"/>
  <c r="AE49" i="287"/>
  <c r="AE36" i="265" s="1"/>
  <c r="AE71" i="287"/>
  <c r="AE72" i="287" s="1"/>
  <c r="AD24" i="265"/>
  <c r="AD52" i="265"/>
  <c r="DE19" i="280"/>
  <c r="DE49" i="265" s="1"/>
  <c r="DE28" i="280"/>
  <c r="DE29" i="280" s="1"/>
  <c r="DF26" i="280" s="1"/>
  <c r="BW64" i="265"/>
  <c r="BX60" i="281"/>
  <c r="BY112" i="281"/>
  <c r="BY113" i="281" s="1"/>
  <c r="BW33" i="265"/>
  <c r="AA69" i="277"/>
  <c r="AD53" i="265" l="1"/>
  <c r="AF70" i="287"/>
  <c r="AE70" i="265"/>
  <c r="AE37" i="265"/>
  <c r="AE42" i="265" s="1"/>
  <c r="AE47" i="265" s="1"/>
  <c r="AE50" i="265" s="1"/>
  <c r="AD25" i="265"/>
  <c r="AD83" i="265"/>
  <c r="AD82" i="265"/>
  <c r="AE19" i="265"/>
  <c r="AE22" i="265" s="1"/>
  <c r="DE73" i="265"/>
  <c r="DF16" i="280"/>
  <c r="DF18" i="280" s="1"/>
  <c r="DF15" i="286" s="1"/>
  <c r="BX52" i="281"/>
  <c r="BX53" i="281" s="1"/>
  <c r="BY123" i="281"/>
  <c r="BY124" i="281" s="1"/>
  <c r="BY114" i="281"/>
  <c r="BY31" i="265" s="1"/>
  <c r="AE58" i="280" l="1"/>
  <c r="AE59" i="280" s="1"/>
  <c r="AE67" i="280" s="1"/>
  <c r="AE39" i="280"/>
  <c r="AE50" i="280"/>
  <c r="AE63" i="280"/>
  <c r="AE64" i="280" s="1"/>
  <c r="AE68" i="280" s="1"/>
  <c r="AF59" i="287"/>
  <c r="AF61" i="287" s="1"/>
  <c r="DF19" i="280"/>
  <c r="DF49" i="265" s="1"/>
  <c r="DF28" i="280"/>
  <c r="DF29" i="280" s="1"/>
  <c r="DF73" i="265" s="1"/>
  <c r="BY69" i="265"/>
  <c r="BZ121" i="281"/>
  <c r="BX30" i="265"/>
  <c r="BX62" i="281"/>
  <c r="BX63" i="281" s="1"/>
  <c r="AE69" i="280" l="1"/>
  <c r="AF40" i="287"/>
  <c r="AF41" i="287" s="1"/>
  <c r="AF46" i="287" s="1"/>
  <c r="AF48" i="287" s="1"/>
  <c r="AF62" i="287"/>
  <c r="AF76" i="287"/>
  <c r="AE14" i="286"/>
  <c r="AE16" i="286" s="1"/>
  <c r="AE18" i="286" s="1"/>
  <c r="AE51" i="280"/>
  <c r="AE52" i="280" s="1"/>
  <c r="AE70" i="280"/>
  <c r="AE40" i="280"/>
  <c r="AE41" i="280" s="1"/>
  <c r="DG26" i="280"/>
  <c r="DG16" i="280" s="1"/>
  <c r="DG18" i="280" s="1"/>
  <c r="DG15" i="286" s="1"/>
  <c r="BX64" i="265"/>
  <c r="AA64" i="277" s="1"/>
  <c r="BY60" i="281"/>
  <c r="BZ112" i="281"/>
  <c r="BZ113" i="281" s="1"/>
  <c r="BX33" i="265"/>
  <c r="Z30" i="277"/>
  <c r="AE74" i="265" l="1"/>
  <c r="AE75" i="265" s="1"/>
  <c r="AE81" i="265" s="1"/>
  <c r="AF38" i="280"/>
  <c r="AF57" i="280" s="1"/>
  <c r="AE24" i="265"/>
  <c r="AE52" i="265"/>
  <c r="AF35" i="265"/>
  <c r="AF16" i="265"/>
  <c r="AF49" i="280"/>
  <c r="AF62" i="280" s="1"/>
  <c r="AE63" i="265"/>
  <c r="AE65" i="265" s="1"/>
  <c r="AE67" i="265" s="1"/>
  <c r="AE80" i="265" s="1"/>
  <c r="AF77" i="287"/>
  <c r="AF78" i="287" s="1"/>
  <c r="AF71" i="287"/>
  <c r="AF72" i="287" s="1"/>
  <c r="AF49" i="287"/>
  <c r="AF36" i="265" s="1"/>
  <c r="DG19" i="280"/>
  <c r="DG49" i="265" s="1"/>
  <c r="DG28" i="280"/>
  <c r="DG29" i="280" s="1"/>
  <c r="DG73" i="265" s="1"/>
  <c r="BY52" i="281"/>
  <c r="BY53" i="281" s="1"/>
  <c r="BZ114" i="281"/>
  <c r="BZ31" i="265" s="1"/>
  <c r="BZ123" i="281"/>
  <c r="BZ124" i="281" s="1"/>
  <c r="AG70" i="287" l="1"/>
  <c r="AF70" i="265"/>
  <c r="P70" i="277" s="1"/>
  <c r="AE83" i="265"/>
  <c r="AE82" i="265"/>
  <c r="AF37" i="265"/>
  <c r="AF42" i="265" s="1"/>
  <c r="AF47" i="265" s="1"/>
  <c r="AF50" i="265" s="1"/>
  <c r="O35" i="277"/>
  <c r="AE25" i="265"/>
  <c r="AF19" i="265"/>
  <c r="AF22" i="265" s="1"/>
  <c r="O16" i="277"/>
  <c r="O19" i="277" s="1"/>
  <c r="O22" i="277" s="1"/>
  <c r="AE53" i="265"/>
  <c r="DH26" i="280"/>
  <c r="DH16" i="280" s="1"/>
  <c r="DH18" i="280" s="1"/>
  <c r="DH15" i="286" s="1"/>
  <c r="BZ69" i="265"/>
  <c r="CA121" i="281"/>
  <c r="BY30" i="265"/>
  <c r="BY62" i="281"/>
  <c r="BY63" i="281" s="1"/>
  <c r="AF39" i="280" l="1"/>
  <c r="AF58" i="280"/>
  <c r="AF59" i="280" s="1"/>
  <c r="AF67" i="280" s="1"/>
  <c r="AF69" i="280" s="1"/>
  <c r="AF63" i="280"/>
  <c r="AF64" i="280" s="1"/>
  <c r="AF68" i="280" s="1"/>
  <c r="AF50" i="280"/>
  <c r="AG59" i="287"/>
  <c r="AG61" i="287" s="1"/>
  <c r="DH19" i="280"/>
  <c r="DH49" i="265" s="1"/>
  <c r="DH28" i="280"/>
  <c r="DH29" i="280" s="1"/>
  <c r="DH73" i="265" s="1"/>
  <c r="AJ73" i="277" s="1"/>
  <c r="BY64" i="265"/>
  <c r="BZ60" i="281"/>
  <c r="CA112" i="281"/>
  <c r="CA113" i="281" s="1"/>
  <c r="BY33" i="265"/>
  <c r="AG40" i="287" l="1"/>
  <c r="AG41" i="287" s="1"/>
  <c r="AG46" i="287" s="1"/>
  <c r="AG48" i="287" s="1"/>
  <c r="AG76" i="287"/>
  <c r="AG62" i="287"/>
  <c r="AF14" i="286"/>
  <c r="AF16" i="286" s="1"/>
  <c r="AF18" i="286" s="1"/>
  <c r="AF51" i="280"/>
  <c r="AF52" i="280" s="1"/>
  <c r="AF40" i="280"/>
  <c r="AF41" i="280" s="1"/>
  <c r="AF70" i="280"/>
  <c r="DI26" i="280"/>
  <c r="DI16" i="280" s="1"/>
  <c r="DI18" i="280" s="1"/>
  <c r="DI15" i="286" s="1"/>
  <c r="BZ52" i="281"/>
  <c r="BZ53" i="281" s="1"/>
  <c r="CA123" i="281"/>
  <c r="CA124" i="281" s="1"/>
  <c r="CA114" i="281"/>
  <c r="CA31" i="265" s="1"/>
  <c r="AG38" i="280" l="1"/>
  <c r="AG57" i="280" s="1"/>
  <c r="AF74" i="265"/>
  <c r="AF24" i="265"/>
  <c r="AF52" i="265"/>
  <c r="AF63" i="265"/>
  <c r="AG49" i="280"/>
  <c r="AG62" i="280" s="1"/>
  <c r="AG16" i="265"/>
  <c r="AG35" i="265"/>
  <c r="AG77" i="287"/>
  <c r="AG78" i="287" s="1"/>
  <c r="AG71" i="287"/>
  <c r="AG72" i="287" s="1"/>
  <c r="AG49" i="287"/>
  <c r="AG36" i="265" s="1"/>
  <c r="DI19" i="280"/>
  <c r="DI49" i="265" s="1"/>
  <c r="DI28" i="280"/>
  <c r="DI29" i="280" s="1"/>
  <c r="DI73" i="265" s="1"/>
  <c r="CA69" i="265"/>
  <c r="CB121" i="281"/>
  <c r="BZ30" i="265"/>
  <c r="BZ62" i="281"/>
  <c r="BZ63" i="281" s="1"/>
  <c r="AG19" i="265" l="1"/>
  <c r="AG22" i="265" s="1"/>
  <c r="AF53" i="265"/>
  <c r="O51" i="277"/>
  <c r="AF75" i="265"/>
  <c r="AF81" i="265" s="1"/>
  <c r="P74" i="277"/>
  <c r="P75" i="277" s="1"/>
  <c r="P81" i="277" s="1"/>
  <c r="AG70" i="265"/>
  <c r="AH70" i="287"/>
  <c r="AG37" i="265"/>
  <c r="AG42" i="265" s="1"/>
  <c r="AG47" i="265" s="1"/>
  <c r="AG50" i="265" s="1"/>
  <c r="AF65" i="265"/>
  <c r="AF67" i="265" s="1"/>
  <c r="AF80" i="265" s="1"/>
  <c r="AF82" i="265" s="1"/>
  <c r="P63" i="277"/>
  <c r="P65" i="277" s="1"/>
  <c r="P67" i="277" s="1"/>
  <c r="P80" i="277" s="1"/>
  <c r="AF25" i="265"/>
  <c r="O24" i="277"/>
  <c r="O25" i="277" s="1"/>
  <c r="DJ26" i="280"/>
  <c r="DJ16" i="280" s="1"/>
  <c r="DJ18" i="280" s="1"/>
  <c r="DJ15" i="286" s="1"/>
  <c r="BZ33" i="265"/>
  <c r="BZ64" i="265"/>
  <c r="CA60" i="281"/>
  <c r="CB112" i="281"/>
  <c r="CB113" i="281" s="1"/>
  <c r="AG39" i="280" l="1"/>
  <c r="AG58" i="280"/>
  <c r="AG59" i="280" s="1"/>
  <c r="AG67" i="280" s="1"/>
  <c r="P83" i="277"/>
  <c r="P82" i="277"/>
  <c r="AH59" i="287"/>
  <c r="AH61" i="287" s="1"/>
  <c r="AG63" i="280"/>
  <c r="AG64" i="280" s="1"/>
  <c r="AG68" i="280" s="1"/>
  <c r="AG50" i="280"/>
  <c r="AF83" i="265"/>
  <c r="DJ19" i="280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AG69" i="280" l="1"/>
  <c r="AH40" i="287"/>
  <c r="AH41" i="287" s="1"/>
  <c r="AH46" i="287" s="1"/>
  <c r="AH48" i="287" s="1"/>
  <c r="AH76" i="287"/>
  <c r="AH62" i="287"/>
  <c r="DK26" i="280"/>
  <c r="DK16" i="280" s="1"/>
  <c r="DK18" i="280" s="1"/>
  <c r="DK15" i="286" s="1"/>
  <c r="CB69" i="265"/>
  <c r="CC121" i="281"/>
  <c r="CA30" i="265"/>
  <c r="CA62" i="281"/>
  <c r="CA63" i="281" s="1"/>
  <c r="AH35" i="265" l="1"/>
  <c r="AH16" i="265"/>
  <c r="AH77" i="287"/>
  <c r="AH78" i="287" s="1"/>
  <c r="AH49" i="287"/>
  <c r="AH36" i="265" s="1"/>
  <c r="AH71" i="287"/>
  <c r="AH72" i="287" s="1"/>
  <c r="AG14" i="286"/>
  <c r="AG16" i="286" s="1"/>
  <c r="AG18" i="286" s="1"/>
  <c r="AG40" i="280"/>
  <c r="AG41" i="280" s="1"/>
  <c r="AG70" i="280"/>
  <c r="AG51" i="280"/>
  <c r="AG52" i="280" s="1"/>
  <c r="DK19" i="280"/>
  <c r="DK49" i="265" s="1"/>
  <c r="DK28" i="280"/>
  <c r="DK29" i="280" s="1"/>
  <c r="DK73" i="265" s="1"/>
  <c r="CC112" i="281"/>
  <c r="CC113" i="281" s="1"/>
  <c r="CA64" i="265"/>
  <c r="CB60" i="281"/>
  <c r="CA33" i="265"/>
  <c r="AB69" i="277"/>
  <c r="AG63" i="265" l="1"/>
  <c r="AG65" i="265" s="1"/>
  <c r="AG67" i="265" s="1"/>
  <c r="AG80" i="265" s="1"/>
  <c r="AH49" i="280"/>
  <c r="AH62" i="280" s="1"/>
  <c r="AH38" i="280"/>
  <c r="AH57" i="280" s="1"/>
  <c r="AG74" i="265"/>
  <c r="AG75" i="265" s="1"/>
  <c r="AG81" i="265" s="1"/>
  <c r="AH19" i="265"/>
  <c r="AH22" i="265" s="1"/>
  <c r="AG52" i="265"/>
  <c r="AG24" i="265"/>
  <c r="AI70" i="287"/>
  <c r="AH70" i="265"/>
  <c r="AH37" i="265"/>
  <c r="AH42" i="265" s="1"/>
  <c r="AH47" i="265" s="1"/>
  <c r="AH50" i="265" s="1"/>
  <c r="DL26" i="280"/>
  <c r="DL16" i="280" s="1"/>
  <c r="DL18" i="280" s="1"/>
  <c r="DL15" i="286" s="1"/>
  <c r="CB52" i="281"/>
  <c r="CB53" i="281" s="1"/>
  <c r="CC123" i="281"/>
  <c r="CC124" i="281" s="1"/>
  <c r="CC114" i="281"/>
  <c r="CC31" i="265" s="1"/>
  <c r="AH63" i="280" l="1"/>
  <c r="AH50" i="280"/>
  <c r="AI59" i="287"/>
  <c r="AI61" i="287" s="1"/>
  <c r="AG53" i="265"/>
  <c r="AG25" i="265"/>
  <c r="AH39" i="280"/>
  <c r="AH58" i="280"/>
  <c r="AH64" i="280"/>
  <c r="AH68" i="280" s="1"/>
  <c r="AH59" i="280"/>
  <c r="AH67" i="280" s="1"/>
  <c r="AH69" i="280" s="1"/>
  <c r="AG82" i="265"/>
  <c r="AG83" i="265"/>
  <c r="DL19" i="280"/>
  <c r="DL49" i="265" s="1"/>
  <c r="DL28" i="280"/>
  <c r="DL29" i="280" s="1"/>
  <c r="DL73" i="265" s="1"/>
  <c r="AK73" i="277" s="1"/>
  <c r="CC69" i="265"/>
  <c r="CD121" i="281"/>
  <c r="CB30" i="265"/>
  <c r="CB62" i="281"/>
  <c r="CB63" i="281" s="1"/>
  <c r="AH14" i="286" l="1"/>
  <c r="AH16" i="286" s="1"/>
  <c r="AH18" i="286" s="1"/>
  <c r="AH51" i="280"/>
  <c r="AH52" i="280" s="1"/>
  <c r="AH70" i="280"/>
  <c r="AH40" i="280"/>
  <c r="AH41" i="280" s="1"/>
  <c r="AI40" i="287"/>
  <c r="AI41" i="287" s="1"/>
  <c r="AI46" i="287" s="1"/>
  <c r="AI48" i="287" s="1"/>
  <c r="AI62" i="287"/>
  <c r="AI76" i="287"/>
  <c r="DM26" i="280"/>
  <c r="DM16" i="280" s="1"/>
  <c r="DM18" i="280" s="1"/>
  <c r="DM15" i="286" s="1"/>
  <c r="CB64" i="265"/>
  <c r="AB64" i="277" s="1"/>
  <c r="CC60" i="281"/>
  <c r="CB33" i="265"/>
  <c r="AA30" i="277"/>
  <c r="CD112" i="281"/>
  <c r="CD113" i="281" s="1"/>
  <c r="AI16" i="265" l="1"/>
  <c r="AI35" i="265"/>
  <c r="AI38" i="280"/>
  <c r="AI57" i="280" s="1"/>
  <c r="AH74" i="265"/>
  <c r="AH75" i="265" s="1"/>
  <c r="AH81" i="265" s="1"/>
  <c r="AI49" i="280"/>
  <c r="AI62" i="280" s="1"/>
  <c r="AH63" i="265"/>
  <c r="AH65" i="265" s="1"/>
  <c r="AH67" i="265" s="1"/>
  <c r="AH80" i="265" s="1"/>
  <c r="AI77" i="287"/>
  <c r="AI78" i="287" s="1"/>
  <c r="AI49" i="287"/>
  <c r="AI36" i="265" s="1"/>
  <c r="AI71" i="287"/>
  <c r="AI72" i="287" s="1"/>
  <c r="AH52" i="265"/>
  <c r="AH24" i="265"/>
  <c r="DM19" i="280"/>
  <c r="DM49" i="265" s="1"/>
  <c r="DM28" i="280"/>
  <c r="DM29" i="280" s="1"/>
  <c r="DM73" i="265" s="1"/>
  <c r="CD114" i="281"/>
  <c r="CD31" i="265" s="1"/>
  <c r="CD123" i="281"/>
  <c r="CD124" i="281" s="1"/>
  <c r="CC52" i="281"/>
  <c r="CC53" i="281" s="1"/>
  <c r="AH53" i="265" l="1"/>
  <c r="AH82" i="265"/>
  <c r="AH83" i="265"/>
  <c r="AI37" i="265"/>
  <c r="AI42" i="265" s="1"/>
  <c r="AI47" i="265" s="1"/>
  <c r="AI50" i="265" s="1"/>
  <c r="AH25" i="265"/>
  <c r="AI70" i="265"/>
  <c r="AJ70" i="287"/>
  <c r="AI19" i="265"/>
  <c r="AI22" i="265" s="1"/>
  <c r="DN26" i="280"/>
  <c r="DN16" i="280" s="1"/>
  <c r="DN18" i="280" s="1"/>
  <c r="DN15" i="286" s="1"/>
  <c r="CC30" i="265"/>
  <c r="CC62" i="281"/>
  <c r="CC63" i="281" s="1"/>
  <c r="CD69" i="265"/>
  <c r="CE121" i="281"/>
  <c r="AI58" i="280" l="1"/>
  <c r="AI59" i="280" s="1"/>
  <c r="AI67" i="280" s="1"/>
  <c r="AI39" i="280"/>
  <c r="AI63" i="280"/>
  <c r="AI64" i="280" s="1"/>
  <c r="AI68" i="280" s="1"/>
  <c r="AI50" i="280"/>
  <c r="AJ59" i="287"/>
  <c r="AJ61" i="287" s="1"/>
  <c r="DN19" i="280"/>
  <c r="DN49" i="265" s="1"/>
  <c r="DN28" i="280"/>
  <c r="DN29" i="280" s="1"/>
  <c r="DO26" i="280" s="1"/>
  <c r="CE112" i="281"/>
  <c r="CE113" i="281" s="1"/>
  <c r="CC64" i="265"/>
  <c r="CD60" i="281"/>
  <c r="CC33" i="265"/>
  <c r="AJ40" i="287" l="1"/>
  <c r="AJ41" i="287" s="1"/>
  <c r="AJ46" i="287" s="1"/>
  <c r="AJ48" i="287" s="1"/>
  <c r="AJ76" i="287"/>
  <c r="AJ62" i="287"/>
  <c r="AI69" i="280"/>
  <c r="DN73" i="265"/>
  <c r="DO16" i="280"/>
  <c r="DO18" i="280" s="1"/>
  <c r="DO15" i="286" s="1"/>
  <c r="CD52" i="281"/>
  <c r="CD53" i="281" s="1"/>
  <c r="CE123" i="281"/>
  <c r="CE124" i="281" s="1"/>
  <c r="CE114" i="281"/>
  <c r="CE31" i="265" s="1"/>
  <c r="AJ35" i="265" l="1"/>
  <c r="AJ16" i="265"/>
  <c r="AJ77" i="287"/>
  <c r="AJ71" i="287"/>
  <c r="AJ72" i="287" s="1"/>
  <c r="AJ49" i="287"/>
  <c r="AJ36" i="265" s="1"/>
  <c r="AI14" i="286"/>
  <c r="AI16" i="286" s="1"/>
  <c r="AI18" i="286" s="1"/>
  <c r="AI40" i="280"/>
  <c r="AI41" i="280" s="1"/>
  <c r="AI70" i="280"/>
  <c r="AI51" i="280"/>
  <c r="AI52" i="280" s="1"/>
  <c r="AJ78" i="287"/>
  <c r="DO19" i="280"/>
  <c r="DO49" i="265" s="1"/>
  <c r="DO28" i="280"/>
  <c r="DO29" i="280" s="1"/>
  <c r="DO73" i="265" s="1"/>
  <c r="CE69" i="265"/>
  <c r="CF121" i="281"/>
  <c r="CD30" i="265"/>
  <c r="CD62" i="281"/>
  <c r="CD63" i="281" s="1"/>
  <c r="AI24" i="265" l="1"/>
  <c r="AI52" i="265"/>
  <c r="AK70" i="287"/>
  <c r="AJ70" i="265"/>
  <c r="Q70" i="277" s="1"/>
  <c r="AJ19" i="265"/>
  <c r="AJ22" i="265" s="1"/>
  <c r="P16" i="277"/>
  <c r="P19" i="277" s="1"/>
  <c r="P22" i="277" s="1"/>
  <c r="AJ49" i="280"/>
  <c r="AJ62" i="280" s="1"/>
  <c r="AI63" i="265"/>
  <c r="AI65" i="265" s="1"/>
  <c r="AI67" i="265" s="1"/>
  <c r="AI80" i="265" s="1"/>
  <c r="AI74" i="265"/>
  <c r="AI75" i="265" s="1"/>
  <c r="AI81" i="265" s="1"/>
  <c r="AJ38" i="280"/>
  <c r="AJ57" i="280" s="1"/>
  <c r="AJ37" i="265"/>
  <c r="AJ42" i="265" s="1"/>
  <c r="AJ47" i="265" s="1"/>
  <c r="AJ50" i="265" s="1"/>
  <c r="P35" i="277"/>
  <c r="DP26" i="280"/>
  <c r="DP16" i="280" s="1"/>
  <c r="DP18" i="280" s="1"/>
  <c r="DP15" i="286" s="1"/>
  <c r="CD33" i="265"/>
  <c r="CD64" i="265"/>
  <c r="CE60" i="281"/>
  <c r="CF112" i="281"/>
  <c r="CF113" i="281" s="1"/>
  <c r="AI83" i="265" l="1"/>
  <c r="AI82" i="265"/>
  <c r="AI53" i="265"/>
  <c r="AJ63" i="280"/>
  <c r="AJ50" i="280"/>
  <c r="AJ64" i="280"/>
  <c r="AJ68" i="280" s="1"/>
  <c r="AJ39" i="280"/>
  <c r="AJ58" i="280"/>
  <c r="AJ59" i="280" s="1"/>
  <c r="AJ67" i="280" s="1"/>
  <c r="AJ69" i="280" s="1"/>
  <c r="AK59" i="287"/>
  <c r="AK61" i="287" s="1"/>
  <c r="AI25" i="265"/>
  <c r="DP19" i="280"/>
  <c r="DP49" i="265" s="1"/>
  <c r="DP28" i="280"/>
  <c r="DP29" i="280" s="1"/>
  <c r="DP73" i="265" s="1"/>
  <c r="AL73" i="277" s="1"/>
  <c r="CE52" i="281"/>
  <c r="CE53" i="281" s="1"/>
  <c r="CF114" i="281"/>
  <c r="CF31" i="265" s="1"/>
  <c r="CF123" i="281"/>
  <c r="CF124" i="281" s="1"/>
  <c r="AJ70" i="280" l="1"/>
  <c r="AJ51" i="280"/>
  <c r="AJ52" i="280" s="1"/>
  <c r="AJ14" i="286"/>
  <c r="AJ16" i="286" s="1"/>
  <c r="AJ18" i="286" s="1"/>
  <c r="AJ40" i="280"/>
  <c r="AJ41" i="280" s="1"/>
  <c r="AK40" i="287"/>
  <c r="AK41" i="287" s="1"/>
  <c r="AK46" i="287" s="1"/>
  <c r="AK48" i="287" s="1"/>
  <c r="AK76" i="287"/>
  <c r="AK62" i="287"/>
  <c r="DQ26" i="280"/>
  <c r="DQ16" i="280" s="1"/>
  <c r="DQ18" i="280" s="1"/>
  <c r="DQ15" i="286" s="1"/>
  <c r="CF69" i="265"/>
  <c r="CG121" i="281"/>
  <c r="CE30" i="265"/>
  <c r="CE62" i="281"/>
  <c r="CE63" i="281" s="1"/>
  <c r="AK16" i="265" l="1"/>
  <c r="AK35" i="265"/>
  <c r="AJ74" i="265"/>
  <c r="AK38" i="280"/>
  <c r="AK57" i="280" s="1"/>
  <c r="AK49" i="280"/>
  <c r="AK62" i="280" s="1"/>
  <c r="AJ63" i="265"/>
  <c r="AK77" i="287"/>
  <c r="AK78" i="287" s="1"/>
  <c r="AK71" i="287"/>
  <c r="AK72" i="287" s="1"/>
  <c r="AK49" i="287"/>
  <c r="AK36" i="265" s="1"/>
  <c r="AJ52" i="265"/>
  <c r="AJ24" i="265"/>
  <c r="DQ19" i="280"/>
  <c r="DQ49" i="265" s="1"/>
  <c r="DQ28" i="280"/>
  <c r="DQ29" i="280" s="1"/>
  <c r="DQ73" i="265" s="1"/>
  <c r="CE33" i="265"/>
  <c r="CE64" i="265"/>
  <c r="CF60" i="281"/>
  <c r="CG112" i="281"/>
  <c r="CG113" i="281" s="1"/>
  <c r="AC69" i="277"/>
  <c r="AJ25" i="265" l="1"/>
  <c r="P24" i="277"/>
  <c r="P25" i="277" s="1"/>
  <c r="AJ75" i="265"/>
  <c r="AJ81" i="265" s="1"/>
  <c r="Q74" i="277"/>
  <c r="Q75" i="277" s="1"/>
  <c r="Q81" i="277" s="1"/>
  <c r="AK37" i="265"/>
  <c r="AK42" i="265" s="1"/>
  <c r="AK47" i="265" s="1"/>
  <c r="AK50" i="265" s="1"/>
  <c r="AJ53" i="265"/>
  <c r="P51" i="277"/>
  <c r="AK70" i="265"/>
  <c r="AL70" i="287"/>
  <c r="AJ65" i="265"/>
  <c r="AJ67" i="265" s="1"/>
  <c r="AJ80" i="265" s="1"/>
  <c r="Q63" i="277"/>
  <c r="Q65" i="277" s="1"/>
  <c r="Q67" i="277" s="1"/>
  <c r="Q80" i="277" s="1"/>
  <c r="AK19" i="265"/>
  <c r="AK22" i="265" s="1"/>
  <c r="DR26" i="280"/>
  <c r="DR16" i="280" s="1"/>
  <c r="DR18" i="280" s="1"/>
  <c r="DR15" i="286" s="1"/>
  <c r="CF52" i="281"/>
  <c r="CF53" i="281" s="1"/>
  <c r="CG123" i="281"/>
  <c r="CG124" i="281" s="1"/>
  <c r="CG114" i="281"/>
  <c r="CG31" i="265" s="1"/>
  <c r="AJ83" i="265" l="1"/>
  <c r="AJ82" i="265"/>
  <c r="AK58" i="280"/>
  <c r="AK59" i="280" s="1"/>
  <c r="AK67" i="280" s="1"/>
  <c r="AK39" i="280"/>
  <c r="Q83" i="277"/>
  <c r="Q82" i="277"/>
  <c r="AL59" i="287"/>
  <c r="AL61" i="287" s="1"/>
  <c r="AK50" i="280"/>
  <c r="AK63" i="280"/>
  <c r="AK64" i="280" s="1"/>
  <c r="AK68" i="280" s="1"/>
  <c r="DR19" i="280"/>
  <c r="DR49" i="265" s="1"/>
  <c r="DR28" i="280"/>
  <c r="DR29" i="280" s="1"/>
  <c r="DR73" i="265" s="1"/>
  <c r="CG69" i="265"/>
  <c r="CH121" i="281"/>
  <c r="CF30" i="265"/>
  <c r="CF62" i="281"/>
  <c r="CF63" i="281" s="1"/>
  <c r="AL40" i="287" l="1"/>
  <c r="AL41" i="287" s="1"/>
  <c r="AL46" i="287" s="1"/>
  <c r="AL48" i="287" s="1"/>
  <c r="AL62" i="287"/>
  <c r="AL76" i="287"/>
  <c r="AK69" i="280"/>
  <c r="DS26" i="280"/>
  <c r="DS16" i="280" s="1"/>
  <c r="DS18" i="280" s="1"/>
  <c r="DS15" i="286" s="1"/>
  <c r="CF64" i="265"/>
  <c r="AC64" i="277" s="1"/>
  <c r="CG60" i="281"/>
  <c r="CH112" i="281"/>
  <c r="CH113" i="281" s="1"/>
  <c r="CF33" i="265"/>
  <c r="AB30" i="277"/>
  <c r="AK70" i="280" l="1"/>
  <c r="AK40" i="280"/>
  <c r="AK41" i="280" s="1"/>
  <c r="AK14" i="286"/>
  <c r="AK16" i="286" s="1"/>
  <c r="AK18" i="286" s="1"/>
  <c r="AK51" i="280"/>
  <c r="AK52" i="280" s="1"/>
  <c r="AL35" i="265"/>
  <c r="AL16" i="265"/>
  <c r="AL77" i="287"/>
  <c r="AL78" i="287" s="1"/>
  <c r="AL71" i="287"/>
  <c r="AL72" i="287" s="1"/>
  <c r="AL49" i="287"/>
  <c r="AL36" i="265" s="1"/>
  <c r="DS19" i="280"/>
  <c r="DS49" i="265" s="1"/>
  <c r="DS28" i="280"/>
  <c r="DS29" i="280" s="1"/>
  <c r="DT26" i="280" s="1"/>
  <c r="CH114" i="281"/>
  <c r="CH31" i="265" s="1"/>
  <c r="CH123" i="281"/>
  <c r="CH124" i="281" s="1"/>
  <c r="CG52" i="281"/>
  <c r="CG53" i="281" s="1"/>
  <c r="AL70" i="265" l="1"/>
  <c r="AM70" i="287"/>
  <c r="AL19" i="265"/>
  <c r="AL22" i="265" s="1"/>
  <c r="AK63" i="265"/>
  <c r="AK65" i="265" s="1"/>
  <c r="AK67" i="265" s="1"/>
  <c r="AK80" i="265" s="1"/>
  <c r="AL49" i="280"/>
  <c r="AL62" i="280" s="1"/>
  <c r="AK74" i="265"/>
  <c r="AK75" i="265" s="1"/>
  <c r="AK81" i="265" s="1"/>
  <c r="AL38" i="280"/>
  <c r="AL57" i="280" s="1"/>
  <c r="AL37" i="265"/>
  <c r="AL42" i="265" s="1"/>
  <c r="AL47" i="265" s="1"/>
  <c r="AL50" i="265" s="1"/>
  <c r="AK24" i="265"/>
  <c r="AK52" i="265"/>
  <c r="DS73" i="265"/>
  <c r="DT16" i="280"/>
  <c r="DT18" i="280" s="1"/>
  <c r="DT15" i="286" s="1"/>
  <c r="CG30" i="265"/>
  <c r="CG62" i="281"/>
  <c r="CG63" i="281" s="1"/>
  <c r="CH69" i="265"/>
  <c r="CI121" i="281"/>
  <c r="AK53" i="265" l="1"/>
  <c r="AM59" i="287"/>
  <c r="AM61" i="287" s="1"/>
  <c r="AK25" i="265"/>
  <c r="AL63" i="280"/>
  <c r="AL64" i="280" s="1"/>
  <c r="AL68" i="280" s="1"/>
  <c r="AL50" i="280"/>
  <c r="AK83" i="265"/>
  <c r="AK82" i="265"/>
  <c r="AL58" i="280"/>
  <c r="AL59" i="280" s="1"/>
  <c r="AL67" i="280" s="1"/>
  <c r="AL69" i="280" s="1"/>
  <c r="AL39" i="280"/>
  <c r="DT19" i="280"/>
  <c r="DT49" i="265" s="1"/>
  <c r="DT28" i="280"/>
  <c r="DT29" i="280" s="1"/>
  <c r="DU26" i="280" s="1"/>
  <c r="CI112" i="281"/>
  <c r="CI113" i="281" s="1"/>
  <c r="CG64" i="265"/>
  <c r="CH60" i="281"/>
  <c r="CG33" i="265"/>
  <c r="AL70" i="280" l="1"/>
  <c r="AL14" i="286"/>
  <c r="AL16" i="286" s="1"/>
  <c r="AL18" i="286" s="1"/>
  <c r="AL40" i="280"/>
  <c r="AL41" i="280" s="1"/>
  <c r="AL51" i="280"/>
  <c r="AL52" i="280" s="1"/>
  <c r="AM40" i="287"/>
  <c r="AM41" i="287" s="1"/>
  <c r="AM46" i="287" s="1"/>
  <c r="AM48" i="287" s="1"/>
  <c r="AM76" i="287"/>
  <c r="AM62" i="287"/>
  <c r="DT73" i="265"/>
  <c r="AM73" i="277" s="1"/>
  <c r="DU16" i="280"/>
  <c r="DU18" i="280" s="1"/>
  <c r="DU15" i="286" s="1"/>
  <c r="CH52" i="281"/>
  <c r="CH53" i="281" s="1"/>
  <c r="CI123" i="281"/>
  <c r="CI124" i="281" s="1"/>
  <c r="CI114" i="281"/>
  <c r="CI31" i="265" s="1"/>
  <c r="AM16" i="265" l="1"/>
  <c r="AM35" i="265"/>
  <c r="AM77" i="287"/>
  <c r="AM71" i="287"/>
  <c r="AM72" i="287" s="1"/>
  <c r="AM49" i="287"/>
  <c r="AM36" i="265" s="1"/>
  <c r="AM49" i="280"/>
  <c r="AM62" i="280" s="1"/>
  <c r="AL63" i="265"/>
  <c r="AL65" i="265" s="1"/>
  <c r="AL67" i="265" s="1"/>
  <c r="AL80" i="265" s="1"/>
  <c r="AM78" i="287"/>
  <c r="AM38" i="280"/>
  <c r="AM57" i="280" s="1"/>
  <c r="AL74" i="265"/>
  <c r="AL75" i="265" s="1"/>
  <c r="AL81" i="265" s="1"/>
  <c r="AL52" i="265"/>
  <c r="AL24" i="265"/>
  <c r="DU19" i="280"/>
  <c r="DU49" i="265" s="1"/>
  <c r="DU28" i="280"/>
  <c r="DU29" i="280" s="1"/>
  <c r="DU73" i="265" s="1"/>
  <c r="CI69" i="265"/>
  <c r="CJ121" i="281"/>
  <c r="CH30" i="265"/>
  <c r="CH62" i="281"/>
  <c r="CH63" i="281" s="1"/>
  <c r="AL82" i="265" l="1"/>
  <c r="AL25" i="265"/>
  <c r="AL83" i="265"/>
  <c r="AN70" i="287"/>
  <c r="AM70" i="265"/>
  <c r="AM37" i="265"/>
  <c r="AM42" i="265" s="1"/>
  <c r="AM47" i="265" s="1"/>
  <c r="AM50" i="265" s="1"/>
  <c r="AL53" i="265"/>
  <c r="AM19" i="265"/>
  <c r="AM22" i="265" s="1"/>
  <c r="DV26" i="280"/>
  <c r="DV16" i="280" s="1"/>
  <c r="DV18" i="280" s="1"/>
  <c r="DV15" i="286" s="1"/>
  <c r="CH64" i="265"/>
  <c r="CI60" i="281"/>
  <c r="CJ112" i="281"/>
  <c r="CJ113" i="281" s="1"/>
  <c r="CH33" i="265"/>
  <c r="AM58" i="280" l="1"/>
  <c r="AM59" i="280" s="1"/>
  <c r="AM67" i="280" s="1"/>
  <c r="AM39" i="280"/>
  <c r="AM63" i="280"/>
  <c r="AM64" i="280" s="1"/>
  <c r="AM68" i="280" s="1"/>
  <c r="AM50" i="280"/>
  <c r="AN59" i="287"/>
  <c r="AN61" i="287" s="1"/>
  <c r="DV19" i="280"/>
  <c r="DV49" i="265" s="1"/>
  <c r="DV28" i="280"/>
  <c r="DV29" i="280" s="1"/>
  <c r="DW26" i="280" s="1"/>
  <c r="CI52" i="281"/>
  <c r="CI53" i="281" s="1"/>
  <c r="CJ114" i="281"/>
  <c r="CJ31" i="265" s="1"/>
  <c r="CJ123" i="281"/>
  <c r="CJ124" i="281" s="1"/>
  <c r="AN40" i="287" l="1"/>
  <c r="AN41" i="287" s="1"/>
  <c r="AN46" i="287" s="1"/>
  <c r="AN48" i="287" s="1"/>
  <c r="AN76" i="287"/>
  <c r="AN62" i="287"/>
  <c r="AM69" i="280"/>
  <c r="DV73" i="265"/>
  <c r="DW16" i="280"/>
  <c r="DW18" i="280" s="1"/>
  <c r="DW15" i="286" s="1"/>
  <c r="CJ69" i="265"/>
  <c r="CK121" i="281"/>
  <c r="CI30" i="265"/>
  <c r="CI62" i="281"/>
  <c r="CI63" i="281" s="1"/>
  <c r="AN35" i="265" l="1"/>
  <c r="AN16" i="265"/>
  <c r="AM70" i="280"/>
  <c r="AM51" i="280"/>
  <c r="AM52" i="280" s="1"/>
  <c r="AM14" i="286"/>
  <c r="AM16" i="286" s="1"/>
  <c r="AM18" i="286" s="1"/>
  <c r="AM40" i="280"/>
  <c r="AM41" i="280" s="1"/>
  <c r="AN77" i="287"/>
  <c r="AN78" i="287" s="1"/>
  <c r="AN49" i="287"/>
  <c r="AN36" i="265" s="1"/>
  <c r="AN71" i="287"/>
  <c r="AN72" i="287" s="1"/>
  <c r="DW19" i="280"/>
  <c r="DW49" i="265" s="1"/>
  <c r="DW28" i="280"/>
  <c r="DW29" i="280" s="1"/>
  <c r="DW73" i="265" s="1"/>
  <c r="CI33" i="265"/>
  <c r="AD69" i="277"/>
  <c r="CI64" i="265"/>
  <c r="CJ60" i="281"/>
  <c r="CK112" i="281"/>
  <c r="CK113" i="281" s="1"/>
  <c r="DX26" i="280" l="1"/>
  <c r="AN70" i="265"/>
  <c r="R70" i="277" s="1"/>
  <c r="AO70" i="287"/>
  <c r="AN38" i="280"/>
  <c r="AN57" i="280" s="1"/>
  <c r="AM74" i="265"/>
  <c r="AM75" i="265" s="1"/>
  <c r="AM81" i="265" s="1"/>
  <c r="AM63" i="265"/>
  <c r="AM65" i="265" s="1"/>
  <c r="AM67" i="265" s="1"/>
  <c r="AM80" i="265" s="1"/>
  <c r="AN49" i="280"/>
  <c r="AN62" i="280" s="1"/>
  <c r="AN19" i="265"/>
  <c r="AN22" i="265" s="1"/>
  <c r="Q16" i="277"/>
  <c r="Q19" i="277" s="1"/>
  <c r="Q22" i="277" s="1"/>
  <c r="AM52" i="265"/>
  <c r="AM24" i="265"/>
  <c r="AN37" i="265"/>
  <c r="AN42" i="265" s="1"/>
  <c r="AN47" i="265" s="1"/>
  <c r="AN50" i="265" s="1"/>
  <c r="Q35" i="277"/>
  <c r="DX16" i="280"/>
  <c r="DX18" i="280" s="1"/>
  <c r="DX15" i="286" s="1"/>
  <c r="CJ52" i="281"/>
  <c r="CJ53" i="281" s="1"/>
  <c r="CK123" i="281"/>
  <c r="CK124" i="281" s="1"/>
  <c r="CK114" i="281"/>
  <c r="CK31" i="265" s="1"/>
  <c r="AN50" i="280" l="1"/>
  <c r="AN63" i="280"/>
  <c r="AN64" i="280" s="1"/>
  <c r="AN68" i="280" s="1"/>
  <c r="AM53" i="265"/>
  <c r="AN39" i="280"/>
  <c r="AN58" i="280"/>
  <c r="AN59" i="280" s="1"/>
  <c r="AN67" i="280" s="1"/>
  <c r="AM83" i="265"/>
  <c r="AM82" i="265"/>
  <c r="AM25" i="265"/>
  <c r="AO59" i="287"/>
  <c r="AO61" i="287" s="1"/>
  <c r="DX19" i="280"/>
  <c r="DX49" i="265" s="1"/>
  <c r="DX28" i="280"/>
  <c r="DX29" i="280" s="1"/>
  <c r="DY26" i="280" s="1"/>
  <c r="CJ30" i="265"/>
  <c r="CJ62" i="281"/>
  <c r="CJ63" i="281" s="1"/>
  <c r="CK69" i="265"/>
  <c r="CL121" i="281"/>
  <c r="AN69" i="280" l="1"/>
  <c r="AN70" i="280" s="1"/>
  <c r="AN51" i="280"/>
  <c r="AN52" i="280" s="1"/>
  <c r="AN40" i="280"/>
  <c r="AN41" i="280" s="1"/>
  <c r="AO40" i="287"/>
  <c r="AO41" i="287" s="1"/>
  <c r="AO46" i="287" s="1"/>
  <c r="AO48" i="287" s="1"/>
  <c r="AO62" i="287"/>
  <c r="AO76" i="287"/>
  <c r="DX73" i="265"/>
  <c r="AN73" i="277" s="1"/>
  <c r="DY16" i="280"/>
  <c r="DY18" i="280" s="1"/>
  <c r="DY15" i="286" s="1"/>
  <c r="CL112" i="281"/>
  <c r="CL113" i="281" s="1"/>
  <c r="CJ64" i="265"/>
  <c r="AD64" i="277" s="1"/>
  <c r="CK60" i="281"/>
  <c r="CJ33" i="265"/>
  <c r="AC30" i="277"/>
  <c r="AN14" i="286" l="1"/>
  <c r="AN16" i="286" s="1"/>
  <c r="AN18" i="286" s="1"/>
  <c r="AO16" i="265"/>
  <c r="AO35" i="265"/>
  <c r="AN74" i="265"/>
  <c r="AO38" i="280"/>
  <c r="AO57" i="280" s="1"/>
  <c r="AN63" i="265"/>
  <c r="AO49" i="280"/>
  <c r="AO62" i="280" s="1"/>
  <c r="AO77" i="287"/>
  <c r="AO78" i="287" s="1"/>
  <c r="AO71" i="287"/>
  <c r="AO72" i="287" s="1"/>
  <c r="AO49" i="287"/>
  <c r="AO36" i="265" s="1"/>
  <c r="AN24" i="265"/>
  <c r="AN52" i="265"/>
  <c r="DY19" i="280"/>
  <c r="DY49" i="265" s="1"/>
  <c r="DY28" i="280"/>
  <c r="DY29" i="280" s="1"/>
  <c r="DZ26" i="280" s="1"/>
  <c r="CK52" i="281"/>
  <c r="CK53" i="281" s="1"/>
  <c r="CL114" i="281"/>
  <c r="CL31" i="265" s="1"/>
  <c r="CL123" i="281"/>
  <c r="CL124" i="281" s="1"/>
  <c r="AN53" i="265" l="1"/>
  <c r="Q51" i="277"/>
  <c r="AN25" i="265"/>
  <c r="Q24" i="277"/>
  <c r="Q25" i="277" s="1"/>
  <c r="AO70" i="265"/>
  <c r="AP70" i="287"/>
  <c r="AO37" i="265"/>
  <c r="AO42" i="265" s="1"/>
  <c r="AO47" i="265" s="1"/>
  <c r="AO50" i="265" s="1"/>
  <c r="AN65" i="265"/>
  <c r="AN67" i="265" s="1"/>
  <c r="AN80" i="265" s="1"/>
  <c r="R63" i="277"/>
  <c r="R65" i="277" s="1"/>
  <c r="R67" i="277" s="1"/>
  <c r="R80" i="277" s="1"/>
  <c r="AN75" i="265"/>
  <c r="AN81" i="265" s="1"/>
  <c r="R74" i="277"/>
  <c r="R75" i="277" s="1"/>
  <c r="R81" i="277" s="1"/>
  <c r="AO19" i="265"/>
  <c r="AO22" i="265" s="1"/>
  <c r="DY73" i="265"/>
  <c r="DZ16" i="280"/>
  <c r="DZ18" i="280" s="1"/>
  <c r="DZ15" i="286" s="1"/>
  <c r="CL69" i="265"/>
  <c r="CM121" i="281"/>
  <c r="CK30" i="265"/>
  <c r="CK62" i="281"/>
  <c r="CK63" i="281" s="1"/>
  <c r="AO39" i="280" l="1"/>
  <c r="AO58" i="280"/>
  <c r="AO59" i="280" s="1"/>
  <c r="AO67" i="280" s="1"/>
  <c r="AN83" i="265"/>
  <c r="AN82" i="265"/>
  <c r="AP59" i="287"/>
  <c r="AP61" i="287" s="1"/>
  <c r="R83" i="277"/>
  <c r="R82" i="277"/>
  <c r="AO63" i="280"/>
  <c r="AO64" i="280" s="1"/>
  <c r="AO68" i="280" s="1"/>
  <c r="AO50" i="280"/>
  <c r="DZ19" i="280"/>
  <c r="DZ49" i="265" s="1"/>
  <c r="DZ28" i="280"/>
  <c r="DZ29" i="280" s="1"/>
  <c r="DZ73" i="265" s="1"/>
  <c r="CK33" i="265"/>
  <c r="CM112" i="281"/>
  <c r="CM113" i="281" s="1"/>
  <c r="CK64" i="265"/>
  <c r="CL60" i="281"/>
  <c r="AO69" i="280" l="1"/>
  <c r="AP40" i="287"/>
  <c r="AP41" i="287" s="1"/>
  <c r="AP46" i="287" s="1"/>
  <c r="AP48" i="287" s="1"/>
  <c r="AP76" i="287"/>
  <c r="AP62" i="287"/>
  <c r="EA26" i="280"/>
  <c r="EA16" i="280" s="1"/>
  <c r="EA18" i="280" s="1"/>
  <c r="CL52" i="281"/>
  <c r="CL53" i="281" s="1"/>
  <c r="CM123" i="281"/>
  <c r="CM124" i="281" s="1"/>
  <c r="CM114" i="281"/>
  <c r="CM31" i="265" s="1"/>
  <c r="AP35" i="265" l="1"/>
  <c r="AP16" i="265"/>
  <c r="AO14" i="286"/>
  <c r="AO16" i="286" s="1"/>
  <c r="AO18" i="286" s="1"/>
  <c r="AO40" i="280"/>
  <c r="AO41" i="280" s="1"/>
  <c r="AO70" i="280"/>
  <c r="AO51" i="280"/>
  <c r="AO52" i="280" s="1"/>
  <c r="AP77" i="287"/>
  <c r="AP78" i="287" s="1"/>
  <c r="AP49" i="287"/>
  <c r="AP36" i="265" s="1"/>
  <c r="AP71" i="287"/>
  <c r="AP72" i="287" s="1"/>
  <c r="EA28" i="280"/>
  <c r="EA29" i="280" s="1"/>
  <c r="EA73" i="265" s="1"/>
  <c r="EA15" i="286"/>
  <c r="EA19" i="280"/>
  <c r="H18" i="280"/>
  <c r="CM69" i="265"/>
  <c r="CN121" i="281"/>
  <c r="CL30" i="265"/>
  <c r="CL62" i="281"/>
  <c r="CL63" i="281" s="1"/>
  <c r="AP70" i="265" l="1"/>
  <c r="AQ70" i="287"/>
  <c r="AO52" i="265"/>
  <c r="AO24" i="265"/>
  <c r="AP19" i="265"/>
  <c r="AP22" i="265" s="1"/>
  <c r="AO63" i="265"/>
  <c r="AO65" i="265" s="1"/>
  <c r="AO67" i="265" s="1"/>
  <c r="AO80" i="265" s="1"/>
  <c r="AP49" i="280"/>
  <c r="AP62" i="280" s="1"/>
  <c r="AO74" i="265"/>
  <c r="AO75" i="265" s="1"/>
  <c r="AO81" i="265" s="1"/>
  <c r="AP38" i="280"/>
  <c r="AP57" i="280" s="1"/>
  <c r="AP37" i="265"/>
  <c r="AP42" i="265" s="1"/>
  <c r="AP47" i="265" s="1"/>
  <c r="AP50" i="265" s="1"/>
  <c r="H28" i="280"/>
  <c r="H15" i="286"/>
  <c r="H19" i="280"/>
  <c r="H49" i="265" s="1"/>
  <c r="H61" i="269" s="1"/>
  <c r="K61" i="269" s="1"/>
  <c r="EA49" i="265"/>
  <c r="CL64" i="265"/>
  <c r="CM60" i="281"/>
  <c r="CN112" i="281"/>
  <c r="CN113" i="281" s="1"/>
  <c r="CL33" i="265"/>
  <c r="AP50" i="280" l="1"/>
  <c r="AP63" i="280"/>
  <c r="AP64" i="280" s="1"/>
  <c r="AP68" i="280" s="1"/>
  <c r="AO83" i="265"/>
  <c r="AO82" i="265"/>
  <c r="AO25" i="265"/>
  <c r="AQ59" i="287"/>
  <c r="AQ61" i="287" s="1"/>
  <c r="AP58" i="280"/>
  <c r="AP59" i="280" s="1"/>
  <c r="AP67" i="280" s="1"/>
  <c r="AP39" i="280"/>
  <c r="AO53" i="265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61" i="269"/>
  <c r="J61" i="269"/>
  <c r="CM52" i="281"/>
  <c r="CM53" i="281" s="1"/>
  <c r="CN114" i="281"/>
  <c r="CN31" i="265" s="1"/>
  <c r="CN123" i="281"/>
  <c r="CN124" i="281" s="1"/>
  <c r="AP69" i="280" l="1"/>
  <c r="AP14" i="286"/>
  <c r="AP16" i="286" s="1"/>
  <c r="AP18" i="286" s="1"/>
  <c r="AP70" i="280"/>
  <c r="AP40" i="280"/>
  <c r="AP41" i="280" s="1"/>
  <c r="AP51" i="280"/>
  <c r="AP52" i="280" s="1"/>
  <c r="AQ40" i="287"/>
  <c r="AQ41" i="287" s="1"/>
  <c r="AQ46" i="287" s="1"/>
  <c r="AQ48" i="287" s="1"/>
  <c r="AQ76" i="287"/>
  <c r="AQ62" i="287"/>
  <c r="H48" i="277"/>
  <c r="CN69" i="265"/>
  <c r="CO121" i="281"/>
  <c r="CM30" i="265"/>
  <c r="CM62" i="281"/>
  <c r="CM63" i="281" s="1"/>
  <c r="AQ49" i="280" l="1"/>
  <c r="AQ62" i="280" s="1"/>
  <c r="AP63" i="265"/>
  <c r="AP65" i="265" s="1"/>
  <c r="AP67" i="265" s="1"/>
  <c r="AP80" i="265" s="1"/>
  <c r="AP52" i="265"/>
  <c r="AP24" i="265"/>
  <c r="AQ16" i="265"/>
  <c r="AQ35" i="265"/>
  <c r="AQ77" i="287"/>
  <c r="AQ78" i="287" s="1"/>
  <c r="AQ49" i="287"/>
  <c r="AQ36" i="265" s="1"/>
  <c r="AQ71" i="287"/>
  <c r="AQ72" i="287" s="1"/>
  <c r="AP74" i="265"/>
  <c r="AP75" i="265" s="1"/>
  <c r="AP81" i="265" s="1"/>
  <c r="AQ38" i="280"/>
  <c r="AQ57" i="280" s="1"/>
  <c r="CM64" i="265"/>
  <c r="CN60" i="281"/>
  <c r="CO112" i="281"/>
  <c r="CO113" i="281" s="1"/>
  <c r="CM33" i="265"/>
  <c r="AE69" i="277"/>
  <c r="AQ19" i="265" l="1"/>
  <c r="AP53" i="265"/>
  <c r="AR70" i="287"/>
  <c r="AQ70" i="265"/>
  <c r="AQ37" i="265"/>
  <c r="AQ42" i="265" s="1"/>
  <c r="AQ47" i="265" s="1"/>
  <c r="AQ50" i="265" s="1"/>
  <c r="AP25" i="265"/>
  <c r="AP82" i="265"/>
  <c r="AP83" i="265"/>
  <c r="CN52" i="281"/>
  <c r="CN53" i="281" s="1"/>
  <c r="CO123" i="281"/>
  <c r="CO124" i="281" s="1"/>
  <c r="CO114" i="281"/>
  <c r="CO31" i="265" s="1"/>
  <c r="AQ22" i="265" l="1"/>
  <c r="AQ50" i="280"/>
  <c r="AQ63" i="280"/>
  <c r="AQ64" i="280" s="1"/>
  <c r="AQ68" i="280" s="1"/>
  <c r="AR59" i="287"/>
  <c r="AR61" i="287" s="1"/>
  <c r="CO69" i="265"/>
  <c r="CP121" i="281"/>
  <c r="CN30" i="265"/>
  <c r="CN62" i="281"/>
  <c r="CN63" i="281" s="1"/>
  <c r="AR40" i="287" l="1"/>
  <c r="AR41" i="287" s="1"/>
  <c r="AR46" i="287" s="1"/>
  <c r="AR48" i="287" s="1"/>
  <c r="AR62" i="287"/>
  <c r="AR76" i="287"/>
  <c r="AQ58" i="280"/>
  <c r="AQ59" i="280" s="1"/>
  <c r="AQ67" i="280" s="1"/>
  <c r="AQ69" i="280" s="1"/>
  <c r="AQ39" i="280"/>
  <c r="CN64" i="265"/>
  <c r="AE64" i="277" s="1"/>
  <c r="CO60" i="281"/>
  <c r="CP112" i="281"/>
  <c r="CP113" i="281" s="1"/>
  <c r="CN33" i="265"/>
  <c r="AD30" i="277"/>
  <c r="AR35" i="265" l="1"/>
  <c r="AR16" i="265"/>
  <c r="AQ70" i="280"/>
  <c r="AQ51" i="280"/>
  <c r="AQ52" i="280" s="1"/>
  <c r="AQ14" i="286"/>
  <c r="AQ16" i="286" s="1"/>
  <c r="AQ18" i="286" s="1"/>
  <c r="AQ40" i="280"/>
  <c r="AQ41" i="280" s="1"/>
  <c r="AR77" i="287"/>
  <c r="AR78" i="287" s="1"/>
  <c r="AR71" i="287"/>
  <c r="AR72" i="287" s="1"/>
  <c r="AR49" i="287"/>
  <c r="AR36" i="265" s="1"/>
  <c r="CO52" i="281"/>
  <c r="CO53" i="281" s="1"/>
  <c r="CP114" i="281"/>
  <c r="CP31" i="265" s="1"/>
  <c r="CP123" i="281"/>
  <c r="CP124" i="281" s="1"/>
  <c r="AR38" i="280" l="1"/>
  <c r="AR57" i="280" s="1"/>
  <c r="AQ74" i="265"/>
  <c r="AQ75" i="265" s="1"/>
  <c r="AQ81" i="265" s="1"/>
  <c r="AR49" i="280"/>
  <c r="AR62" i="280" s="1"/>
  <c r="AQ63" i="265"/>
  <c r="AQ65" i="265" s="1"/>
  <c r="AQ67" i="265" s="1"/>
  <c r="AQ80" i="265" s="1"/>
  <c r="AR37" i="265"/>
  <c r="AR42" i="265" s="1"/>
  <c r="AR47" i="265" s="1"/>
  <c r="AR50" i="265" s="1"/>
  <c r="R35" i="277"/>
  <c r="AR70" i="265"/>
  <c r="AS70" i="287"/>
  <c r="AQ24" i="265"/>
  <c r="AQ52" i="265"/>
  <c r="AR19" i="265"/>
  <c r="R16" i="277"/>
  <c r="CP69" i="265"/>
  <c r="CQ121" i="281"/>
  <c r="CO30" i="265"/>
  <c r="CO62" i="281"/>
  <c r="CO63" i="281" s="1"/>
  <c r="R19" i="277" l="1"/>
  <c r="AQ53" i="265"/>
  <c r="AS59" i="287"/>
  <c r="AS61" i="287" s="1"/>
  <c r="AQ83" i="265"/>
  <c r="AQ82" i="265"/>
  <c r="AR22" i="265"/>
  <c r="AQ25" i="265"/>
  <c r="S70" i="277"/>
  <c r="AR50" i="280"/>
  <c r="AR63" i="280"/>
  <c r="AR64" i="280" s="1"/>
  <c r="AR68" i="280" s="1"/>
  <c r="CO64" i="265"/>
  <c r="CP60" i="281"/>
  <c r="CQ112" i="281"/>
  <c r="CQ113" i="281" s="1"/>
  <c r="CO33" i="265"/>
  <c r="AR39" i="280" l="1"/>
  <c r="AR58" i="280"/>
  <c r="AR59" i="280" s="1"/>
  <c r="AR67" i="280" s="1"/>
  <c r="AR69" i="280" s="1"/>
  <c r="AS40" i="287"/>
  <c r="AS41" i="287" s="1"/>
  <c r="AS46" i="287" s="1"/>
  <c r="AS48" i="287" s="1"/>
  <c r="AS76" i="287"/>
  <c r="AS62" i="287"/>
  <c r="R22" i="277"/>
  <c r="CP52" i="281"/>
  <c r="CP53" i="281" s="1"/>
  <c r="CQ123" i="281"/>
  <c r="CQ124" i="281" s="1"/>
  <c r="CQ114" i="281"/>
  <c r="CQ31" i="265" s="1"/>
  <c r="AS35" i="265" l="1"/>
  <c r="AS16" i="265"/>
  <c r="AS77" i="287"/>
  <c r="AS78" i="287" s="1"/>
  <c r="AS49" i="287"/>
  <c r="AS36" i="265" s="1"/>
  <c r="AS71" i="287"/>
  <c r="AS72" i="287" s="1"/>
  <c r="AR70" i="280"/>
  <c r="AR51" i="280"/>
  <c r="AR52" i="280" s="1"/>
  <c r="AR14" i="286"/>
  <c r="AR16" i="286" s="1"/>
  <c r="AR18" i="286" s="1"/>
  <c r="AR40" i="280"/>
  <c r="AR41" i="280" s="1"/>
  <c r="CQ69" i="265"/>
  <c r="CR121" i="281"/>
  <c r="CP30" i="265"/>
  <c r="CP62" i="281"/>
  <c r="CP63" i="281" s="1"/>
  <c r="AR52" i="265" l="1"/>
  <c r="AR24" i="265"/>
  <c r="AT70" i="287"/>
  <c r="AS70" i="265"/>
  <c r="AS19" i="265"/>
  <c r="AR74" i="265"/>
  <c r="AS38" i="280"/>
  <c r="AS57" i="280" s="1"/>
  <c r="AS49" i="280"/>
  <c r="AS62" i="280" s="1"/>
  <c r="AR63" i="265"/>
  <c r="AS37" i="265"/>
  <c r="AS42" i="265" s="1"/>
  <c r="AS47" i="265" s="1"/>
  <c r="AS50" i="265" s="1"/>
  <c r="CP33" i="265"/>
  <c r="CP64" i="265"/>
  <c r="CQ60" i="281"/>
  <c r="CR112" i="281"/>
  <c r="CR113" i="281" s="1"/>
  <c r="AS50" i="280" l="1"/>
  <c r="AS63" i="280"/>
  <c r="AS64" i="280" s="1"/>
  <c r="AS68" i="280" s="1"/>
  <c r="S63" i="277"/>
  <c r="S65" i="277" s="1"/>
  <c r="S67" i="277" s="1"/>
  <c r="S80" i="277" s="1"/>
  <c r="AR65" i="265"/>
  <c r="AR67" i="265" s="1"/>
  <c r="AR80" i="265" s="1"/>
  <c r="R24" i="277"/>
  <c r="R25" i="277" s="1"/>
  <c r="AR25" i="265"/>
  <c r="S74" i="277"/>
  <c r="S75" i="277" s="1"/>
  <c r="S81" i="277" s="1"/>
  <c r="AR75" i="265"/>
  <c r="AR81" i="265" s="1"/>
  <c r="AS22" i="265"/>
  <c r="AT59" i="287"/>
  <c r="AT61" i="287" s="1"/>
  <c r="R51" i="277"/>
  <c r="AR53" i="265"/>
  <c r="CQ52" i="281"/>
  <c r="CQ53" i="281" s="1"/>
  <c r="CR114" i="281"/>
  <c r="CR31" i="265" s="1"/>
  <c r="CR123" i="281"/>
  <c r="CR124" i="281" s="1"/>
  <c r="AT40" i="287" l="1"/>
  <c r="AT41" i="287" s="1"/>
  <c r="AT46" i="287" s="1"/>
  <c r="AT48" i="287" s="1"/>
  <c r="AT76" i="287"/>
  <c r="AT62" i="287"/>
  <c r="AR82" i="265"/>
  <c r="AR83" i="265"/>
  <c r="AS39" i="280"/>
  <c r="AS58" i="280"/>
  <c r="AS59" i="280" s="1"/>
  <c r="AS67" i="280" s="1"/>
  <c r="AS69" i="280" s="1"/>
  <c r="S82" i="277"/>
  <c r="S83" i="277"/>
  <c r="CR69" i="265"/>
  <c r="CS121" i="281"/>
  <c r="CQ30" i="265"/>
  <c r="CQ62" i="281"/>
  <c r="CQ63" i="281" s="1"/>
  <c r="AS14" i="286" l="1"/>
  <c r="AS16" i="286" s="1"/>
  <c r="AS18" i="286" s="1"/>
  <c r="AS40" i="280"/>
  <c r="AS41" i="280" s="1"/>
  <c r="AS70" i="280"/>
  <c r="AS51" i="280"/>
  <c r="AS52" i="280" s="1"/>
  <c r="AT35" i="265"/>
  <c r="AT16" i="265"/>
  <c r="AT77" i="287"/>
  <c r="AT78" i="287" s="1"/>
  <c r="AT71" i="287"/>
  <c r="AT72" i="287" s="1"/>
  <c r="AT49" i="287"/>
  <c r="AT36" i="265" s="1"/>
  <c r="CQ33" i="265"/>
  <c r="CQ64" i="265"/>
  <c r="CR60" i="281"/>
  <c r="CS112" i="281"/>
  <c r="CS113" i="281" s="1"/>
  <c r="AF69" i="277"/>
  <c r="AU70" i="287" l="1"/>
  <c r="AT70" i="265"/>
  <c r="AT37" i="265"/>
  <c r="AT42" i="265" s="1"/>
  <c r="AT47" i="265" s="1"/>
  <c r="AT50" i="265" s="1"/>
  <c r="AS52" i="265"/>
  <c r="AS24" i="265"/>
  <c r="AT19" i="265"/>
  <c r="AS63" i="265"/>
  <c r="AS65" i="265" s="1"/>
  <c r="AS67" i="265" s="1"/>
  <c r="AS80" i="265" s="1"/>
  <c r="AT49" i="280"/>
  <c r="AT62" i="280" s="1"/>
  <c r="AT38" i="280"/>
  <c r="AT57" i="280" s="1"/>
  <c r="AS74" i="265"/>
  <c r="AS75" i="265" s="1"/>
  <c r="AS81" i="265" s="1"/>
  <c r="CR52" i="281"/>
  <c r="CR53" i="281" s="1"/>
  <c r="CS123" i="281"/>
  <c r="CS124" i="281" s="1"/>
  <c r="CS114" i="281"/>
  <c r="CS31" i="265" s="1"/>
  <c r="AS83" i="265" l="1"/>
  <c r="AS82" i="265"/>
  <c r="AT22" i="265"/>
  <c r="AS53" i="265"/>
  <c r="AT50" i="280"/>
  <c r="AT63" i="280"/>
  <c r="AU59" i="287"/>
  <c r="AU61" i="287" s="1"/>
  <c r="AT64" i="280"/>
  <c r="AT68" i="280" s="1"/>
  <c r="AS25" i="265"/>
  <c r="CS69" i="265"/>
  <c r="CT121" i="281"/>
  <c r="CR30" i="265"/>
  <c r="CR62" i="281"/>
  <c r="CR63" i="281" s="1"/>
  <c r="AT58" i="280" l="1"/>
  <c r="AT59" i="280" s="1"/>
  <c r="AT67" i="280" s="1"/>
  <c r="AT69" i="280" s="1"/>
  <c r="AT39" i="280"/>
  <c r="AU40" i="287"/>
  <c r="AU41" i="287" s="1"/>
  <c r="AU46" i="287" s="1"/>
  <c r="AU48" i="287" s="1"/>
  <c r="AU62" i="287"/>
  <c r="AU76" i="287"/>
  <c r="CR64" i="265"/>
  <c r="AF64" i="277" s="1"/>
  <c r="CS60" i="281"/>
  <c r="CR33" i="265"/>
  <c r="AE30" i="277"/>
  <c r="CT112" i="281"/>
  <c r="CT113" i="281" s="1"/>
  <c r="AU16" i="265" l="1"/>
  <c r="AU35" i="265"/>
  <c r="AU77" i="287"/>
  <c r="AU78" i="287" s="1"/>
  <c r="AU49" i="287"/>
  <c r="AU36" i="265" s="1"/>
  <c r="AU71" i="287"/>
  <c r="AU72" i="287" s="1"/>
  <c r="AT70" i="280"/>
  <c r="AT40" i="280"/>
  <c r="AT41" i="280" s="1"/>
  <c r="AT14" i="286"/>
  <c r="AT16" i="286" s="1"/>
  <c r="AT18" i="286" s="1"/>
  <c r="AT51" i="280"/>
  <c r="AT52" i="280" s="1"/>
  <c r="CS52" i="281"/>
  <c r="CS53" i="281" s="1"/>
  <c r="CT114" i="281"/>
  <c r="CT31" i="265" s="1"/>
  <c r="CT123" i="281"/>
  <c r="CT124" i="281" s="1"/>
  <c r="AT63" i="265" l="1"/>
  <c r="AT65" i="265" s="1"/>
  <c r="AT67" i="265" s="1"/>
  <c r="AT80" i="265" s="1"/>
  <c r="AU49" i="280"/>
  <c r="AU62" i="280" s="1"/>
  <c r="AT74" i="265"/>
  <c r="AT75" i="265" s="1"/>
  <c r="AT81" i="265" s="1"/>
  <c r="AU38" i="280"/>
  <c r="AU57" i="280" s="1"/>
  <c r="AU70" i="265"/>
  <c r="AV70" i="287"/>
  <c r="AU37" i="265"/>
  <c r="AU42" i="265" s="1"/>
  <c r="AU47" i="265" s="1"/>
  <c r="AU50" i="265" s="1"/>
  <c r="AT24" i="265"/>
  <c r="AT52" i="265"/>
  <c r="AU19" i="265"/>
  <c r="CS30" i="265"/>
  <c r="CS62" i="281"/>
  <c r="CS63" i="281" s="1"/>
  <c r="CT69" i="265"/>
  <c r="CU121" i="281"/>
  <c r="AV59" i="287" l="1"/>
  <c r="AV61" i="287" s="1"/>
  <c r="AU22" i="265"/>
  <c r="AT25" i="265"/>
  <c r="AU50" i="280"/>
  <c r="AU63" i="280"/>
  <c r="AU64" i="280" s="1"/>
  <c r="AU68" i="280" s="1"/>
  <c r="AT82" i="265"/>
  <c r="AT83" i="265"/>
  <c r="AT53" i="265"/>
  <c r="CU112" i="281"/>
  <c r="CU113" i="281" s="1"/>
  <c r="CS64" i="265"/>
  <c r="CT60" i="281"/>
  <c r="CS33" i="265"/>
  <c r="AU58" i="280" l="1"/>
  <c r="AU59" i="280" s="1"/>
  <c r="AU67" i="280" s="1"/>
  <c r="AU69" i="280" s="1"/>
  <c r="AU39" i="280"/>
  <c r="AV40" i="287"/>
  <c r="AV41" i="287" s="1"/>
  <c r="AV46" i="287" s="1"/>
  <c r="AV48" i="287" s="1"/>
  <c r="AV76" i="287"/>
  <c r="AV62" i="287"/>
  <c r="CT52" i="281"/>
  <c r="CT53" i="281" s="1"/>
  <c r="CU123" i="281"/>
  <c r="CU124" i="281" s="1"/>
  <c r="CU114" i="281"/>
  <c r="CU31" i="265" s="1"/>
  <c r="AV77" i="287" l="1"/>
  <c r="AV78" i="287" s="1"/>
  <c r="AV71" i="287"/>
  <c r="AV72" i="287" s="1"/>
  <c r="AV49" i="287"/>
  <c r="AV36" i="265" s="1"/>
  <c r="AU14" i="286"/>
  <c r="AU16" i="286" s="1"/>
  <c r="AU18" i="286" s="1"/>
  <c r="AU40" i="280"/>
  <c r="AU41" i="280" s="1"/>
  <c r="AU70" i="280"/>
  <c r="AU51" i="280"/>
  <c r="AU52" i="280" s="1"/>
  <c r="AV35" i="265"/>
  <c r="AV16" i="265"/>
  <c r="CU69" i="265"/>
  <c r="CV121" i="281"/>
  <c r="CT30" i="265"/>
  <c r="CT62" i="281"/>
  <c r="CT63" i="281" s="1"/>
  <c r="AV19" i="265" l="1"/>
  <c r="AV22" i="265" s="1"/>
  <c r="S16" i="277"/>
  <c r="AV37" i="265"/>
  <c r="AV42" i="265" s="1"/>
  <c r="AV47" i="265" s="1"/>
  <c r="AV50" i="265" s="1"/>
  <c r="S35" i="277"/>
  <c r="AU24" i="265"/>
  <c r="AU52" i="265"/>
  <c r="AW70" i="287"/>
  <c r="AV70" i="265"/>
  <c r="AV49" i="280"/>
  <c r="AV62" i="280" s="1"/>
  <c r="AU63" i="265"/>
  <c r="AU65" i="265" s="1"/>
  <c r="AU67" i="265" s="1"/>
  <c r="AU80" i="265" s="1"/>
  <c r="AV38" i="280"/>
  <c r="AV57" i="280" s="1"/>
  <c r="AU74" i="265"/>
  <c r="AU75" i="265" s="1"/>
  <c r="AU81" i="265" s="1"/>
  <c r="CT33" i="265"/>
  <c r="CT64" i="265"/>
  <c r="CU60" i="281"/>
  <c r="CV112" i="281"/>
  <c r="CV113" i="281" s="1"/>
  <c r="AU83" i="265" l="1"/>
  <c r="AU82" i="265"/>
  <c r="T70" i="277"/>
  <c r="AU53" i="265"/>
  <c r="S19" i="277"/>
  <c r="AW59" i="287"/>
  <c r="AW61" i="287" s="1"/>
  <c r="AU25" i="265"/>
  <c r="AV50" i="280"/>
  <c r="AV63" i="280"/>
  <c r="AV64" i="280" s="1"/>
  <c r="AV68" i="280" s="1"/>
  <c r="AV39" i="280"/>
  <c r="AV58" i="280"/>
  <c r="AV59" i="280" s="1"/>
  <c r="AV67" i="280" s="1"/>
  <c r="AV69" i="280" s="1"/>
  <c r="CU52" i="281"/>
  <c r="CU53" i="281" s="1"/>
  <c r="CV114" i="281"/>
  <c r="CV31" i="265" s="1"/>
  <c r="CV123" i="281"/>
  <c r="CV124" i="281" s="1"/>
  <c r="AV70" i="280" l="1"/>
  <c r="AV14" i="286"/>
  <c r="AV16" i="286" s="1"/>
  <c r="AV18" i="286" s="1"/>
  <c r="AV40" i="280"/>
  <c r="AV41" i="280" s="1"/>
  <c r="AV51" i="280"/>
  <c r="AV52" i="280" s="1"/>
  <c r="AW40" i="287"/>
  <c r="AW41" i="287" s="1"/>
  <c r="AW46" i="287" s="1"/>
  <c r="AW48" i="287" s="1"/>
  <c r="AW76" i="287"/>
  <c r="AW62" i="287"/>
  <c r="S22" i="277"/>
  <c r="CV69" i="265"/>
  <c r="CW121" i="281"/>
  <c r="CU30" i="265"/>
  <c r="CU62" i="281"/>
  <c r="CU63" i="281" s="1"/>
  <c r="AW35" i="265" l="1"/>
  <c r="AW16" i="265"/>
  <c r="AV63" i="265"/>
  <c r="AW49" i="280"/>
  <c r="AW62" i="280" s="1"/>
  <c r="AW77" i="287"/>
  <c r="AW78" i="287" s="1"/>
  <c r="AW71" i="287"/>
  <c r="AW72" i="287" s="1"/>
  <c r="AW49" i="287"/>
  <c r="AW36" i="265" s="1"/>
  <c r="AV74" i="265"/>
  <c r="AW38" i="280"/>
  <c r="AW57" i="280" s="1"/>
  <c r="AV52" i="265"/>
  <c r="AV24" i="265"/>
  <c r="CU64" i="265"/>
  <c r="CV60" i="281"/>
  <c r="CW112" i="281"/>
  <c r="CW113" i="281" s="1"/>
  <c r="CU33" i="265"/>
  <c r="AG69" i="277"/>
  <c r="AV25" i="265" l="1"/>
  <c r="S24" i="277"/>
  <c r="S25" i="277" s="1"/>
  <c r="AV65" i="265"/>
  <c r="AV67" i="265" s="1"/>
  <c r="AV80" i="265" s="1"/>
  <c r="T63" i="277"/>
  <c r="T65" i="277" s="1"/>
  <c r="T67" i="277" s="1"/>
  <c r="T80" i="277" s="1"/>
  <c r="AW19" i="265"/>
  <c r="AW22" i="265" s="1"/>
  <c r="S51" i="277"/>
  <c r="AV53" i="265"/>
  <c r="T74" i="277"/>
  <c r="T75" i="277" s="1"/>
  <c r="T81" i="277" s="1"/>
  <c r="AV75" i="265"/>
  <c r="AV81" i="265" s="1"/>
  <c r="AX70" i="287"/>
  <c r="AW70" i="265"/>
  <c r="AW37" i="265"/>
  <c r="AW42" i="265" s="1"/>
  <c r="AW47" i="265" s="1"/>
  <c r="AW50" i="265" s="1"/>
  <c r="CV52" i="281"/>
  <c r="CV53" i="281" s="1"/>
  <c r="CW123" i="281"/>
  <c r="CW124" i="281" s="1"/>
  <c r="CW114" i="281"/>
  <c r="CW31" i="265" s="1"/>
  <c r="AW39" i="280" l="1"/>
  <c r="AW58" i="280"/>
  <c r="AW59" i="280" s="1"/>
  <c r="AW67" i="280" s="1"/>
  <c r="AV82" i="265"/>
  <c r="AV83" i="265"/>
  <c r="AX59" i="287"/>
  <c r="AX61" i="287" s="1"/>
  <c r="AW50" i="280"/>
  <c r="AW63" i="280"/>
  <c r="AW64" i="280" s="1"/>
  <c r="AW68" i="280" s="1"/>
  <c r="T83" i="277"/>
  <c r="T82" i="277"/>
  <c r="CW69" i="265"/>
  <c r="CX121" i="281"/>
  <c r="CV30" i="265"/>
  <c r="CV62" i="281"/>
  <c r="CV63" i="281" s="1"/>
  <c r="AX40" i="287" l="1"/>
  <c r="AX41" i="287" s="1"/>
  <c r="AX46" i="287" s="1"/>
  <c r="AX48" i="287" s="1"/>
  <c r="AX62" i="287"/>
  <c r="AX76" i="287"/>
  <c r="AW69" i="280"/>
  <c r="CV64" i="265"/>
  <c r="AG64" i="277" s="1"/>
  <c r="CW60" i="281"/>
  <c r="CX112" i="281"/>
  <c r="CX113" i="281" s="1"/>
  <c r="CV33" i="265"/>
  <c r="AF30" i="277"/>
  <c r="AW14" i="286" l="1"/>
  <c r="AW16" i="286" s="1"/>
  <c r="AW18" i="286" s="1"/>
  <c r="AW51" i="280"/>
  <c r="AW52" i="280" s="1"/>
  <c r="AW40" i="280"/>
  <c r="AW41" i="280" s="1"/>
  <c r="AW70" i="280"/>
  <c r="AX35" i="265"/>
  <c r="AX16" i="265"/>
  <c r="AX77" i="287"/>
  <c r="AX78" i="287" s="1"/>
  <c r="AX71" i="287"/>
  <c r="AX72" i="287" s="1"/>
  <c r="AX49" i="287"/>
  <c r="AX36" i="265" s="1"/>
  <c r="CW52" i="281"/>
  <c r="CW53" i="281" s="1"/>
  <c r="CX114" i="281"/>
  <c r="CX31" i="265" s="1"/>
  <c r="CX123" i="281"/>
  <c r="CX124" i="281" s="1"/>
  <c r="AX37" i="265" l="1"/>
  <c r="AX42" i="265" s="1"/>
  <c r="AX47" i="265" s="1"/>
  <c r="AX50" i="265" s="1"/>
  <c r="AY70" i="287"/>
  <c r="AX70" i="265"/>
  <c r="AX19" i="265"/>
  <c r="AX22" i="265" s="1"/>
  <c r="AW52" i="265"/>
  <c r="AW24" i="265"/>
  <c r="AX49" i="280"/>
  <c r="AX62" i="280" s="1"/>
  <c r="AW63" i="265"/>
  <c r="AW65" i="265" s="1"/>
  <c r="AW67" i="265" s="1"/>
  <c r="AW80" i="265" s="1"/>
  <c r="AW74" i="265"/>
  <c r="AW75" i="265" s="1"/>
  <c r="AW81" i="265" s="1"/>
  <c r="AX38" i="280"/>
  <c r="AX57" i="280" s="1"/>
  <c r="CX69" i="265"/>
  <c r="CY121" i="281"/>
  <c r="CW30" i="265"/>
  <c r="CW62" i="281"/>
  <c r="CW63" i="281" s="1"/>
  <c r="AW53" i="265" l="1"/>
  <c r="AX58" i="280"/>
  <c r="AX59" i="280" s="1"/>
  <c r="AX67" i="280" s="1"/>
  <c r="AX39" i="280"/>
  <c r="AY59" i="287"/>
  <c r="AY61" i="287" s="1"/>
  <c r="AX63" i="280"/>
  <c r="AX64" i="280" s="1"/>
  <c r="AX68" i="280" s="1"/>
  <c r="AX50" i="280"/>
  <c r="AW82" i="265"/>
  <c r="AW83" i="265"/>
  <c r="AW25" i="265"/>
  <c r="CW64" i="265"/>
  <c r="CX60" i="281"/>
  <c r="CW33" i="265"/>
  <c r="CY112" i="281"/>
  <c r="CY113" i="281" s="1"/>
  <c r="AX69" i="280" l="1"/>
  <c r="AY40" i="287"/>
  <c r="AY41" i="287" s="1"/>
  <c r="AY46" i="287" s="1"/>
  <c r="AY48" i="287" s="1"/>
  <c r="AY76" i="287"/>
  <c r="AY62" i="287"/>
  <c r="CX52" i="281"/>
  <c r="CX53" i="281" s="1"/>
  <c r="CY123" i="281"/>
  <c r="CY124" i="281" s="1"/>
  <c r="CY114" i="281"/>
  <c r="CY31" i="265" s="1"/>
  <c r="AY35" i="265" l="1"/>
  <c r="AY16" i="265"/>
  <c r="AY77" i="287"/>
  <c r="AY78" i="287" s="1"/>
  <c r="AY71" i="287"/>
  <c r="AY72" i="287" s="1"/>
  <c r="AY49" i="287"/>
  <c r="AY36" i="265" s="1"/>
  <c r="AX70" i="280"/>
  <c r="AX40" i="280"/>
  <c r="AX41" i="280" s="1"/>
  <c r="AX14" i="286"/>
  <c r="AX16" i="286" s="1"/>
  <c r="AX18" i="286" s="1"/>
  <c r="AX51" i="280"/>
  <c r="AX52" i="280" s="1"/>
  <c r="CY69" i="265"/>
  <c r="CZ121" i="281"/>
  <c r="CX30" i="265"/>
  <c r="CX62" i="281"/>
  <c r="CX63" i="281" s="1"/>
  <c r="AX24" i="265" l="1"/>
  <c r="AX52" i="265"/>
  <c r="AX63" i="265"/>
  <c r="AX65" i="265" s="1"/>
  <c r="AX67" i="265" s="1"/>
  <c r="AX80" i="265" s="1"/>
  <c r="AY49" i="280"/>
  <c r="AY62" i="280" s="1"/>
  <c r="AX74" i="265"/>
  <c r="AX75" i="265" s="1"/>
  <c r="AX81" i="265" s="1"/>
  <c r="AY38" i="280"/>
  <c r="AY57" i="280" s="1"/>
  <c r="AY70" i="265"/>
  <c r="AZ70" i="287"/>
  <c r="AY19" i="265"/>
  <c r="AY22" i="265" s="1"/>
  <c r="AY37" i="265"/>
  <c r="AY42" i="265" s="1"/>
  <c r="AY47" i="265" s="1"/>
  <c r="AY50" i="265" s="1"/>
  <c r="CX64" i="265"/>
  <c r="CY60" i="281"/>
  <c r="CZ112" i="281"/>
  <c r="CZ113" i="281" s="1"/>
  <c r="CX33" i="265"/>
  <c r="AY63" i="280" l="1"/>
  <c r="AY50" i="280"/>
  <c r="AZ59" i="287"/>
  <c r="AZ61" i="287" s="1"/>
  <c r="AY64" i="280"/>
  <c r="AY68" i="280" s="1"/>
  <c r="AX53" i="265"/>
  <c r="AY39" i="280"/>
  <c r="AY58" i="280"/>
  <c r="AY59" i="280" s="1"/>
  <c r="AY67" i="280" s="1"/>
  <c r="AY69" i="280" s="1"/>
  <c r="AX82" i="265"/>
  <c r="AX83" i="265"/>
  <c r="AX25" i="265"/>
  <c r="CY52" i="281"/>
  <c r="CY53" i="281" s="1"/>
  <c r="CZ114" i="281"/>
  <c r="CZ31" i="265" s="1"/>
  <c r="CZ123" i="281"/>
  <c r="CZ124" i="281" s="1"/>
  <c r="AY14" i="286" l="1"/>
  <c r="AY16" i="286" s="1"/>
  <c r="AY18" i="286" s="1"/>
  <c r="AY40" i="280"/>
  <c r="AY41" i="280" s="1"/>
  <c r="AY70" i="280"/>
  <c r="AY51" i="280"/>
  <c r="AY52" i="280" s="1"/>
  <c r="AZ40" i="287"/>
  <c r="AZ41" i="287" s="1"/>
  <c r="AZ46" i="287" s="1"/>
  <c r="AZ48" i="287" s="1"/>
  <c r="AZ76" i="287"/>
  <c r="AZ62" i="287"/>
  <c r="CZ69" i="265"/>
  <c r="DA121" i="281"/>
  <c r="CY30" i="265"/>
  <c r="CY62" i="281"/>
  <c r="CY63" i="281" s="1"/>
  <c r="AY63" i="265" l="1"/>
  <c r="AY65" i="265" s="1"/>
  <c r="AY67" i="265" s="1"/>
  <c r="AY80" i="265" s="1"/>
  <c r="AZ49" i="280"/>
  <c r="AZ62" i="280" s="1"/>
  <c r="AY74" i="265"/>
  <c r="AY75" i="265" s="1"/>
  <c r="AY81" i="265" s="1"/>
  <c r="AZ38" i="280"/>
  <c r="AZ57" i="280" s="1"/>
  <c r="AZ16" i="265"/>
  <c r="AZ35" i="265"/>
  <c r="AZ77" i="287"/>
  <c r="AZ78" i="287" s="1"/>
  <c r="AZ49" i="287"/>
  <c r="AZ36" i="265" s="1"/>
  <c r="AZ71" i="287"/>
  <c r="AZ72" i="287" s="1"/>
  <c r="AY52" i="265"/>
  <c r="AY24" i="265"/>
  <c r="CY64" i="265"/>
  <c r="CZ60" i="281"/>
  <c r="DA112" i="281"/>
  <c r="DA113" i="281" s="1"/>
  <c r="CY33" i="265"/>
  <c r="AH69" i="277"/>
  <c r="AY25" i="265" l="1"/>
  <c r="AZ70" i="265"/>
  <c r="BA70" i="287"/>
  <c r="AZ19" i="265"/>
  <c r="AZ22" i="265" s="1"/>
  <c r="T16" i="277"/>
  <c r="AY82" i="265"/>
  <c r="AY83" i="265"/>
  <c r="AY53" i="265"/>
  <c r="AZ37" i="265"/>
  <c r="AZ42" i="265" s="1"/>
  <c r="AZ47" i="265" s="1"/>
  <c r="AZ50" i="265" s="1"/>
  <c r="T35" i="277"/>
  <c r="CZ52" i="281"/>
  <c r="CZ53" i="281" s="1"/>
  <c r="DA123" i="281"/>
  <c r="DA124" i="281" s="1"/>
  <c r="DA114" i="281"/>
  <c r="DA31" i="265" s="1"/>
  <c r="T19" i="277" l="1"/>
  <c r="BA59" i="287"/>
  <c r="BA61" i="287" s="1"/>
  <c r="AZ50" i="280"/>
  <c r="AZ63" i="280"/>
  <c r="AZ64" i="280" s="1"/>
  <c r="AZ68" i="280" s="1"/>
  <c r="AZ58" i="280"/>
  <c r="AZ59" i="280" s="1"/>
  <c r="AZ67" i="280" s="1"/>
  <c r="AZ69" i="280" s="1"/>
  <c r="AZ39" i="280"/>
  <c r="U70" i="277"/>
  <c r="DA69" i="265"/>
  <c r="DB121" i="281"/>
  <c r="CZ30" i="265"/>
  <c r="CZ62" i="281"/>
  <c r="CZ63" i="281" s="1"/>
  <c r="AZ70" i="280" l="1"/>
  <c r="AZ14" i="286"/>
  <c r="AZ16" i="286" s="1"/>
  <c r="AZ18" i="286" s="1"/>
  <c r="AZ51" i="280"/>
  <c r="AZ52" i="280" s="1"/>
  <c r="AZ40" i="280"/>
  <c r="AZ41" i="280" s="1"/>
  <c r="BA40" i="287"/>
  <c r="BA41" i="287" s="1"/>
  <c r="BA46" i="287" s="1"/>
  <c r="BA48" i="287" s="1"/>
  <c r="BA62" i="287"/>
  <c r="BA76" i="287"/>
  <c r="T22" i="277"/>
  <c r="CZ64" i="265"/>
  <c r="AH64" i="277" s="1"/>
  <c r="DA60" i="281"/>
  <c r="DB112" i="281"/>
  <c r="DB113" i="281" s="1"/>
  <c r="CZ33" i="265"/>
  <c r="AG30" i="277"/>
  <c r="BA35" i="265" l="1"/>
  <c r="BA16" i="265"/>
  <c r="BA38" i="280"/>
  <c r="BA57" i="280" s="1"/>
  <c r="AZ74" i="265"/>
  <c r="BA77" i="287"/>
  <c r="BA78" i="287" s="1"/>
  <c r="BA71" i="287"/>
  <c r="BA72" i="287" s="1"/>
  <c r="BA49" i="287"/>
  <c r="BA36" i="265" s="1"/>
  <c r="AZ63" i="265"/>
  <c r="BA49" i="280"/>
  <c r="BA62" i="280" s="1"/>
  <c r="AZ52" i="265"/>
  <c r="AZ24" i="265"/>
  <c r="DA52" i="281"/>
  <c r="DA53" i="281" s="1"/>
  <c r="DB114" i="281"/>
  <c r="DB31" i="265" s="1"/>
  <c r="DB123" i="281"/>
  <c r="DB124" i="281" s="1"/>
  <c r="T51" i="277" l="1"/>
  <c r="AZ53" i="265"/>
  <c r="AZ65" i="265"/>
  <c r="AZ67" i="265" s="1"/>
  <c r="AZ80" i="265" s="1"/>
  <c r="U63" i="277"/>
  <c r="U65" i="277" s="1"/>
  <c r="U67" i="277" s="1"/>
  <c r="U80" i="277" s="1"/>
  <c r="BB70" i="287"/>
  <c r="BA70" i="265"/>
  <c r="U74" i="277"/>
  <c r="U75" i="277" s="1"/>
  <c r="U81" i="277" s="1"/>
  <c r="AZ75" i="265"/>
  <c r="AZ81" i="265" s="1"/>
  <c r="BA19" i="265"/>
  <c r="BA22" i="265" s="1"/>
  <c r="T24" i="277"/>
  <c r="T25" i="277" s="1"/>
  <c r="AZ25" i="265"/>
  <c r="BA37" i="265"/>
  <c r="BA42" i="265" s="1"/>
  <c r="BA47" i="265" s="1"/>
  <c r="BA50" i="265" s="1"/>
  <c r="DB69" i="265"/>
  <c r="DC121" i="281"/>
  <c r="DA30" i="265"/>
  <c r="DA62" i="281"/>
  <c r="DA63" i="281" s="1"/>
  <c r="AZ82" i="265" l="1"/>
  <c r="BA39" i="280"/>
  <c r="BA58" i="280"/>
  <c r="BA59" i="280" s="1"/>
  <c r="BA67" i="280" s="1"/>
  <c r="AZ83" i="265"/>
  <c r="U83" i="277"/>
  <c r="U82" i="277"/>
  <c r="BA50" i="280"/>
  <c r="BA63" i="280"/>
  <c r="BA64" i="280" s="1"/>
  <c r="BA68" i="280" s="1"/>
  <c r="BB59" i="287"/>
  <c r="BB61" i="287" s="1"/>
  <c r="DA64" i="265"/>
  <c r="DB60" i="281"/>
  <c r="DC112" i="281"/>
  <c r="DC113" i="281" s="1"/>
  <c r="DA33" i="265"/>
  <c r="BA69" i="280" l="1"/>
  <c r="BB40" i="287"/>
  <c r="BB41" i="287" s="1"/>
  <c r="BB46" i="287" s="1"/>
  <c r="BB48" i="287" s="1"/>
  <c r="BB76" i="287"/>
  <c r="BB62" i="287"/>
  <c r="DB52" i="281"/>
  <c r="DB53" i="281" s="1"/>
  <c r="DC123" i="281"/>
  <c r="DC124" i="281" s="1"/>
  <c r="DC114" i="281"/>
  <c r="DC31" i="265" s="1"/>
  <c r="BB35" i="265" l="1"/>
  <c r="BB16" i="265"/>
  <c r="BB77" i="287"/>
  <c r="BB78" i="287" s="1"/>
  <c r="BB49" i="287"/>
  <c r="BB36" i="265" s="1"/>
  <c r="BB71" i="287"/>
  <c r="BB72" i="287" s="1"/>
  <c r="BA14" i="286"/>
  <c r="BA16" i="286" s="1"/>
  <c r="BA18" i="286" s="1"/>
  <c r="BA51" i="280"/>
  <c r="BA52" i="280" s="1"/>
  <c r="BA70" i="280"/>
  <c r="BA40" i="280"/>
  <c r="BA41" i="280" s="1"/>
  <c r="DC69" i="265"/>
  <c r="DD121" i="281"/>
  <c r="DB30" i="265"/>
  <c r="DB62" i="281"/>
  <c r="DB63" i="281" s="1"/>
  <c r="BA52" i="265" l="1"/>
  <c r="BA24" i="265"/>
  <c r="BA74" i="265"/>
  <c r="BA75" i="265" s="1"/>
  <c r="BA81" i="265" s="1"/>
  <c r="BB38" i="280"/>
  <c r="BB57" i="280" s="1"/>
  <c r="BB49" i="280"/>
  <c r="BB62" i="280" s="1"/>
  <c r="BA63" i="265"/>
  <c r="BA65" i="265" s="1"/>
  <c r="BA67" i="265" s="1"/>
  <c r="BA80" i="265" s="1"/>
  <c r="BC70" i="287"/>
  <c r="BB70" i="265"/>
  <c r="BB19" i="265"/>
  <c r="BB22" i="265" s="1"/>
  <c r="BB37" i="265"/>
  <c r="BB42" i="265" s="1"/>
  <c r="BB47" i="265" s="1"/>
  <c r="BB50" i="265" s="1"/>
  <c r="DB64" i="265"/>
  <c r="DC60" i="281"/>
  <c r="DD112" i="281"/>
  <c r="DD113" i="281" s="1"/>
  <c r="DB33" i="265"/>
  <c r="BB63" i="280" l="1"/>
  <c r="BB50" i="280"/>
  <c r="BA83" i="265"/>
  <c r="BA82" i="265"/>
  <c r="BA25" i="265"/>
  <c r="BB58" i="280"/>
  <c r="BB59" i="280" s="1"/>
  <c r="BB67" i="280" s="1"/>
  <c r="BB39" i="280"/>
  <c r="BC59" i="287"/>
  <c r="BC61" i="287" s="1"/>
  <c r="BB64" i="280"/>
  <c r="BB68" i="280" s="1"/>
  <c r="BA53" i="265"/>
  <c r="DC52" i="281"/>
  <c r="DC53" i="281" s="1"/>
  <c r="DD114" i="281"/>
  <c r="DD31" i="265" s="1"/>
  <c r="DD123" i="281"/>
  <c r="DD124" i="281" s="1"/>
  <c r="BB69" i="280" l="1"/>
  <c r="BB14" i="286" s="1"/>
  <c r="BB16" i="286" s="1"/>
  <c r="BB18" i="286" s="1"/>
  <c r="BC40" i="287"/>
  <c r="BC41" i="287" s="1"/>
  <c r="BC46" i="287" s="1"/>
  <c r="BC48" i="287" s="1"/>
  <c r="BC76" i="287"/>
  <c r="BC62" i="287"/>
  <c r="DD69" i="265"/>
  <c r="DE121" i="281"/>
  <c r="DC30" i="265"/>
  <c r="DC62" i="281"/>
  <c r="DC63" i="281" s="1"/>
  <c r="BB40" i="280" l="1"/>
  <c r="BB41" i="280" s="1"/>
  <c r="BB51" i="280"/>
  <c r="BB52" i="280" s="1"/>
  <c r="BB70" i="280"/>
  <c r="BC35" i="265"/>
  <c r="BC16" i="265"/>
  <c r="BC38" i="280"/>
  <c r="BC57" i="280" s="1"/>
  <c r="BB74" i="265"/>
  <c r="BB75" i="265" s="1"/>
  <c r="BB81" i="265" s="1"/>
  <c r="BB63" i="265"/>
  <c r="BB65" i="265" s="1"/>
  <c r="BB67" i="265" s="1"/>
  <c r="BB80" i="265" s="1"/>
  <c r="BC49" i="280"/>
  <c r="BC62" i="280" s="1"/>
  <c r="BC77" i="287"/>
  <c r="BC78" i="287" s="1"/>
  <c r="BC49" i="287"/>
  <c r="BC36" i="265" s="1"/>
  <c r="BC71" i="287"/>
  <c r="BC72" i="287" s="1"/>
  <c r="BB52" i="265"/>
  <c r="BB24" i="265"/>
  <c r="DC33" i="265"/>
  <c r="DC64" i="265"/>
  <c r="DD60" i="281"/>
  <c r="DE112" i="281"/>
  <c r="DE113" i="281" s="1"/>
  <c r="AI69" i="277"/>
  <c r="BB25" i="265" l="1"/>
  <c r="BD70" i="287"/>
  <c r="BC70" i="265"/>
  <c r="BB83" i="265"/>
  <c r="BB82" i="265"/>
  <c r="BC19" i="265"/>
  <c r="BC22" i="265" s="1"/>
  <c r="BB53" i="265"/>
  <c r="BC37" i="265"/>
  <c r="BC42" i="265" s="1"/>
  <c r="BC47" i="265" s="1"/>
  <c r="BC50" i="265" s="1"/>
  <c r="DD52" i="281"/>
  <c r="DD53" i="281" s="1"/>
  <c r="DE123" i="281"/>
  <c r="DE124" i="281" s="1"/>
  <c r="DE114" i="281"/>
  <c r="DE31" i="265" s="1"/>
  <c r="BD59" i="287" l="1"/>
  <c r="BD61" i="287" s="1"/>
  <c r="BC63" i="280"/>
  <c r="BC64" i="280" s="1"/>
  <c r="BC68" i="280" s="1"/>
  <c r="BC50" i="280"/>
  <c r="BC39" i="280"/>
  <c r="BC58" i="280"/>
  <c r="BC59" i="280" s="1"/>
  <c r="BC67" i="280" s="1"/>
  <c r="BC69" i="280" s="1"/>
  <c r="DE69" i="265"/>
  <c r="DF121" i="281"/>
  <c r="DD30" i="265"/>
  <c r="DD62" i="281"/>
  <c r="DD63" i="281" s="1"/>
  <c r="BD40" i="287" l="1"/>
  <c r="BD41" i="287" s="1"/>
  <c r="BD46" i="287" s="1"/>
  <c r="BD48" i="287" s="1"/>
  <c r="BD62" i="287"/>
  <c r="BD76" i="287"/>
  <c r="BC14" i="286"/>
  <c r="BC16" i="286" s="1"/>
  <c r="BC18" i="286" s="1"/>
  <c r="BC40" i="280"/>
  <c r="BC41" i="280" s="1"/>
  <c r="BC70" i="280"/>
  <c r="BC51" i="280"/>
  <c r="BC52" i="280" s="1"/>
  <c r="DD64" i="265"/>
  <c r="AI64" i="277" s="1"/>
  <c r="DE60" i="281"/>
  <c r="DF112" i="281"/>
  <c r="DF113" i="281" s="1"/>
  <c r="DD33" i="265"/>
  <c r="AH30" i="277"/>
  <c r="BD49" i="280" l="1"/>
  <c r="BD62" i="280" s="1"/>
  <c r="BC63" i="265"/>
  <c r="BC65" i="265" s="1"/>
  <c r="BC67" i="265" s="1"/>
  <c r="BC80" i="265" s="1"/>
  <c r="BC74" i="265"/>
  <c r="BC75" i="265" s="1"/>
  <c r="BC81" i="265" s="1"/>
  <c r="BD38" i="280"/>
  <c r="BD57" i="280" s="1"/>
  <c r="BC24" i="265"/>
  <c r="BC52" i="265"/>
  <c r="BD35" i="265"/>
  <c r="BD16" i="265"/>
  <c r="BD77" i="287"/>
  <c r="BD78" i="287" s="1"/>
  <c r="BD71" i="287"/>
  <c r="BD72" i="287" s="1"/>
  <c r="BD49" i="287"/>
  <c r="BD36" i="265" s="1"/>
  <c r="DF114" i="281"/>
  <c r="DF31" i="265" s="1"/>
  <c r="DF123" i="281"/>
  <c r="DF124" i="281" s="1"/>
  <c r="DE52" i="281"/>
  <c r="DE53" i="281" s="1"/>
  <c r="BD37" i="265" l="1"/>
  <c r="BD42" i="265" s="1"/>
  <c r="BD47" i="265" s="1"/>
  <c r="BD50" i="265" s="1"/>
  <c r="U35" i="277"/>
  <c r="BE70" i="287"/>
  <c r="BD70" i="265"/>
  <c r="BD19" i="265"/>
  <c r="BD22" i="265" s="1"/>
  <c r="U16" i="277"/>
  <c r="BC53" i="265"/>
  <c r="BC82" i="265"/>
  <c r="BC83" i="265"/>
  <c r="BC25" i="265"/>
  <c r="DE30" i="265"/>
  <c r="DE62" i="281"/>
  <c r="DE63" i="281" s="1"/>
  <c r="DF69" i="265"/>
  <c r="DG121" i="281"/>
  <c r="U19" i="277" l="1"/>
  <c r="V70" i="277"/>
  <c r="BD39" i="280"/>
  <c r="BD58" i="280"/>
  <c r="BD59" i="280" s="1"/>
  <c r="BD67" i="280" s="1"/>
  <c r="BD69" i="280" s="1"/>
  <c r="BE59" i="287"/>
  <c r="BE61" i="287" s="1"/>
  <c r="BD50" i="280"/>
  <c r="BD63" i="280"/>
  <c r="BD64" i="280" s="1"/>
  <c r="BD68" i="280" s="1"/>
  <c r="DG112" i="281"/>
  <c r="DG113" i="281" s="1"/>
  <c r="DE64" i="265"/>
  <c r="DF60" i="281"/>
  <c r="DE33" i="265"/>
  <c r="BE40" i="287" l="1"/>
  <c r="BE41" i="287" s="1"/>
  <c r="BE46" i="287" s="1"/>
  <c r="BE48" i="287" s="1"/>
  <c r="BE76" i="287"/>
  <c r="BE62" i="287"/>
  <c r="BD14" i="286"/>
  <c r="BD16" i="286" s="1"/>
  <c r="BD18" i="286" s="1"/>
  <c r="BD51" i="280"/>
  <c r="BD52" i="280" s="1"/>
  <c r="BD40" i="280"/>
  <c r="BD41" i="280" s="1"/>
  <c r="BD70" i="280"/>
  <c r="U22" i="277"/>
  <c r="DF52" i="281"/>
  <c r="DF53" i="281" s="1"/>
  <c r="DG123" i="281"/>
  <c r="DG124" i="281" s="1"/>
  <c r="DG114" i="281"/>
  <c r="DG31" i="265" s="1"/>
  <c r="BD24" i="265" l="1"/>
  <c r="BD52" i="265"/>
  <c r="BD63" i="265"/>
  <c r="BE49" i="280"/>
  <c r="BE62" i="280" s="1"/>
  <c r="BE35" i="265"/>
  <c r="BE16" i="265"/>
  <c r="BE77" i="287"/>
  <c r="BE78" i="287" s="1"/>
  <c r="BE49" i="287"/>
  <c r="BE36" i="265" s="1"/>
  <c r="BE71" i="287"/>
  <c r="BE72" i="287" s="1"/>
  <c r="BD74" i="265"/>
  <c r="BE38" i="280"/>
  <c r="BE57" i="280" s="1"/>
  <c r="DG69" i="265"/>
  <c r="DH121" i="281"/>
  <c r="DF30" i="265"/>
  <c r="DF62" i="281"/>
  <c r="DF63" i="281" s="1"/>
  <c r="BE19" i="265" l="1"/>
  <c r="BE22" i="265" s="1"/>
  <c r="BD53" i="265"/>
  <c r="U51" i="277"/>
  <c r="V74" i="277"/>
  <c r="V75" i="277" s="1"/>
  <c r="V81" i="277" s="1"/>
  <c r="BD75" i="265"/>
  <c r="BD81" i="265" s="1"/>
  <c r="BF70" i="287"/>
  <c r="BE70" i="265"/>
  <c r="BE37" i="265"/>
  <c r="BE42" i="265" s="1"/>
  <c r="BE47" i="265" s="1"/>
  <c r="BE50" i="265" s="1"/>
  <c r="V63" i="277"/>
  <c r="V65" i="277" s="1"/>
  <c r="V67" i="277" s="1"/>
  <c r="V80" i="277" s="1"/>
  <c r="BD65" i="265"/>
  <c r="BD67" i="265" s="1"/>
  <c r="BD80" i="265" s="1"/>
  <c r="U24" i="277"/>
  <c r="U25" i="277" s="1"/>
  <c r="BD25" i="265"/>
  <c r="DF33" i="265"/>
  <c r="DF64" i="265"/>
  <c r="DG60" i="281"/>
  <c r="DH112" i="281"/>
  <c r="DH113" i="281" s="1"/>
  <c r="V82" i="277" l="1"/>
  <c r="V83" i="277"/>
  <c r="BF59" i="287"/>
  <c r="BF61" i="287" s="1"/>
  <c r="BE58" i="280"/>
  <c r="BE59" i="280" s="1"/>
  <c r="BE67" i="280" s="1"/>
  <c r="BE39" i="280"/>
  <c r="BD82" i="265"/>
  <c r="BD83" i="265"/>
  <c r="BE63" i="280"/>
  <c r="BE64" i="280" s="1"/>
  <c r="BE68" i="280" s="1"/>
  <c r="BE50" i="280"/>
  <c r="DG52" i="281"/>
  <c r="DG53" i="281" s="1"/>
  <c r="DH114" i="281"/>
  <c r="DH31" i="265" s="1"/>
  <c r="DH123" i="281"/>
  <c r="DH124" i="281" s="1"/>
  <c r="BF40" i="287" l="1"/>
  <c r="BF41" i="287" s="1"/>
  <c r="BF46" i="287" s="1"/>
  <c r="BF48" i="287" s="1"/>
  <c r="BF76" i="287"/>
  <c r="BF62" i="287"/>
  <c r="BE69" i="280"/>
  <c r="DH69" i="265"/>
  <c r="DI121" i="281"/>
  <c r="DG30" i="265"/>
  <c r="DG62" i="281"/>
  <c r="DG63" i="281" s="1"/>
  <c r="BF35" i="265" l="1"/>
  <c r="BF16" i="265"/>
  <c r="BE14" i="286"/>
  <c r="BE16" i="286" s="1"/>
  <c r="BE18" i="286" s="1"/>
  <c r="BE40" i="280"/>
  <c r="BE41" i="280" s="1"/>
  <c r="BE70" i="280"/>
  <c r="BE51" i="280"/>
  <c r="BE52" i="280" s="1"/>
  <c r="BF78" i="287"/>
  <c r="BF77" i="287"/>
  <c r="BF49" i="287"/>
  <c r="BF36" i="265" s="1"/>
  <c r="BF71" i="287"/>
  <c r="BF72" i="287" s="1"/>
  <c r="DI112" i="281"/>
  <c r="DI113" i="281" s="1"/>
  <c r="DG64" i="265"/>
  <c r="DH60" i="281"/>
  <c r="DG33" i="265"/>
  <c r="AJ69" i="277"/>
  <c r="BF70" i="265" l="1"/>
  <c r="BG70" i="287"/>
  <c r="BE63" i="265"/>
  <c r="BE65" i="265" s="1"/>
  <c r="BE67" i="265" s="1"/>
  <c r="BE80" i="265" s="1"/>
  <c r="BF49" i="280"/>
  <c r="BF62" i="280" s="1"/>
  <c r="BF38" i="280"/>
  <c r="BF57" i="280" s="1"/>
  <c r="BE74" i="265"/>
  <c r="BE75" i="265" s="1"/>
  <c r="BE81" i="265" s="1"/>
  <c r="BF19" i="265"/>
  <c r="BF22" i="265" s="1"/>
  <c r="BE52" i="265"/>
  <c r="BE24" i="265"/>
  <c r="BF37" i="265"/>
  <c r="BF42" i="265" s="1"/>
  <c r="BF47" i="265" s="1"/>
  <c r="BF50" i="265" s="1"/>
  <c r="DH52" i="281"/>
  <c r="DH53" i="281" s="1"/>
  <c r="DI123" i="281"/>
  <c r="DI124" i="281" s="1"/>
  <c r="DI114" i="281"/>
  <c r="DI31" i="265" s="1"/>
  <c r="BE25" i="265" l="1"/>
  <c r="BF39" i="280"/>
  <c r="BF58" i="280"/>
  <c r="BF59" i="280" s="1"/>
  <c r="BF67" i="280" s="1"/>
  <c r="BE82" i="265"/>
  <c r="BE83" i="265"/>
  <c r="BF50" i="280"/>
  <c r="BF63" i="280"/>
  <c r="BE53" i="265"/>
  <c r="BF64" i="280"/>
  <c r="BF68" i="280" s="1"/>
  <c r="BG59" i="287"/>
  <c r="BG61" i="287" s="1"/>
  <c r="DI69" i="265"/>
  <c r="DJ121" i="281"/>
  <c r="DH30" i="265"/>
  <c r="DH62" i="281"/>
  <c r="DH63" i="281" s="1"/>
  <c r="BF69" i="280" l="1"/>
  <c r="BG40" i="287"/>
  <c r="BG41" i="287" s="1"/>
  <c r="BG46" i="287" s="1"/>
  <c r="BG48" i="287" s="1"/>
  <c r="BG62" i="287"/>
  <c r="BG76" i="287"/>
  <c r="DH64" i="265"/>
  <c r="AJ64" i="277" s="1"/>
  <c r="DI60" i="281"/>
  <c r="DH33" i="265"/>
  <c r="AI30" i="277"/>
  <c r="DJ112" i="281"/>
  <c r="DJ113" i="281" s="1"/>
  <c r="BG77" i="287" l="1"/>
  <c r="BG78" i="287" s="1"/>
  <c r="BG71" i="287"/>
  <c r="BG72" i="287" s="1"/>
  <c r="BG49" i="287"/>
  <c r="BG36" i="265" s="1"/>
  <c r="BG16" i="265"/>
  <c r="BG35" i="265"/>
  <c r="BF70" i="280"/>
  <c r="BF40" i="280"/>
  <c r="BF41" i="280" s="1"/>
  <c r="BF14" i="286"/>
  <c r="BF16" i="286" s="1"/>
  <c r="BF18" i="286" s="1"/>
  <c r="BF51" i="280"/>
  <c r="BF52" i="280" s="1"/>
  <c r="DJ114" i="281"/>
  <c r="DJ31" i="265" s="1"/>
  <c r="DJ123" i="281"/>
  <c r="DJ124" i="281" s="1"/>
  <c r="DI52" i="281"/>
  <c r="DI53" i="281" s="1"/>
  <c r="BF52" i="265" l="1"/>
  <c r="BF24" i="265"/>
  <c r="BG19" i="265"/>
  <c r="BG22" i="265" s="1"/>
  <c r="BG70" i="265"/>
  <c r="BH70" i="287"/>
  <c r="BG49" i="280"/>
  <c r="BG62" i="280" s="1"/>
  <c r="BF63" i="265"/>
  <c r="BF65" i="265" s="1"/>
  <c r="BF67" i="265" s="1"/>
  <c r="BF80" i="265" s="1"/>
  <c r="BG38" i="280"/>
  <c r="BG57" i="280" s="1"/>
  <c r="BF74" i="265"/>
  <c r="BF75" i="265" s="1"/>
  <c r="BF81" i="265" s="1"/>
  <c r="BG37" i="265"/>
  <c r="BG42" i="265" s="1"/>
  <c r="BG47" i="265" s="1"/>
  <c r="BG50" i="265" s="1"/>
  <c r="DI30" i="265"/>
  <c r="DI62" i="281"/>
  <c r="DI63" i="281" s="1"/>
  <c r="DJ69" i="265"/>
  <c r="DK121" i="281"/>
  <c r="BF82" i="265" l="1"/>
  <c r="BF83" i="265"/>
  <c r="BH59" i="287"/>
  <c r="BH61" i="287" s="1"/>
  <c r="BF25" i="265"/>
  <c r="BG50" i="280"/>
  <c r="BG63" i="280"/>
  <c r="BG64" i="280"/>
  <c r="BG68" i="280" s="1"/>
  <c r="BG58" i="280"/>
  <c r="BG59" i="280" s="1"/>
  <c r="BG67" i="280" s="1"/>
  <c r="BG69" i="280" s="1"/>
  <c r="BG39" i="280"/>
  <c r="BF53" i="265"/>
  <c r="DK112" i="281"/>
  <c r="DK113" i="281" s="1"/>
  <c r="DI64" i="265"/>
  <c r="DJ60" i="281"/>
  <c r="DI33" i="265"/>
  <c r="BG70" i="280" l="1"/>
  <c r="BG51" i="280"/>
  <c r="BG52" i="280" s="1"/>
  <c r="BG14" i="286"/>
  <c r="BG16" i="286" s="1"/>
  <c r="BG18" i="286" s="1"/>
  <c r="BG40" i="280"/>
  <c r="BG41" i="280" s="1"/>
  <c r="BH40" i="287"/>
  <c r="BH41" i="287" s="1"/>
  <c r="BH46" i="287" s="1"/>
  <c r="BH48" i="287" s="1"/>
  <c r="BH76" i="287"/>
  <c r="BH62" i="287"/>
  <c r="DJ52" i="281"/>
  <c r="DJ53" i="281" s="1"/>
  <c r="DK123" i="281"/>
  <c r="DK124" i="281" s="1"/>
  <c r="DK114" i="281"/>
  <c r="DK31" i="265" s="1"/>
  <c r="BH35" i="265" l="1"/>
  <c r="BH16" i="265"/>
  <c r="BH77" i="287"/>
  <c r="BH78" i="287" s="1"/>
  <c r="BH71" i="287"/>
  <c r="BH72" i="287" s="1"/>
  <c r="BH49" i="287"/>
  <c r="BH36" i="265" s="1"/>
  <c r="BG74" i="265"/>
  <c r="BG75" i="265" s="1"/>
  <c r="BG81" i="265" s="1"/>
  <c r="BH38" i="280"/>
  <c r="BH57" i="280" s="1"/>
  <c r="BG63" i="265"/>
  <c r="BG65" i="265" s="1"/>
  <c r="BG67" i="265" s="1"/>
  <c r="BG80" i="265" s="1"/>
  <c r="BH49" i="280"/>
  <c r="BH62" i="280" s="1"/>
  <c r="BG52" i="265"/>
  <c r="BG24" i="265"/>
  <c r="DK69" i="265"/>
  <c r="DL121" i="281"/>
  <c r="DJ30" i="265"/>
  <c r="DJ62" i="281"/>
  <c r="DJ63" i="281" s="1"/>
  <c r="BG53" i="265" l="1"/>
  <c r="BG25" i="265"/>
  <c r="BG83" i="265"/>
  <c r="BG82" i="265"/>
  <c r="BI70" i="287"/>
  <c r="BH70" i="265"/>
  <c r="BH19" i="265"/>
  <c r="BH22" i="265" s="1"/>
  <c r="V16" i="277"/>
  <c r="BH37" i="265"/>
  <c r="BH42" i="265" s="1"/>
  <c r="BH47" i="265" s="1"/>
  <c r="BH50" i="265" s="1"/>
  <c r="V35" i="277"/>
  <c r="DJ33" i="265"/>
  <c r="DJ64" i="265"/>
  <c r="DK60" i="281"/>
  <c r="DL112" i="281"/>
  <c r="DL113" i="281" s="1"/>
  <c r="V19" i="277" l="1"/>
  <c r="W70" i="277"/>
  <c r="BH63" i="280"/>
  <c r="BH64" i="280" s="1"/>
  <c r="BH68" i="280" s="1"/>
  <c r="BH50" i="280"/>
  <c r="BH39" i="280"/>
  <c r="BH58" i="280"/>
  <c r="BH59" i="280" s="1"/>
  <c r="BH67" i="280" s="1"/>
  <c r="BH69" i="280" s="1"/>
  <c r="BI59" i="287"/>
  <c r="BI61" i="287" s="1"/>
  <c r="DL114" i="281"/>
  <c r="DL31" i="265" s="1"/>
  <c r="DL123" i="281"/>
  <c r="DL124" i="281" s="1"/>
  <c r="DK52" i="281"/>
  <c r="DK53" i="281" s="1"/>
  <c r="BI40" i="287" l="1"/>
  <c r="BI41" i="287" s="1"/>
  <c r="BI46" i="287" s="1"/>
  <c r="BI48" i="287" s="1"/>
  <c r="BI76" i="287"/>
  <c r="BI62" i="287"/>
  <c r="BH14" i="286"/>
  <c r="BH16" i="286" s="1"/>
  <c r="BH18" i="286" s="1"/>
  <c r="BH40" i="280"/>
  <c r="BH41" i="280" s="1"/>
  <c r="BH70" i="280"/>
  <c r="BH51" i="280"/>
  <c r="BH52" i="280" s="1"/>
  <c r="V22" i="277"/>
  <c r="DL69" i="265"/>
  <c r="DM121" i="281"/>
  <c r="DK30" i="265"/>
  <c r="DK62" i="281"/>
  <c r="DK63" i="281" s="1"/>
  <c r="BH63" i="265" l="1"/>
  <c r="BI49" i="280"/>
  <c r="BI62" i="280" s="1"/>
  <c r="BI38" i="280"/>
  <c r="BI57" i="280" s="1"/>
  <c r="BH74" i="265"/>
  <c r="BI35" i="265"/>
  <c r="BI16" i="265"/>
  <c r="BH24" i="265"/>
  <c r="BH52" i="265"/>
  <c r="BI77" i="287"/>
  <c r="BI78" i="287" s="1"/>
  <c r="BI71" i="287"/>
  <c r="BI72" i="287" s="1"/>
  <c r="BI49" i="287"/>
  <c r="BI36" i="265" s="1"/>
  <c r="DK64" i="265"/>
  <c r="DL60" i="281"/>
  <c r="DM112" i="281"/>
  <c r="DM113" i="281" s="1"/>
  <c r="DK33" i="265"/>
  <c r="AK69" i="277"/>
  <c r="V51" i="277" l="1"/>
  <c r="BH53" i="265"/>
  <c r="BI19" i="265"/>
  <c r="BI22" i="265" s="1"/>
  <c r="W74" i="277"/>
  <c r="W75" i="277" s="1"/>
  <c r="W81" i="277" s="1"/>
  <c r="BH75" i="265"/>
  <c r="BH81" i="265" s="1"/>
  <c r="BJ70" i="287"/>
  <c r="BI70" i="265"/>
  <c r="V24" i="277"/>
  <c r="V25" i="277" s="1"/>
  <c r="BH25" i="265"/>
  <c r="BI37" i="265"/>
  <c r="BI42" i="265" s="1"/>
  <c r="BI47" i="265" s="1"/>
  <c r="BI50" i="265" s="1"/>
  <c r="BH65" i="265"/>
  <c r="BH67" i="265" s="1"/>
  <c r="BH80" i="265" s="1"/>
  <c r="W63" i="277"/>
  <c r="W65" i="277" s="1"/>
  <c r="W67" i="277" s="1"/>
  <c r="W80" i="277" s="1"/>
  <c r="DL52" i="281"/>
  <c r="DL53" i="281" s="1"/>
  <c r="DM123" i="281"/>
  <c r="DM124" i="281" s="1"/>
  <c r="DM114" i="281"/>
  <c r="DM31" i="265" s="1"/>
  <c r="W83" i="277" l="1"/>
  <c r="W82" i="277"/>
  <c r="BJ59" i="287"/>
  <c r="BJ61" i="287" s="1"/>
  <c r="BI58" i="280"/>
  <c r="BI59" i="280" s="1"/>
  <c r="BI67" i="280" s="1"/>
  <c r="BI39" i="280"/>
  <c r="BH83" i="265"/>
  <c r="BH82" i="265"/>
  <c r="BI63" i="280"/>
  <c r="BI64" i="280" s="1"/>
  <c r="BI68" i="280" s="1"/>
  <c r="BI50" i="280"/>
  <c r="DM69" i="265"/>
  <c r="DN121" i="281"/>
  <c r="DL30" i="265"/>
  <c r="DL62" i="281"/>
  <c r="DL63" i="281" s="1"/>
  <c r="BI69" i="280" l="1"/>
  <c r="BI70" i="280" s="1"/>
  <c r="BI40" i="280"/>
  <c r="BI41" i="280" s="1"/>
  <c r="BJ40" i="287"/>
  <c r="BJ41" i="287" s="1"/>
  <c r="BJ46" i="287" s="1"/>
  <c r="BJ48" i="287" s="1"/>
  <c r="BJ62" i="287"/>
  <c r="BJ76" i="287"/>
  <c r="DL64" i="265"/>
  <c r="AK64" i="277" s="1"/>
  <c r="DM60" i="281"/>
  <c r="DN112" i="281"/>
  <c r="DN113" i="281" s="1"/>
  <c r="DL33" i="265"/>
  <c r="AJ30" i="277"/>
  <c r="BI51" i="280" l="1"/>
  <c r="BI52" i="280" s="1"/>
  <c r="BI14" i="286"/>
  <c r="BI16" i="286" s="1"/>
  <c r="BI18" i="286" s="1"/>
  <c r="BJ16" i="265"/>
  <c r="BJ35" i="265"/>
  <c r="BI74" i="265"/>
  <c r="BI75" i="265" s="1"/>
  <c r="BI81" i="265" s="1"/>
  <c r="BJ38" i="280"/>
  <c r="BJ57" i="280" s="1"/>
  <c r="BI63" i="265"/>
  <c r="BI65" i="265" s="1"/>
  <c r="BI67" i="265" s="1"/>
  <c r="BI80" i="265" s="1"/>
  <c r="BJ49" i="280"/>
  <c r="BJ62" i="280" s="1"/>
  <c r="BJ77" i="287"/>
  <c r="BJ78" i="287" s="1"/>
  <c r="BJ49" i="287"/>
  <c r="BJ36" i="265" s="1"/>
  <c r="BJ71" i="287"/>
  <c r="BJ72" i="287" s="1"/>
  <c r="BI52" i="265"/>
  <c r="BI24" i="265"/>
  <c r="DM52" i="281"/>
  <c r="DM53" i="281" s="1"/>
  <c r="DN114" i="281"/>
  <c r="DN31" i="265" s="1"/>
  <c r="DN123" i="281"/>
  <c r="DN124" i="281" s="1"/>
  <c r="BI53" i="265" l="1"/>
  <c r="BJ37" i="265"/>
  <c r="BJ42" i="265" s="1"/>
  <c r="BJ47" i="265" s="1"/>
  <c r="BJ50" i="265" s="1"/>
  <c r="BI25" i="265"/>
  <c r="BJ70" i="265"/>
  <c r="BK70" i="287"/>
  <c r="BI83" i="265"/>
  <c r="BI82" i="265"/>
  <c r="BJ19" i="265"/>
  <c r="BJ22" i="265" s="1"/>
  <c r="DN69" i="265"/>
  <c r="DO121" i="281"/>
  <c r="DM30" i="265"/>
  <c r="DM62" i="281"/>
  <c r="DM63" i="281" s="1"/>
  <c r="BK59" i="287" l="1"/>
  <c r="BK61" i="287" s="1"/>
  <c r="BJ39" i="280"/>
  <c r="BJ58" i="280"/>
  <c r="BJ59" i="280" s="1"/>
  <c r="BJ67" i="280" s="1"/>
  <c r="BJ69" i="280" s="1"/>
  <c r="BJ63" i="280"/>
  <c r="BJ64" i="280" s="1"/>
  <c r="BJ68" i="280" s="1"/>
  <c r="BJ50" i="280"/>
  <c r="DO112" i="281"/>
  <c r="DO113" i="281" s="1"/>
  <c r="DM64" i="265"/>
  <c r="DN60" i="281"/>
  <c r="DM33" i="265"/>
  <c r="BJ70" i="280" l="1"/>
  <c r="BJ14" i="286"/>
  <c r="BJ16" i="286" s="1"/>
  <c r="BJ18" i="286" s="1"/>
  <c r="BJ51" i="280"/>
  <c r="BJ52" i="280" s="1"/>
  <c r="BJ40" i="280"/>
  <c r="BJ41" i="280" s="1"/>
  <c r="BK40" i="287"/>
  <c r="BK41" i="287" s="1"/>
  <c r="BK46" i="287" s="1"/>
  <c r="BK48" i="287" s="1"/>
  <c r="BK76" i="287"/>
  <c r="BK62" i="287"/>
  <c r="DN52" i="281"/>
  <c r="DN53" i="281" s="1"/>
  <c r="DO123" i="281"/>
  <c r="DO124" i="281" s="1"/>
  <c r="DO114" i="281"/>
  <c r="DO31" i="265" s="1"/>
  <c r="BK35" i="265" l="1"/>
  <c r="BK16" i="265"/>
  <c r="BK77" i="287"/>
  <c r="BK78" i="287" s="1"/>
  <c r="BK71" i="287"/>
  <c r="BK72" i="287" s="1"/>
  <c r="BK49" i="287"/>
  <c r="BK36" i="265" s="1"/>
  <c r="BK38" i="280"/>
  <c r="BK57" i="280" s="1"/>
  <c r="BJ74" i="265"/>
  <c r="BJ75" i="265" s="1"/>
  <c r="BJ81" i="265" s="1"/>
  <c r="BJ63" i="265"/>
  <c r="BJ65" i="265" s="1"/>
  <c r="BJ67" i="265" s="1"/>
  <c r="BJ80" i="265" s="1"/>
  <c r="BK49" i="280"/>
  <c r="BK62" i="280" s="1"/>
  <c r="BJ52" i="265"/>
  <c r="BJ24" i="265"/>
  <c r="DO69" i="265"/>
  <c r="DP121" i="281"/>
  <c r="DN30" i="265"/>
  <c r="DN62" i="281"/>
  <c r="DN63" i="281" s="1"/>
  <c r="BJ53" i="265" l="1"/>
  <c r="BJ82" i="265"/>
  <c r="BJ83" i="265"/>
  <c r="BJ25" i="265"/>
  <c r="BL70" i="287"/>
  <c r="BK70" i="265"/>
  <c r="BK19" i="265"/>
  <c r="BK22" i="265" s="1"/>
  <c r="BK37" i="265"/>
  <c r="BK42" i="265" s="1"/>
  <c r="BK47" i="265" s="1"/>
  <c r="BK50" i="265" s="1"/>
  <c r="DN33" i="265"/>
  <c r="DN64" i="265"/>
  <c r="DO60" i="281"/>
  <c r="DP112" i="281"/>
  <c r="DP113" i="281" s="1"/>
  <c r="BK58" i="280" l="1"/>
  <c r="BK59" i="280" s="1"/>
  <c r="BK67" i="280" s="1"/>
  <c r="BK39" i="280"/>
  <c r="BL59" i="287"/>
  <c r="BL61" i="287" s="1"/>
  <c r="BK50" i="280"/>
  <c r="BK63" i="280"/>
  <c r="BK64" i="280" s="1"/>
  <c r="BK68" i="280" s="1"/>
  <c r="DO52" i="281"/>
  <c r="DO53" i="281" s="1"/>
  <c r="DP114" i="281"/>
  <c r="DP31" i="265" s="1"/>
  <c r="DP123" i="281"/>
  <c r="DP124" i="281" s="1"/>
  <c r="BK69" i="280" l="1"/>
  <c r="BL40" i="287"/>
  <c r="BL41" i="287" s="1"/>
  <c r="BL46" i="287" s="1"/>
  <c r="BL48" i="287" s="1"/>
  <c r="BL76" i="287"/>
  <c r="BL62" i="287"/>
  <c r="DP69" i="265"/>
  <c r="DQ121" i="281"/>
  <c r="DO30" i="265"/>
  <c r="DO62" i="281"/>
  <c r="DO63" i="281" s="1"/>
  <c r="BL77" i="287" l="1"/>
  <c r="BL78" i="287" s="1"/>
  <c r="BL49" i="287"/>
  <c r="BL36" i="265" s="1"/>
  <c r="BL71" i="287"/>
  <c r="BL72" i="287" s="1"/>
  <c r="BL35" i="265"/>
  <c r="BL16" i="265"/>
  <c r="BK70" i="280"/>
  <c r="BK14" i="286"/>
  <c r="BK16" i="286" s="1"/>
  <c r="BK18" i="286" s="1"/>
  <c r="BK40" i="280"/>
  <c r="BK41" i="280" s="1"/>
  <c r="BK51" i="280"/>
  <c r="BK52" i="280" s="1"/>
  <c r="DQ112" i="281"/>
  <c r="DQ113" i="281" s="1"/>
  <c r="DO64" i="265"/>
  <c r="DP60" i="281"/>
  <c r="DO33" i="265"/>
  <c r="AL69" i="277"/>
  <c r="BK63" i="265" l="1"/>
  <c r="BK65" i="265" s="1"/>
  <c r="BK67" i="265" s="1"/>
  <c r="BK80" i="265" s="1"/>
  <c r="BL49" i="280"/>
  <c r="BL62" i="280" s="1"/>
  <c r="BL37" i="265"/>
  <c r="BL42" i="265" s="1"/>
  <c r="BL47" i="265" s="1"/>
  <c r="BL50" i="265" s="1"/>
  <c r="W35" i="277"/>
  <c r="BK74" i="265"/>
  <c r="BK75" i="265" s="1"/>
  <c r="BK81" i="265" s="1"/>
  <c r="BL38" i="280"/>
  <c r="BL57" i="280" s="1"/>
  <c r="BK52" i="265"/>
  <c r="BK24" i="265"/>
  <c r="BL19" i="265"/>
  <c r="BL22" i="265" s="1"/>
  <c r="W16" i="277"/>
  <c r="W19" i="277" s="1"/>
  <c r="W22" i="277" s="1"/>
  <c r="BM70" i="287"/>
  <c r="BL70" i="265"/>
  <c r="DP52" i="281"/>
  <c r="DP53" i="281" s="1"/>
  <c r="DQ123" i="281"/>
  <c r="DQ124" i="281" s="1"/>
  <c r="DQ114" i="281"/>
  <c r="DQ31" i="265" s="1"/>
  <c r="BK25" i="265" l="1"/>
  <c r="BM59" i="287"/>
  <c r="BM61" i="287" s="1"/>
  <c r="BL58" i="280"/>
  <c r="BL59" i="280" s="1"/>
  <c r="BL67" i="280" s="1"/>
  <c r="BL39" i="280"/>
  <c r="BK53" i="265"/>
  <c r="BL63" i="280"/>
  <c r="BL64" i="280" s="1"/>
  <c r="BL68" i="280" s="1"/>
  <c r="BL50" i="280"/>
  <c r="BK82" i="265"/>
  <c r="BK83" i="265"/>
  <c r="X70" i="277"/>
  <c r="DQ69" i="265"/>
  <c r="DR121" i="281"/>
  <c r="DP30" i="265"/>
  <c r="DP62" i="281"/>
  <c r="DP63" i="281" s="1"/>
  <c r="BM40" i="287" l="1"/>
  <c r="BM41" i="287" s="1"/>
  <c r="BM46" i="287" s="1"/>
  <c r="BM48" i="287" s="1"/>
  <c r="BM62" i="287"/>
  <c r="BM76" i="287"/>
  <c r="BL69" i="280"/>
  <c r="DP64" i="265"/>
  <c r="AL64" i="277" s="1"/>
  <c r="DQ60" i="281"/>
  <c r="DP33" i="265"/>
  <c r="AK30" i="277"/>
  <c r="DR112" i="281"/>
  <c r="DR113" i="281" s="1"/>
  <c r="BL70" i="280" l="1"/>
  <c r="BL51" i="280"/>
  <c r="BL52" i="280" s="1"/>
  <c r="BL14" i="286"/>
  <c r="BL16" i="286" s="1"/>
  <c r="BL18" i="286" s="1"/>
  <c r="BL40" i="280"/>
  <c r="BL41" i="280" s="1"/>
  <c r="BM16" i="265"/>
  <c r="BM35" i="265"/>
  <c r="BM77" i="287"/>
  <c r="BM78" i="287" s="1"/>
  <c r="BM71" i="287"/>
  <c r="BM72" i="287" s="1"/>
  <c r="BM49" i="287"/>
  <c r="BM36" i="265" s="1"/>
  <c r="DR114" i="281"/>
  <c r="DR31" i="265" s="1"/>
  <c r="DR123" i="281"/>
  <c r="DR124" i="281" s="1"/>
  <c r="DQ52" i="281"/>
  <c r="DQ53" i="281" s="1"/>
  <c r="BM19" i="265" l="1"/>
  <c r="BM22" i="265" s="1"/>
  <c r="BM70" i="265"/>
  <c r="BN70" i="287"/>
  <c r="BM37" i="265"/>
  <c r="BM42" i="265" s="1"/>
  <c r="BM47" i="265" s="1"/>
  <c r="BM50" i="265" s="1"/>
  <c r="BM38" i="280"/>
  <c r="BM57" i="280" s="1"/>
  <c r="BL74" i="265"/>
  <c r="BM49" i="280"/>
  <c r="BM62" i="280" s="1"/>
  <c r="BL63" i="265"/>
  <c r="BL24" i="265"/>
  <c r="BL52" i="265"/>
  <c r="DQ30" i="265"/>
  <c r="DQ62" i="281"/>
  <c r="DQ63" i="281" s="1"/>
  <c r="DR69" i="265"/>
  <c r="DS121" i="281"/>
  <c r="W24" i="277" l="1"/>
  <c r="W25" i="277" s="1"/>
  <c r="BL25" i="265"/>
  <c r="BL65" i="265"/>
  <c r="BL67" i="265" s="1"/>
  <c r="BL80" i="265" s="1"/>
  <c r="X63" i="277"/>
  <c r="X65" i="277" s="1"/>
  <c r="X67" i="277" s="1"/>
  <c r="X80" i="277" s="1"/>
  <c r="X74" i="277"/>
  <c r="X75" i="277" s="1"/>
  <c r="X81" i="277" s="1"/>
  <c r="BL75" i="265"/>
  <c r="BL81" i="265" s="1"/>
  <c r="BM50" i="280"/>
  <c r="BM63" i="280"/>
  <c r="BN59" i="287"/>
  <c r="BN61" i="287" s="1"/>
  <c r="W51" i="277"/>
  <c r="BL53" i="265"/>
  <c r="BM64" i="280"/>
  <c r="BM68" i="280" s="1"/>
  <c r="BM59" i="280"/>
  <c r="BM67" i="280" s="1"/>
  <c r="BM69" i="280" s="1"/>
  <c r="BM58" i="280"/>
  <c r="BM39" i="280"/>
  <c r="DQ64" i="265"/>
  <c r="DR60" i="281"/>
  <c r="DS112" i="281"/>
  <c r="DS113" i="281" s="1"/>
  <c r="DQ33" i="265"/>
  <c r="BM70" i="280" l="1"/>
  <c r="BM14" i="286"/>
  <c r="BM16" i="286" s="1"/>
  <c r="BM18" i="286" s="1"/>
  <c r="BM40" i="280"/>
  <c r="BM41" i="280" s="1"/>
  <c r="BM51" i="280"/>
  <c r="BM52" i="280" s="1"/>
  <c r="BN40" i="287"/>
  <c r="BN41" i="287" s="1"/>
  <c r="BN46" i="287" s="1"/>
  <c r="BN48" i="287" s="1"/>
  <c r="BN76" i="287"/>
  <c r="BN62" i="287"/>
  <c r="X83" i="277"/>
  <c r="X82" i="277"/>
  <c r="BL82" i="265"/>
  <c r="BL83" i="265"/>
  <c r="DR52" i="281"/>
  <c r="DR53" i="281" s="1"/>
  <c r="DS123" i="281"/>
  <c r="DS124" i="281" s="1"/>
  <c r="DS114" i="281"/>
  <c r="DS31" i="265" s="1"/>
  <c r="BN35" i="265" l="1"/>
  <c r="BN16" i="265"/>
  <c r="BN77" i="287"/>
  <c r="BN71" i="287"/>
  <c r="BN72" i="287" s="1"/>
  <c r="BN49" i="287"/>
  <c r="BN36" i="265" s="1"/>
  <c r="BM63" i="265"/>
  <c r="BM65" i="265" s="1"/>
  <c r="BM67" i="265" s="1"/>
  <c r="BM80" i="265" s="1"/>
  <c r="BN49" i="280"/>
  <c r="BN62" i="280" s="1"/>
  <c r="BN78" i="287"/>
  <c r="BM74" i="265"/>
  <c r="BM75" i="265" s="1"/>
  <c r="BM81" i="265" s="1"/>
  <c r="BN38" i="280"/>
  <c r="BN57" i="280" s="1"/>
  <c r="BM52" i="265"/>
  <c r="BM53" i="265" s="1"/>
  <c r="BM24" i="265"/>
  <c r="DS69" i="265"/>
  <c r="DT121" i="281"/>
  <c r="DR30" i="265"/>
  <c r="DR62" i="281"/>
  <c r="DR63" i="281" s="1"/>
  <c r="BM25" i="265" l="1"/>
  <c r="BM83" i="265"/>
  <c r="BM82" i="265"/>
  <c r="BO70" i="287"/>
  <c r="BN70" i="265"/>
  <c r="BN19" i="265"/>
  <c r="BN22" i="265" s="1"/>
  <c r="BN37" i="265"/>
  <c r="BN42" i="265" s="1"/>
  <c r="BN47" i="265" s="1"/>
  <c r="BN50" i="265" s="1"/>
  <c r="DR64" i="265"/>
  <c r="DS60" i="281"/>
  <c r="DT112" i="281"/>
  <c r="DT113" i="281" s="1"/>
  <c r="DR33" i="265"/>
  <c r="BN63" i="280" l="1"/>
  <c r="BN64" i="280" s="1"/>
  <c r="BN68" i="280" s="1"/>
  <c r="BN50" i="280"/>
  <c r="BN39" i="280"/>
  <c r="BN58" i="280"/>
  <c r="BN59" i="280" s="1"/>
  <c r="BN67" i="280" s="1"/>
  <c r="BN69" i="280" s="1"/>
  <c r="BO59" i="287"/>
  <c r="BO61" i="287" s="1"/>
  <c r="DS52" i="281"/>
  <c r="DS53" i="281" s="1"/>
  <c r="DT114" i="281"/>
  <c r="DT31" i="265" s="1"/>
  <c r="DT123" i="281"/>
  <c r="DT124" i="281" s="1"/>
  <c r="BO40" i="287" l="1"/>
  <c r="BO41" i="287" s="1"/>
  <c r="BO46" i="287" s="1"/>
  <c r="BO48" i="287" s="1"/>
  <c r="BO76" i="287"/>
  <c r="BO62" i="287"/>
  <c r="BN40" i="280"/>
  <c r="BN41" i="280" s="1"/>
  <c r="BN14" i="286"/>
  <c r="BN16" i="286" s="1"/>
  <c r="BN18" i="286" s="1"/>
  <c r="BN51" i="280"/>
  <c r="BN52" i="280" s="1"/>
  <c r="BN70" i="280"/>
  <c r="DT69" i="265"/>
  <c r="DU121" i="281"/>
  <c r="DS30" i="265"/>
  <c r="DS62" i="281"/>
  <c r="DS63" i="281" s="1"/>
  <c r="BN63" i="265" l="1"/>
  <c r="BN65" i="265" s="1"/>
  <c r="BN67" i="265" s="1"/>
  <c r="BN80" i="265" s="1"/>
  <c r="BO49" i="280"/>
  <c r="BO62" i="280" s="1"/>
  <c r="BN74" i="265"/>
  <c r="BN75" i="265" s="1"/>
  <c r="BN81" i="265" s="1"/>
  <c r="BO38" i="280"/>
  <c r="BO57" i="280" s="1"/>
  <c r="BO78" i="287"/>
  <c r="BN24" i="265"/>
  <c r="BN52" i="265"/>
  <c r="BN53" i="265" s="1"/>
  <c r="BO16" i="265"/>
  <c r="BO35" i="265"/>
  <c r="BO77" i="287"/>
  <c r="BO49" i="287"/>
  <c r="BO36" i="265" s="1"/>
  <c r="BO71" i="287"/>
  <c r="BO72" i="287" s="1"/>
  <c r="DS33" i="265"/>
  <c r="AM69" i="277"/>
  <c r="DS64" i="265"/>
  <c r="DT60" i="281"/>
  <c r="DU112" i="281"/>
  <c r="DU113" i="281" s="1"/>
  <c r="BO37" i="265" l="1"/>
  <c r="BO42" i="265" s="1"/>
  <c r="BO47" i="265" s="1"/>
  <c r="BO50" i="265" s="1"/>
  <c r="BO70" i="265"/>
  <c r="BP70" i="287"/>
  <c r="BO19" i="265"/>
  <c r="BO22" i="265" s="1"/>
  <c r="BN25" i="265"/>
  <c r="BN82" i="265"/>
  <c r="BN83" i="265"/>
  <c r="DT52" i="281"/>
  <c r="DT53" i="281" s="1"/>
  <c r="DU123" i="281"/>
  <c r="DU124" i="281" s="1"/>
  <c r="DU114" i="281"/>
  <c r="DU31" i="265" s="1"/>
  <c r="BP59" i="287" l="1"/>
  <c r="BP61" i="287" s="1"/>
  <c r="BO58" i="280"/>
  <c r="BO59" i="280" s="1"/>
  <c r="BO67" i="280" s="1"/>
  <c r="BO39" i="280"/>
  <c r="BO50" i="280"/>
  <c r="BO63" i="280"/>
  <c r="BO64" i="280" s="1"/>
  <c r="BO68" i="280" s="1"/>
  <c r="DU69" i="265"/>
  <c r="DV121" i="281"/>
  <c r="DT30" i="265"/>
  <c r="DT62" i="281"/>
  <c r="DT63" i="281" s="1"/>
  <c r="BO69" i="280" l="1"/>
  <c r="BP40" i="287"/>
  <c r="BP41" i="287" s="1"/>
  <c r="BP46" i="287" s="1"/>
  <c r="BP48" i="287" s="1"/>
  <c r="BP62" i="287"/>
  <c r="BP76" i="287"/>
  <c r="DT64" i="265"/>
  <c r="AM64" i="277" s="1"/>
  <c r="DU60" i="281"/>
  <c r="DV112" i="281"/>
  <c r="DV113" i="281" s="1"/>
  <c r="DT33" i="265"/>
  <c r="AL30" i="277"/>
  <c r="BP77" i="287" l="1"/>
  <c r="BP78" i="287" s="1"/>
  <c r="BP49" i="287"/>
  <c r="BP36" i="265" s="1"/>
  <c r="BP71" i="287"/>
  <c r="BP72" i="287" s="1"/>
  <c r="BP16" i="265"/>
  <c r="BP35" i="265"/>
  <c r="BO70" i="280"/>
  <c r="BO51" i="280"/>
  <c r="BO52" i="280" s="1"/>
  <c r="BO14" i="286"/>
  <c r="BO16" i="286" s="1"/>
  <c r="BO18" i="286" s="1"/>
  <c r="BO40" i="280"/>
  <c r="BO41" i="280" s="1"/>
  <c r="DU52" i="281"/>
  <c r="DU53" i="281" s="1"/>
  <c r="DV114" i="281"/>
  <c r="DV31" i="265" s="1"/>
  <c r="DV123" i="281"/>
  <c r="DV124" i="281" s="1"/>
  <c r="BP38" i="280" l="1"/>
  <c r="BP57" i="280" s="1"/>
  <c r="BO74" i="265"/>
  <c r="BO75" i="265" s="1"/>
  <c r="BO81" i="265" s="1"/>
  <c r="BO24" i="265"/>
  <c r="BO52" i="265"/>
  <c r="BO53" i="265" s="1"/>
  <c r="BP19" i="265"/>
  <c r="BP22" i="265" s="1"/>
  <c r="X16" i="277"/>
  <c r="X19" i="277" s="1"/>
  <c r="X22" i="277" s="1"/>
  <c r="BP49" i="280"/>
  <c r="BP62" i="280" s="1"/>
  <c r="BO63" i="265"/>
  <c r="BO65" i="265" s="1"/>
  <c r="BO67" i="265" s="1"/>
  <c r="BO80" i="265" s="1"/>
  <c r="BP37" i="265"/>
  <c r="BP42" i="265" s="1"/>
  <c r="BP47" i="265" s="1"/>
  <c r="BP50" i="265" s="1"/>
  <c r="X35" i="277"/>
  <c r="BQ70" i="287"/>
  <c r="BP70" i="265"/>
  <c r="DV69" i="265"/>
  <c r="DW121" i="281"/>
  <c r="DU30" i="265"/>
  <c r="DU62" i="281"/>
  <c r="DU63" i="281" s="1"/>
  <c r="Y70" i="277" l="1"/>
  <c r="BO82" i="265"/>
  <c r="BO83" i="265"/>
  <c r="BQ59" i="287"/>
  <c r="BQ61" i="287" s="1"/>
  <c r="BP50" i="280"/>
  <c r="BP63" i="280"/>
  <c r="BP64" i="280"/>
  <c r="BP68" i="280" s="1"/>
  <c r="BP39" i="280"/>
  <c r="BP58" i="280"/>
  <c r="BO25" i="265"/>
  <c r="BP59" i="280"/>
  <c r="BP67" i="280" s="1"/>
  <c r="BP69" i="280" s="1"/>
  <c r="DU64" i="265"/>
  <c r="DV60" i="281"/>
  <c r="DW112" i="281"/>
  <c r="DW113" i="281" s="1"/>
  <c r="DU33" i="265"/>
  <c r="BP14" i="286" l="1"/>
  <c r="BP16" i="286" s="1"/>
  <c r="BP18" i="286" s="1"/>
  <c r="BP51" i="280"/>
  <c r="BP52" i="280" s="1"/>
  <c r="BP70" i="280"/>
  <c r="BP40" i="280"/>
  <c r="BP41" i="280" s="1"/>
  <c r="BQ40" i="287"/>
  <c r="BQ41" i="287" s="1"/>
  <c r="BQ46" i="287" s="1"/>
  <c r="BQ48" i="287" s="1"/>
  <c r="BQ76" i="287"/>
  <c r="BQ62" i="287"/>
  <c r="DV52" i="281"/>
  <c r="DV53" i="281" s="1"/>
  <c r="DW123" i="281"/>
  <c r="DW124" i="281" s="1"/>
  <c r="DW114" i="281"/>
  <c r="DW31" i="265" s="1"/>
  <c r="BQ35" i="265" l="1"/>
  <c r="BQ16" i="265"/>
  <c r="BQ77" i="287"/>
  <c r="BQ78" i="287" s="1"/>
  <c r="BQ71" i="287"/>
  <c r="BQ72" i="287" s="1"/>
  <c r="BQ49" i="287"/>
  <c r="BQ36" i="265" s="1"/>
  <c r="BP24" i="265"/>
  <c r="BP52" i="265"/>
  <c r="BQ38" i="280"/>
  <c r="BQ57" i="280" s="1"/>
  <c r="BP74" i="265"/>
  <c r="BP63" i="265"/>
  <c r="BQ49" i="280"/>
  <c r="BQ62" i="280" s="1"/>
  <c r="DW69" i="265"/>
  <c r="DX121" i="281"/>
  <c r="DV30" i="265"/>
  <c r="DV62" i="281"/>
  <c r="DV63" i="281" s="1"/>
  <c r="Y63" i="277" l="1"/>
  <c r="Y65" i="277" s="1"/>
  <c r="Y67" i="277" s="1"/>
  <c r="Y80" i="277" s="1"/>
  <c r="BP65" i="265"/>
  <c r="BP67" i="265" s="1"/>
  <c r="BP80" i="265" s="1"/>
  <c r="X51" i="277"/>
  <c r="BP53" i="265"/>
  <c r="Y74" i="277"/>
  <c r="Y75" i="277" s="1"/>
  <c r="Y81" i="277" s="1"/>
  <c r="BP75" i="265"/>
  <c r="BP81" i="265" s="1"/>
  <c r="BP83" i="265" s="1"/>
  <c r="BP25" i="265"/>
  <c r="X24" i="277"/>
  <c r="X25" i="277" s="1"/>
  <c r="BR70" i="287"/>
  <c r="BQ70" i="265"/>
  <c r="BQ19" i="265"/>
  <c r="BQ22" i="265" s="1"/>
  <c r="BQ37" i="265"/>
  <c r="BQ42" i="265" s="1"/>
  <c r="BQ47" i="265" s="1"/>
  <c r="BQ50" i="265" s="1"/>
  <c r="DV64" i="265"/>
  <c r="DW60" i="281"/>
  <c r="DX112" i="281"/>
  <c r="DX113" i="281" s="1"/>
  <c r="DV33" i="265"/>
  <c r="BQ63" i="280" l="1"/>
  <c r="BQ64" i="280" s="1"/>
  <c r="BQ68" i="280" s="1"/>
  <c r="BQ50" i="280"/>
  <c r="BP82" i="265"/>
  <c r="BQ58" i="280"/>
  <c r="BQ59" i="280" s="1"/>
  <c r="BQ67" i="280" s="1"/>
  <c r="BQ39" i="280"/>
  <c r="BR59" i="287"/>
  <c r="BR61" i="287" s="1"/>
  <c r="Y82" i="277"/>
  <c r="Y83" i="277"/>
  <c r="DW52" i="281"/>
  <c r="DW53" i="281" s="1"/>
  <c r="DX114" i="281"/>
  <c r="DX31" i="265" s="1"/>
  <c r="DX123" i="281"/>
  <c r="DX124" i="281" s="1"/>
  <c r="BQ69" i="280" l="1"/>
  <c r="BQ14" i="286" s="1"/>
  <c r="BQ16" i="286" s="1"/>
  <c r="BQ18" i="286" s="1"/>
  <c r="BR40" i="287"/>
  <c r="BR41" i="287" s="1"/>
  <c r="BR46" i="287" s="1"/>
  <c r="BR48" i="287" s="1"/>
  <c r="BR76" i="287"/>
  <c r="BR62" i="287"/>
  <c r="BQ70" i="280"/>
  <c r="BQ40" i="280"/>
  <c r="BQ41" i="280" s="1"/>
  <c r="DX69" i="265"/>
  <c r="DY121" i="281"/>
  <c r="DW30" i="265"/>
  <c r="DW62" i="281"/>
  <c r="DW63" i="281" s="1"/>
  <c r="BQ51" i="280" l="1"/>
  <c r="BQ52" i="280" s="1"/>
  <c r="BR49" i="280" s="1"/>
  <c r="BR62" i="280" s="1"/>
  <c r="BR16" i="265"/>
  <c r="BR35" i="265"/>
  <c r="BQ74" i="265"/>
  <c r="BQ75" i="265" s="1"/>
  <c r="BQ81" i="265" s="1"/>
  <c r="BR38" i="280"/>
  <c r="BR57" i="280" s="1"/>
  <c r="BQ52" i="265"/>
  <c r="BQ53" i="265" s="1"/>
  <c r="BQ24" i="265"/>
  <c r="BR77" i="287"/>
  <c r="BR78" i="287" s="1"/>
  <c r="BR49" i="287"/>
  <c r="BR36" i="265" s="1"/>
  <c r="BR71" i="287"/>
  <c r="BR72" i="287" s="1"/>
  <c r="DW33" i="265"/>
  <c r="DW64" i="265"/>
  <c r="DX60" i="281"/>
  <c r="DY112" i="281"/>
  <c r="DY113" i="281" s="1"/>
  <c r="AN69" i="277"/>
  <c r="BQ63" i="265" l="1"/>
  <c r="BQ65" i="265" s="1"/>
  <c r="BQ67" i="265" s="1"/>
  <c r="BQ80" i="265" s="1"/>
  <c r="BR70" i="265"/>
  <c r="BS70" i="287"/>
  <c r="BQ25" i="265"/>
  <c r="BR37" i="265"/>
  <c r="BR42" i="265" s="1"/>
  <c r="BR47" i="265" s="1"/>
  <c r="BR50" i="265" s="1"/>
  <c r="BQ83" i="265"/>
  <c r="BQ82" i="265"/>
  <c r="BR19" i="265"/>
  <c r="BR22" i="265" s="1"/>
  <c r="DX52" i="281"/>
  <c r="DX53" i="281" s="1"/>
  <c r="DY123" i="281"/>
  <c r="DY124" i="281" s="1"/>
  <c r="DY114" i="281"/>
  <c r="DY31" i="265" s="1"/>
  <c r="BR58" i="280" l="1"/>
  <c r="BR59" i="280" s="1"/>
  <c r="BR67" i="280" s="1"/>
  <c r="BR39" i="280"/>
  <c r="BR50" i="280"/>
  <c r="BR63" i="280"/>
  <c r="BR64" i="280" s="1"/>
  <c r="BR68" i="280" s="1"/>
  <c r="BS59" i="287"/>
  <c r="BS61" i="287" s="1"/>
  <c r="DY69" i="265"/>
  <c r="DZ121" i="281"/>
  <c r="DX30" i="265"/>
  <c r="DX62" i="281"/>
  <c r="DX63" i="281" s="1"/>
  <c r="BS40" i="287" l="1"/>
  <c r="BS41" i="287" s="1"/>
  <c r="BS46" i="287" s="1"/>
  <c r="BS48" i="287" s="1"/>
  <c r="BS76" i="287"/>
  <c r="BS62" i="287"/>
  <c r="BR69" i="280"/>
  <c r="DX64" i="265"/>
  <c r="AN64" i="277" s="1"/>
  <c r="DY60" i="281"/>
  <c r="DZ112" i="281"/>
  <c r="DZ113" i="281" s="1"/>
  <c r="DX33" i="265"/>
  <c r="AM30" i="277"/>
  <c r="BS35" i="265" l="1"/>
  <c r="BS16" i="265"/>
  <c r="BR14" i="286"/>
  <c r="BR16" i="286" s="1"/>
  <c r="BR18" i="286" s="1"/>
  <c r="BR51" i="280"/>
  <c r="BR52" i="280" s="1"/>
  <c r="BR70" i="280"/>
  <c r="BR40" i="280"/>
  <c r="BR41" i="280" s="1"/>
  <c r="BS77" i="287"/>
  <c r="BS78" i="287" s="1"/>
  <c r="BS49" i="287"/>
  <c r="BS36" i="265" s="1"/>
  <c r="BS71" i="287"/>
  <c r="BS72" i="287" s="1"/>
  <c r="DY52" i="281"/>
  <c r="DY53" i="281" s="1"/>
  <c r="DZ114" i="281"/>
  <c r="DZ31" i="265" s="1"/>
  <c r="DZ123" i="281"/>
  <c r="DZ124" i="281" s="1"/>
  <c r="BR52" i="265" l="1"/>
  <c r="BR53" i="265" s="1"/>
  <c r="BR24" i="265"/>
  <c r="BS19" i="265"/>
  <c r="BS22" i="265" s="1"/>
  <c r="BT70" i="287"/>
  <c r="BS70" i="265"/>
  <c r="BS38" i="280"/>
  <c r="BS57" i="280" s="1"/>
  <c r="BR74" i="265"/>
  <c r="BR75" i="265" s="1"/>
  <c r="BR81" i="265" s="1"/>
  <c r="BS49" i="280"/>
  <c r="BS62" i="280" s="1"/>
  <c r="BR63" i="265"/>
  <c r="BR65" i="265" s="1"/>
  <c r="BR67" i="265" s="1"/>
  <c r="BR80" i="265" s="1"/>
  <c r="BS37" i="265"/>
  <c r="BS42" i="265" s="1"/>
  <c r="BS47" i="265" s="1"/>
  <c r="BS50" i="265" s="1"/>
  <c r="DZ69" i="265"/>
  <c r="EA121" i="281"/>
  <c r="DY30" i="265"/>
  <c r="DY62" i="281"/>
  <c r="DY63" i="281" s="1"/>
  <c r="BR82" i="265" l="1"/>
  <c r="BR83" i="265"/>
  <c r="BS50" i="280"/>
  <c r="BS63" i="280"/>
  <c r="BS64" i="280"/>
  <c r="BS68" i="280" s="1"/>
  <c r="BT59" i="287"/>
  <c r="BT61" i="287" s="1"/>
  <c r="BS58" i="280"/>
  <c r="BS59" i="280" s="1"/>
  <c r="BS67" i="280" s="1"/>
  <c r="BS69" i="280" s="1"/>
  <c r="BS39" i="280"/>
  <c r="BR25" i="265"/>
  <c r="EA112" i="281"/>
  <c r="EA113" i="281" s="1"/>
  <c r="DY64" i="265"/>
  <c r="DZ60" i="281"/>
  <c r="DY33" i="265"/>
  <c r="BS70" i="280" l="1"/>
  <c r="BS51" i="280"/>
  <c r="BS52" i="280" s="1"/>
  <c r="BS14" i="286"/>
  <c r="BS16" i="286" s="1"/>
  <c r="BS18" i="286" s="1"/>
  <c r="BS40" i="280"/>
  <c r="BS41" i="280" s="1"/>
  <c r="BT40" i="287"/>
  <c r="BT41" i="287" s="1"/>
  <c r="BT46" i="287" s="1"/>
  <c r="BT48" i="287" s="1"/>
  <c r="BT76" i="287"/>
  <c r="BT62" i="287"/>
  <c r="DZ52" i="281"/>
  <c r="DZ53" i="281" s="1"/>
  <c r="EA123" i="281"/>
  <c r="EA124" i="281" s="1"/>
  <c r="EA69" i="265" s="1"/>
  <c r="EA114" i="281"/>
  <c r="H113" i="281"/>
  <c r="H123" i="281" s="1"/>
  <c r="BT35" i="265" l="1"/>
  <c r="BT16" i="265"/>
  <c r="BT77" i="287"/>
  <c r="BT78" i="287" s="1"/>
  <c r="BT71" i="287"/>
  <c r="BT72" i="287" s="1"/>
  <c r="BT49" i="287"/>
  <c r="BT36" i="265" s="1"/>
  <c r="BS24" i="265"/>
  <c r="BS52" i="265"/>
  <c r="BS53" i="265" s="1"/>
  <c r="BS74" i="265"/>
  <c r="BS75" i="265" s="1"/>
  <c r="BS81" i="265" s="1"/>
  <c r="BT38" i="280"/>
  <c r="BT57" i="280" s="1"/>
  <c r="BT49" i="280"/>
  <c r="BT62" i="280" s="1"/>
  <c r="BS63" i="265"/>
  <c r="BS65" i="265" s="1"/>
  <c r="BS67" i="265" s="1"/>
  <c r="BS80" i="265" s="1"/>
  <c r="EA31" i="265"/>
  <c r="H114" i="281"/>
  <c r="H31" i="265" s="1"/>
  <c r="H43" i="269" s="1"/>
  <c r="K43" i="269" s="1"/>
  <c r="DZ30" i="265"/>
  <c r="DZ62" i="281"/>
  <c r="DZ63" i="281" s="1"/>
  <c r="BS83" i="265" l="1"/>
  <c r="BS82" i="265"/>
  <c r="BS25" i="265"/>
  <c r="BU70" i="287"/>
  <c r="BT70" i="265"/>
  <c r="BT19" i="265"/>
  <c r="BT22" i="265" s="1"/>
  <c r="Y16" i="277"/>
  <c r="Y19" i="277" s="1"/>
  <c r="Y22" i="277" s="1"/>
  <c r="Y35" i="277"/>
  <c r="BT37" i="265"/>
  <c r="BT42" i="265" s="1"/>
  <c r="BT47" i="265" s="1"/>
  <c r="BT50" i="265" s="1"/>
  <c r="DZ64" i="265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BT63" i="280" l="1"/>
  <c r="BT64" i="280" s="1"/>
  <c r="BT68" i="280" s="1"/>
  <c r="BT50" i="280"/>
  <c r="BT39" i="280"/>
  <c r="BT58" i="280"/>
  <c r="BT59" i="280" s="1"/>
  <c r="BT67" i="280" s="1"/>
  <c r="BT69" i="280" s="1"/>
  <c r="BU59" i="287"/>
  <c r="BU61" i="287" s="1"/>
  <c r="Z70" i="277"/>
  <c r="H31" i="277"/>
  <c r="J33" i="277"/>
  <c r="EA52" i="281"/>
  <c r="EA53" i="281" s="1"/>
  <c r="BU40" i="287" l="1"/>
  <c r="BU41" i="287" s="1"/>
  <c r="BU46" i="287" s="1"/>
  <c r="BU48" i="287" s="1"/>
  <c r="BU62" i="287"/>
  <c r="BU76" i="287"/>
  <c r="BT14" i="286"/>
  <c r="BT16" i="286" s="1"/>
  <c r="BT18" i="286" s="1"/>
  <c r="BT51" i="280"/>
  <c r="BT52" i="280" s="1"/>
  <c r="BT40" i="280"/>
  <c r="BT41" i="280" s="1"/>
  <c r="BT70" i="280"/>
  <c r="J37" i="277"/>
  <c r="EA30" i="265"/>
  <c r="EA62" i="281"/>
  <c r="EA63" i="281" s="1"/>
  <c r="EA64" i="265" s="1"/>
  <c r="H53" i="281"/>
  <c r="BU49" i="280" l="1"/>
  <c r="BU62" i="280" s="1"/>
  <c r="BT63" i="265"/>
  <c r="BU38" i="280"/>
  <c r="BU57" i="280" s="1"/>
  <c r="BT74" i="265"/>
  <c r="BU35" i="265"/>
  <c r="BU16" i="265"/>
  <c r="BT24" i="265"/>
  <c r="BT52" i="265"/>
  <c r="BU78" i="287"/>
  <c r="BU77" i="287"/>
  <c r="BU71" i="287"/>
  <c r="BU72" i="287" s="1"/>
  <c r="BU49" i="287"/>
  <c r="BU36" i="265" s="1"/>
  <c r="H30" i="265"/>
  <c r="H42" i="269" s="1"/>
  <c r="K42" i="269" s="1"/>
  <c r="H62" i="281"/>
  <c r="EA33" i="265"/>
  <c r="K30" i="277"/>
  <c r="AN30" i="277"/>
  <c r="AN33" i="277" s="1"/>
  <c r="J41" i="277"/>
  <c r="Y51" i="277" l="1"/>
  <c r="BT53" i="265"/>
  <c r="BU19" i="265"/>
  <c r="BU22" i="265" s="1"/>
  <c r="Z74" i="277"/>
  <c r="Z75" i="277" s="1"/>
  <c r="Z81" i="277" s="1"/>
  <c r="BT75" i="265"/>
  <c r="BT81" i="265" s="1"/>
  <c r="Z63" i="277"/>
  <c r="Z65" i="277" s="1"/>
  <c r="Z67" i="277" s="1"/>
  <c r="Z80" i="277" s="1"/>
  <c r="BT65" i="265"/>
  <c r="BT67" i="265" s="1"/>
  <c r="BT80" i="265" s="1"/>
  <c r="BT83" i="265" s="1"/>
  <c r="BU70" i="265"/>
  <c r="BV70" i="287"/>
  <c r="Y24" i="277"/>
  <c r="Y25" i="277" s="1"/>
  <c r="BT25" i="265"/>
  <c r="BU37" i="265"/>
  <c r="BU42" i="265" s="1"/>
  <c r="BU47" i="265" s="1"/>
  <c r="BU50" i="265" s="1"/>
  <c r="J46" i="277"/>
  <c r="K33" i="277"/>
  <c r="H30" i="277"/>
  <c r="H33" i="265"/>
  <c r="H45" i="269" s="1"/>
  <c r="K45" i="269" s="1"/>
  <c r="L42" i="269"/>
  <c r="J42" i="269"/>
  <c r="Z83" i="277" l="1"/>
  <c r="Z82" i="277"/>
  <c r="BU39" i="280"/>
  <c r="BU58" i="280"/>
  <c r="BU59" i="280" s="1"/>
  <c r="BU67" i="280" s="1"/>
  <c r="BV59" i="287"/>
  <c r="BV61" i="287" s="1"/>
  <c r="BU50" i="280"/>
  <c r="BU63" i="280"/>
  <c r="BU64" i="280" s="1"/>
  <c r="BU68" i="280" s="1"/>
  <c r="BT82" i="265"/>
  <c r="L45" i="269"/>
  <c r="J45" i="269"/>
  <c r="H33" i="277"/>
  <c r="J49" i="277"/>
  <c r="BU69" i="280" l="1"/>
  <c r="BU14" i="286" s="1"/>
  <c r="BU16" i="286" s="1"/>
  <c r="BU18" i="286" s="1"/>
  <c r="BU51" i="280"/>
  <c r="BU52" i="280" s="1"/>
  <c r="BV40" i="287"/>
  <c r="BV41" i="287" s="1"/>
  <c r="BV46" i="287" s="1"/>
  <c r="BV48" i="287" s="1"/>
  <c r="BV76" i="287"/>
  <c r="BV62" i="287"/>
  <c r="J52" i="277"/>
  <c r="BU40" i="280" l="1"/>
  <c r="BU41" i="280" s="1"/>
  <c r="BV38" i="280" s="1"/>
  <c r="BV57" i="280" s="1"/>
  <c r="BU70" i="280"/>
  <c r="BU63" i="265"/>
  <c r="BU65" i="265" s="1"/>
  <c r="BU67" i="265" s="1"/>
  <c r="BU80" i="265" s="1"/>
  <c r="BV49" i="280"/>
  <c r="BV62" i="280" s="1"/>
  <c r="BU74" i="265"/>
  <c r="BU75" i="265" s="1"/>
  <c r="BU81" i="265" s="1"/>
  <c r="BV35" i="265"/>
  <c r="BV16" i="265"/>
  <c r="BV77" i="287"/>
  <c r="BV78" i="287" s="1"/>
  <c r="BV49" i="287"/>
  <c r="BV36" i="265" s="1"/>
  <c r="BV71" i="287"/>
  <c r="BV72" i="287" s="1"/>
  <c r="BU52" i="265"/>
  <c r="BU24" i="265"/>
  <c r="BU53" i="265" l="1"/>
  <c r="BU25" i="265"/>
  <c r="BV70" i="265"/>
  <c r="BW70" i="287"/>
  <c r="BV37" i="265"/>
  <c r="BU82" i="265"/>
  <c r="BU83" i="265"/>
  <c r="BV19" i="265"/>
  <c r="BV22" i="265" s="1"/>
  <c r="BV42" i="265" l="1"/>
  <c r="BV58" i="280"/>
  <c r="BV59" i="280" s="1"/>
  <c r="BV67" i="280" s="1"/>
  <c r="BV39" i="280"/>
  <c r="BW59" i="287"/>
  <c r="BW61" i="287" s="1"/>
  <c r="BW40" i="287" l="1"/>
  <c r="BW41" i="287" s="1"/>
  <c r="BW46" i="287" s="1"/>
  <c r="BW48" i="287" s="1"/>
  <c r="BW62" i="287"/>
  <c r="BW76" i="287"/>
  <c r="BV47" i="265"/>
  <c r="BV50" i="265" l="1"/>
  <c r="BW35" i="265"/>
  <c r="BW16" i="265"/>
  <c r="BW77" i="287"/>
  <c r="BW78" i="287" s="1"/>
  <c r="BW49" i="287"/>
  <c r="BW36" i="265" s="1"/>
  <c r="BW71" i="287"/>
  <c r="BW72" i="287" s="1"/>
  <c r="BW70" i="265" l="1"/>
  <c r="BX70" i="287"/>
  <c r="BW37" i="265"/>
  <c r="BW19" i="265"/>
  <c r="BW22" i="265" s="1"/>
  <c r="BV63" i="280"/>
  <c r="BV64" i="280" s="1"/>
  <c r="BV68" i="280" s="1"/>
  <c r="BV69" i="280" s="1"/>
  <c r="BV50" i="280"/>
  <c r="BV70" i="280" l="1"/>
  <c r="BV51" i="280"/>
  <c r="BV52" i="280" s="1"/>
  <c r="BV40" i="280"/>
  <c r="BV41" i="280" s="1"/>
  <c r="BV14" i="286"/>
  <c r="BV16" i="286" s="1"/>
  <c r="BV18" i="286" s="1"/>
  <c r="BW58" i="280"/>
  <c r="BW39" i="280"/>
  <c r="BX59" i="287"/>
  <c r="BX61" i="287" s="1"/>
  <c r="BW42" i="265"/>
  <c r="BW47" i="265" l="1"/>
  <c r="BV63" i="265"/>
  <c r="BV65" i="265" s="1"/>
  <c r="BV67" i="265" s="1"/>
  <c r="BV80" i="265" s="1"/>
  <c r="BW49" i="280"/>
  <c r="BW62" i="280" s="1"/>
  <c r="BX40" i="287"/>
  <c r="BX41" i="287" s="1"/>
  <c r="BX46" i="287" s="1"/>
  <c r="BX48" i="287" s="1"/>
  <c r="BX62" i="287"/>
  <c r="BX76" i="287"/>
  <c r="BV74" i="265"/>
  <c r="BV75" i="265" s="1"/>
  <c r="BV81" i="265" s="1"/>
  <c r="BW38" i="280"/>
  <c r="BW57" i="280" s="1"/>
  <c r="BW59" i="280" s="1"/>
  <c r="BW67" i="280" s="1"/>
  <c r="BV52" i="265"/>
  <c r="BV24" i="265"/>
  <c r="BV25" i="265" l="1"/>
  <c r="BV53" i="265"/>
  <c r="BX16" i="265"/>
  <c r="BX35" i="265"/>
  <c r="BX77" i="287"/>
  <c r="BX78" i="287" s="1"/>
  <c r="BX71" i="287"/>
  <c r="BX72" i="287" s="1"/>
  <c r="BX49" i="287"/>
  <c r="BX36" i="265" s="1"/>
  <c r="BV83" i="265"/>
  <c r="BV82" i="265"/>
  <c r="BW50" i="265"/>
  <c r="BX37" i="265" l="1"/>
  <c r="Z35" i="277"/>
  <c r="BW63" i="280"/>
  <c r="BW64" i="280" s="1"/>
  <c r="BW68" i="280" s="1"/>
  <c r="BW69" i="280" s="1"/>
  <c r="BW50" i="280"/>
  <c r="BY70" i="287"/>
  <c r="BX70" i="265"/>
  <c r="BX19" i="265"/>
  <c r="BX22" i="265" s="1"/>
  <c r="Z16" i="277"/>
  <c r="Z19" i="277" s="1"/>
  <c r="Z22" i="277" s="1"/>
  <c r="AA70" i="277" l="1"/>
  <c r="BX58" i="280"/>
  <c r="BX39" i="280"/>
  <c r="BY59" i="287"/>
  <c r="BY61" i="287" s="1"/>
  <c r="BW70" i="280"/>
  <c r="BW14" i="286"/>
  <c r="BW16" i="286" s="1"/>
  <c r="BW18" i="286" s="1"/>
  <c r="BW40" i="280"/>
  <c r="BW41" i="280" s="1"/>
  <c r="BW51" i="280"/>
  <c r="BW52" i="280" s="1"/>
  <c r="BX42" i="265"/>
  <c r="BX49" i="280" l="1"/>
  <c r="BX62" i="280" s="1"/>
  <c r="BW63" i="265"/>
  <c r="BW65" i="265" s="1"/>
  <c r="BW67" i="265" s="1"/>
  <c r="BW80" i="265" s="1"/>
  <c r="BX47" i="265"/>
  <c r="BX38" i="280"/>
  <c r="BX57" i="280" s="1"/>
  <c r="BX59" i="280" s="1"/>
  <c r="BX67" i="280" s="1"/>
  <c r="BW74" i="265"/>
  <c r="BW75" i="265" s="1"/>
  <c r="BW81" i="265" s="1"/>
  <c r="BW24" i="265"/>
  <c r="BW52" i="265"/>
  <c r="BY40" i="287"/>
  <c r="BY41" i="287" s="1"/>
  <c r="BY46" i="287" s="1"/>
  <c r="BY48" i="287" s="1"/>
  <c r="BY62" i="287"/>
  <c r="BY76" i="287"/>
  <c r="BY77" i="287" l="1"/>
  <c r="BY71" i="287"/>
  <c r="BY72" i="287" s="1"/>
  <c r="BY49" i="287"/>
  <c r="BY36" i="265" s="1"/>
  <c r="BY35" i="265"/>
  <c r="BY16" i="265"/>
  <c r="BW53" i="265"/>
  <c r="BW82" i="265"/>
  <c r="BW83" i="265"/>
  <c r="BY78" i="287"/>
  <c r="BW25" i="265"/>
  <c r="BX50" i="265"/>
  <c r="BY37" i="265" l="1"/>
  <c r="BY70" i="265"/>
  <c r="BZ70" i="287"/>
  <c r="BX63" i="280"/>
  <c r="BX64" i="280" s="1"/>
  <c r="BX68" i="280" s="1"/>
  <c r="BX69" i="280" s="1"/>
  <c r="BX50" i="280"/>
  <c r="BY19" i="265"/>
  <c r="BY22" i="265" s="1"/>
  <c r="BZ59" i="287" l="1"/>
  <c r="BZ61" i="287" s="1"/>
  <c r="BY58" i="280"/>
  <c r="BY39" i="280"/>
  <c r="BX70" i="280"/>
  <c r="BX14" i="286"/>
  <c r="BX16" i="286" s="1"/>
  <c r="BX18" i="286" s="1"/>
  <c r="BX40" i="280"/>
  <c r="BX41" i="280" s="1"/>
  <c r="BX51" i="280"/>
  <c r="BX52" i="280" s="1"/>
  <c r="BY42" i="265"/>
  <c r="BY47" i="265" l="1"/>
  <c r="BY38" i="280"/>
  <c r="BY57" i="280" s="1"/>
  <c r="BY59" i="280" s="1"/>
  <c r="BY67" i="280" s="1"/>
  <c r="BX74" i="265"/>
  <c r="BX24" i="265"/>
  <c r="BX52" i="265"/>
  <c r="BZ40" i="287"/>
  <c r="BZ41" i="287" s="1"/>
  <c r="BZ46" i="287" s="1"/>
  <c r="BZ48" i="287" s="1"/>
  <c r="BZ62" i="287"/>
  <c r="BZ76" i="287"/>
  <c r="BX63" i="265"/>
  <c r="BY49" i="280"/>
  <c r="BY62" i="280" s="1"/>
  <c r="BZ77" i="287" l="1"/>
  <c r="BZ71" i="287"/>
  <c r="BZ72" i="287" s="1"/>
  <c r="BZ49" i="287"/>
  <c r="BZ36" i="265" s="1"/>
  <c r="BX25" i="265"/>
  <c r="Z24" i="277"/>
  <c r="Z25" i="277" s="1"/>
  <c r="AA63" i="277"/>
  <c r="AA65" i="277" s="1"/>
  <c r="AA67" i="277" s="1"/>
  <c r="AA80" i="277" s="1"/>
  <c r="BX65" i="265"/>
  <c r="BX67" i="265" s="1"/>
  <c r="BX80" i="265" s="1"/>
  <c r="BZ35" i="265"/>
  <c r="BZ16" i="265"/>
  <c r="Z51" i="277"/>
  <c r="BX53" i="265"/>
  <c r="AA74" i="277"/>
  <c r="AA75" i="277" s="1"/>
  <c r="AA81" i="277" s="1"/>
  <c r="BX75" i="265"/>
  <c r="BX81" i="265" s="1"/>
  <c r="BZ78" i="287"/>
  <c r="BY50" i="265"/>
  <c r="BY63" i="280" l="1"/>
  <c r="BY64" i="280" s="1"/>
  <c r="BY68" i="280" s="1"/>
  <c r="BY69" i="280" s="1"/>
  <c r="BY50" i="280"/>
  <c r="BZ19" i="265"/>
  <c r="BZ22" i="265" s="1"/>
  <c r="BX83" i="265"/>
  <c r="BX82" i="265"/>
  <c r="BZ37" i="265"/>
  <c r="AA83" i="277"/>
  <c r="AA82" i="277"/>
  <c r="CA70" i="287"/>
  <c r="BZ70" i="265"/>
  <c r="CA59" i="287" l="1"/>
  <c r="CA61" i="287" s="1"/>
  <c r="BZ42" i="265"/>
  <c r="BZ39" i="280"/>
  <c r="BZ58" i="280"/>
  <c r="BY14" i="286"/>
  <c r="BY16" i="286" s="1"/>
  <c r="BY18" i="286" s="1"/>
  <c r="BY40" i="280"/>
  <c r="BY41" i="280" s="1"/>
  <c r="BY70" i="280"/>
  <c r="BY51" i="280"/>
  <c r="BY52" i="280" s="1"/>
  <c r="BY52" i="265" l="1"/>
  <c r="BY24" i="265"/>
  <c r="CA40" i="287"/>
  <c r="CA41" i="287" s="1"/>
  <c r="CA46" i="287" s="1"/>
  <c r="CA48" i="287" s="1"/>
  <c r="CA62" i="287"/>
  <c r="CA76" i="287"/>
  <c r="BY63" i="265"/>
  <c r="BY65" i="265" s="1"/>
  <c r="BY67" i="265" s="1"/>
  <c r="BY80" i="265" s="1"/>
  <c r="BZ49" i="280"/>
  <c r="BZ62" i="280" s="1"/>
  <c r="BY74" i="265"/>
  <c r="BY75" i="265" s="1"/>
  <c r="BY81" i="265" s="1"/>
  <c r="BZ38" i="280"/>
  <c r="BZ57" i="280" s="1"/>
  <c r="BZ59" i="280" s="1"/>
  <c r="BZ67" i="280" s="1"/>
  <c r="BZ47" i="265"/>
  <c r="BZ50" i="265" l="1"/>
  <c r="BY82" i="265"/>
  <c r="BY83" i="265"/>
  <c r="CA16" i="265"/>
  <c r="CA35" i="265"/>
  <c r="BY25" i="265"/>
  <c r="CA77" i="287"/>
  <c r="CA78" i="287" s="1"/>
  <c r="CA71" i="287"/>
  <c r="CA72" i="287" s="1"/>
  <c r="CA49" i="287"/>
  <c r="CA36" i="265" s="1"/>
  <c r="BY53" i="265"/>
  <c r="CA19" i="265" l="1"/>
  <c r="CA22" i="265" s="1"/>
  <c r="BZ63" i="280"/>
  <c r="BZ64" i="280" s="1"/>
  <c r="BZ68" i="280" s="1"/>
  <c r="BZ69" i="280" s="1"/>
  <c r="BZ50" i="280"/>
  <c r="CB70" i="287"/>
  <c r="CA70" i="265"/>
  <c r="CA37" i="265"/>
  <c r="CA42" i="265" s="1"/>
  <c r="CA47" i="265" s="1"/>
  <c r="CA50" i="265" s="1"/>
  <c r="CA50" i="280" l="1"/>
  <c r="CA63" i="280"/>
  <c r="BZ70" i="280"/>
  <c r="BZ40" i="280"/>
  <c r="BZ41" i="280" s="1"/>
  <c r="BZ14" i="286"/>
  <c r="BZ16" i="286" s="1"/>
  <c r="BZ18" i="286" s="1"/>
  <c r="BZ51" i="280"/>
  <c r="BZ52" i="280" s="1"/>
  <c r="CA39" i="280"/>
  <c r="CA58" i="280"/>
  <c r="CB59" i="287"/>
  <c r="CB61" i="287" s="1"/>
  <c r="CA49" i="280" l="1"/>
  <c r="CA62" i="280" s="1"/>
  <c r="CA64" i="280" s="1"/>
  <c r="CA68" i="280" s="1"/>
  <c r="BZ63" i="265"/>
  <c r="BZ65" i="265" s="1"/>
  <c r="BZ67" i="265" s="1"/>
  <c r="BZ80" i="265" s="1"/>
  <c r="BZ74" i="265"/>
  <c r="BZ75" i="265" s="1"/>
  <c r="BZ81" i="265" s="1"/>
  <c r="CA38" i="280"/>
  <c r="CA57" i="280" s="1"/>
  <c r="CA59" i="280" s="1"/>
  <c r="CA67" i="280" s="1"/>
  <c r="CA69" i="280" s="1"/>
  <c r="CB40" i="287"/>
  <c r="CB41" i="287" s="1"/>
  <c r="CB46" i="287" s="1"/>
  <c r="CB48" i="287" s="1"/>
  <c r="CB76" i="287"/>
  <c r="CB62" i="287"/>
  <c r="BZ52" i="265"/>
  <c r="BZ24" i="265"/>
  <c r="BZ53" i="265" l="1"/>
  <c r="CA14" i="286"/>
  <c r="CA16" i="286" s="1"/>
  <c r="CA18" i="286" s="1"/>
  <c r="CA40" i="280"/>
  <c r="CA41" i="280" s="1"/>
  <c r="CA51" i="280"/>
  <c r="CA52" i="280" s="1"/>
  <c r="CA70" i="280"/>
  <c r="BZ82" i="265"/>
  <c r="BZ83" i="265"/>
  <c r="BZ25" i="265"/>
  <c r="CB35" i="265"/>
  <c r="CB16" i="265"/>
  <c r="CB77" i="287"/>
  <c r="CB78" i="287" s="1"/>
  <c r="CB71" i="287"/>
  <c r="CB72" i="287" s="1"/>
  <c r="CB49" i="287"/>
  <c r="CB36" i="265" s="1"/>
  <c r="CB37" i="265" l="1"/>
  <c r="CB42" i="265" s="1"/>
  <c r="CB47" i="265" s="1"/>
  <c r="CB50" i="265" s="1"/>
  <c r="AA35" i="277"/>
  <c r="CA63" i="265"/>
  <c r="CA65" i="265" s="1"/>
  <c r="CA67" i="265" s="1"/>
  <c r="CA80" i="265" s="1"/>
  <c r="CB49" i="280"/>
  <c r="CB62" i="280" s="1"/>
  <c r="CC70" i="287"/>
  <c r="CB70" i="265"/>
  <c r="CB19" i="265"/>
  <c r="CB22" i="265" s="1"/>
  <c r="AA16" i="277"/>
  <c r="AA19" i="277" s="1"/>
  <c r="AA22" i="277" s="1"/>
  <c r="CA24" i="265"/>
  <c r="CA52" i="265"/>
  <c r="CA74" i="265"/>
  <c r="CA75" i="265" s="1"/>
  <c r="CA81" i="265" s="1"/>
  <c r="CB38" i="280"/>
  <c r="CB57" i="280" s="1"/>
  <c r="CA53" i="265" l="1"/>
  <c r="AB70" i="277"/>
  <c r="CA25" i="265"/>
  <c r="CB39" i="280"/>
  <c r="CB58" i="280"/>
  <c r="CB59" i="280" s="1"/>
  <c r="CB67" i="280" s="1"/>
  <c r="CC59" i="287"/>
  <c r="CC61" i="287" s="1"/>
  <c r="CA82" i="265"/>
  <c r="CA83" i="265"/>
  <c r="CB63" i="280"/>
  <c r="CB64" i="280" s="1"/>
  <c r="CB68" i="280" s="1"/>
  <c r="CB50" i="280"/>
  <c r="CB69" i="280" l="1"/>
  <c r="CB70" i="280" s="1"/>
  <c r="CB40" i="280"/>
  <c r="CB41" i="280" s="1"/>
  <c r="CB51" i="280"/>
  <c r="CB52" i="280" s="1"/>
  <c r="CC40" i="287"/>
  <c r="CC41" i="287" s="1"/>
  <c r="CC46" i="287" s="1"/>
  <c r="CC48" i="287" s="1"/>
  <c r="CC62" i="287"/>
  <c r="CC76" i="287"/>
  <c r="CB14" i="286" l="1"/>
  <c r="CB16" i="286" s="1"/>
  <c r="CB18" i="286" s="1"/>
  <c r="CC35" i="265"/>
  <c r="CC16" i="265"/>
  <c r="CB63" i="265"/>
  <c r="CC49" i="280"/>
  <c r="CC62" i="280" s="1"/>
  <c r="CC38" i="280"/>
  <c r="CC57" i="280" s="1"/>
  <c r="CB74" i="265"/>
  <c r="CC77" i="287"/>
  <c r="CC78" i="287" s="1"/>
  <c r="CC49" i="287"/>
  <c r="CC36" i="265" s="1"/>
  <c r="CC71" i="287"/>
  <c r="CC72" i="287" s="1"/>
  <c r="CB24" i="265"/>
  <c r="CB52" i="265"/>
  <c r="AA51" i="277" l="1"/>
  <c r="CB53" i="265"/>
  <c r="CD70" i="287"/>
  <c r="CC70" i="265"/>
  <c r="AB74" i="277"/>
  <c r="AB75" i="277" s="1"/>
  <c r="AB81" i="277" s="1"/>
  <c r="CB75" i="265"/>
  <c r="CB81" i="265" s="1"/>
  <c r="CC19" i="265"/>
  <c r="CC22" i="265" s="1"/>
  <c r="AA24" i="277"/>
  <c r="AA25" i="277" s="1"/>
  <c r="CB25" i="265"/>
  <c r="CB65" i="265"/>
  <c r="CB67" i="265" s="1"/>
  <c r="CB80" i="265" s="1"/>
  <c r="AB63" i="277"/>
  <c r="AB65" i="277" s="1"/>
  <c r="AB67" i="277" s="1"/>
  <c r="AB80" i="277" s="1"/>
  <c r="CC37" i="265"/>
  <c r="CC42" i="265" s="1"/>
  <c r="CC47" i="265" s="1"/>
  <c r="CC50" i="265" s="1"/>
  <c r="CC50" i="280" l="1"/>
  <c r="CC63" i="280"/>
  <c r="CC64" i="280" s="1"/>
  <c r="CC68" i="280" s="1"/>
  <c r="CB82" i="265"/>
  <c r="CB83" i="265"/>
  <c r="CC39" i="280"/>
  <c r="CC58" i="280"/>
  <c r="CC59" i="280" s="1"/>
  <c r="CC67" i="280" s="1"/>
  <c r="AB82" i="277"/>
  <c r="AB83" i="277"/>
  <c r="CD59" i="287"/>
  <c r="CD61" i="287" s="1"/>
  <c r="CD40" i="287" l="1"/>
  <c r="CD41" i="287" s="1"/>
  <c r="CD46" i="287" s="1"/>
  <c r="CD48" i="287" s="1"/>
  <c r="CD62" i="287"/>
  <c r="CD76" i="287"/>
  <c r="CC69" i="280"/>
  <c r="CC14" i="286" l="1"/>
  <c r="CC16" i="286" s="1"/>
  <c r="CC18" i="286" s="1"/>
  <c r="CC70" i="280"/>
  <c r="CC40" i="280"/>
  <c r="CC41" i="280" s="1"/>
  <c r="CC51" i="280"/>
  <c r="CC52" i="280" s="1"/>
  <c r="CD35" i="265"/>
  <c r="CD16" i="265"/>
  <c r="CD77" i="287"/>
  <c r="CD78" i="287" s="1"/>
  <c r="CD49" i="287"/>
  <c r="CD36" i="265" s="1"/>
  <c r="CD71" i="287"/>
  <c r="CD72" i="287" s="1"/>
  <c r="CD70" i="265" l="1"/>
  <c r="CE70" i="287"/>
  <c r="CD19" i="265"/>
  <c r="CD22" i="265" s="1"/>
  <c r="CD49" i="280"/>
  <c r="CD62" i="280" s="1"/>
  <c r="CC63" i="265"/>
  <c r="CC65" i="265" s="1"/>
  <c r="CC67" i="265" s="1"/>
  <c r="CC80" i="265" s="1"/>
  <c r="CC52" i="265"/>
  <c r="CC24" i="265"/>
  <c r="CD37" i="265"/>
  <c r="CD42" i="265" s="1"/>
  <c r="CD47" i="265" s="1"/>
  <c r="CD50" i="265" s="1"/>
  <c r="CC74" i="265"/>
  <c r="CC75" i="265" s="1"/>
  <c r="CC81" i="265" s="1"/>
  <c r="CD38" i="280"/>
  <c r="CD57" i="280" s="1"/>
  <c r="CD50" i="280" l="1"/>
  <c r="CD63" i="280"/>
  <c r="CD64" i="280" s="1"/>
  <c r="CD68" i="280" s="1"/>
  <c r="CC25" i="265"/>
  <c r="CC83" i="265"/>
  <c r="CC82" i="265"/>
  <c r="CE59" i="287"/>
  <c r="CE61" i="287" s="1"/>
  <c r="CC53" i="265"/>
  <c r="CD58" i="280"/>
  <c r="CD59" i="280" s="1"/>
  <c r="CD67" i="280" s="1"/>
  <c r="CD69" i="280" s="1"/>
  <c r="CD39" i="280"/>
  <c r="CD70" i="280" l="1"/>
  <c r="CD51" i="280"/>
  <c r="CD52" i="280" s="1"/>
  <c r="CD14" i="286"/>
  <c r="CD16" i="286" s="1"/>
  <c r="CD18" i="286" s="1"/>
  <c r="CD40" i="280"/>
  <c r="CD41" i="280" s="1"/>
  <c r="CE40" i="287"/>
  <c r="CE41" i="287" s="1"/>
  <c r="CE46" i="287" s="1"/>
  <c r="CE48" i="287" s="1"/>
  <c r="CE76" i="287"/>
  <c r="CE62" i="287"/>
  <c r="CD74" i="265" l="1"/>
  <c r="CD75" i="265" s="1"/>
  <c r="CD81" i="265" s="1"/>
  <c r="CE38" i="280"/>
  <c r="CE57" i="280" s="1"/>
  <c r="CD63" i="265"/>
  <c r="CD65" i="265" s="1"/>
  <c r="CD67" i="265" s="1"/>
  <c r="CD80" i="265" s="1"/>
  <c r="CE49" i="280"/>
  <c r="CE62" i="280" s="1"/>
  <c r="CE35" i="265"/>
  <c r="CE16" i="265"/>
  <c r="CE77" i="287"/>
  <c r="CE78" i="287" s="1"/>
  <c r="CE49" i="287"/>
  <c r="CE36" i="265" s="1"/>
  <c r="CE71" i="287"/>
  <c r="CE72" i="287" s="1"/>
  <c r="CD52" i="265"/>
  <c r="CD24" i="265"/>
  <c r="CD25" i="265" l="1"/>
  <c r="CE70" i="265"/>
  <c r="CF70" i="287"/>
  <c r="CE37" i="265"/>
  <c r="CE42" i="265" s="1"/>
  <c r="CE47" i="265" s="1"/>
  <c r="CE50" i="265" s="1"/>
  <c r="CD83" i="265"/>
  <c r="CD82" i="265"/>
  <c r="CD53" i="265"/>
  <c r="CE19" i="265"/>
  <c r="CE22" i="265" s="1"/>
  <c r="CE39" i="280" l="1"/>
  <c r="CE58" i="280"/>
  <c r="CE59" i="280" s="1"/>
  <c r="CE67" i="280" s="1"/>
  <c r="CF59" i="287"/>
  <c r="CF61" i="287" s="1"/>
  <c r="CE50" i="280"/>
  <c r="CE63" i="280"/>
  <c r="CE64" i="280" s="1"/>
  <c r="CE68" i="280" s="1"/>
  <c r="CE69" i="280" l="1"/>
  <c r="CE14" i="286" s="1"/>
  <c r="CE16" i="286" s="1"/>
  <c r="CE18" i="286" s="1"/>
  <c r="CE40" i="280"/>
  <c r="CE41" i="280" s="1"/>
  <c r="CE51" i="280"/>
  <c r="CE52" i="280" s="1"/>
  <c r="CF40" i="287"/>
  <c r="CF41" i="287" s="1"/>
  <c r="CF46" i="287" s="1"/>
  <c r="CF48" i="287" s="1"/>
  <c r="CF62" i="287"/>
  <c r="CF76" i="287"/>
  <c r="CE70" i="280" l="1"/>
  <c r="CF35" i="265"/>
  <c r="CF16" i="265"/>
  <c r="CF49" i="280"/>
  <c r="CF62" i="280" s="1"/>
  <c r="CE63" i="265"/>
  <c r="CE65" i="265" s="1"/>
  <c r="CE67" i="265" s="1"/>
  <c r="CE80" i="265" s="1"/>
  <c r="CF38" i="280"/>
  <c r="CF57" i="280" s="1"/>
  <c r="CE74" i="265"/>
  <c r="CE75" i="265" s="1"/>
  <c r="CE81" i="265" s="1"/>
  <c r="CF77" i="287"/>
  <c r="CF78" i="287" s="1"/>
  <c r="CF49" i="287"/>
  <c r="CF36" i="265" s="1"/>
  <c r="CF71" i="287"/>
  <c r="CF72" i="287" s="1"/>
  <c r="CE24" i="265"/>
  <c r="CE52" i="265"/>
  <c r="CE53" i="265" l="1"/>
  <c r="CG70" i="287"/>
  <c r="CF70" i="265"/>
  <c r="CE82" i="265"/>
  <c r="CE83" i="265"/>
  <c r="CF19" i="265"/>
  <c r="CF22" i="265" s="1"/>
  <c r="AB16" i="277"/>
  <c r="AB19" i="277" s="1"/>
  <c r="AB22" i="277" s="1"/>
  <c r="CE25" i="265"/>
  <c r="CF37" i="265"/>
  <c r="CF42" i="265" s="1"/>
  <c r="CF47" i="265" s="1"/>
  <c r="CF50" i="265" s="1"/>
  <c r="AB35" i="277"/>
  <c r="AC70" i="277" l="1"/>
  <c r="CF50" i="280"/>
  <c r="CF63" i="280"/>
  <c r="CF64" i="280" s="1"/>
  <c r="CF68" i="280" s="1"/>
  <c r="CF58" i="280"/>
  <c r="CF59" i="280" s="1"/>
  <c r="CF67" i="280" s="1"/>
  <c r="CF39" i="280"/>
  <c r="CG59" i="287"/>
  <c r="CG61" i="287" s="1"/>
  <c r="CF69" i="280" l="1"/>
  <c r="CG40" i="287"/>
  <c r="CG41" i="287" s="1"/>
  <c r="CG46" i="287" s="1"/>
  <c r="CG48" i="287" s="1"/>
  <c r="CG62" i="287"/>
  <c r="CG76" i="287"/>
  <c r="CF40" i="280"/>
  <c r="CF41" i="280" s="1"/>
  <c r="CF70" i="280"/>
  <c r="CF51" i="280"/>
  <c r="CF52" i="280" s="1"/>
  <c r="CF14" i="286"/>
  <c r="CF16" i="286" s="1"/>
  <c r="CF18" i="286" s="1"/>
  <c r="CF63" i="265" l="1"/>
  <c r="CG49" i="280"/>
  <c r="CG62" i="280" s="1"/>
  <c r="CF74" i="265"/>
  <c r="CG38" i="280"/>
  <c r="CG57" i="280" s="1"/>
  <c r="CG35" i="265"/>
  <c r="CG16" i="265"/>
  <c r="CF24" i="265"/>
  <c r="CF52" i="265"/>
  <c r="CG77" i="287"/>
  <c r="CG78" i="287" s="1"/>
  <c r="CG71" i="287"/>
  <c r="CG72" i="287" s="1"/>
  <c r="CG49" i="287"/>
  <c r="CG36" i="265" s="1"/>
  <c r="AB51" i="277" l="1"/>
  <c r="CF53" i="265"/>
  <c r="CG19" i="265"/>
  <c r="CG22" i="265" s="1"/>
  <c r="CG70" i="265"/>
  <c r="CH70" i="287"/>
  <c r="AB24" i="277"/>
  <c r="AB25" i="277" s="1"/>
  <c r="CF25" i="265"/>
  <c r="CG37" i="265"/>
  <c r="CG42" i="265" s="1"/>
  <c r="CG47" i="265" s="1"/>
  <c r="CG50" i="265" s="1"/>
  <c r="AC74" i="277"/>
  <c r="AC75" i="277" s="1"/>
  <c r="AC81" i="277" s="1"/>
  <c r="CF75" i="265"/>
  <c r="CF81" i="265" s="1"/>
  <c r="CF65" i="265"/>
  <c r="CF67" i="265" s="1"/>
  <c r="CF80" i="265" s="1"/>
  <c r="AC63" i="277"/>
  <c r="AC65" i="277" s="1"/>
  <c r="AC67" i="277" s="1"/>
  <c r="AC80" i="277" s="1"/>
  <c r="CF82" i="265" l="1"/>
  <c r="CF83" i="265"/>
  <c r="CG50" i="280"/>
  <c r="CG63" i="280"/>
  <c r="CG64" i="280" s="1"/>
  <c r="CG68" i="280" s="1"/>
  <c r="CG39" i="280"/>
  <c r="CG58" i="280"/>
  <c r="CG59" i="280" s="1"/>
  <c r="CG67" i="280" s="1"/>
  <c r="AC82" i="277"/>
  <c r="AC83" i="277"/>
  <c r="CH59" i="287"/>
  <c r="CH61" i="287" s="1"/>
  <c r="CH40" i="287" l="1"/>
  <c r="CH41" i="287" s="1"/>
  <c r="CH46" i="287" s="1"/>
  <c r="CH48" i="287" s="1"/>
  <c r="CH62" i="287"/>
  <c r="CH76" i="287"/>
  <c r="CG69" i="280"/>
  <c r="CG70" i="280" l="1"/>
  <c r="CG40" i="280"/>
  <c r="CG41" i="280" s="1"/>
  <c r="CG51" i="280"/>
  <c r="CG52" i="280" s="1"/>
  <c r="CG14" i="286"/>
  <c r="CG16" i="286" s="1"/>
  <c r="CG18" i="286" s="1"/>
  <c r="CH35" i="265"/>
  <c r="CH16" i="265"/>
  <c r="CH77" i="287"/>
  <c r="CH78" i="287" s="1"/>
  <c r="CH49" i="287"/>
  <c r="CH36" i="265" s="1"/>
  <c r="CH71" i="287"/>
  <c r="CH72" i="287" s="1"/>
  <c r="CI70" i="287" l="1"/>
  <c r="CH70" i="265"/>
  <c r="CH19" i="265"/>
  <c r="CH22" i="265" s="1"/>
  <c r="CH38" i="280"/>
  <c r="CH57" i="280" s="1"/>
  <c r="CG74" i="265"/>
  <c r="CG75" i="265" s="1"/>
  <c r="CG81" i="265" s="1"/>
  <c r="CH37" i="265"/>
  <c r="CH42" i="265" s="1"/>
  <c r="CH47" i="265" s="1"/>
  <c r="CH50" i="265" s="1"/>
  <c r="CG63" i="265"/>
  <c r="CG65" i="265" s="1"/>
  <c r="CG67" i="265" s="1"/>
  <c r="CG80" i="265" s="1"/>
  <c r="CG83" i="265" s="1"/>
  <c r="CH49" i="280"/>
  <c r="CH62" i="280" s="1"/>
  <c r="CG24" i="265"/>
  <c r="CG52" i="265"/>
  <c r="CG25" i="265" l="1"/>
  <c r="CH50" i="280"/>
  <c r="CH63" i="280"/>
  <c r="CH64" i="280" s="1"/>
  <c r="CH68" i="280" s="1"/>
  <c r="CG82" i="265"/>
  <c r="CG53" i="265"/>
  <c r="CH39" i="280"/>
  <c r="CH58" i="280"/>
  <c r="CH59" i="280" s="1"/>
  <c r="CH67" i="280" s="1"/>
  <c r="CH69" i="280" s="1"/>
  <c r="CI59" i="287"/>
  <c r="CI61" i="287" s="1"/>
  <c r="CH14" i="286" l="1"/>
  <c r="CH16" i="286" s="1"/>
  <c r="CH18" i="286" s="1"/>
  <c r="CH51" i="280"/>
  <c r="CH52" i="280" s="1"/>
  <c r="CH70" i="280"/>
  <c r="CH40" i="280"/>
  <c r="CH41" i="280" s="1"/>
  <c r="CI40" i="287"/>
  <c r="CI41" i="287" s="1"/>
  <c r="CI46" i="287" s="1"/>
  <c r="CI48" i="287" s="1"/>
  <c r="CI62" i="287"/>
  <c r="CI76" i="287"/>
  <c r="CI35" i="265" l="1"/>
  <c r="CI16" i="265"/>
  <c r="CI38" i="280"/>
  <c r="CI57" i="280" s="1"/>
  <c r="CH74" i="265"/>
  <c r="CH75" i="265" s="1"/>
  <c r="CH81" i="265" s="1"/>
  <c r="CI49" i="280"/>
  <c r="CI62" i="280" s="1"/>
  <c r="CH63" i="265"/>
  <c r="CH65" i="265" s="1"/>
  <c r="CH67" i="265" s="1"/>
  <c r="CH80" i="265" s="1"/>
  <c r="CI77" i="287"/>
  <c r="CI78" i="287" s="1"/>
  <c r="CI71" i="287"/>
  <c r="CI72" i="287" s="1"/>
  <c r="CI49" i="287"/>
  <c r="CI36" i="265" s="1"/>
  <c r="CH52" i="265"/>
  <c r="CH24" i="265"/>
  <c r="CH25" i="265" l="1"/>
  <c r="CH82" i="265"/>
  <c r="CH83" i="265"/>
  <c r="CI19" i="265"/>
  <c r="CI22" i="265" s="1"/>
  <c r="CH53" i="265"/>
  <c r="CI70" i="265"/>
  <c r="CJ70" i="287"/>
  <c r="CI37" i="265"/>
  <c r="CI42" i="265" s="1"/>
  <c r="CI47" i="265" s="1"/>
  <c r="CI50" i="265" s="1"/>
  <c r="K74" i="277"/>
  <c r="K75" i="277" s="1"/>
  <c r="K81" i="277" s="1"/>
  <c r="M74" i="277"/>
  <c r="M75" i="277" s="1"/>
  <c r="M81" i="277" s="1"/>
  <c r="CI63" i="280" l="1"/>
  <c r="CI64" i="280" s="1"/>
  <c r="CI68" i="280" s="1"/>
  <c r="CI50" i="280"/>
  <c r="CI58" i="280"/>
  <c r="CI59" i="280" s="1"/>
  <c r="CI67" i="280" s="1"/>
  <c r="CI69" i="280" s="1"/>
  <c r="CI39" i="280"/>
  <c r="CJ59" i="287"/>
  <c r="CJ61" i="287" s="1"/>
  <c r="K51" i="277"/>
  <c r="M83" i="277"/>
  <c r="M82" i="277"/>
  <c r="K24" i="277"/>
  <c r="K83" i="277"/>
  <c r="K82" i="277"/>
  <c r="CI70" i="280" l="1"/>
  <c r="CI51" i="280"/>
  <c r="CI52" i="280" s="1"/>
  <c r="CI14" i="286"/>
  <c r="CI16" i="286" s="1"/>
  <c r="CI40" i="280"/>
  <c r="CI41" i="280" s="1"/>
  <c r="CJ40" i="287"/>
  <c r="CJ41" i="287" s="1"/>
  <c r="CJ46" i="287" s="1"/>
  <c r="CJ48" i="287" s="1"/>
  <c r="CJ62" i="287"/>
  <c r="CJ76" i="287"/>
  <c r="K25" i="277"/>
  <c r="CJ77" i="287" l="1"/>
  <c r="CJ78" i="287" s="1"/>
  <c r="CJ71" i="287"/>
  <c r="CJ72" i="287" s="1"/>
  <c r="CJ49" i="287"/>
  <c r="CJ36" i="265" s="1"/>
  <c r="CI18" i="286"/>
  <c r="CI24" i="265"/>
  <c r="CI52" i="265"/>
  <c r="CJ35" i="265"/>
  <c r="CJ16" i="265"/>
  <c r="CJ38" i="280"/>
  <c r="CJ57" i="280" s="1"/>
  <c r="CI74" i="265"/>
  <c r="CI75" i="265" s="1"/>
  <c r="CI81" i="265" s="1"/>
  <c r="CJ49" i="280"/>
  <c r="CJ62" i="280" s="1"/>
  <c r="CI63" i="265"/>
  <c r="CI65" i="265" s="1"/>
  <c r="CI67" i="265" s="1"/>
  <c r="CI80" i="265" s="1"/>
  <c r="CI82" i="265" l="1"/>
  <c r="CI83" i="265"/>
  <c r="CJ19" i="265"/>
  <c r="CJ22" i="265" s="1"/>
  <c r="AC16" i="277"/>
  <c r="AC19" i="277" s="1"/>
  <c r="AC22" i="277" s="1"/>
  <c r="CI53" i="265"/>
  <c r="CJ37" i="265"/>
  <c r="CJ42" i="265" s="1"/>
  <c r="CJ47" i="265" s="1"/>
  <c r="CJ50" i="265" s="1"/>
  <c r="AC35" i="277"/>
  <c r="CI25" i="265"/>
  <c r="CJ70" i="265"/>
  <c r="CK70" i="287"/>
  <c r="CK59" i="287" l="1"/>
  <c r="CK61" i="287" s="1"/>
  <c r="AD70" i="277"/>
  <c r="CJ63" i="280"/>
  <c r="CJ64" i="280" s="1"/>
  <c r="CJ68" i="280" s="1"/>
  <c r="CJ50" i="280"/>
  <c r="CJ39" i="280"/>
  <c r="CJ58" i="280"/>
  <c r="CJ59" i="280" s="1"/>
  <c r="CJ67" i="280" s="1"/>
  <c r="CJ69" i="280" s="1"/>
  <c r="CJ70" i="280" l="1"/>
  <c r="CJ51" i="280"/>
  <c r="CJ52" i="280" s="1"/>
  <c r="CJ14" i="286"/>
  <c r="CJ16" i="286" s="1"/>
  <c r="CJ40" i="280"/>
  <c r="CJ41" i="280" s="1"/>
  <c r="CK40" i="287"/>
  <c r="CK41" i="287" s="1"/>
  <c r="CK46" i="287" s="1"/>
  <c r="CK48" i="287" s="1"/>
  <c r="CK76" i="287"/>
  <c r="CK62" i="287"/>
  <c r="CK16" i="265" l="1"/>
  <c r="CK35" i="265"/>
  <c r="CK77" i="287"/>
  <c r="CK78" i="287" s="1"/>
  <c r="CK49" i="287"/>
  <c r="CK36" i="265" s="1"/>
  <c r="CK71" i="287"/>
  <c r="CK72" i="287" s="1"/>
  <c r="CK38" i="280"/>
  <c r="CK57" i="280" s="1"/>
  <c r="CJ74" i="265"/>
  <c r="CK49" i="280"/>
  <c r="CK62" i="280" s="1"/>
  <c r="CJ63" i="265"/>
  <c r="CJ18" i="286"/>
  <c r="CJ52" i="265"/>
  <c r="CJ24" i="265"/>
  <c r="AC24" i="277" l="1"/>
  <c r="CJ25" i="265"/>
  <c r="CK37" i="265"/>
  <c r="CK42" i="265" s="1"/>
  <c r="CK47" i="265" s="1"/>
  <c r="CK50" i="265" s="1"/>
  <c r="AC51" i="277"/>
  <c r="CJ53" i="265"/>
  <c r="CJ65" i="265"/>
  <c r="CJ67" i="265" s="1"/>
  <c r="CJ80" i="265" s="1"/>
  <c r="AD63" i="277"/>
  <c r="AD65" i="277" s="1"/>
  <c r="AD67" i="277" s="1"/>
  <c r="AD80" i="277" s="1"/>
  <c r="AD74" i="277"/>
  <c r="AD75" i="277" s="1"/>
  <c r="AD81" i="277" s="1"/>
  <c r="CJ75" i="265"/>
  <c r="CJ81" i="265" s="1"/>
  <c r="CK70" i="265"/>
  <c r="CL70" i="287"/>
  <c r="CK19" i="265"/>
  <c r="CK22" i="265" s="1"/>
  <c r="CK58" i="280" l="1"/>
  <c r="CK59" i="280" s="1"/>
  <c r="CK67" i="280" s="1"/>
  <c r="CK39" i="280"/>
  <c r="CJ82" i="265"/>
  <c r="CJ83" i="265"/>
  <c r="CK50" i="280"/>
  <c r="CK63" i="280"/>
  <c r="CK64" i="280" s="1"/>
  <c r="CK68" i="280" s="1"/>
  <c r="CL59" i="287"/>
  <c r="CL61" i="287" s="1"/>
  <c r="AD83" i="277"/>
  <c r="AD82" i="277"/>
  <c r="AC25" i="277"/>
  <c r="CL40" i="287" l="1"/>
  <c r="CL41" i="287" s="1"/>
  <c r="CL46" i="287" s="1"/>
  <c r="CL48" i="287" s="1"/>
  <c r="CL62" i="287"/>
  <c r="CL76" i="287"/>
  <c r="CK69" i="280"/>
  <c r="CL35" i="265" l="1"/>
  <c r="CL16" i="265"/>
  <c r="CK14" i="286"/>
  <c r="CK16" i="286" s="1"/>
  <c r="CK40" i="280"/>
  <c r="CK41" i="280" s="1"/>
  <c r="CK70" i="280"/>
  <c r="CK51" i="280"/>
  <c r="CK52" i="280" s="1"/>
  <c r="CL78" i="287"/>
  <c r="CL77" i="287"/>
  <c r="CL49" i="287"/>
  <c r="CL36" i="265" s="1"/>
  <c r="CL71" i="287"/>
  <c r="CL72" i="287" s="1"/>
  <c r="CL49" i="280" l="1"/>
  <c r="CL62" i="280" s="1"/>
  <c r="CK63" i="265"/>
  <c r="CK65" i="265" s="1"/>
  <c r="CK67" i="265" s="1"/>
  <c r="CK80" i="265" s="1"/>
  <c r="CL38" i="280"/>
  <c r="CL57" i="280" s="1"/>
  <c r="CK74" i="265"/>
  <c r="CK75" i="265" s="1"/>
  <c r="CK81" i="265" s="1"/>
  <c r="CL19" i="265"/>
  <c r="CL22" i="265" s="1"/>
  <c r="CL70" i="265"/>
  <c r="CM70" i="287"/>
  <c r="CK24" i="265"/>
  <c r="CK52" i="265"/>
  <c r="CK18" i="286"/>
  <c r="CL37" i="265"/>
  <c r="CL42" i="265" s="1"/>
  <c r="CL47" i="265" s="1"/>
  <c r="CL50" i="265" s="1"/>
  <c r="CK25" i="265" l="1"/>
  <c r="CL39" i="280"/>
  <c r="CL58" i="280"/>
  <c r="CL59" i="280" s="1"/>
  <c r="CL67" i="280" s="1"/>
  <c r="CL50" i="280"/>
  <c r="CL63" i="280"/>
  <c r="CL64" i="280" s="1"/>
  <c r="CL68" i="280" s="1"/>
  <c r="CK53" i="265"/>
  <c r="CM59" i="287"/>
  <c r="CM61" i="287" s="1"/>
  <c r="CK83" i="265"/>
  <c r="CK82" i="265"/>
  <c r="CL69" i="280" l="1"/>
  <c r="CM40" i="287"/>
  <c r="CM41" i="287" s="1"/>
  <c r="CM46" i="287" s="1"/>
  <c r="CM48" i="287" s="1"/>
  <c r="CM62" i="287"/>
  <c r="CM76" i="287"/>
  <c r="CM77" i="287" l="1"/>
  <c r="CM78" i="287" s="1"/>
  <c r="CM49" i="287"/>
  <c r="CM36" i="265" s="1"/>
  <c r="CM71" i="287"/>
  <c r="CM72" i="287" s="1"/>
  <c r="CM35" i="265"/>
  <c r="CM16" i="265"/>
  <c r="CL14" i="286"/>
  <c r="CL16" i="286" s="1"/>
  <c r="CL51" i="280"/>
  <c r="CL52" i="280" s="1"/>
  <c r="CL70" i="280"/>
  <c r="CL40" i="280"/>
  <c r="CL41" i="280" s="1"/>
  <c r="CM38" i="280" l="1"/>
  <c r="CM57" i="280" s="1"/>
  <c r="CL74" i="265"/>
  <c r="CL75" i="265" s="1"/>
  <c r="CL81" i="265" s="1"/>
  <c r="CM49" i="280"/>
  <c r="CM62" i="280" s="1"/>
  <c r="CL63" i="265"/>
  <c r="CL65" i="265" s="1"/>
  <c r="CL67" i="265" s="1"/>
  <c r="CL80" i="265" s="1"/>
  <c r="CM19" i="265"/>
  <c r="CM22" i="265" s="1"/>
  <c r="CM70" i="265"/>
  <c r="CN70" i="287"/>
  <c r="CL52" i="265"/>
  <c r="CL24" i="265"/>
  <c r="CL18" i="286"/>
  <c r="CM37" i="265"/>
  <c r="CM42" i="265" s="1"/>
  <c r="CM47" i="265" s="1"/>
  <c r="CM50" i="265" s="1"/>
  <c r="CM50" i="280" l="1"/>
  <c r="CM63" i="280"/>
  <c r="CM64" i="280" s="1"/>
  <c r="CM68" i="280" s="1"/>
  <c r="CL25" i="265"/>
  <c r="CN59" i="287"/>
  <c r="CN61" i="287" s="1"/>
  <c r="CL83" i="265"/>
  <c r="CL82" i="265"/>
  <c r="CL53" i="265"/>
  <c r="CM39" i="280"/>
  <c r="CM58" i="280"/>
  <c r="CM59" i="280"/>
  <c r="CM67" i="280" s="1"/>
  <c r="CM69" i="280" l="1"/>
  <c r="CN40" i="287"/>
  <c r="CN41" i="287" s="1"/>
  <c r="CN46" i="287" s="1"/>
  <c r="CN48" i="287" s="1"/>
  <c r="CN76" i="287"/>
  <c r="CN62" i="287"/>
  <c r="CN35" i="265" l="1"/>
  <c r="CN16" i="265"/>
  <c r="CN77" i="287"/>
  <c r="CN71" i="287"/>
  <c r="CN72" i="287" s="1"/>
  <c r="CN49" i="287"/>
  <c r="CN36" i="265" s="1"/>
  <c r="CN78" i="287"/>
  <c r="CM14" i="286"/>
  <c r="CM16" i="286" s="1"/>
  <c r="CM40" i="280"/>
  <c r="CM41" i="280" s="1"/>
  <c r="CM70" i="280"/>
  <c r="CM51" i="280"/>
  <c r="CM52" i="280" s="1"/>
  <c r="CN49" i="280" l="1"/>
  <c r="CN62" i="280" s="1"/>
  <c r="CM63" i="265"/>
  <c r="CM65" i="265" s="1"/>
  <c r="CM67" i="265" s="1"/>
  <c r="CM80" i="265" s="1"/>
  <c r="CM74" i="265"/>
  <c r="CM75" i="265" s="1"/>
  <c r="CM81" i="265" s="1"/>
  <c r="CN38" i="280"/>
  <c r="CN57" i="280" s="1"/>
  <c r="CO70" i="287"/>
  <c r="CN70" i="265"/>
  <c r="CN19" i="265"/>
  <c r="CN22" i="265" s="1"/>
  <c r="AD16" i="277"/>
  <c r="AD19" i="277" s="1"/>
  <c r="AD22" i="277" s="1"/>
  <c r="CM24" i="265"/>
  <c r="CM52" i="265"/>
  <c r="CM18" i="286"/>
  <c r="CN37" i="265"/>
  <c r="CN42" i="265" s="1"/>
  <c r="CN47" i="265" s="1"/>
  <c r="CN50" i="265" s="1"/>
  <c r="AD35" i="277"/>
  <c r="CN63" i="280" l="1"/>
  <c r="CN50" i="280"/>
  <c r="CM53" i="265"/>
  <c r="AE70" i="277"/>
  <c r="CM83" i="265"/>
  <c r="CM82" i="265"/>
  <c r="CM25" i="265"/>
  <c r="CN39" i="280"/>
  <c r="CN58" i="280"/>
  <c r="CN59" i="280" s="1"/>
  <c r="CN67" i="280" s="1"/>
  <c r="CO59" i="287"/>
  <c r="CO61" i="287" s="1"/>
  <c r="CN64" i="280"/>
  <c r="CN68" i="280" s="1"/>
  <c r="CN69" i="280" l="1"/>
  <c r="CN14" i="286" s="1"/>
  <c r="CN16" i="286" s="1"/>
  <c r="CN18" i="286" s="1"/>
  <c r="CN40" i="280"/>
  <c r="CN41" i="280" s="1"/>
  <c r="CN51" i="280"/>
  <c r="CN52" i="280" s="1"/>
  <c r="CO40" i="287"/>
  <c r="CO41" i="287" s="1"/>
  <c r="CO46" i="287" s="1"/>
  <c r="CO48" i="287" s="1"/>
  <c r="CO76" i="287"/>
  <c r="CO62" i="287"/>
  <c r="CN70" i="280" l="1"/>
  <c r="CN63" i="265"/>
  <c r="CO49" i="280"/>
  <c r="CO62" i="280" s="1"/>
  <c r="CO38" i="280"/>
  <c r="CO57" i="280" s="1"/>
  <c r="CN74" i="265"/>
  <c r="CO16" i="265"/>
  <c r="CO35" i="265"/>
  <c r="CO77" i="287"/>
  <c r="CO78" i="287" s="1"/>
  <c r="CO71" i="287"/>
  <c r="CO72" i="287" s="1"/>
  <c r="CO49" i="287"/>
  <c r="CO36" i="265" s="1"/>
  <c r="CN24" i="265"/>
  <c r="CN52" i="265"/>
  <c r="CN53" i="265" l="1"/>
  <c r="AD51" i="277"/>
  <c r="CO19" i="265"/>
  <c r="CO22" i="265" s="1"/>
  <c r="CN65" i="265"/>
  <c r="CN67" i="265" s="1"/>
  <c r="CN80" i="265" s="1"/>
  <c r="AE63" i="277"/>
  <c r="AE65" i="277" s="1"/>
  <c r="AE67" i="277" s="1"/>
  <c r="AE80" i="277" s="1"/>
  <c r="AD24" i="277"/>
  <c r="CN25" i="265"/>
  <c r="CP70" i="287"/>
  <c r="CO70" i="265"/>
  <c r="CO37" i="265"/>
  <c r="CO42" i="265" s="1"/>
  <c r="CO47" i="265" s="1"/>
  <c r="CO50" i="265" s="1"/>
  <c r="AE74" i="277"/>
  <c r="AE75" i="277" s="1"/>
  <c r="AE81" i="277" s="1"/>
  <c r="CN75" i="265"/>
  <c r="CN81" i="265" s="1"/>
  <c r="CO50" i="280" l="1"/>
  <c r="CO63" i="280"/>
  <c r="CO64" i="280" s="1"/>
  <c r="CO68" i="280" s="1"/>
  <c r="AE83" i="277"/>
  <c r="AE82" i="277"/>
  <c r="CO39" i="280"/>
  <c r="CO58" i="280"/>
  <c r="CO59" i="280" s="1"/>
  <c r="CO67" i="280" s="1"/>
  <c r="CP59" i="287"/>
  <c r="CP61" i="287" s="1"/>
  <c r="AD25" i="277"/>
  <c r="CN83" i="265"/>
  <c r="CN82" i="265"/>
  <c r="CP40" i="287" l="1"/>
  <c r="CP41" i="287" s="1"/>
  <c r="CP46" i="287" s="1"/>
  <c r="CP48" i="287" s="1"/>
  <c r="CP62" i="287"/>
  <c r="CP76" i="287"/>
  <c r="CO69" i="280"/>
  <c r="CO14" i="286" l="1"/>
  <c r="CO16" i="286" s="1"/>
  <c r="CO18" i="286" s="1"/>
  <c r="CO40" i="280"/>
  <c r="CO41" i="280" s="1"/>
  <c r="CO70" i="280"/>
  <c r="CO51" i="280"/>
  <c r="CO52" i="280" s="1"/>
  <c r="CP16" i="265"/>
  <c r="CP35" i="265"/>
  <c r="CP77" i="287"/>
  <c r="CP78" i="287" s="1"/>
  <c r="CP49" i="287"/>
  <c r="CP36" i="265" s="1"/>
  <c r="CP71" i="287"/>
  <c r="CP72" i="287" s="1"/>
  <c r="CP70" i="265" l="1"/>
  <c r="CQ70" i="287"/>
  <c r="CP37" i="265"/>
  <c r="CP42" i="265" s="1"/>
  <c r="CP47" i="265" s="1"/>
  <c r="CP50" i="265" s="1"/>
  <c r="CP49" i="280"/>
  <c r="CP62" i="280" s="1"/>
  <c r="CO63" i="265"/>
  <c r="CO65" i="265" s="1"/>
  <c r="CO67" i="265" s="1"/>
  <c r="CO80" i="265" s="1"/>
  <c r="CO74" i="265"/>
  <c r="CO75" i="265" s="1"/>
  <c r="CO81" i="265" s="1"/>
  <c r="CP38" i="280"/>
  <c r="CP57" i="280" s="1"/>
  <c r="CP19" i="265"/>
  <c r="CP22" i="265" s="1"/>
  <c r="CO24" i="265"/>
  <c r="CO52" i="265"/>
  <c r="CO25" i="265" l="1"/>
  <c r="CP58" i="280"/>
  <c r="CP39" i="280"/>
  <c r="CP59" i="280"/>
  <c r="CP67" i="280" s="1"/>
  <c r="CO83" i="265"/>
  <c r="CO82" i="265"/>
  <c r="CQ59" i="287"/>
  <c r="CQ61" i="287" s="1"/>
  <c r="CO53" i="265"/>
  <c r="CP50" i="280"/>
  <c r="CP63" i="280"/>
  <c r="CP64" i="280" s="1"/>
  <c r="CP68" i="280" s="1"/>
  <c r="CP69" i="280" l="1"/>
  <c r="CQ40" i="287"/>
  <c r="CQ41" i="287" s="1"/>
  <c r="CQ46" i="287" s="1"/>
  <c r="CQ48" i="287" s="1"/>
  <c r="CQ62" i="287"/>
  <c r="CQ76" i="287"/>
  <c r="CQ77" i="287" l="1"/>
  <c r="CQ78" i="287" s="1"/>
  <c r="CQ49" i="287"/>
  <c r="CQ36" i="265" s="1"/>
  <c r="CQ71" i="287"/>
  <c r="CQ72" i="287" s="1"/>
  <c r="CQ35" i="265"/>
  <c r="CQ16" i="265"/>
  <c r="CP70" i="280"/>
  <c r="CP14" i="286"/>
  <c r="CP16" i="286" s="1"/>
  <c r="CP18" i="286" s="1"/>
  <c r="CP40" i="280"/>
  <c r="CP41" i="280" s="1"/>
  <c r="CP51" i="280"/>
  <c r="CP52" i="280" s="1"/>
  <c r="CQ49" i="280" l="1"/>
  <c r="CQ62" i="280" s="1"/>
  <c r="CP63" i="265"/>
  <c r="CP65" i="265" s="1"/>
  <c r="CP67" i="265" s="1"/>
  <c r="CP80" i="265" s="1"/>
  <c r="CQ19" i="265"/>
  <c r="CQ22" i="265" s="1"/>
  <c r="CR70" i="287"/>
  <c r="CQ70" i="265"/>
  <c r="CP74" i="265"/>
  <c r="CP75" i="265" s="1"/>
  <c r="CP81" i="265" s="1"/>
  <c r="CQ38" i="280"/>
  <c r="CQ57" i="280" s="1"/>
  <c r="CP52" i="265"/>
  <c r="CP24" i="265"/>
  <c r="CQ37" i="265"/>
  <c r="CQ42" i="265" s="1"/>
  <c r="CQ47" i="265" s="1"/>
  <c r="CQ50" i="265" s="1"/>
  <c r="CP25" i="265" l="1"/>
  <c r="CP82" i="265"/>
  <c r="CP83" i="265"/>
  <c r="CQ63" i="280"/>
  <c r="CQ50" i="280"/>
  <c r="CP53" i="265"/>
  <c r="CR59" i="287"/>
  <c r="CR61" i="287" s="1"/>
  <c r="CQ39" i="280"/>
  <c r="CQ58" i="280"/>
  <c r="CQ59" i="280" s="1"/>
  <c r="CQ67" i="280" s="1"/>
  <c r="CQ64" i="280"/>
  <c r="CQ68" i="280" s="1"/>
  <c r="CQ69" i="280" l="1"/>
  <c r="CQ14" i="286"/>
  <c r="CQ16" i="286" s="1"/>
  <c r="CQ18" i="286" s="1"/>
  <c r="CQ40" i="280"/>
  <c r="CQ41" i="280" s="1"/>
  <c r="CQ70" i="280"/>
  <c r="CQ51" i="280"/>
  <c r="CQ52" i="280" s="1"/>
  <c r="CR40" i="287"/>
  <c r="CR41" i="287" s="1"/>
  <c r="CR46" i="287" s="1"/>
  <c r="CR48" i="287" s="1"/>
  <c r="CR62" i="287"/>
  <c r="CR76" i="287"/>
  <c r="CR35" i="265" l="1"/>
  <c r="CR16" i="265"/>
  <c r="CR49" i="280"/>
  <c r="CR62" i="280" s="1"/>
  <c r="CQ63" i="265"/>
  <c r="CQ65" i="265" s="1"/>
  <c r="CQ67" i="265" s="1"/>
  <c r="CQ80" i="265" s="1"/>
  <c r="CR38" i="280"/>
  <c r="CR57" i="280" s="1"/>
  <c r="CQ74" i="265"/>
  <c r="CQ75" i="265" s="1"/>
  <c r="CQ81" i="265" s="1"/>
  <c r="CR77" i="287"/>
  <c r="CR78" i="287" s="1"/>
  <c r="CR49" i="287"/>
  <c r="CR36" i="265" s="1"/>
  <c r="CR71" i="287"/>
  <c r="CR72" i="287" s="1"/>
  <c r="CQ24" i="265"/>
  <c r="CQ52" i="265"/>
  <c r="CQ53" i="265" l="1"/>
  <c r="CR70" i="265"/>
  <c r="CS70" i="287"/>
  <c r="CQ83" i="265"/>
  <c r="CQ82" i="265"/>
  <c r="CR19" i="265"/>
  <c r="CR22" i="265" s="1"/>
  <c r="AE16" i="277"/>
  <c r="AE19" i="277" s="1"/>
  <c r="AE22" i="277" s="1"/>
  <c r="CQ25" i="265"/>
  <c r="CR37" i="265"/>
  <c r="CR42" i="265" s="1"/>
  <c r="CR47" i="265" s="1"/>
  <c r="CR50" i="265" s="1"/>
  <c r="AE35" i="277"/>
  <c r="CS59" i="287" l="1"/>
  <c r="CS61" i="287" s="1"/>
  <c r="CR50" i="280"/>
  <c r="CR63" i="280"/>
  <c r="CR64" i="280" s="1"/>
  <c r="CR68" i="280" s="1"/>
  <c r="CR58" i="280"/>
  <c r="CR59" i="280" s="1"/>
  <c r="CR67" i="280" s="1"/>
  <c r="CR39" i="280"/>
  <c r="AF70" i="277"/>
  <c r="CR69" i="280" l="1"/>
  <c r="CR14" i="286" s="1"/>
  <c r="CR16" i="286" s="1"/>
  <c r="CR18" i="286" s="1"/>
  <c r="CR51" i="280"/>
  <c r="CR52" i="280" s="1"/>
  <c r="CR40" i="280"/>
  <c r="CR41" i="280" s="1"/>
  <c r="CR70" i="280"/>
  <c r="CS40" i="287"/>
  <c r="CS41" i="287" s="1"/>
  <c r="CS46" i="287" s="1"/>
  <c r="CS48" i="287" s="1"/>
  <c r="CS62" i="287"/>
  <c r="CS76" i="287"/>
  <c r="CS35" i="265" l="1"/>
  <c r="CS16" i="265"/>
  <c r="CR52" i="265"/>
  <c r="CR24" i="265"/>
  <c r="CR63" i="265"/>
  <c r="CS49" i="280"/>
  <c r="CS62" i="280" s="1"/>
  <c r="CS77" i="287"/>
  <c r="CS78" i="287" s="1"/>
  <c r="CS49" i="287"/>
  <c r="CS36" i="265" s="1"/>
  <c r="CS71" i="287"/>
  <c r="CS72" i="287" s="1"/>
  <c r="CR74" i="265"/>
  <c r="CS38" i="280"/>
  <c r="CS57" i="280" s="1"/>
  <c r="CS70" i="265" l="1"/>
  <c r="CT70" i="287"/>
  <c r="AE24" i="277"/>
  <c r="CR25" i="265"/>
  <c r="CS19" i="265"/>
  <c r="CS22" i="265" s="1"/>
  <c r="AF74" i="277"/>
  <c r="AF75" i="277" s="1"/>
  <c r="AF81" i="277" s="1"/>
  <c r="CR75" i="265"/>
  <c r="CR81" i="265" s="1"/>
  <c r="CR65" i="265"/>
  <c r="CR67" i="265" s="1"/>
  <c r="CR80" i="265" s="1"/>
  <c r="AF63" i="277"/>
  <c r="AF65" i="277" s="1"/>
  <c r="AF67" i="277" s="1"/>
  <c r="AF80" i="277" s="1"/>
  <c r="AE51" i="277"/>
  <c r="CR53" i="265"/>
  <c r="CS37" i="265"/>
  <c r="CS42" i="265" s="1"/>
  <c r="CS47" i="265" s="1"/>
  <c r="CS50" i="265" s="1"/>
  <c r="CR83" i="265" l="1"/>
  <c r="CR82" i="265"/>
  <c r="CS63" i="280"/>
  <c r="CS64" i="280" s="1"/>
  <c r="CS68" i="280" s="1"/>
  <c r="CS50" i="280"/>
  <c r="AF83" i="277"/>
  <c r="AF82" i="277"/>
  <c r="CS58" i="280"/>
  <c r="CS59" i="280" s="1"/>
  <c r="CS67" i="280" s="1"/>
  <c r="CS39" i="280"/>
  <c r="AE25" i="277"/>
  <c r="CT59" i="287"/>
  <c r="CT61" i="287" s="1"/>
  <c r="CT40" i="287" l="1"/>
  <c r="CT41" i="287" s="1"/>
  <c r="CT46" i="287" s="1"/>
  <c r="CT48" i="287" s="1"/>
  <c r="CT76" i="287"/>
  <c r="CT62" i="287"/>
  <c r="CS69" i="280"/>
  <c r="CS70" i="280" l="1"/>
  <c r="CS14" i="286"/>
  <c r="CS16" i="286" s="1"/>
  <c r="CS18" i="286" s="1"/>
  <c r="CS40" i="280"/>
  <c r="CS41" i="280" s="1"/>
  <c r="CS51" i="280"/>
  <c r="CS52" i="280" s="1"/>
  <c r="CT35" i="265"/>
  <c r="CT16" i="265"/>
  <c r="CT77" i="287"/>
  <c r="CT78" i="287" s="1"/>
  <c r="CT49" i="287"/>
  <c r="CT36" i="265" s="1"/>
  <c r="CT71" i="287"/>
  <c r="CT72" i="287" s="1"/>
  <c r="CU70" i="287" l="1"/>
  <c r="CT70" i="265"/>
  <c r="CT37" i="265"/>
  <c r="CT42" i="265" s="1"/>
  <c r="CT47" i="265" s="1"/>
  <c r="CT50" i="265" s="1"/>
  <c r="CT49" i="280"/>
  <c r="CT62" i="280" s="1"/>
  <c r="CS63" i="265"/>
  <c r="CS65" i="265" s="1"/>
  <c r="CS67" i="265" s="1"/>
  <c r="CS80" i="265" s="1"/>
  <c r="CT19" i="265"/>
  <c r="CT22" i="265" s="1"/>
  <c r="CS74" i="265"/>
  <c r="CS75" i="265" s="1"/>
  <c r="CS81" i="265" s="1"/>
  <c r="CT38" i="280"/>
  <c r="CT57" i="280" s="1"/>
  <c r="CS24" i="265"/>
  <c r="CS52" i="265"/>
  <c r="CS25" i="265" l="1"/>
  <c r="CT58" i="280"/>
  <c r="CT39" i="280"/>
  <c r="CS82" i="265"/>
  <c r="CS83" i="265"/>
  <c r="CS53" i="265"/>
  <c r="CT59" i="280"/>
  <c r="CT67" i="280" s="1"/>
  <c r="CT63" i="280"/>
  <c r="CT64" i="280" s="1"/>
  <c r="CT68" i="280" s="1"/>
  <c r="CT50" i="280"/>
  <c r="CU59" i="287"/>
  <c r="CU61" i="287" s="1"/>
  <c r="CU40" i="287" l="1"/>
  <c r="CU41" i="287" s="1"/>
  <c r="CU46" i="287" s="1"/>
  <c r="CU48" i="287" s="1"/>
  <c r="CU76" i="287"/>
  <c r="CU62" i="287"/>
  <c r="CT69" i="280"/>
  <c r="CT70" i="280" l="1"/>
  <c r="CT51" i="280"/>
  <c r="CT52" i="280" s="1"/>
  <c r="CT40" i="280"/>
  <c r="CT41" i="280" s="1"/>
  <c r="CT14" i="286"/>
  <c r="CT16" i="286" s="1"/>
  <c r="CT18" i="286" s="1"/>
  <c r="CU35" i="265"/>
  <c r="CU16" i="265"/>
  <c r="CU77" i="287"/>
  <c r="CU78" i="287" s="1"/>
  <c r="CU49" i="287"/>
  <c r="CU36" i="265" s="1"/>
  <c r="CU71" i="287"/>
  <c r="CU72" i="287" s="1"/>
  <c r="CU70" i="265" l="1"/>
  <c r="CV70" i="287"/>
  <c r="CU37" i="265"/>
  <c r="CU42" i="265" s="1"/>
  <c r="CU47" i="265" s="1"/>
  <c r="CU50" i="265" s="1"/>
  <c r="CU49" i="280"/>
  <c r="CU62" i="280" s="1"/>
  <c r="CT63" i="265"/>
  <c r="CT65" i="265" s="1"/>
  <c r="CT67" i="265" s="1"/>
  <c r="CT80" i="265" s="1"/>
  <c r="CT83" i="265" s="1"/>
  <c r="CU19" i="265"/>
  <c r="CU22" i="265" s="1"/>
  <c r="CU38" i="280"/>
  <c r="CU57" i="280" s="1"/>
  <c r="CT74" i="265"/>
  <c r="CT75" i="265" s="1"/>
  <c r="CT81" i="265" s="1"/>
  <c r="CT52" i="265"/>
  <c r="CT24" i="265"/>
  <c r="CT53" i="265" l="1"/>
  <c r="CU39" i="280"/>
  <c r="CU58" i="280"/>
  <c r="CU59" i="280" s="1"/>
  <c r="CU67" i="280" s="1"/>
  <c r="CV59" i="287"/>
  <c r="CV61" i="287" s="1"/>
  <c r="CT25" i="265"/>
  <c r="CT82" i="265"/>
  <c r="CU50" i="280"/>
  <c r="CU63" i="280"/>
  <c r="CU64" i="280" s="1"/>
  <c r="CU68" i="280" s="1"/>
  <c r="CU69" i="280" l="1"/>
  <c r="CV40" i="287"/>
  <c r="CV41" i="287" s="1"/>
  <c r="CV46" i="287" s="1"/>
  <c r="CV48" i="287" s="1"/>
  <c r="CV62" i="287"/>
  <c r="CV76" i="287"/>
  <c r="CV77" i="287" l="1"/>
  <c r="CV78" i="287" s="1"/>
  <c r="CV49" i="287"/>
  <c r="CV36" i="265" s="1"/>
  <c r="CV71" i="287"/>
  <c r="CV72" i="287" s="1"/>
  <c r="CV35" i="265"/>
  <c r="CV16" i="265"/>
  <c r="CU70" i="280"/>
  <c r="CU51" i="280"/>
  <c r="CU52" i="280" s="1"/>
  <c r="CU14" i="286"/>
  <c r="CU16" i="286" s="1"/>
  <c r="CU18" i="286" s="1"/>
  <c r="CU40" i="280"/>
  <c r="CU41" i="280" s="1"/>
  <c r="CU74" i="265" l="1"/>
  <c r="CU75" i="265" s="1"/>
  <c r="CU81" i="265" s="1"/>
  <c r="CV38" i="280"/>
  <c r="CV57" i="280" s="1"/>
  <c r="CV49" i="280"/>
  <c r="CV62" i="280" s="1"/>
  <c r="CU63" i="265"/>
  <c r="CU65" i="265" s="1"/>
  <c r="CU67" i="265" s="1"/>
  <c r="CU80" i="265" s="1"/>
  <c r="CV19" i="265"/>
  <c r="CV22" i="265" s="1"/>
  <c r="AF16" i="277"/>
  <c r="AF19" i="277" s="1"/>
  <c r="AF22" i="277" s="1"/>
  <c r="CW70" i="287"/>
  <c r="CV70" i="265"/>
  <c r="CU24" i="265"/>
  <c r="CU52" i="265"/>
  <c r="CV37" i="265"/>
  <c r="CV42" i="265" s="1"/>
  <c r="CV47" i="265" s="1"/>
  <c r="CV50" i="265" s="1"/>
  <c r="AF35" i="277"/>
  <c r="CU53" i="265" l="1"/>
  <c r="AG70" i="277"/>
  <c r="CU83" i="265"/>
  <c r="CU82" i="265"/>
  <c r="CV50" i="280"/>
  <c r="CV63" i="280"/>
  <c r="CV64" i="280" s="1"/>
  <c r="CV68" i="280" s="1"/>
  <c r="CU25" i="265"/>
  <c r="CW59" i="287"/>
  <c r="CW61" i="287" s="1"/>
  <c r="CV58" i="280"/>
  <c r="CV59" i="280" s="1"/>
  <c r="CV67" i="280" s="1"/>
  <c r="CV39" i="280"/>
  <c r="CV69" i="280" l="1"/>
  <c r="CW40" i="287"/>
  <c r="CW41" i="287" s="1"/>
  <c r="CW46" i="287" s="1"/>
  <c r="CW48" i="287" s="1"/>
  <c r="CW76" i="287"/>
  <c r="CW62" i="287"/>
  <c r="CW35" i="265" l="1"/>
  <c r="CW16" i="265"/>
  <c r="CW77" i="287"/>
  <c r="CW78" i="287" s="1"/>
  <c r="CW49" i="287"/>
  <c r="CW36" i="265" s="1"/>
  <c r="CW71" i="287"/>
  <c r="CW72" i="287" s="1"/>
  <c r="CV70" i="280"/>
  <c r="CV51" i="280"/>
  <c r="CV52" i="280" s="1"/>
  <c r="CV14" i="286"/>
  <c r="CV16" i="286" s="1"/>
  <c r="CV18" i="286" s="1"/>
  <c r="CV40" i="280"/>
  <c r="CV41" i="280" s="1"/>
  <c r="CV74" i="265" l="1"/>
  <c r="CW38" i="280"/>
  <c r="CW57" i="280" s="1"/>
  <c r="CW49" i="280"/>
  <c r="CW62" i="280" s="1"/>
  <c r="CV63" i="265"/>
  <c r="CW19" i="265"/>
  <c r="CW22" i="265" s="1"/>
  <c r="CV24" i="265"/>
  <c r="CV52" i="265"/>
  <c r="CX70" i="287"/>
  <c r="CW70" i="265"/>
  <c r="CW37" i="265"/>
  <c r="CW42" i="265" s="1"/>
  <c r="CW47" i="265" s="1"/>
  <c r="CW50" i="265" s="1"/>
  <c r="CX59" i="287" l="1"/>
  <c r="CX61" i="287" s="1"/>
  <c r="AF24" i="277"/>
  <c r="CV25" i="265"/>
  <c r="CW58" i="280"/>
  <c r="CW39" i="280"/>
  <c r="CV65" i="265"/>
  <c r="CV67" i="265" s="1"/>
  <c r="CV80" i="265" s="1"/>
  <c r="AG63" i="277"/>
  <c r="AG65" i="277" s="1"/>
  <c r="AG67" i="277" s="1"/>
  <c r="AG80" i="277" s="1"/>
  <c r="CW59" i="280"/>
  <c r="CW67" i="280" s="1"/>
  <c r="CW63" i="280"/>
  <c r="CW50" i="280"/>
  <c r="CV53" i="265"/>
  <c r="AF51" i="277"/>
  <c r="CW64" i="280"/>
  <c r="CW68" i="280" s="1"/>
  <c r="AG74" i="277"/>
  <c r="AG75" i="277" s="1"/>
  <c r="AG81" i="277" s="1"/>
  <c r="CV75" i="265"/>
  <c r="CV81" i="265" s="1"/>
  <c r="CW69" i="280" l="1"/>
  <c r="CV83" i="265"/>
  <c r="CV82" i="265"/>
  <c r="CX40" i="287"/>
  <c r="CX41" i="287" s="1"/>
  <c r="CX46" i="287" s="1"/>
  <c r="CX48" i="287" s="1"/>
  <c r="CX62" i="287"/>
  <c r="CX76" i="287"/>
  <c r="AG82" i="277"/>
  <c r="AG83" i="277"/>
  <c r="AF25" i="277"/>
  <c r="CX77" i="287" l="1"/>
  <c r="CX78" i="287" s="1"/>
  <c r="CX71" i="287"/>
  <c r="CX72" i="287" s="1"/>
  <c r="CX49" i="287"/>
  <c r="CX36" i="265" s="1"/>
  <c r="CX35" i="265"/>
  <c r="CX16" i="265"/>
  <c r="CW70" i="280"/>
  <c r="CW51" i="280"/>
  <c r="CW52" i="280" s="1"/>
  <c r="CW14" i="286"/>
  <c r="CW16" i="286" s="1"/>
  <c r="CW18" i="286" s="1"/>
  <c r="CW40" i="280"/>
  <c r="CW41" i="280" s="1"/>
  <c r="CX38" i="280" l="1"/>
  <c r="CX57" i="280" s="1"/>
  <c r="CW74" i="265"/>
  <c r="CW75" i="265" s="1"/>
  <c r="CW81" i="265" s="1"/>
  <c r="CX49" i="280"/>
  <c r="CX62" i="280" s="1"/>
  <c r="CW63" i="265"/>
  <c r="CW65" i="265" s="1"/>
  <c r="CW67" i="265" s="1"/>
  <c r="CW80" i="265" s="1"/>
  <c r="CX19" i="265"/>
  <c r="CX22" i="265" s="1"/>
  <c r="CW24" i="265"/>
  <c r="CW52" i="265"/>
  <c r="CX37" i="265"/>
  <c r="CX42" i="265" s="1"/>
  <c r="CX47" i="265" s="1"/>
  <c r="CX50" i="265" s="1"/>
  <c r="CX70" i="265"/>
  <c r="CY70" i="287"/>
  <c r="CX50" i="280" l="1"/>
  <c r="CX63" i="280"/>
  <c r="CX64" i="280" s="1"/>
  <c r="CX68" i="280" s="1"/>
  <c r="CW25" i="265"/>
  <c r="CW83" i="265"/>
  <c r="CW82" i="265"/>
  <c r="CY59" i="287"/>
  <c r="CY61" i="287" s="1"/>
  <c r="CW53" i="265"/>
  <c r="CX58" i="280"/>
  <c r="CX39" i="280"/>
  <c r="CX59" i="280"/>
  <c r="CX67" i="280" s="1"/>
  <c r="CX69" i="280" l="1"/>
  <c r="CY40" i="287"/>
  <c r="CY41" i="287" s="1"/>
  <c r="CY46" i="287" s="1"/>
  <c r="CY48" i="287" s="1"/>
  <c r="CY76" i="287"/>
  <c r="CY62" i="287"/>
  <c r="CY35" i="265" l="1"/>
  <c r="CY16" i="265"/>
  <c r="CY77" i="287"/>
  <c r="CY49" i="287"/>
  <c r="CY36" i="265" s="1"/>
  <c r="CY71" i="287"/>
  <c r="CY72" i="287" s="1"/>
  <c r="CY78" i="287"/>
  <c r="CX14" i="286"/>
  <c r="CX16" i="286" s="1"/>
  <c r="CX18" i="286" s="1"/>
  <c r="CX51" i="280"/>
  <c r="CX52" i="280" s="1"/>
  <c r="CX70" i="280"/>
  <c r="CX40" i="280"/>
  <c r="CX41" i="280" s="1"/>
  <c r="CY38" i="280" l="1"/>
  <c r="CY57" i="280" s="1"/>
  <c r="CX74" i="265"/>
  <c r="CX75" i="265" s="1"/>
  <c r="CX81" i="265" s="1"/>
  <c r="CX63" i="265"/>
  <c r="CX65" i="265" s="1"/>
  <c r="CX67" i="265" s="1"/>
  <c r="CX80" i="265" s="1"/>
  <c r="CY49" i="280"/>
  <c r="CY62" i="280" s="1"/>
  <c r="CY19" i="265"/>
  <c r="CY22" i="265" s="1"/>
  <c r="CX52" i="265"/>
  <c r="CX24" i="265"/>
  <c r="CY70" i="265"/>
  <c r="CZ70" i="287"/>
  <c r="CY37" i="265"/>
  <c r="CY42" i="265" s="1"/>
  <c r="CY47" i="265" s="1"/>
  <c r="CY50" i="265" s="1"/>
  <c r="CX82" i="265" l="1"/>
  <c r="CY63" i="280"/>
  <c r="CY50" i="280"/>
  <c r="CX53" i="265"/>
  <c r="CY58" i="280"/>
  <c r="CY59" i="280" s="1"/>
  <c r="CY67" i="280" s="1"/>
  <c r="CY39" i="280"/>
  <c r="CY64" i="280"/>
  <c r="CY68" i="280" s="1"/>
  <c r="CZ59" i="287"/>
  <c r="CZ61" i="287" s="1"/>
  <c r="CX25" i="265"/>
  <c r="CX83" i="265"/>
  <c r="CY69" i="280" l="1"/>
  <c r="CY70" i="280"/>
  <c r="CY14" i="286"/>
  <c r="CY16" i="286" s="1"/>
  <c r="CY18" i="286" s="1"/>
  <c r="CY40" i="280"/>
  <c r="CY41" i="280" s="1"/>
  <c r="CY51" i="280"/>
  <c r="CY52" i="280" s="1"/>
  <c r="CZ40" i="287"/>
  <c r="CZ41" i="287" s="1"/>
  <c r="CZ46" i="287" s="1"/>
  <c r="CZ48" i="287" s="1"/>
  <c r="CZ62" i="287"/>
  <c r="CZ76" i="287"/>
  <c r="CZ35" i="265" l="1"/>
  <c r="CZ16" i="265"/>
  <c r="CZ49" i="280"/>
  <c r="CZ62" i="280" s="1"/>
  <c r="CY63" i="265"/>
  <c r="CY65" i="265" s="1"/>
  <c r="CY67" i="265" s="1"/>
  <c r="CY80" i="265" s="1"/>
  <c r="CZ77" i="287"/>
  <c r="CZ78" i="287" s="1"/>
  <c r="CZ71" i="287"/>
  <c r="CZ72" i="287" s="1"/>
  <c r="CZ49" i="287"/>
  <c r="CZ36" i="265" s="1"/>
  <c r="CZ38" i="280"/>
  <c r="CZ57" i="280" s="1"/>
  <c r="CY74" i="265"/>
  <c r="CY75" i="265" s="1"/>
  <c r="CY81" i="265" s="1"/>
  <c r="CY24" i="265"/>
  <c r="CY52" i="265"/>
  <c r="CY53" i="265" l="1"/>
  <c r="CY82" i="265"/>
  <c r="CY83" i="265"/>
  <c r="CZ19" i="265"/>
  <c r="CZ22" i="265" s="1"/>
  <c r="AG16" i="277"/>
  <c r="AG19" i="277" s="1"/>
  <c r="AG22" i="277" s="1"/>
  <c r="CY25" i="265"/>
  <c r="CZ70" i="265"/>
  <c r="AH70" i="277" s="1"/>
  <c r="DA70" i="287"/>
  <c r="CZ37" i="265"/>
  <c r="CZ42" i="265" s="1"/>
  <c r="CZ47" i="265" s="1"/>
  <c r="CZ50" i="265" s="1"/>
  <c r="AG35" i="277"/>
  <c r="CZ63" i="280" l="1"/>
  <c r="CZ64" i="280" s="1"/>
  <c r="CZ68" i="280" s="1"/>
  <c r="CZ50" i="280"/>
  <c r="DA59" i="287"/>
  <c r="DA61" i="287" s="1"/>
  <c r="CZ39" i="280"/>
  <c r="CZ58" i="280"/>
  <c r="CZ59" i="280" s="1"/>
  <c r="CZ67" i="280" s="1"/>
  <c r="CZ69" i="280" s="1"/>
  <c r="CZ14" i="286" l="1"/>
  <c r="CZ16" i="286" s="1"/>
  <c r="CZ18" i="286" s="1"/>
  <c r="CZ51" i="280"/>
  <c r="CZ52" i="280" s="1"/>
  <c r="CZ40" i="280"/>
  <c r="CZ41" i="280" s="1"/>
  <c r="CZ70" i="280"/>
  <c r="DA40" i="287"/>
  <c r="DA41" i="287" s="1"/>
  <c r="DA46" i="287" s="1"/>
  <c r="DA48" i="287" s="1"/>
  <c r="DA62" i="287"/>
  <c r="DA76" i="287"/>
  <c r="DA35" i="265" l="1"/>
  <c r="DA16" i="265"/>
  <c r="CZ52" i="265"/>
  <c r="CZ24" i="265"/>
  <c r="CZ63" i="265"/>
  <c r="DA49" i="280"/>
  <c r="DA62" i="280" s="1"/>
  <c r="DA77" i="287"/>
  <c r="DA78" i="287" s="1"/>
  <c r="DA49" i="287"/>
  <c r="DA36" i="265" s="1"/>
  <c r="DA71" i="287"/>
  <c r="DA72" i="287" s="1"/>
  <c r="DA38" i="280"/>
  <c r="DA57" i="280" s="1"/>
  <c r="CZ74" i="265"/>
  <c r="CZ75" i="265" l="1"/>
  <c r="CZ81" i="265" s="1"/>
  <c r="AH74" i="277"/>
  <c r="AH75" i="277" s="1"/>
  <c r="AH81" i="277" s="1"/>
  <c r="DB70" i="287"/>
  <c r="DA70" i="265"/>
  <c r="AG24" i="277"/>
  <c r="CZ25" i="265"/>
  <c r="DA19" i="265"/>
  <c r="DA22" i="265" s="1"/>
  <c r="CZ65" i="265"/>
  <c r="CZ67" i="265" s="1"/>
  <c r="CZ80" i="265" s="1"/>
  <c r="AH63" i="277"/>
  <c r="AH65" i="277" s="1"/>
  <c r="AH67" i="277" s="1"/>
  <c r="AH80" i="277" s="1"/>
  <c r="AG51" i="277"/>
  <c r="CZ53" i="265"/>
  <c r="DA37" i="265"/>
  <c r="DA42" i="265" s="1"/>
  <c r="DA47" i="265" s="1"/>
  <c r="DA50" i="265" s="1"/>
  <c r="CZ82" i="265" l="1"/>
  <c r="CZ83" i="265"/>
  <c r="DA58" i="280"/>
  <c r="DA59" i="280" s="1"/>
  <c r="DA67" i="280" s="1"/>
  <c r="DA39" i="280"/>
  <c r="AG25" i="277"/>
  <c r="DA50" i="280"/>
  <c r="DA63" i="280"/>
  <c r="DA64" i="280" s="1"/>
  <c r="DA68" i="280" s="1"/>
  <c r="AH83" i="277"/>
  <c r="AH82" i="277"/>
  <c r="DB59" i="287"/>
  <c r="DB61" i="287" s="1"/>
  <c r="DB40" i="287" l="1"/>
  <c r="DB41" i="287" s="1"/>
  <c r="DB46" i="287" s="1"/>
  <c r="DB48" i="287" s="1"/>
  <c r="DB62" i="287"/>
  <c r="DB76" i="287"/>
  <c r="DA69" i="280"/>
  <c r="DA70" i="280" l="1"/>
  <c r="DA51" i="280"/>
  <c r="DA52" i="280" s="1"/>
  <c r="DA40" i="280"/>
  <c r="DA41" i="280" s="1"/>
  <c r="DA14" i="286"/>
  <c r="DA16" i="286" s="1"/>
  <c r="DA18" i="286" s="1"/>
  <c r="DB35" i="265"/>
  <c r="DB16" i="265"/>
  <c r="DB77" i="287"/>
  <c r="DB78" i="287" s="1"/>
  <c r="DB71" i="287"/>
  <c r="DB72" i="287" s="1"/>
  <c r="DB49" i="287"/>
  <c r="DB36" i="265" s="1"/>
  <c r="DB19" i="265" l="1"/>
  <c r="DB22" i="265" s="1"/>
  <c r="DB49" i="280"/>
  <c r="DB62" i="280" s="1"/>
  <c r="DA63" i="265"/>
  <c r="DA65" i="265" s="1"/>
  <c r="DA67" i="265" s="1"/>
  <c r="DA80" i="265" s="1"/>
  <c r="DB70" i="265"/>
  <c r="DC70" i="287"/>
  <c r="DB37" i="265"/>
  <c r="DB42" i="265" s="1"/>
  <c r="DB47" i="265" s="1"/>
  <c r="DB50" i="265" s="1"/>
  <c r="DB38" i="280"/>
  <c r="DB57" i="280" s="1"/>
  <c r="DA74" i="265"/>
  <c r="DA75" i="265" s="1"/>
  <c r="DA81" i="265" s="1"/>
  <c r="DA24" i="265"/>
  <c r="DA52" i="265"/>
  <c r="DA25" i="265" l="1"/>
  <c r="DB50" i="280"/>
  <c r="DB63" i="280"/>
  <c r="DB64" i="280"/>
  <c r="DB68" i="280" s="1"/>
  <c r="DB39" i="280"/>
  <c r="DB58" i="280"/>
  <c r="DB59" i="280" s="1"/>
  <c r="DB67" i="280" s="1"/>
  <c r="DB69" i="280" s="1"/>
  <c r="DA53" i="265"/>
  <c r="DC59" i="287"/>
  <c r="DC61" i="287" s="1"/>
  <c r="DA82" i="265"/>
  <c r="DA83" i="265"/>
  <c r="DB70" i="280" l="1"/>
  <c r="DB14" i="286"/>
  <c r="DB16" i="286" s="1"/>
  <c r="DB18" i="286" s="1"/>
  <c r="DB51" i="280"/>
  <c r="DB52" i="280" s="1"/>
  <c r="DB40" i="280"/>
  <c r="DB41" i="280" s="1"/>
  <c r="DC40" i="287"/>
  <c r="DC41" i="287" s="1"/>
  <c r="DC46" i="287" s="1"/>
  <c r="DC48" i="287" s="1"/>
  <c r="DC76" i="287"/>
  <c r="DC62" i="287"/>
  <c r="DB74" i="265" l="1"/>
  <c r="DB75" i="265" s="1"/>
  <c r="DB81" i="265" s="1"/>
  <c r="DC38" i="280"/>
  <c r="DC57" i="280" s="1"/>
  <c r="DC35" i="265"/>
  <c r="DC16" i="265"/>
  <c r="DC77" i="287"/>
  <c r="DC78" i="287" s="1"/>
  <c r="DC49" i="287"/>
  <c r="DC36" i="265" s="1"/>
  <c r="DC71" i="287"/>
  <c r="DC72" i="287" s="1"/>
  <c r="DB63" i="265"/>
  <c r="DB65" i="265" s="1"/>
  <c r="DB67" i="265" s="1"/>
  <c r="DB80" i="265" s="1"/>
  <c r="DC49" i="280"/>
  <c r="DC62" i="280" s="1"/>
  <c r="DB52" i="265"/>
  <c r="DB24" i="265"/>
  <c r="DB25" i="265" l="1"/>
  <c r="DD70" i="287"/>
  <c r="DC70" i="265"/>
  <c r="DC37" i="265"/>
  <c r="DC42" i="265" s="1"/>
  <c r="DC47" i="265" s="1"/>
  <c r="DC50" i="265" s="1"/>
  <c r="DB53" i="265"/>
  <c r="DB82" i="265"/>
  <c r="DB83" i="265"/>
  <c r="DC19" i="265"/>
  <c r="DC22" i="265" s="1"/>
  <c r="DC50" i="280" l="1"/>
  <c r="DC63" i="280"/>
  <c r="DC64" i="280" s="1"/>
  <c r="DC68" i="280" s="1"/>
  <c r="DD59" i="287"/>
  <c r="DD61" i="287" s="1"/>
  <c r="DC58" i="280"/>
  <c r="DC59" i="280" s="1"/>
  <c r="DC67" i="280" s="1"/>
  <c r="DC69" i="280" s="1"/>
  <c r="DC39" i="280"/>
  <c r="DC14" i="286" l="1"/>
  <c r="DC16" i="286" s="1"/>
  <c r="DC18" i="286" s="1"/>
  <c r="DC51" i="280"/>
  <c r="DC52" i="280" s="1"/>
  <c r="DC70" i="280"/>
  <c r="DC40" i="280"/>
  <c r="DC41" i="280" s="1"/>
  <c r="DD40" i="287"/>
  <c r="DD41" i="287" s="1"/>
  <c r="DD46" i="287" s="1"/>
  <c r="DD48" i="287" s="1"/>
  <c r="DD62" i="287"/>
  <c r="DD76" i="287"/>
  <c r="DD35" i="265" l="1"/>
  <c r="DD16" i="265"/>
  <c r="DC74" i="265"/>
  <c r="DC75" i="265" s="1"/>
  <c r="DC81" i="265" s="1"/>
  <c r="DD38" i="280"/>
  <c r="DD57" i="280" s="1"/>
  <c r="DD49" i="280"/>
  <c r="DD62" i="280" s="1"/>
  <c r="DC63" i="265"/>
  <c r="DC65" i="265" s="1"/>
  <c r="DC67" i="265" s="1"/>
  <c r="DC80" i="265" s="1"/>
  <c r="DD77" i="287"/>
  <c r="DD78" i="287" s="1"/>
  <c r="DD49" i="287"/>
  <c r="DD36" i="265" s="1"/>
  <c r="DD71" i="287"/>
  <c r="DD72" i="287" s="1"/>
  <c r="DC52" i="265"/>
  <c r="DC24" i="265"/>
  <c r="DC25" i="265" l="1"/>
  <c r="DE70" i="287"/>
  <c r="DD70" i="265"/>
  <c r="DC82" i="265"/>
  <c r="DC83" i="265"/>
  <c r="DD19" i="265"/>
  <c r="DD22" i="265" s="1"/>
  <c r="AH16" i="277"/>
  <c r="AH19" i="277" s="1"/>
  <c r="AH22" i="277" s="1"/>
  <c r="DC53" i="265"/>
  <c r="DD37" i="265"/>
  <c r="DD42" i="265" s="1"/>
  <c r="DD47" i="265" s="1"/>
  <c r="DD50" i="265" s="1"/>
  <c r="AH35" i="277"/>
  <c r="DD39" i="280" l="1"/>
  <c r="DD58" i="280"/>
  <c r="DD59" i="280" s="1"/>
  <c r="DD67" i="280" s="1"/>
  <c r="AI70" i="277"/>
  <c r="DD63" i="280"/>
  <c r="DD64" i="280" s="1"/>
  <c r="DD68" i="280" s="1"/>
  <c r="DD50" i="280"/>
  <c r="DE59" i="287"/>
  <c r="DE61" i="287" s="1"/>
  <c r="DE40" i="287" l="1"/>
  <c r="DE41" i="287" s="1"/>
  <c r="DE46" i="287" s="1"/>
  <c r="DE48" i="287" s="1"/>
  <c r="DE76" i="287"/>
  <c r="DE62" i="287"/>
  <c r="DD69" i="280"/>
  <c r="DD70" i="280" l="1"/>
  <c r="DD51" i="280"/>
  <c r="DD52" i="280" s="1"/>
  <c r="DD14" i="286"/>
  <c r="DD16" i="286" s="1"/>
  <c r="DD18" i="286" s="1"/>
  <c r="DD40" i="280"/>
  <c r="DD41" i="280" s="1"/>
  <c r="DE35" i="265"/>
  <c r="DE16" i="265"/>
  <c r="DE77" i="287"/>
  <c r="DE78" i="287" s="1"/>
  <c r="DE71" i="287"/>
  <c r="DE72" i="287" s="1"/>
  <c r="DE49" i="287"/>
  <c r="DE36" i="265" s="1"/>
  <c r="DE37" i="265" l="1"/>
  <c r="DE42" i="265" s="1"/>
  <c r="DE47" i="265" s="1"/>
  <c r="DE50" i="265" s="1"/>
  <c r="DD74" i="265"/>
  <c r="DE38" i="280"/>
  <c r="DE57" i="280" s="1"/>
  <c r="DD63" i="265"/>
  <c r="DE49" i="280"/>
  <c r="DE62" i="280" s="1"/>
  <c r="DE70" i="265"/>
  <c r="DF70" i="287"/>
  <c r="DE19" i="265"/>
  <c r="DE22" i="265" s="1"/>
  <c r="DD24" i="265"/>
  <c r="DD52" i="265"/>
  <c r="AH24" i="277" l="1"/>
  <c r="AH25" i="277" s="1"/>
  <c r="DD25" i="265"/>
  <c r="DE39" i="280"/>
  <c r="DE58" i="280"/>
  <c r="DE59" i="280" s="1"/>
  <c r="DE67" i="280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AH51" i="277"/>
  <c r="DD53" i="265"/>
  <c r="DF59" i="287"/>
  <c r="DF61" i="287" s="1"/>
  <c r="DE63" i="280"/>
  <c r="DE64" i="280" s="1"/>
  <c r="DE68" i="280" s="1"/>
  <c r="DE50" i="280"/>
  <c r="DE69" i="280" l="1"/>
  <c r="DF40" i="287"/>
  <c r="DF41" i="287" s="1"/>
  <c r="DF46" i="287" s="1"/>
  <c r="DF48" i="287" s="1"/>
  <c r="DF62" i="287"/>
  <c r="DF76" i="287"/>
  <c r="DD83" i="265"/>
  <c r="DD82" i="265"/>
  <c r="AI82" i="277"/>
  <c r="AI83" i="277"/>
  <c r="DF77" i="287" l="1"/>
  <c r="DF78" i="287" s="1"/>
  <c r="DF71" i="287"/>
  <c r="DF72" i="287" s="1"/>
  <c r="DF49" i="287"/>
  <c r="DF36" i="265" s="1"/>
  <c r="DF35" i="265"/>
  <c r="DF16" i="265"/>
  <c r="DE70" i="280"/>
  <c r="DE51" i="280"/>
  <c r="DE52" i="280" s="1"/>
  <c r="DE14" i="286"/>
  <c r="DE16" i="286" s="1"/>
  <c r="DE18" i="286" s="1"/>
  <c r="DE40" i="280"/>
  <c r="DE41" i="280" s="1"/>
  <c r="DF38" i="280" l="1"/>
  <c r="DF57" i="280" s="1"/>
  <c r="DE74" i="265"/>
  <c r="DE75" i="265" s="1"/>
  <c r="DE81" i="265" s="1"/>
  <c r="DF49" i="280"/>
  <c r="DF62" i="280" s="1"/>
  <c r="DE63" i="265"/>
  <c r="DE65" i="265" s="1"/>
  <c r="DE67" i="265" s="1"/>
  <c r="DE80" i="265" s="1"/>
  <c r="DF19" i="265"/>
  <c r="DF22" i="265" s="1"/>
  <c r="DE24" i="265"/>
  <c r="DE52" i="265"/>
  <c r="DF37" i="265"/>
  <c r="DF42" i="265" s="1"/>
  <c r="DF47" i="265" s="1"/>
  <c r="DF50" i="265" s="1"/>
  <c r="DF70" i="265"/>
  <c r="DG70" i="287"/>
  <c r="DF50" i="280" l="1"/>
  <c r="DF63" i="280"/>
  <c r="DF64" i="280" s="1"/>
  <c r="DF68" i="280" s="1"/>
  <c r="DE25" i="265"/>
  <c r="DE83" i="265"/>
  <c r="DE82" i="265"/>
  <c r="DG59" i="287"/>
  <c r="DG61" i="287" s="1"/>
  <c r="DE53" i="265"/>
  <c r="DF58" i="280"/>
  <c r="DF39" i="280"/>
  <c r="DF59" i="280"/>
  <c r="DF67" i="280" s="1"/>
  <c r="DF69" i="280" l="1"/>
  <c r="DG40" i="287"/>
  <c r="DG41" i="287" s="1"/>
  <c r="DG46" i="287" s="1"/>
  <c r="DG48" i="287" s="1"/>
  <c r="DG62" i="287"/>
  <c r="DG76" i="287"/>
  <c r="DG77" i="287" l="1"/>
  <c r="DG78" i="287" s="1"/>
  <c r="DG49" i="287"/>
  <c r="DG36" i="265" s="1"/>
  <c r="DG71" i="287"/>
  <c r="DG72" i="287" s="1"/>
  <c r="DG35" i="265"/>
  <c r="DG16" i="265"/>
  <c r="DF14" i="286"/>
  <c r="DF16" i="286" s="1"/>
  <c r="DF18" i="286" s="1"/>
  <c r="DF51" i="280"/>
  <c r="DF52" i="280" s="1"/>
  <c r="DF70" i="280"/>
  <c r="DF40" i="280"/>
  <c r="DF41" i="280" s="1"/>
  <c r="DF74" i="265" l="1"/>
  <c r="DF75" i="265" s="1"/>
  <c r="DF81" i="265" s="1"/>
  <c r="DG38" i="280"/>
  <c r="DG57" i="280" s="1"/>
  <c r="DG49" i="280"/>
  <c r="DG62" i="280" s="1"/>
  <c r="DF63" i="265"/>
  <c r="DF65" i="265" s="1"/>
  <c r="DF67" i="265" s="1"/>
  <c r="DF80" i="265" s="1"/>
  <c r="DG19" i="265"/>
  <c r="DG22" i="265" s="1"/>
  <c r="DG70" i="265"/>
  <c r="DH70" i="287"/>
  <c r="DF24" i="265"/>
  <c r="DF52" i="265"/>
  <c r="DG37" i="265"/>
  <c r="DG42" i="265" s="1"/>
  <c r="DG47" i="265" s="1"/>
  <c r="DG50" i="265" s="1"/>
  <c r="DF53" i="265" l="1"/>
  <c r="DH59" i="287"/>
  <c r="DH61" i="287" s="1"/>
  <c r="DF83" i="265"/>
  <c r="DF82" i="265"/>
  <c r="DG63" i="280"/>
  <c r="DG50" i="280"/>
  <c r="DF25" i="265"/>
  <c r="DG39" i="280"/>
  <c r="DG58" i="280"/>
  <c r="DG59" i="280" s="1"/>
  <c r="DG67" i="280" s="1"/>
  <c r="DG64" i="280"/>
  <c r="DG68" i="280" s="1"/>
  <c r="DG69" i="280" l="1"/>
  <c r="DG70" i="280" s="1"/>
  <c r="DG51" i="280"/>
  <c r="DG52" i="280" s="1"/>
  <c r="DG40" i="280"/>
  <c r="DG41" i="280" s="1"/>
  <c r="DH40" i="287"/>
  <c r="DH41" i="287" s="1"/>
  <c r="DH46" i="287" s="1"/>
  <c r="DH48" i="287" s="1"/>
  <c r="DH76" i="287"/>
  <c r="DH62" i="287"/>
  <c r="DG14" i="286" l="1"/>
  <c r="DG16" i="286" s="1"/>
  <c r="DG18" i="286" s="1"/>
  <c r="DH38" i="280"/>
  <c r="DH57" i="280" s="1"/>
  <c r="DG74" i="265"/>
  <c r="DG75" i="265" s="1"/>
  <c r="DG81" i="265" s="1"/>
  <c r="DG63" i="265"/>
  <c r="DG65" i="265" s="1"/>
  <c r="DG67" i="265" s="1"/>
  <c r="DG80" i="265" s="1"/>
  <c r="DH49" i="280"/>
  <c r="DH62" i="280" s="1"/>
  <c r="DH35" i="265"/>
  <c r="DH16" i="265"/>
  <c r="DH77" i="287"/>
  <c r="DH78" i="287" s="1"/>
  <c r="DH49" i="287"/>
  <c r="DH36" i="265" s="1"/>
  <c r="DH71" i="287"/>
  <c r="DH72" i="287" s="1"/>
  <c r="DG52" i="265"/>
  <c r="DG24" i="265"/>
  <c r="DG25" i="265" l="1"/>
  <c r="DH70" i="265"/>
  <c r="AJ70" i="277" s="1"/>
  <c r="DI70" i="287"/>
  <c r="DH37" i="265"/>
  <c r="DH42" i="265" s="1"/>
  <c r="DH47" i="265" s="1"/>
  <c r="DH50" i="265" s="1"/>
  <c r="AI35" i="277"/>
  <c r="DG82" i="265"/>
  <c r="DG83" i="265"/>
  <c r="DG53" i="265"/>
  <c r="DH19" i="265"/>
  <c r="DH22" i="265" s="1"/>
  <c r="AI16" i="277"/>
  <c r="AI19" i="277" s="1"/>
  <c r="AI22" i="277" s="1"/>
  <c r="DH58" i="280" l="1"/>
  <c r="DH59" i="280" s="1"/>
  <c r="DH67" i="280" s="1"/>
  <c r="DH39" i="280"/>
  <c r="DI59" i="287"/>
  <c r="DI61" i="287" s="1"/>
  <c r="DH63" i="280"/>
  <c r="DH64" i="280" s="1"/>
  <c r="DH68" i="280" s="1"/>
  <c r="DH50" i="280"/>
  <c r="DI40" i="287" l="1"/>
  <c r="DI41" i="287" s="1"/>
  <c r="DI46" i="287" s="1"/>
  <c r="DI48" i="287" s="1"/>
  <c r="DI76" i="287"/>
  <c r="DI62" i="287"/>
  <c r="DH69" i="280"/>
  <c r="DH70" i="280" l="1"/>
  <c r="DH14" i="286"/>
  <c r="DH16" i="286" s="1"/>
  <c r="DH18" i="286" s="1"/>
  <c r="DH51" i="280"/>
  <c r="DH52" i="280" s="1"/>
  <c r="DH40" i="280"/>
  <c r="DH41" i="280" s="1"/>
  <c r="DI35" i="265"/>
  <c r="DI16" i="265"/>
  <c r="DI77" i="287"/>
  <c r="DI78" i="287" s="1"/>
  <c r="DI49" i="287"/>
  <c r="DI36" i="265" s="1"/>
  <c r="DI71" i="287"/>
  <c r="DI72" i="287" s="1"/>
  <c r="DI70" i="265" l="1"/>
  <c r="DJ70" i="287"/>
  <c r="DI37" i="265"/>
  <c r="DI42" i="265" s="1"/>
  <c r="DI47" i="265" s="1"/>
  <c r="DI50" i="265" s="1"/>
  <c r="DI38" i="280"/>
  <c r="DI57" i="280" s="1"/>
  <c r="DH74" i="265"/>
  <c r="DI19" i="265"/>
  <c r="DI22" i="265" s="1"/>
  <c r="DI49" i="280"/>
  <c r="DI62" i="280" s="1"/>
  <c r="DH63" i="265"/>
  <c r="DH24" i="265"/>
  <c r="DH52" i="265"/>
  <c r="AI24" i="277" l="1"/>
  <c r="AI25" i="277" s="1"/>
  <c r="DH25" i="265"/>
  <c r="DI39" i="280"/>
  <c r="DI58" i="280"/>
  <c r="DH75" i="265"/>
  <c r="DH81" i="265" s="1"/>
  <c r="AJ74" i="277"/>
  <c r="AJ75" i="277" s="1"/>
  <c r="AJ81" i="277" s="1"/>
  <c r="DI50" i="280"/>
  <c r="DI63" i="280"/>
  <c r="DI64" i="280" s="1"/>
  <c r="DI68" i="280" s="1"/>
  <c r="DJ59" i="287"/>
  <c r="DJ61" i="287" s="1"/>
  <c r="AI51" i="277"/>
  <c r="DH53" i="265"/>
  <c r="AJ63" i="277"/>
  <c r="AJ65" i="277" s="1"/>
  <c r="AJ67" i="277" s="1"/>
  <c r="AJ80" i="277" s="1"/>
  <c r="DH65" i="265"/>
  <c r="DH67" i="265" s="1"/>
  <c r="DH80" i="265" s="1"/>
  <c r="DI59" i="280"/>
  <c r="DI67" i="280" s="1"/>
  <c r="DH83" i="265" l="1"/>
  <c r="DH82" i="265"/>
  <c r="DJ40" i="287"/>
  <c r="DJ41" i="287" s="1"/>
  <c r="DJ46" i="287" s="1"/>
  <c r="DJ48" i="287" s="1"/>
  <c r="DJ62" i="287"/>
  <c r="DJ76" i="287"/>
  <c r="DI69" i="280"/>
  <c r="AJ83" i="277"/>
  <c r="AJ82" i="277"/>
  <c r="DI14" i="286" l="1"/>
  <c r="DI16" i="286" s="1"/>
  <c r="DI18" i="286" s="1"/>
  <c r="DI70" i="280"/>
  <c r="DI51" i="280"/>
  <c r="DI52" i="280" s="1"/>
  <c r="DI40" i="280"/>
  <c r="DI41" i="280" s="1"/>
  <c r="DJ35" i="265"/>
  <c r="DJ16" i="265"/>
  <c r="DJ77" i="287"/>
  <c r="DJ78" i="287" s="1"/>
  <c r="DJ49" i="287"/>
  <c r="DJ36" i="265" s="1"/>
  <c r="DJ71" i="287"/>
  <c r="DJ72" i="287" s="1"/>
  <c r="DJ70" i="265" l="1"/>
  <c r="DK70" i="287"/>
  <c r="DJ19" i="265"/>
  <c r="DJ22" i="265" s="1"/>
  <c r="DJ38" i="280"/>
  <c r="DJ57" i="280" s="1"/>
  <c r="DI74" i="265"/>
  <c r="DI75" i="265" s="1"/>
  <c r="DI81" i="265" s="1"/>
  <c r="DI52" i="265"/>
  <c r="DI24" i="265"/>
  <c r="DJ37" i="265"/>
  <c r="DJ42" i="265" s="1"/>
  <c r="DJ47" i="265" s="1"/>
  <c r="DJ50" i="265" s="1"/>
  <c r="DJ49" i="280"/>
  <c r="DJ62" i="280" s="1"/>
  <c r="DI63" i="265"/>
  <c r="DI65" i="265" s="1"/>
  <c r="DI67" i="265" s="1"/>
  <c r="DI80" i="265" s="1"/>
  <c r="DJ50" i="280" l="1"/>
  <c r="DJ63" i="280"/>
  <c r="DJ64" i="280" s="1"/>
  <c r="DJ68" i="280" s="1"/>
  <c r="DI25" i="265"/>
  <c r="DK59" i="287"/>
  <c r="DK61" i="287" s="1"/>
  <c r="DI83" i="265"/>
  <c r="DI82" i="265"/>
  <c r="DI53" i="265"/>
  <c r="DJ39" i="280"/>
  <c r="DJ58" i="280"/>
  <c r="DJ59" i="280" s="1"/>
  <c r="DJ67" i="280" s="1"/>
  <c r="DJ69" i="280" l="1"/>
  <c r="DK40" i="287"/>
  <c r="DK41" i="287" s="1"/>
  <c r="DK46" i="287" s="1"/>
  <c r="DK48" i="287" s="1"/>
  <c r="DK76" i="287"/>
  <c r="DK62" i="287"/>
  <c r="DK35" i="265" l="1"/>
  <c r="DK16" i="265"/>
  <c r="DK77" i="287"/>
  <c r="DK49" i="287"/>
  <c r="DK36" i="265" s="1"/>
  <c r="DK71" i="287"/>
  <c r="DK72" i="287" s="1"/>
  <c r="DK78" i="287"/>
  <c r="DJ14" i="286"/>
  <c r="DJ16" i="286" s="1"/>
  <c r="DJ18" i="286" s="1"/>
  <c r="DJ40" i="280"/>
  <c r="DJ41" i="280" s="1"/>
  <c r="DJ51" i="280"/>
  <c r="DJ52" i="280" s="1"/>
  <c r="DJ70" i="280"/>
  <c r="DJ52" i="265" l="1"/>
  <c r="DJ24" i="265"/>
  <c r="DJ74" i="265"/>
  <c r="DJ75" i="265" s="1"/>
  <c r="DJ81" i="265" s="1"/>
  <c r="DK38" i="280"/>
  <c r="DK57" i="280" s="1"/>
  <c r="DK19" i="265"/>
  <c r="DK22" i="265" s="1"/>
  <c r="DJ63" i="265"/>
  <c r="DJ65" i="265" s="1"/>
  <c r="DJ67" i="265" s="1"/>
  <c r="DJ80" i="265" s="1"/>
  <c r="DK49" i="280"/>
  <c r="DK62" i="280" s="1"/>
  <c r="DK70" i="265"/>
  <c r="DL70" i="287"/>
  <c r="DK37" i="265"/>
  <c r="DK42" i="265" s="1"/>
  <c r="DK47" i="265" s="1"/>
  <c r="DK50" i="265" s="1"/>
  <c r="DK63" i="280" l="1"/>
  <c r="DK50" i="280"/>
  <c r="DJ82" i="265"/>
  <c r="DJ83" i="265"/>
  <c r="DK39" i="280"/>
  <c r="DK58" i="280"/>
  <c r="DK59" i="280" s="1"/>
  <c r="DK67" i="280" s="1"/>
  <c r="DJ25" i="265"/>
  <c r="DL59" i="287"/>
  <c r="DL61" i="287" s="1"/>
  <c r="DK64" i="280"/>
  <c r="DK68" i="280" s="1"/>
  <c r="DJ53" i="265"/>
  <c r="DL40" i="287" l="1"/>
  <c r="DL41" i="287" s="1"/>
  <c r="DL46" i="287" s="1"/>
  <c r="DL48" i="287" s="1"/>
  <c r="DL62" i="287"/>
  <c r="DL76" i="287"/>
  <c r="DK69" i="280"/>
  <c r="DK14" i="286" l="1"/>
  <c r="DK16" i="286" s="1"/>
  <c r="DK18" i="286" s="1"/>
  <c r="DK70" i="280"/>
  <c r="DK51" i="280"/>
  <c r="DK52" i="280" s="1"/>
  <c r="DK40" i="280"/>
  <c r="DK41" i="280" s="1"/>
  <c r="DL35" i="265"/>
  <c r="DL16" i="265"/>
  <c r="DL77" i="287"/>
  <c r="DL78" i="287" s="1"/>
  <c r="DL49" i="287"/>
  <c r="DL36" i="265" s="1"/>
  <c r="DL71" i="287"/>
  <c r="DL72" i="287" s="1"/>
  <c r="DL70" i="265" l="1"/>
  <c r="DM70" i="287"/>
  <c r="DL19" i="265"/>
  <c r="DL22" i="265" s="1"/>
  <c r="AJ16" i="277"/>
  <c r="AJ19" i="277" s="1"/>
  <c r="AJ22" i="277" s="1"/>
  <c r="DK74" i="265"/>
  <c r="DK75" i="265" s="1"/>
  <c r="DK81" i="265" s="1"/>
  <c r="DL38" i="280"/>
  <c r="DL57" i="280" s="1"/>
  <c r="DK24" i="265"/>
  <c r="DK52" i="265"/>
  <c r="DL37" i="265"/>
  <c r="DL42" i="265" s="1"/>
  <c r="DL47" i="265" s="1"/>
  <c r="DL50" i="265" s="1"/>
  <c r="AJ35" i="277"/>
  <c r="DK63" i="265"/>
  <c r="DK65" i="265" s="1"/>
  <c r="DK67" i="265" s="1"/>
  <c r="DK80" i="265" s="1"/>
  <c r="DL49" i="280"/>
  <c r="DL62" i="280" s="1"/>
  <c r="DK53" i="265" l="1"/>
  <c r="DM59" i="287"/>
  <c r="DM61" i="287" s="1"/>
  <c r="DK82" i="265"/>
  <c r="DK83" i="265"/>
  <c r="DL50" i="280"/>
  <c r="DL63" i="280"/>
  <c r="DL64" i="280" s="1"/>
  <c r="DL68" i="280" s="1"/>
  <c r="DK25" i="265"/>
  <c r="DL39" i="280"/>
  <c r="DL58" i="280"/>
  <c r="DL59" i="280" s="1"/>
  <c r="DL67" i="280" s="1"/>
  <c r="AK70" i="277"/>
  <c r="DL69" i="280" l="1"/>
  <c r="DM40" i="287"/>
  <c r="DM41" i="287" s="1"/>
  <c r="DM46" i="287" s="1"/>
  <c r="DM48" i="287" s="1"/>
  <c r="DM62" i="287"/>
  <c r="DM76" i="287"/>
  <c r="DM77" i="287" l="1"/>
  <c r="DM78" i="287" s="1"/>
  <c r="DM71" i="287"/>
  <c r="DM72" i="287" s="1"/>
  <c r="DM49" i="287"/>
  <c r="DM36" i="265" s="1"/>
  <c r="DM35" i="265"/>
  <c r="DM16" i="265"/>
  <c r="DL70" i="280"/>
  <c r="DL51" i="280"/>
  <c r="DL52" i="280" s="1"/>
  <c r="DL14" i="286"/>
  <c r="DL16" i="286" s="1"/>
  <c r="DL18" i="286" s="1"/>
  <c r="DL40" i="280"/>
  <c r="DL41" i="280" s="1"/>
  <c r="DM38" i="280" l="1"/>
  <c r="DM57" i="280" s="1"/>
  <c r="DL74" i="265"/>
  <c r="DM49" i="280"/>
  <c r="DM62" i="280" s="1"/>
  <c r="DL63" i="265"/>
  <c r="DM19" i="265"/>
  <c r="DM22" i="265" s="1"/>
  <c r="DL52" i="265"/>
  <c r="DL24" i="265"/>
  <c r="DM37" i="265"/>
  <c r="DM42" i="265" s="1"/>
  <c r="DM47" i="265" s="1"/>
  <c r="DM50" i="265" s="1"/>
  <c r="DN70" i="287"/>
  <c r="DM70" i="265"/>
  <c r="DN59" i="287" l="1"/>
  <c r="DN61" i="287" s="1"/>
  <c r="AJ51" i="277"/>
  <c r="DL53" i="265"/>
  <c r="AK63" i="277"/>
  <c r="AK65" i="277" s="1"/>
  <c r="AK67" i="277" s="1"/>
  <c r="AK80" i="277" s="1"/>
  <c r="DL65" i="265"/>
  <c r="DL67" i="265" s="1"/>
  <c r="DL80" i="265" s="1"/>
  <c r="AK74" i="277"/>
  <c r="AK75" i="277" s="1"/>
  <c r="AK81" i="277" s="1"/>
  <c r="DL75" i="265"/>
  <c r="DL81" i="265" s="1"/>
  <c r="DM50" i="280"/>
  <c r="DM63" i="280"/>
  <c r="DM64" i="280" s="1"/>
  <c r="DM68" i="280" s="1"/>
  <c r="DL25" i="265"/>
  <c r="AJ24" i="277"/>
  <c r="AJ25" i="277" s="1"/>
  <c r="DM39" i="280"/>
  <c r="DM58" i="280"/>
  <c r="DM59" i="280" s="1"/>
  <c r="DM67" i="280" s="1"/>
  <c r="DM69" i="280" l="1"/>
  <c r="DL82" i="265"/>
  <c r="DL83" i="265"/>
  <c r="DN40" i="287"/>
  <c r="DN41" i="287" s="1"/>
  <c r="DN46" i="287" s="1"/>
  <c r="DN48" i="287" s="1"/>
  <c r="DN76" i="287"/>
  <c r="DN62" i="287"/>
  <c r="AK83" i="277"/>
  <c r="AK82" i="277"/>
  <c r="DN35" i="265" l="1"/>
  <c r="DN16" i="265"/>
  <c r="DN77" i="287"/>
  <c r="DN71" i="287"/>
  <c r="DN72" i="287" s="1"/>
  <c r="DN49" i="287"/>
  <c r="DN36" i="265" s="1"/>
  <c r="DN78" i="287"/>
  <c r="DM70" i="280"/>
  <c r="DM40" i="280"/>
  <c r="DM41" i="280" s="1"/>
  <c r="DM51" i="280"/>
  <c r="DM52" i="280" s="1"/>
  <c r="DM14" i="286"/>
  <c r="DM16" i="286" s="1"/>
  <c r="DM18" i="286" s="1"/>
  <c r="DM74" i="265" l="1"/>
  <c r="DM75" i="265" s="1"/>
  <c r="DM81" i="265" s="1"/>
  <c r="DN38" i="280"/>
  <c r="DN57" i="280" s="1"/>
  <c r="DO70" i="287"/>
  <c r="DN70" i="265"/>
  <c r="DN19" i="265"/>
  <c r="DN22" i="265" s="1"/>
  <c r="DM63" i="265"/>
  <c r="DM65" i="265" s="1"/>
  <c r="DM67" i="265" s="1"/>
  <c r="DM80" i="265" s="1"/>
  <c r="DN49" i="280"/>
  <c r="DN62" i="280" s="1"/>
  <c r="DM24" i="265"/>
  <c r="DM52" i="265"/>
  <c r="DN37" i="265"/>
  <c r="DN42" i="265" s="1"/>
  <c r="DN47" i="265" s="1"/>
  <c r="DN50" i="265" s="1"/>
  <c r="DN63" i="280" l="1"/>
  <c r="DN64" i="280" s="1"/>
  <c r="DN68" i="280" s="1"/>
  <c r="DN50" i="280"/>
  <c r="DM53" i="265"/>
  <c r="DM25" i="265"/>
  <c r="DM82" i="265"/>
  <c r="DM83" i="265"/>
  <c r="DN39" i="280"/>
  <c r="DN58" i="280"/>
  <c r="DN59" i="280" s="1"/>
  <c r="DN67" i="280" s="1"/>
  <c r="DO59" i="287"/>
  <c r="DO61" i="287" s="1"/>
  <c r="DN69" i="280" l="1"/>
  <c r="DN14" i="286"/>
  <c r="DN16" i="286" s="1"/>
  <c r="DN18" i="286" s="1"/>
  <c r="DN40" i="280"/>
  <c r="DN41" i="280" s="1"/>
  <c r="DN51" i="280"/>
  <c r="DN52" i="280" s="1"/>
  <c r="DN70" i="280"/>
  <c r="DO40" i="287"/>
  <c r="DO41" i="287" s="1"/>
  <c r="DO46" i="287" s="1"/>
  <c r="DO48" i="287" s="1"/>
  <c r="DO62" i="287"/>
  <c r="DO76" i="287"/>
  <c r="DO77" i="287" l="1"/>
  <c r="DO78" i="287" s="1"/>
  <c r="DO71" i="287"/>
  <c r="DO72" i="287" s="1"/>
  <c r="DO49" i="287"/>
  <c r="DO36" i="265" s="1"/>
  <c r="DN63" i="265"/>
  <c r="DN65" i="265" s="1"/>
  <c r="DN67" i="265" s="1"/>
  <c r="DN80" i="265" s="1"/>
  <c r="DO49" i="280"/>
  <c r="DO62" i="280" s="1"/>
  <c r="DO35" i="265"/>
  <c r="DO16" i="265"/>
  <c r="DN52" i="265"/>
  <c r="DN24" i="265"/>
  <c r="DN74" i="265"/>
  <c r="DN75" i="265" s="1"/>
  <c r="DN81" i="265" s="1"/>
  <c r="DO38" i="280"/>
  <c r="DO57" i="280" s="1"/>
  <c r="DN53" i="265" l="1"/>
  <c r="DO37" i="265"/>
  <c r="DO42" i="265" s="1"/>
  <c r="DO47" i="265" s="1"/>
  <c r="DO50" i="265" s="1"/>
  <c r="DN83" i="265"/>
  <c r="DN82" i="265"/>
  <c r="DP70" i="287"/>
  <c r="DO70" i="265"/>
  <c r="DN25" i="265"/>
  <c r="DO19" i="265"/>
  <c r="DO22" i="265" s="1"/>
  <c r="DO39" i="280" l="1"/>
  <c r="DO58" i="280"/>
  <c r="DO59" i="280" s="1"/>
  <c r="DO67" i="280" s="1"/>
  <c r="DP59" i="287"/>
  <c r="DP61" i="287" s="1"/>
  <c r="DO63" i="280"/>
  <c r="DO64" i="280" s="1"/>
  <c r="DO68" i="280" s="1"/>
  <c r="DO50" i="280"/>
  <c r="DO69" i="280" l="1"/>
  <c r="DP40" i="287"/>
  <c r="DP41" i="287" s="1"/>
  <c r="DP46" i="287" s="1"/>
  <c r="DP48" i="287" s="1"/>
  <c r="DP62" i="287"/>
  <c r="DP76" i="287"/>
  <c r="DP35" i="265" l="1"/>
  <c r="DP16" i="265"/>
  <c r="DO70" i="280"/>
  <c r="DO51" i="280"/>
  <c r="DO52" i="280" s="1"/>
  <c r="DO14" i="286"/>
  <c r="DO16" i="286" s="1"/>
  <c r="DO18" i="286" s="1"/>
  <c r="DO40" i="280"/>
  <c r="DO41" i="280" s="1"/>
  <c r="DP77" i="287"/>
  <c r="DP78" i="287" s="1"/>
  <c r="DP71" i="287"/>
  <c r="DP72" i="287" s="1"/>
  <c r="DP49" i="287"/>
  <c r="DP36" i="265" s="1"/>
  <c r="DP38" i="280" l="1"/>
  <c r="DP57" i="280" s="1"/>
  <c r="DO74" i="265"/>
  <c r="DO75" i="265" s="1"/>
  <c r="DO81" i="265" s="1"/>
  <c r="DP49" i="280"/>
  <c r="DP62" i="280" s="1"/>
  <c r="DO63" i="265"/>
  <c r="DO65" i="265" s="1"/>
  <c r="DO67" i="265" s="1"/>
  <c r="DO80" i="265" s="1"/>
  <c r="DP19" i="265"/>
  <c r="DP22" i="265" s="1"/>
  <c r="AK16" i="277"/>
  <c r="AK19" i="277" s="1"/>
  <c r="AK22" i="277" s="1"/>
  <c r="DQ70" i="287"/>
  <c r="DP70" i="265"/>
  <c r="DO24" i="265"/>
  <c r="DO52" i="265"/>
  <c r="DP37" i="265"/>
  <c r="DP42" i="265" s="1"/>
  <c r="DP47" i="265" s="1"/>
  <c r="DP50" i="265" s="1"/>
  <c r="AK35" i="277"/>
  <c r="DO53" i="265" l="1"/>
  <c r="AL70" i="277"/>
  <c r="DO83" i="265"/>
  <c r="DO82" i="265"/>
  <c r="DP50" i="280"/>
  <c r="DP63" i="280"/>
  <c r="DP64" i="280" s="1"/>
  <c r="DP68" i="280" s="1"/>
  <c r="DO25" i="265"/>
  <c r="DQ59" i="287"/>
  <c r="DQ61" i="287" s="1"/>
  <c r="DP58" i="280"/>
  <c r="DP39" i="280"/>
  <c r="DP59" i="280"/>
  <c r="DP67" i="280" s="1"/>
  <c r="DQ40" i="287" l="1"/>
  <c r="DQ41" i="287" s="1"/>
  <c r="DQ46" i="287" s="1"/>
  <c r="DQ48" i="287" s="1"/>
  <c r="DQ62" i="287"/>
  <c r="DQ76" i="287"/>
  <c r="DP69" i="280"/>
  <c r="DP14" i="286" l="1"/>
  <c r="DP16" i="286" s="1"/>
  <c r="DP18" i="286" s="1"/>
  <c r="DP70" i="280"/>
  <c r="DP51" i="280"/>
  <c r="DP52" i="280" s="1"/>
  <c r="DP40" i="280"/>
  <c r="DP41" i="280" s="1"/>
  <c r="DQ35" i="265"/>
  <c r="DQ16" i="265"/>
  <c r="DQ77" i="287"/>
  <c r="DQ78" i="287" s="1"/>
  <c r="DQ71" i="287"/>
  <c r="DQ72" i="287" s="1"/>
  <c r="DQ49" i="287"/>
  <c r="DQ36" i="265" s="1"/>
  <c r="DQ19" i="265" l="1"/>
  <c r="DQ22" i="265" s="1"/>
  <c r="DP74" i="265"/>
  <c r="DQ38" i="280"/>
  <c r="DQ57" i="280" s="1"/>
  <c r="DP52" i="265"/>
  <c r="DP24" i="265"/>
  <c r="DQ70" i="265"/>
  <c r="DR70" i="287"/>
  <c r="DQ37" i="265"/>
  <c r="DQ42" i="265" s="1"/>
  <c r="DQ47" i="265" s="1"/>
  <c r="DQ50" i="265" s="1"/>
  <c r="DP63" i="265"/>
  <c r="DQ49" i="280"/>
  <c r="DQ62" i="280" s="1"/>
  <c r="AL63" i="277" l="1"/>
  <c r="AL65" i="277" s="1"/>
  <c r="AL67" i="277" s="1"/>
  <c r="AL80" i="277" s="1"/>
  <c r="DP65" i="265"/>
  <c r="DP67" i="265" s="1"/>
  <c r="DP80" i="265" s="1"/>
  <c r="AK51" i="277"/>
  <c r="DP53" i="265"/>
  <c r="AL74" i="277"/>
  <c r="AL75" i="277" s="1"/>
  <c r="AL81" i="277" s="1"/>
  <c r="DP75" i="265"/>
  <c r="DP81" i="265" s="1"/>
  <c r="DQ58" i="280"/>
  <c r="DQ39" i="280"/>
  <c r="DQ64" i="280"/>
  <c r="DQ68" i="280" s="1"/>
  <c r="DQ63" i="280"/>
  <c r="DQ50" i="280"/>
  <c r="DR59" i="287"/>
  <c r="DR61" i="287" s="1"/>
  <c r="AK24" i="277"/>
  <c r="AK25" i="277" s="1"/>
  <c r="DP25" i="265"/>
  <c r="DQ59" i="280"/>
  <c r="DQ67" i="280" s="1"/>
  <c r="DQ69" i="280" s="1"/>
  <c r="DQ70" i="280" l="1"/>
  <c r="DQ40" i="280"/>
  <c r="DQ41" i="280" s="1"/>
  <c r="DQ51" i="280"/>
  <c r="DQ52" i="280" s="1"/>
  <c r="DQ14" i="286"/>
  <c r="DQ16" i="286" s="1"/>
  <c r="DQ18" i="286" s="1"/>
  <c r="DP82" i="265"/>
  <c r="DP83" i="265"/>
  <c r="DR40" i="287"/>
  <c r="DR41" i="287" s="1"/>
  <c r="DR46" i="287" s="1"/>
  <c r="DR48" i="287" s="1"/>
  <c r="DR76" i="287"/>
  <c r="DR62" i="287"/>
  <c r="AL82" i="277"/>
  <c r="AL83" i="277"/>
  <c r="DQ74" i="265" l="1"/>
  <c r="DQ75" i="265" s="1"/>
  <c r="DQ81" i="265" s="1"/>
  <c r="DR38" i="280"/>
  <c r="DR57" i="280" s="1"/>
  <c r="DR35" i="265"/>
  <c r="DR16" i="265"/>
  <c r="DR77" i="287"/>
  <c r="DR78" i="287" s="1"/>
  <c r="DR71" i="287"/>
  <c r="DR72" i="287" s="1"/>
  <c r="DR49" i="287"/>
  <c r="DR36" i="265" s="1"/>
  <c r="DQ63" i="265"/>
  <c r="DQ65" i="265" s="1"/>
  <c r="DQ67" i="265" s="1"/>
  <c r="DQ80" i="265" s="1"/>
  <c r="DR49" i="280"/>
  <c r="DR62" i="280" s="1"/>
  <c r="DQ24" i="265"/>
  <c r="DQ25" i="265" s="1"/>
  <c r="DQ52" i="265"/>
  <c r="DQ53" i="265" l="1"/>
  <c r="DR37" i="265"/>
  <c r="DR42" i="265" s="1"/>
  <c r="DR47" i="265" s="1"/>
  <c r="DR50" i="265" s="1"/>
  <c r="DQ83" i="265"/>
  <c r="DQ82" i="265"/>
  <c r="DS70" i="287"/>
  <c r="DR70" i="265"/>
  <c r="DR19" i="265"/>
  <c r="DR22" i="265" s="1"/>
  <c r="DR39" i="280" l="1"/>
  <c r="DR58" i="280"/>
  <c r="DR59" i="280" s="1"/>
  <c r="DR67" i="280" s="1"/>
  <c r="DS59" i="287"/>
  <c r="DS61" i="287" s="1"/>
  <c r="DR63" i="280"/>
  <c r="DR64" i="280" s="1"/>
  <c r="DR68" i="280" s="1"/>
  <c r="DR50" i="280"/>
  <c r="DR69" i="280" l="1"/>
  <c r="DS40" i="287"/>
  <c r="DS41" i="287" s="1"/>
  <c r="DS46" i="287" s="1"/>
  <c r="DS48" i="287" s="1"/>
  <c r="DS62" i="287"/>
  <c r="DS76" i="287"/>
  <c r="DS35" i="265" l="1"/>
  <c r="DS16" i="265"/>
  <c r="DR14" i="286"/>
  <c r="DR16" i="286" s="1"/>
  <c r="DR18" i="286" s="1"/>
  <c r="DR70" i="280"/>
  <c r="DR40" i="280"/>
  <c r="DR41" i="280" s="1"/>
  <c r="DR51" i="280"/>
  <c r="DR52" i="280" s="1"/>
  <c r="DS78" i="287"/>
  <c r="DS77" i="287"/>
  <c r="DS49" i="287"/>
  <c r="DS36" i="265" s="1"/>
  <c r="DS71" i="287"/>
  <c r="DS72" i="287" s="1"/>
  <c r="DR74" i="265" l="1"/>
  <c r="DR75" i="265" s="1"/>
  <c r="DR81" i="265" s="1"/>
  <c r="DS38" i="280"/>
  <c r="DS57" i="280" s="1"/>
  <c r="DS37" i="265"/>
  <c r="DS42" i="265" s="1"/>
  <c r="DS47" i="265" s="1"/>
  <c r="DS50" i="265" s="1"/>
  <c r="DT70" i="287"/>
  <c r="DS70" i="265"/>
  <c r="DR63" i="265"/>
  <c r="DR65" i="265" s="1"/>
  <c r="DR67" i="265" s="1"/>
  <c r="DR80" i="265" s="1"/>
  <c r="DS49" i="280"/>
  <c r="DS62" i="280" s="1"/>
  <c r="DR52" i="265"/>
  <c r="DR24" i="265"/>
  <c r="DR25" i="265" s="1"/>
  <c r="DS19" i="265"/>
  <c r="DS22" i="265" s="1"/>
  <c r="DS58" i="280" l="1"/>
  <c r="DS59" i="280" s="1"/>
  <c r="DS67" i="280" s="1"/>
  <c r="DS39" i="280"/>
  <c r="DR53" i="265"/>
  <c r="DR82" i="265"/>
  <c r="DR83" i="265"/>
  <c r="DT59" i="287"/>
  <c r="DT61" i="287" s="1"/>
  <c r="DS50" i="280"/>
  <c r="DS63" i="280"/>
  <c r="DS64" i="280" s="1"/>
  <c r="DS68" i="280" s="1"/>
  <c r="DS69" i="280" l="1"/>
  <c r="DS14" i="286"/>
  <c r="DS16" i="286" s="1"/>
  <c r="DS18" i="286" s="1"/>
  <c r="DS40" i="280"/>
  <c r="DS41" i="280" s="1"/>
  <c r="DS70" i="280"/>
  <c r="DS51" i="280"/>
  <c r="DS52" i="280" s="1"/>
  <c r="DT40" i="287"/>
  <c r="DT41" i="287" s="1"/>
  <c r="DT46" i="287" s="1"/>
  <c r="DT48" i="287" s="1"/>
  <c r="DT62" i="287"/>
  <c r="DT76" i="287"/>
  <c r="DT35" i="265" l="1"/>
  <c r="DT16" i="265"/>
  <c r="DT49" i="280"/>
  <c r="DT62" i="280" s="1"/>
  <c r="DS63" i="265"/>
  <c r="DS65" i="265" s="1"/>
  <c r="DS67" i="265" s="1"/>
  <c r="DS80" i="265" s="1"/>
  <c r="DT38" i="280"/>
  <c r="DT57" i="280" s="1"/>
  <c r="DS74" i="265"/>
  <c r="DS75" i="265" s="1"/>
  <c r="DS81" i="265" s="1"/>
  <c r="DT77" i="287"/>
  <c r="DT78" i="287" s="1"/>
  <c r="DT71" i="287"/>
  <c r="DT72" i="287" s="1"/>
  <c r="DT49" i="287"/>
  <c r="DT36" i="265" s="1"/>
  <c r="DS24" i="265"/>
  <c r="DS25" i="265" s="1"/>
  <c r="DS52" i="265"/>
  <c r="DU70" i="287" l="1"/>
  <c r="DT70" i="265"/>
  <c r="DS82" i="265"/>
  <c r="DS83" i="265"/>
  <c r="DT19" i="265"/>
  <c r="DT22" i="265" s="1"/>
  <c r="AL16" i="277"/>
  <c r="AL19" i="277" s="1"/>
  <c r="AL22" i="277" s="1"/>
  <c r="DS53" i="265"/>
  <c r="DT37" i="265"/>
  <c r="DT42" i="265" s="1"/>
  <c r="DT47" i="265" s="1"/>
  <c r="DT50" i="265" s="1"/>
  <c r="AL35" i="277"/>
  <c r="AM70" i="277" l="1"/>
  <c r="DT63" i="280"/>
  <c r="DT64" i="280" s="1"/>
  <c r="DT68" i="280" s="1"/>
  <c r="DT50" i="280"/>
  <c r="DT39" i="280"/>
  <c r="DT58" i="280"/>
  <c r="DT59" i="280" s="1"/>
  <c r="DT67" i="280" s="1"/>
  <c r="DU59" i="287"/>
  <c r="DU61" i="287" s="1"/>
  <c r="DT69" i="280" l="1"/>
  <c r="DU40" i="287"/>
  <c r="DU41" i="287" s="1"/>
  <c r="DU46" i="287" s="1"/>
  <c r="DU48" i="287" s="1"/>
  <c r="DU62" i="287"/>
  <c r="DU76" i="287"/>
  <c r="DT14" i="286"/>
  <c r="DT16" i="286" s="1"/>
  <c r="DT18" i="286" s="1"/>
  <c r="DT40" i="280"/>
  <c r="DT41" i="280" s="1"/>
  <c r="DT70" i="280"/>
  <c r="DT51" i="280"/>
  <c r="DT52" i="280" s="1"/>
  <c r="DU49" i="280" l="1"/>
  <c r="DU62" i="280" s="1"/>
  <c r="DT63" i="265"/>
  <c r="DT74" i="265"/>
  <c r="DU38" i="280"/>
  <c r="DU57" i="280" s="1"/>
  <c r="DU77" i="287"/>
  <c r="DU78" i="287" s="1"/>
  <c r="DU49" i="287"/>
  <c r="DU36" i="265" s="1"/>
  <c r="DU71" i="287"/>
  <c r="DU72" i="287" s="1"/>
  <c r="DT52" i="265"/>
  <c r="DT24" i="265"/>
  <c r="DU35" i="265"/>
  <c r="DU16" i="265"/>
  <c r="DU37" i="265" l="1"/>
  <c r="DU42" i="265" s="1"/>
  <c r="DU47" i="265" s="1"/>
  <c r="DU50" i="265" s="1"/>
  <c r="AL51" i="277"/>
  <c r="DT53" i="265"/>
  <c r="AM74" i="277"/>
  <c r="AM75" i="277" s="1"/>
  <c r="AM81" i="277" s="1"/>
  <c r="DT75" i="265"/>
  <c r="DT81" i="265" s="1"/>
  <c r="DU19" i="265"/>
  <c r="DU22" i="265" s="1"/>
  <c r="AL24" i="277"/>
  <c r="AL25" i="277" s="1"/>
  <c r="DT25" i="265"/>
  <c r="DU70" i="265"/>
  <c r="DV70" i="287"/>
  <c r="DT65" i="265"/>
  <c r="DT67" i="265" s="1"/>
  <c r="DT80" i="265" s="1"/>
  <c r="AM63" i="277"/>
  <c r="AM65" i="277" s="1"/>
  <c r="AM67" i="277" s="1"/>
  <c r="AM80" i="277" s="1"/>
  <c r="AM82" i="277" l="1"/>
  <c r="AM83" i="277"/>
  <c r="DT82" i="265"/>
  <c r="DT83" i="265"/>
  <c r="DV59" i="287"/>
  <c r="DV61" i="287" s="1"/>
  <c r="DU50" i="280"/>
  <c r="DU63" i="280"/>
  <c r="DU64" i="280" s="1"/>
  <c r="DU68" i="280" s="1"/>
  <c r="DU58" i="280"/>
  <c r="DU59" i="280" s="1"/>
  <c r="DU67" i="280" s="1"/>
  <c r="DU39" i="280"/>
  <c r="DU69" i="280" l="1"/>
  <c r="DU70" i="280" s="1"/>
  <c r="DU14" i="286"/>
  <c r="DU16" i="286" s="1"/>
  <c r="DU18" i="286" s="1"/>
  <c r="DU51" i="280"/>
  <c r="DU52" i="280" s="1"/>
  <c r="DV40" i="287"/>
  <c r="DV41" i="287" s="1"/>
  <c r="DV46" i="287" s="1"/>
  <c r="DV48" i="287" s="1"/>
  <c r="DV76" i="287"/>
  <c r="DV62" i="287"/>
  <c r="DU40" i="280" l="1"/>
  <c r="DU41" i="280" s="1"/>
  <c r="DU74" i="265" s="1"/>
  <c r="DU75" i="265" s="1"/>
  <c r="DU81" i="265" s="1"/>
  <c r="DV35" i="265"/>
  <c r="DV16" i="265"/>
  <c r="DU52" i="265"/>
  <c r="DU24" i="265"/>
  <c r="DV49" i="280"/>
  <c r="DV62" i="280" s="1"/>
  <c r="DU63" i="265"/>
  <c r="DU65" i="265" s="1"/>
  <c r="DU67" i="265" s="1"/>
  <c r="DU80" i="265" s="1"/>
  <c r="DV77" i="287"/>
  <c r="DV78" i="287" s="1"/>
  <c r="DV49" i="287"/>
  <c r="DV36" i="265" s="1"/>
  <c r="DV71" i="287"/>
  <c r="DV72" i="287" s="1"/>
  <c r="DV38" i="280" l="1"/>
  <c r="DV57" i="280" s="1"/>
  <c r="DU82" i="265"/>
  <c r="DU83" i="265"/>
  <c r="DU53" i="265"/>
  <c r="DV37" i="265"/>
  <c r="DV42" i="265" s="1"/>
  <c r="DV47" i="265" s="1"/>
  <c r="DV50" i="265" s="1"/>
  <c r="DV70" i="265"/>
  <c r="DW70" i="287"/>
  <c r="DU25" i="265"/>
  <c r="DV19" i="265"/>
  <c r="DV22" i="265" s="1"/>
  <c r="DW59" i="287" l="1"/>
  <c r="DW61" i="287" s="1"/>
  <c r="DV39" i="280"/>
  <c r="DV58" i="280"/>
  <c r="DV59" i="280" s="1"/>
  <c r="DV67" i="280" s="1"/>
  <c r="DV50" i="280"/>
  <c r="DV63" i="280"/>
  <c r="DV64" i="280" s="1"/>
  <c r="DV68" i="280" s="1"/>
  <c r="DV69" i="280" l="1"/>
  <c r="DV14" i="286" s="1"/>
  <c r="DV16" i="286" s="1"/>
  <c r="DV18" i="286" s="1"/>
  <c r="DW40" i="287"/>
  <c r="DW41" i="287" s="1"/>
  <c r="DW46" i="287" s="1"/>
  <c r="DW48" i="287" s="1"/>
  <c r="DW76" i="287"/>
  <c r="DW62" i="287"/>
  <c r="DV70" i="280" l="1"/>
  <c r="DV24" i="265" s="1"/>
  <c r="DV40" i="280"/>
  <c r="DV41" i="280" s="1"/>
  <c r="DV51" i="280"/>
  <c r="DV52" i="280" s="1"/>
  <c r="DW49" i="280" s="1"/>
  <c r="DW62" i="280" s="1"/>
  <c r="DW35" i="265"/>
  <c r="DW16" i="265"/>
  <c r="DW77" i="287"/>
  <c r="DW78" i="287" s="1"/>
  <c r="DW71" i="287"/>
  <c r="DW72" i="287" s="1"/>
  <c r="DW49" i="287"/>
  <c r="DW36" i="265" s="1"/>
  <c r="DV63" i="265"/>
  <c r="DV65" i="265" s="1"/>
  <c r="DV67" i="265" s="1"/>
  <c r="DV80" i="265" s="1"/>
  <c r="DV52" i="265"/>
  <c r="DV74" i="265"/>
  <c r="DV75" i="265" s="1"/>
  <c r="DV81" i="265" s="1"/>
  <c r="DW38" i="280"/>
  <c r="DW57" i="280" s="1"/>
  <c r="DW37" i="265" l="1"/>
  <c r="DW42" i="265" s="1"/>
  <c r="DW47" i="265" s="1"/>
  <c r="DW50" i="265" s="1"/>
  <c r="DV25" i="265"/>
  <c r="DV83" i="265"/>
  <c r="DV82" i="265"/>
  <c r="DW70" i="265"/>
  <c r="DX70" i="287"/>
  <c r="DW19" i="265"/>
  <c r="DW22" i="265" s="1"/>
  <c r="DV53" i="265"/>
  <c r="DX59" i="287" l="1"/>
  <c r="DX61" i="287" s="1"/>
  <c r="DW63" i="280"/>
  <c r="DW64" i="280" s="1"/>
  <c r="DW68" i="280" s="1"/>
  <c r="DW50" i="280"/>
  <c r="DW39" i="280"/>
  <c r="DW58" i="280"/>
  <c r="DW59" i="280" s="1"/>
  <c r="DW67" i="280" s="1"/>
  <c r="DW69" i="280" l="1"/>
  <c r="DW14" i="286" s="1"/>
  <c r="DW16" i="286" s="1"/>
  <c r="DW18" i="286" s="1"/>
  <c r="DW40" i="280"/>
  <c r="DW41" i="280" s="1"/>
  <c r="DW51" i="280"/>
  <c r="DW52" i="280" s="1"/>
  <c r="DX40" i="287"/>
  <c r="DX41" i="287" s="1"/>
  <c r="DX46" i="287" s="1"/>
  <c r="DX48" i="287" s="1"/>
  <c r="DX62" i="287"/>
  <c r="DX76" i="287"/>
  <c r="DW70" i="280" l="1"/>
  <c r="DX77" i="287"/>
  <c r="DX78" i="287" s="1"/>
  <c r="DX49" i="287"/>
  <c r="DX36" i="265" s="1"/>
  <c r="DX71" i="287"/>
  <c r="DX72" i="287" s="1"/>
  <c r="DW52" i="265"/>
  <c r="DW24" i="265"/>
  <c r="DX35" i="265"/>
  <c r="DX16" i="265"/>
  <c r="DW63" i="265"/>
  <c r="DW65" i="265" s="1"/>
  <c r="DW67" i="265" s="1"/>
  <c r="DW80" i="265" s="1"/>
  <c r="DX49" i="280"/>
  <c r="DX62" i="280" s="1"/>
  <c r="DW74" i="265"/>
  <c r="DW75" i="265" s="1"/>
  <c r="DW81" i="265" s="1"/>
  <c r="DX38" i="280"/>
  <c r="DX57" i="280" s="1"/>
  <c r="DW82" i="265" l="1"/>
  <c r="DW83" i="265"/>
  <c r="DX37" i="265"/>
  <c r="DX42" i="265" s="1"/>
  <c r="DX47" i="265" s="1"/>
  <c r="DX50" i="265" s="1"/>
  <c r="AM35" i="277"/>
  <c r="DW53" i="265"/>
  <c r="DX19" i="265"/>
  <c r="DX22" i="265" s="1"/>
  <c r="AM16" i="277"/>
  <c r="AM19" i="277" s="1"/>
  <c r="AM22" i="277" s="1"/>
  <c r="DW25" i="265"/>
  <c r="DY70" i="287"/>
  <c r="DX70" i="265"/>
  <c r="DY59" i="287" l="1"/>
  <c r="DY61" i="287" s="1"/>
  <c r="AN70" i="277"/>
  <c r="DX58" i="280"/>
  <c r="DX59" i="280" s="1"/>
  <c r="DX67" i="280" s="1"/>
  <c r="DX39" i="280"/>
  <c r="DX63" i="280"/>
  <c r="DX64" i="280" s="1"/>
  <c r="DX68" i="280" s="1"/>
  <c r="DX50" i="280"/>
  <c r="DX69" i="280" l="1"/>
  <c r="DY40" i="287"/>
  <c r="DY41" i="287" s="1"/>
  <c r="DY46" i="287" s="1"/>
  <c r="DY48" i="287" s="1"/>
  <c r="DY62" i="287"/>
  <c r="DY76" i="287"/>
  <c r="DY35" i="265" l="1"/>
  <c r="DY16" i="265"/>
  <c r="DX14" i="286"/>
  <c r="DX16" i="286" s="1"/>
  <c r="DX18" i="286" s="1"/>
  <c r="DX70" i="280"/>
  <c r="DX51" i="280"/>
  <c r="DX52" i="280" s="1"/>
  <c r="DX40" i="280"/>
  <c r="DX41" i="280" s="1"/>
  <c r="DY77" i="287"/>
  <c r="DY78" i="287" s="1"/>
  <c r="DY49" i="287"/>
  <c r="DY36" i="265" s="1"/>
  <c r="DY71" i="287"/>
  <c r="DY72" i="287" s="1"/>
  <c r="DY49" i="280" l="1"/>
  <c r="DY62" i="280" s="1"/>
  <c r="DX63" i="265"/>
  <c r="DZ70" i="287"/>
  <c r="DY70" i="265"/>
  <c r="DX74" i="265"/>
  <c r="DY38" i="280"/>
  <c r="DY57" i="280" s="1"/>
  <c r="DX24" i="265"/>
  <c r="DX52" i="265"/>
  <c r="DY19" i="265"/>
  <c r="DY22" i="265" s="1"/>
  <c r="DY37" i="265"/>
  <c r="DY42" i="265" s="1"/>
  <c r="DY47" i="265" s="1"/>
  <c r="DY50" i="265" s="1"/>
  <c r="DY63" i="280" l="1"/>
  <c r="DY50" i="280"/>
  <c r="AM51" i="277"/>
  <c r="DX53" i="265"/>
  <c r="AN63" i="277"/>
  <c r="AN65" i="277" s="1"/>
  <c r="AN67" i="277" s="1"/>
  <c r="AN80" i="277" s="1"/>
  <c r="DX65" i="265"/>
  <c r="DX67" i="265" s="1"/>
  <c r="DX80" i="265" s="1"/>
  <c r="DY58" i="280"/>
  <c r="DY59" i="280" s="1"/>
  <c r="DY67" i="280" s="1"/>
  <c r="DY39" i="280"/>
  <c r="AM24" i="277"/>
  <c r="AM25" i="277" s="1"/>
  <c r="DX25" i="265"/>
  <c r="AN74" i="277"/>
  <c r="AN75" i="277" s="1"/>
  <c r="AN81" i="277" s="1"/>
  <c r="DX75" i="265"/>
  <c r="DX81" i="265" s="1"/>
  <c r="DZ59" i="287"/>
  <c r="DZ61" i="287" s="1"/>
  <c r="DY64" i="280"/>
  <c r="DY68" i="280" s="1"/>
  <c r="DY69" i="280" l="1"/>
  <c r="DY70" i="280" s="1"/>
  <c r="DY51" i="280"/>
  <c r="DY52" i="280" s="1"/>
  <c r="DY40" i="280"/>
  <c r="DY41" i="280" s="1"/>
  <c r="DZ40" i="287"/>
  <c r="DZ41" i="287" s="1"/>
  <c r="DZ46" i="287" s="1"/>
  <c r="DZ48" i="287" s="1"/>
  <c r="DZ62" i="287"/>
  <c r="DZ76" i="287"/>
  <c r="DX83" i="265"/>
  <c r="DX82" i="265"/>
  <c r="AN83" i="277"/>
  <c r="H83" i="277" s="1"/>
  <c r="AN82" i="277"/>
  <c r="F82" i="277" s="1"/>
  <c r="F13" i="264" s="1"/>
  <c r="DY14" i="286" l="1"/>
  <c r="DY16" i="286" s="1"/>
  <c r="DY18" i="286" s="1"/>
  <c r="DZ35" i="265"/>
  <c r="DZ16" i="265"/>
  <c r="DZ38" i="280"/>
  <c r="DZ57" i="280" s="1"/>
  <c r="DY74" i="265"/>
  <c r="DY75" i="265" s="1"/>
  <c r="DY81" i="265" s="1"/>
  <c r="DZ49" i="280"/>
  <c r="DZ62" i="280" s="1"/>
  <c r="DY63" i="265"/>
  <c r="DY65" i="265" s="1"/>
  <c r="DY67" i="265" s="1"/>
  <c r="DY80" i="265" s="1"/>
  <c r="DZ77" i="287"/>
  <c r="DZ78" i="287" s="1"/>
  <c r="DZ49" i="287"/>
  <c r="DZ36" i="265" s="1"/>
  <c r="DZ71" i="287"/>
  <c r="DZ72" i="287" s="1"/>
  <c r="DY24" i="265"/>
  <c r="DY52" i="265"/>
  <c r="DZ70" i="265" l="1"/>
  <c r="EA70" i="287"/>
  <c r="DY25" i="265"/>
  <c r="DY82" i="265"/>
  <c r="DY83" i="265"/>
  <c r="DZ19" i="265"/>
  <c r="DZ22" i="265" s="1"/>
  <c r="DY53" i="265"/>
  <c r="DZ37" i="265"/>
  <c r="DZ42" i="265" s="1"/>
  <c r="DZ47" i="265" s="1"/>
  <c r="DZ50" i="265" s="1"/>
  <c r="DZ63" i="280" l="1"/>
  <c r="DZ64" i="280" s="1"/>
  <c r="DZ68" i="280" s="1"/>
  <c r="DZ50" i="280"/>
  <c r="EA59" i="287"/>
  <c r="EA61" i="287" s="1"/>
  <c r="DZ39" i="280"/>
  <c r="DZ58" i="280"/>
  <c r="DZ59" i="280" s="1"/>
  <c r="DZ67" i="280" s="1"/>
  <c r="DZ69" i="280" s="1"/>
  <c r="EA76" i="287" l="1"/>
  <c r="EA40" i="287"/>
  <c r="EA41" i="287" s="1"/>
  <c r="EA62" i="287"/>
  <c r="H61" i="287"/>
  <c r="DZ14" i="286"/>
  <c r="DZ16" i="286" s="1"/>
  <c r="DZ18" i="286" s="1"/>
  <c r="DZ70" i="280"/>
  <c r="DZ40" i="280"/>
  <c r="DZ41" i="280" s="1"/>
  <c r="DZ51" i="280"/>
  <c r="DZ52" i="280" s="1"/>
  <c r="EA38" i="280" l="1"/>
  <c r="EA57" i="280" s="1"/>
  <c r="DZ74" i="265"/>
  <c r="DZ75" i="265" s="1"/>
  <c r="DZ81" i="265" s="1"/>
  <c r="EA16" i="265"/>
  <c r="EA35" i="265"/>
  <c r="H62" i="287"/>
  <c r="DZ63" i="265"/>
  <c r="DZ65" i="265" s="1"/>
  <c r="DZ67" i="265" s="1"/>
  <c r="DZ80" i="265" s="1"/>
  <c r="DZ83" i="265" s="1"/>
  <c r="EA49" i="280"/>
  <c r="EA62" i="280" s="1"/>
  <c r="DZ52" i="265"/>
  <c r="DZ24" i="265"/>
  <c r="H76" i="287"/>
  <c r="H40" i="287"/>
  <c r="EA46" i="287"/>
  <c r="EA48" i="287" s="1"/>
  <c r="H41" i="287"/>
  <c r="H46" i="287" s="1"/>
  <c r="EA77" i="287" l="1"/>
  <c r="EA78" i="287" s="1"/>
  <c r="H78" i="287" s="1"/>
  <c r="EA49" i="287"/>
  <c r="EA71" i="287"/>
  <c r="EA72" i="287" s="1"/>
  <c r="EA70" i="265" s="1"/>
  <c r="H48" i="287"/>
  <c r="DZ53" i="265"/>
  <c r="H35" i="265"/>
  <c r="H47" i="269" s="1"/>
  <c r="K47" i="269" s="1"/>
  <c r="H16" i="265"/>
  <c r="H28" i="269" s="1"/>
  <c r="K28" i="269" s="1"/>
  <c r="EA19" i="265"/>
  <c r="AN16" i="277"/>
  <c r="DZ25" i="265"/>
  <c r="AN35" i="277"/>
  <c r="DZ82" i="265"/>
  <c r="H35" i="277" l="1"/>
  <c r="AN19" i="277"/>
  <c r="H16" i="277"/>
  <c r="L28" i="269"/>
  <c r="J28" i="269"/>
  <c r="H77" i="287"/>
  <c r="H71" i="287"/>
  <c r="EA36" i="265"/>
  <c r="H49" i="287"/>
  <c r="H36" i="265" s="1"/>
  <c r="H48" i="269" s="1"/>
  <c r="K48" i="269" s="1"/>
  <c r="EA22" i="265"/>
  <c r="H19" i="265"/>
  <c r="H31" i="269" s="1"/>
  <c r="K31" i="269" s="1"/>
  <c r="L47" i="269"/>
  <c r="J47" i="269"/>
  <c r="EA39" i="280" l="1"/>
  <c r="EA58" i="280"/>
  <c r="EA59" i="280" s="1"/>
  <c r="EA67" i="280" s="1"/>
  <c r="H22" i="265"/>
  <c r="AN36" i="277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M49" i="277" s="1"/>
  <c r="M52" i="277" s="1"/>
  <c r="N36" i="277"/>
  <c r="N37" i="277" s="1"/>
  <c r="N41" i="277" s="1"/>
  <c r="N46" i="277" s="1"/>
  <c r="N49" i="277" s="1"/>
  <c r="N52" i="277" s="1"/>
  <c r="O36" i="277"/>
  <c r="O37" i="277" s="1"/>
  <c r="O41" i="277" s="1"/>
  <c r="O46" i="277" s="1"/>
  <c r="O49" i="277" s="1"/>
  <c r="O52" i="277" s="1"/>
  <c r="P36" i="277"/>
  <c r="P37" i="277" s="1"/>
  <c r="P41" i="277" s="1"/>
  <c r="P46" i="277" s="1"/>
  <c r="P49" i="277" s="1"/>
  <c r="P52" i="277" s="1"/>
  <c r="Q36" i="277"/>
  <c r="Q37" i="277" s="1"/>
  <c r="Q41" i="277" s="1"/>
  <c r="Q46" i="277" s="1"/>
  <c r="Q49" i="277" s="1"/>
  <c r="Q52" i="277" s="1"/>
  <c r="R36" i="277"/>
  <c r="R37" i="277" s="1"/>
  <c r="R41" i="277" s="1"/>
  <c r="R46" i="277" s="1"/>
  <c r="R49" i="277" s="1"/>
  <c r="R52" i="277" s="1"/>
  <c r="S36" i="277"/>
  <c r="S37" i="277" s="1"/>
  <c r="S41" i="277" s="1"/>
  <c r="S46" i="277" s="1"/>
  <c r="S49" i="277" s="1"/>
  <c r="S52" i="277" s="1"/>
  <c r="T36" i="277"/>
  <c r="T37" i="277" s="1"/>
  <c r="T41" i="277" s="1"/>
  <c r="T46" i="277" s="1"/>
  <c r="T49" i="277" s="1"/>
  <c r="T52" i="277" s="1"/>
  <c r="U36" i="277"/>
  <c r="U37" i="277" s="1"/>
  <c r="U41" i="277" s="1"/>
  <c r="U46" i="277" s="1"/>
  <c r="U49" i="277" s="1"/>
  <c r="U52" i="277" s="1"/>
  <c r="V36" i="277"/>
  <c r="V37" i="277" s="1"/>
  <c r="V41" i="277" s="1"/>
  <c r="V46" i="277" s="1"/>
  <c r="V49" i="277" s="1"/>
  <c r="V52" i="277" s="1"/>
  <c r="W36" i="277"/>
  <c r="W37" i="277" s="1"/>
  <c r="W41" i="277" s="1"/>
  <c r="W46" i="277" s="1"/>
  <c r="W49" i="277" s="1"/>
  <c r="W52" i="277" s="1"/>
  <c r="X36" i="277"/>
  <c r="X37" i="277" s="1"/>
  <c r="X41" i="277" s="1"/>
  <c r="X46" i="277" s="1"/>
  <c r="X49" i="277" s="1"/>
  <c r="X52" i="277" s="1"/>
  <c r="Y36" i="277"/>
  <c r="Y37" i="277" s="1"/>
  <c r="Y41" i="277" s="1"/>
  <c r="Y46" i="277" s="1"/>
  <c r="Y49" i="277" s="1"/>
  <c r="Y52" i="277" s="1"/>
  <c r="Z36" i="277"/>
  <c r="Z37" i="277" s="1"/>
  <c r="Z41" i="277" s="1"/>
  <c r="Z46" i="277" s="1"/>
  <c r="Z49" i="277" s="1"/>
  <c r="Z52" i="277" s="1"/>
  <c r="AA36" i="277"/>
  <c r="AA37" i="277" s="1"/>
  <c r="AA41" i="277" s="1"/>
  <c r="AA46" i="277" s="1"/>
  <c r="AA49" i="277" s="1"/>
  <c r="AA52" i="277" s="1"/>
  <c r="AB36" i="277"/>
  <c r="AB37" i="277" s="1"/>
  <c r="AB41" i="277" s="1"/>
  <c r="AB46" i="277" s="1"/>
  <c r="AB49" i="277" s="1"/>
  <c r="AB52" i="277" s="1"/>
  <c r="AC36" i="277"/>
  <c r="AC37" i="277" s="1"/>
  <c r="AC41" i="277" s="1"/>
  <c r="AC46" i="277" s="1"/>
  <c r="AC49" i="277" s="1"/>
  <c r="AC52" i="277" s="1"/>
  <c r="AD36" i="277"/>
  <c r="AD37" i="277" s="1"/>
  <c r="AD41" i="277" s="1"/>
  <c r="AD46" i="277" s="1"/>
  <c r="AD49" i="277" s="1"/>
  <c r="AD52" i="277" s="1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EA37" i="265"/>
  <c r="J31" i="269"/>
  <c r="L31" i="269"/>
  <c r="L48" i="269"/>
  <c r="J48" i="269"/>
  <c r="AN22" i="277"/>
  <c r="H22" i="277" s="1"/>
  <c r="H19" i="277"/>
  <c r="EA42" i="265" l="1"/>
  <c r="H37" i="265"/>
  <c r="H49" i="269" s="1"/>
  <c r="K41" i="277"/>
  <c r="H36" i="277"/>
  <c r="AN37" i="277"/>
  <c r="AN41" i="277" s="1"/>
  <c r="AN46" i="277" s="1"/>
  <c r="AN49" i="277" s="1"/>
  <c r="H58" i="280"/>
  <c r="H39" i="280"/>
  <c r="H34" i="269"/>
  <c r="K34" i="269" s="1"/>
  <c r="J34" i="269" l="1"/>
  <c r="L34" i="269"/>
  <c r="H37" i="277"/>
  <c r="H41" i="277"/>
  <c r="K46" i="277"/>
  <c r="EA47" i="265"/>
  <c r="H42" i="265"/>
  <c r="H54" i="269" s="1"/>
  <c r="K54" i="269" s="1"/>
  <c r="L54" i="269" l="1"/>
  <c r="J54" i="269"/>
  <c r="EA50" i="265"/>
  <c r="H47" i="265"/>
  <c r="H59" i="269" s="1"/>
  <c r="K59" i="269" s="1"/>
  <c r="K49" i="277"/>
  <c r="H46" i="277"/>
  <c r="L59" i="269" l="1"/>
  <c r="J59" i="269"/>
  <c r="H49" i="277"/>
  <c r="K52" i="277"/>
  <c r="EA63" i="280"/>
  <c r="EA64" i="280" s="1"/>
  <c r="EA68" i="280" s="1"/>
  <c r="EA69" i="280" s="1"/>
  <c r="EA50" i="280"/>
  <c r="H50" i="265"/>
  <c r="H62" i="269" l="1"/>
  <c r="H50" i="280"/>
  <c r="H63" i="280"/>
  <c r="EA14" i="286"/>
  <c r="EA16" i="286" s="1"/>
  <c r="EA51" i="280"/>
  <c r="EA52" i="280" s="1"/>
  <c r="EA63" i="265" s="1"/>
  <c r="EA65" i="265" s="1"/>
  <c r="EA67" i="265" s="1"/>
  <c r="EA80" i="265" s="1"/>
  <c r="EA70" i="280"/>
  <c r="EA40" i="280"/>
  <c r="EA41" i="280" s="1"/>
  <c r="EA74" i="265" s="1"/>
  <c r="EA75" i="265" s="1"/>
  <c r="EA81" i="265" s="1"/>
  <c r="EA82" i="265" s="1"/>
  <c r="F82" i="265" s="1"/>
  <c r="F12" i="264" s="1"/>
  <c r="F9" i="264" s="1"/>
  <c r="H69" i="280"/>
  <c r="H51" i="280" l="1"/>
  <c r="H14" i="286"/>
  <c r="H40" i="280"/>
  <c r="EA52" i="265"/>
  <c r="EA24" i="265"/>
  <c r="H70" i="280"/>
  <c r="F2" i="287"/>
  <c r="F2" i="264"/>
  <c r="F2" i="277"/>
  <c r="F2" i="286"/>
  <c r="F2" i="282"/>
  <c r="F2" i="273"/>
  <c r="F2" i="275"/>
  <c r="F2" i="265"/>
  <c r="F2" i="280"/>
  <c r="F2" i="281"/>
  <c r="EA83" i="265"/>
  <c r="H83" i="265" s="1"/>
  <c r="EA18" i="286"/>
  <c r="F20" i="286" s="1"/>
  <c r="H10" i="269" s="1"/>
  <c r="K10" i="269" s="1"/>
  <c r="H16" i="286"/>
  <c r="H18" i="286" s="1"/>
  <c r="J10" i="269" l="1"/>
  <c r="L10" i="269"/>
  <c r="H24" i="265"/>
  <c r="H36" i="269" s="1"/>
  <c r="K36" i="269" s="1"/>
  <c r="H52" i="265"/>
  <c r="H64" i="269" s="1"/>
  <c r="K64" i="269" s="1"/>
  <c r="AN51" i="277"/>
  <c r="EA53" i="265"/>
  <c r="H53" i="265" s="1"/>
  <c r="H65" i="269" s="1"/>
  <c r="AN24" i="277"/>
  <c r="EA25" i="265"/>
  <c r="H25" i="265" s="1"/>
  <c r="H37" i="269" s="1"/>
  <c r="K37" i="269" s="1"/>
  <c r="J37" i="269" l="1"/>
  <c r="L37" i="269"/>
  <c r="J64" i="269"/>
  <c r="L64" i="269"/>
  <c r="AN25" i="277"/>
  <c r="H25" i="277" s="1"/>
  <c r="H24" i="277"/>
  <c r="AN52" i="277"/>
  <c r="H52" i="277" s="1"/>
  <c r="H51" i="277"/>
  <c r="J36" i="269"/>
  <c r="L36" i="269"/>
  <c r="J2" i="269" l="1"/>
  <c r="F3" i="287" s="1"/>
  <c r="F3" i="281" l="1"/>
  <c r="F3" i="265"/>
  <c r="F3" i="273"/>
  <c r="F3" i="286"/>
  <c r="F3" i="275"/>
  <c r="F3" i="280"/>
  <c r="F3" i="264"/>
  <c r="F3" i="282"/>
  <c r="F3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<sst xmlns="http://schemas.openxmlformats.org/spreadsheetml/2006/main" count="489" uniqueCount="293">
  <si>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</si>
  <si>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</si>
  <si>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</si>
  <si>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</si>
  <si>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</si>
  <si>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</si>
  <si>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</si>
  <si>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</si>
  <si>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</si>
  <si>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</si>
  <si>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</si>
  <si>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</si>
  <si>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</si>
  <si>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</si>
  <si>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</si>
  <si>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</si>
  <si>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</si>
  <si>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</si>
  <si>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</si>
  <si>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</si>
  <si>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</si>
  <si>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</si>
  <si>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</si>
  <si>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</si>
  <si>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</si>
  <si>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</si>
  <si>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</si>
  <si>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</si>
  <si>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</si>
  <si>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</si>
  <si>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</si>
  <si>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</si>
  <si>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</si>
  <si>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</si>
  <si>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</si>
  <si>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</si>
  <si>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</si>
  <si>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</si>
  <si>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</si>
  <si>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</si>
  <si>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</si>
  <si>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</si>
  <si>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</si>
  <si>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</si>
  <si>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</si>
  <si>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</si>
  <si>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</si>
  <si>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</si>
  <si>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</si>
  <si>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</si>
  <si>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</si>
  <si>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</si>
  <si>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</si>
  <si>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</si>
  <si>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</si>
  <si>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</si>
  <si>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</si>
  <si>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</si>
  <si>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</si>
  <si>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</si>
  <si>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</si>
  <si>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</si>
  <si>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</si>
  <si>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</si>
  <si>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</si>
  <si>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</si>
  <si>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</si>
  <si>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</si>
  <si>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</si>
  <si>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</si>
  <si>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</si>
  <si>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</si>
  <si>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</si>
  <si>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</si>
  <si>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</si>
  <si>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</si>
  <si>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</si>
  <si>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</si>
  <si>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</si>
  <si>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</si>
  <si>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</si>
  <si>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</si>
  <si>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</si>
  <si>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</si>
  <si>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</si>
  <si>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</si>
  <si>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</si>
  <si>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</si>
  <si>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</si>
  <si>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</si>
  <si>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</si>
  <si>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</si>
  <si>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</si>
  <si>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</si>
  <si>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</si>
  <si>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</si>
  <si>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</si>
  <si>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</si>
  <si>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</si>
  <si>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</si>
  <si>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</si>
  <si>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</si>
  <si>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</si>
  <si>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</si>
  <si>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</si>
  <si>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</si>
  <si>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</si>
  <si>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</si>
  <si>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</si>
  <si>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</si>
  <si>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</si>
  <si>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</si>
  <si>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</si>
  <si>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</si>
  <si>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</si>
  <si>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</si>
  <si>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</si>
  <si>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</si>
  <si>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</si>
  <si>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</si>
  <si>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</si>
  <si>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</si>
  <si>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</si>
  <si>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</si>
  <si>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</si>
  <si>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</si>
  <si>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</si>
  <si>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</si>
  <si>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</si>
  <si>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</si>
  <si>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</si>
  <si>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</si>
  <si>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</si>
  <si>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</si>
  <si>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</si>
  <si>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</si>
  <si>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</si>
  <si>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</si>
  <si>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</si>
  <si>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</si>
  <si>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</si>
  <si>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</si>
  <si>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</si>
  <si>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</si>
  <si>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</si>
  <si>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</si>
  <si>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</si>
  <si>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</si>
  <si>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</si>
  <si>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</si>
  <si>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</si>
  <si>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</si>
  <si>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</si>
  <si>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</si>
  <si>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</si>
  <si>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</si>
  <si>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</si>
  <si>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</si>
  <si>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</si>
  <si>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</si>
  <si>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</si>
  <si>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</si>
  <si>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</si>
  <si>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</si>
  <si>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</si>
  <si>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</si>
  <si>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</si>
  <si>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</si>
  <si>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</si>
  <si>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</si>
  <si>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</si>
  <si>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</si>
  <si>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</si>
  <si>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</si>
  <si>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</si>
  <si>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</si>
  <si>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</si>
  <si>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</si>
  <si>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</si>
  <si>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</si>
  <si>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</si>
  <si>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</si>
  <si>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</si>
  <si>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</si>
  <si>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</si>
  <si>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</si>
  <si>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</si>
  <si>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</si>
  <si>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</si>
  <si>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</si>
  <si>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</si>
  <si>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</si>
  <si>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</si>
  <si>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</si>
  <si>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</si>
  <si>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</si>
  <si>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</si>
  <si>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</si>
  <si>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</si>
  <si>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</si>
  <si>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</si>
  <si>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</si>
  <si>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</si>
  <si>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</si>
  <si>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</si>
  <si>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</si>
  <si>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</si>
  <si>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</si>
  <si>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</si>
  <si>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</si>
  <si>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</si>
  <si>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</si>
  <si>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</si>
  <si>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</si>
  <si>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</si>
  <si>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</si>
  <si>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</si>
  <si>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</si>
  <si>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</si>
  <si>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</si>
  <si>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</si>
  <si>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</si>
  <si>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</si>
  <si>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</si>
  <si>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</si>
  <si>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</si>
  <si>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</si>
  <si>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</si>
  <si>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</si>
  <si>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</si>
  <si>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</si>
  <si>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</si>
  <si>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</si>
  <si>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</si>
  <si>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</si>
  <si>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</si>
  <si>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</si>
  <si>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</si>
  <si>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</si>
  <si>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</si>
  <si>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</si>
  <si>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</si>
  <si>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</si>
  <si>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</si>
  <si>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</si>
  <si>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</si>
  <si>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</si>
  <si>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</si>
  <si>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</si>
  <si>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</si>
  <si>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</si>
  <si>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</si>
  <si>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</si>
  <si>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</si>
  <si>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</si>
  <si>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</si>
  <si>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</si>
  <si>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</si>
  <si>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</si>
  <si>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</si>
  <si>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</si>
  <si>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</si>
  <si>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</si>
  <si>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</si>
  <si>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</si>
  <si>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[sculpted debt repayment profile]</t>
  </si>
  <si>
    <t xml:space="preserve">Senior debt principal repayment POS </t>
  </si>
  <si>
    <t>FMH debt2 BEG 01a.xlsx</t>
  </si>
  <si>
    <t>FMH debt3 END 01a.xlsx</t>
  </si>
  <si>
    <t>Senior debt swap rate</t>
  </si>
  <si>
    <t>Sebuir debt margin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</si>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</sst>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21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Metrics!$I$30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Metrics!$J$30:$EA$30</c:f>
              <c:numCache>
                <c:formatCode>#,##0.0000\ ;\(#,##0.0000\ \);"-  ";" "@" "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0.64672401028121584</c:v>
                </c:pt>
                <c:pt idx="4">
                  <c:v>2.1384569477274185</c:v>
                </c:pt>
                <c:pt idx="5">
                  <c:v>1.7752188066917847</c:v>
                </c:pt>
                <c:pt idx="6">
                  <c:v>0.86349611059454989</c:v>
                </c:pt>
                <c:pt idx="7">
                  <c:v>1.2798332437974691</c:v>
                </c:pt>
                <c:pt idx="8">
                  <c:v>2.1237591854554791</c:v>
                </c:pt>
                <c:pt idx="9">
                  <c:v>1.7623224215183402</c:v>
                </c:pt>
                <c:pt idx="10">
                  <c:v>0.85514498488177992</c:v>
                </c:pt>
                <c:pt idx="11">
                  <c:v>1.2693458037481902</c:v>
                </c:pt>
                <c:pt idx="12">
                  <c:v>2.1090527620865069</c:v>
                </c:pt>
                <c:pt idx="13">
                  <c:v>1.7494082967465376</c:v>
                </c:pt>
                <c:pt idx="14">
                  <c:v>0.85367608600250688</c:v>
                </c:pt>
                <c:pt idx="15">
                  <c:v>1.2519051259823</c:v>
                </c:pt>
                <c:pt idx="16">
                  <c:v>2.0943360727161013</c:v>
                </c:pt>
                <c:pt idx="17">
                  <c:v>1.7364748702926047</c:v>
                </c:pt>
                <c:pt idx="18">
                  <c:v>0.83832079198879672</c:v>
                </c:pt>
                <c:pt idx="19">
                  <c:v>1.248276866261153</c:v>
                </c:pt>
                <c:pt idx="20">
                  <c:v>2.0796074872165491</c:v>
                </c:pt>
                <c:pt idx="21">
                  <c:v>1.7235205545891408</c:v>
                </c:pt>
                <c:pt idx="22">
                  <c:v>0.8298448053704871</c:v>
                </c:pt>
                <c:pt idx="23">
                  <c:v>1.2376923037161078</c:v>
                </c:pt>
                <c:pt idx="24">
                  <c:v>2.0648653496931537</c:v>
                </c:pt>
                <c:pt idx="25">
                  <c:v>1.7105437360417977</c:v>
                </c:pt>
                <c:pt idx="26">
                  <c:v>0.82132423517087183</c:v>
                </c:pt>
                <c:pt idx="27">
                  <c:v>1.2270722577643403</c:v>
                </c:pt>
                <c:pt idx="28">
                  <c:v>2.0501079779297946</c:v>
                </c:pt>
                <c:pt idx="29">
                  <c:v>1.697542774475149</c:v>
                </c:pt>
                <c:pt idx="30">
                  <c:v>0.81947938389335162</c:v>
                </c:pt>
                <c:pt idx="31">
                  <c:v>1.2096933000119614</c:v>
                </c:pt>
                <c:pt idx="32">
                  <c:v>2.0353336628234779</c:v>
                </c:pt>
                <c:pt idx="33">
                  <c:v>1.6845160025675543</c:v>
                </c:pt>
                <c:pt idx="34">
                  <c:v>0.80414321119258458</c:v>
                </c:pt>
                <c:pt idx="35">
                  <c:v>1.2057192894504445</c:v>
                </c:pt>
                <c:pt idx="36">
                  <c:v>2.020540667807682</c:v>
                </c:pt>
                <c:pt idx="37">
                  <c:v>1.6714617252747708</c:v>
                </c:pt>
                <c:pt idx="38">
                  <c:v>0.79547962134463401</c:v>
                </c:pt>
                <c:pt idx="39">
                  <c:v>1.1949830838314286</c:v>
                </c:pt>
                <c:pt idx="40">
                  <c:v>2.0057272282642384</c:v>
                </c:pt>
                <c:pt idx="41">
                  <c:v>1.6583782192421028</c:v>
                </c:pt>
                <c:pt idx="42">
                  <c:v>0.78676517462069162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E-4F95-8F58-5631D77AA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053456"/>
        <c:axId val="893051160"/>
      </c:lineChart>
      <c:catAx>
        <c:axId val="893053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51160"/>
        <c:crosses val="autoZero"/>
        <c:auto val="1"/>
        <c:lblAlgn val="ctr"/>
        <c:lblOffset val="100"/>
        <c:noMultiLvlLbl val="0"/>
      </c:catAx>
      <c:valAx>
        <c:axId val="893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\ ;\(#,##0.0000\ \);&quot;-  &quot;;&quot; &quot;@&quot; 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5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D87293-A5D2-4B6F-A59A-AF513F255C67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FBE78-1F0D-4938-BFD4-163FA129E8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8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COUNTIF(I10:I66,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2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2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269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270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271</v>
      </c>
      <c r="F50" s="263">
        <f t="shared" si="1"/>
        <v>360</v>
      </c>
      <c r="G50" s="106" t="s">
        <v>272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3" spans="1:19" x14ac:dyDescent="0.35">
      <c r="A53" s="1" t="s">
        <v>197</v>
      </c>
    </row>
    <row r="54" spans="1:19" s="434" customFormat="1" x14ac:dyDescent="0.35">
      <c r="A54" s="1"/>
      <c r="B54" s="1"/>
      <c r="C54" s="11"/>
      <c r="D54" s="12"/>
      <c r="E54" s="7" t="s">
        <v>198</v>
      </c>
      <c r="F54" s="263">
        <f xml:space="preserve"> IF( INDEX(J54:S54, $I$4) = "", INDEX(J54:R54, $I$6), INDEX(J54:S54, $I$4))</f>
        <v>60</v>
      </c>
      <c r="G54" s="106" t="s">
        <v>185</v>
      </c>
      <c r="H54" s="106"/>
      <c r="I54" s="336" t="str" cm="1">
        <f t="array" ref="I54" xml:space="preserve"> IF( INDEX(J54:S54, I$5) = "", IF( INDEX(J54:S54, I$6) = F54, "vw", "tu"), IF(INDEX(J54:S54, I$5) = F54, "vw", "tu"))</f>
        <v>vw</v>
      </c>
      <c r="J54" s="264"/>
      <c r="K54" s="241">
        <v>60</v>
      </c>
      <c r="L54" s="241">
        <v>60</v>
      </c>
      <c r="M54" s="241">
        <v>60</v>
      </c>
      <c r="N54" s="265"/>
      <c r="O54" s="266"/>
      <c r="P54" s="266"/>
      <c r="Q54" s="266"/>
      <c r="R54" s="266"/>
      <c r="S54" s="265"/>
    </row>
    <row r="55" spans="1:19" s="434" customFormat="1" x14ac:dyDescent="0.35">
      <c r="A55" s="1"/>
      <c r="B55" s="1"/>
      <c r="C55" s="11"/>
      <c r="D55" s="12"/>
      <c r="E55" s="7" t="s">
        <v>214</v>
      </c>
      <c r="F55" s="263">
        <f xml:space="preserve"> IF( INDEX(J55:S55, $I$4) = "", INDEX(J55:R55, $I$6), INDEX(J55:S55, $I$4))</f>
        <v>30</v>
      </c>
      <c r="G55" s="106" t="s">
        <v>185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30</v>
      </c>
      <c r="L55" s="241">
        <v>30</v>
      </c>
      <c r="M55" s="241">
        <v>30</v>
      </c>
      <c r="N55" s="265"/>
      <c r="O55" s="266"/>
      <c r="P55" s="266"/>
      <c r="Q55" s="266"/>
      <c r="R55" s="266"/>
      <c r="S55" s="265"/>
    </row>
    <row r="56" spans="1:19" x14ac:dyDescent="0.35">
      <c r="A56" s="128"/>
      <c r="B56" s="128"/>
      <c r="C56" s="129"/>
      <c r="D56" s="130"/>
      <c r="E56" s="130"/>
      <c r="F56" s="223"/>
      <c r="G56" s="130"/>
      <c r="H56" s="224"/>
      <c r="I56" s="338"/>
      <c r="J56" s="213"/>
      <c r="K56" s="223"/>
      <c r="L56" s="223"/>
      <c r="M56" s="223"/>
      <c r="N56" s="132"/>
      <c r="O56" s="225"/>
      <c r="P56" s="225"/>
      <c r="Q56" s="225"/>
      <c r="R56" s="225"/>
      <c r="S56" s="132"/>
    </row>
    <row r="57" spans="1:19" x14ac:dyDescent="0.35">
      <c r="A57" s="128" t="s">
        <v>159</v>
      </c>
      <c r="B57" s="128"/>
      <c r="C57" s="129"/>
      <c r="D57" s="130"/>
      <c r="E57" s="130"/>
      <c r="F57" s="223"/>
      <c r="G57" s="130"/>
      <c r="H57" s="224"/>
      <c r="I57" s="338"/>
      <c r="J57" s="213"/>
      <c r="K57" s="223"/>
      <c r="L57" s="223"/>
      <c r="M57" s="223"/>
      <c r="N57" s="132"/>
      <c r="O57" s="225"/>
      <c r="P57" s="225"/>
      <c r="Q57" s="225"/>
      <c r="R57" s="225"/>
      <c r="S57" s="132"/>
    </row>
    <row r="58" spans="1:19" s="434" customFormat="1" x14ac:dyDescent="0.35">
      <c r="A58" s="1"/>
      <c r="B58" s="1"/>
      <c r="C58" s="11"/>
      <c r="D58" s="12"/>
      <c r="E58" s="106" t="s">
        <v>151</v>
      </c>
      <c r="F58" s="263">
        <f t="shared" ref="F58:F62" si="2" xml:space="preserve"> IF( INDEX(J58:S58, $I$4) = "", INDEX(J58:R58, $I$6), INDEX(J58:S58, $I$4))</f>
        <v>0</v>
      </c>
      <c r="G58" s="106" t="str">
        <f t="shared" ref="G58:G62" si="3" xml:space="preserve"> SMU</f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155</v>
      </c>
      <c r="F59" s="263">
        <f t="shared" si="2"/>
        <v>0</v>
      </c>
      <c r="G59" s="106" t="str">
        <f t="shared" si="3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0</v>
      </c>
      <c r="L59" s="241">
        <v>0</v>
      </c>
      <c r="M59" s="241">
        <v>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186</v>
      </c>
      <c r="F60" s="263">
        <f t="shared" si="2"/>
        <v>0</v>
      </c>
      <c r="G60" s="106" t="str">
        <f t="shared" si="3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0</v>
      </c>
      <c r="L60" s="241">
        <v>0</v>
      </c>
      <c r="M60" s="241">
        <v>0</v>
      </c>
      <c r="N60" s="265"/>
      <c r="O60" s="266"/>
      <c r="P60" s="266"/>
      <c r="Q60" s="266"/>
      <c r="R60" s="266"/>
      <c r="S60" s="265"/>
    </row>
    <row r="61" spans="1:19" s="434" customFormat="1" x14ac:dyDescent="0.35">
      <c r="A61" s="1"/>
      <c r="B61" s="1"/>
      <c r="C61" s="11"/>
      <c r="D61" s="12"/>
      <c r="E61" s="106" t="s">
        <v>212</v>
      </c>
      <c r="F61" s="263">
        <f t="shared" si="2"/>
        <v>0</v>
      </c>
      <c r="G61" s="106" t="str">
        <f t="shared" si="3"/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217</v>
      </c>
      <c r="F62" s="263">
        <f t="shared" si="2"/>
        <v>100000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100000</v>
      </c>
      <c r="L62" s="241">
        <v>100000</v>
      </c>
      <c r="M62" s="241">
        <v>100000</v>
      </c>
      <c r="N62" s="265"/>
      <c r="O62" s="266"/>
      <c r="P62" s="266"/>
      <c r="Q62" s="266"/>
      <c r="R62" s="266"/>
      <c r="S62" s="265"/>
    </row>
    <row r="64" spans="1:19" x14ac:dyDescent="0.35">
      <c r="I64" s="336"/>
    </row>
    <row r="66" spans="1:19" x14ac:dyDescent="0.35">
      <c r="A66" s="195" t="s">
        <v>92</v>
      </c>
      <c r="B66" s="195"/>
      <c r="C66" s="196"/>
      <c r="D66" s="118"/>
      <c r="E66" s="118"/>
      <c r="F66" s="118"/>
      <c r="G66" s="118"/>
      <c r="H66" s="118"/>
      <c r="I66" s="339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 spans="1:19" x14ac:dyDescent="0.35">
      <c r="A67" s="22"/>
      <c r="B67" s="22"/>
      <c r="C67" s="19"/>
      <c r="D67" s="47"/>
      <c r="E67" s="21"/>
      <c r="F67" s="20"/>
      <c r="G67" s="21"/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47"/>
      <c r="E68" s="48" t="s">
        <v>40</v>
      </c>
      <c r="F68" s="387">
        <v>1E-3</v>
      </c>
      <c r="G68" s="48" t="s">
        <v>41</v>
      </c>
      <c r="H68" s="21"/>
      <c r="J68" s="118"/>
      <c r="K68" s="21"/>
      <c r="L68" s="21"/>
      <c r="M68" s="21"/>
      <c r="N68" s="118"/>
      <c r="O68" s="21"/>
      <c r="P68" s="21"/>
      <c r="Q68" s="21"/>
      <c r="R68" s="21"/>
      <c r="S68" s="118"/>
    </row>
    <row r="69" spans="1:19" x14ac:dyDescent="0.35">
      <c r="A69" s="22"/>
      <c r="B69" s="22"/>
      <c r="C69" s="19"/>
      <c r="D69" s="47"/>
      <c r="E69" s="48" t="s">
        <v>73</v>
      </c>
      <c r="F69" s="387">
        <v>1E-3</v>
      </c>
      <c r="G69" s="48" t="s">
        <v>41</v>
      </c>
      <c r="H69" s="21"/>
      <c r="J69" s="118"/>
      <c r="K69" s="21"/>
      <c r="L69" s="21"/>
      <c r="M69" s="21"/>
      <c r="N69" s="118"/>
      <c r="O69" s="21"/>
      <c r="P69" s="21"/>
      <c r="Q69" s="21"/>
      <c r="R69" s="21"/>
      <c r="S69" s="118"/>
    </row>
    <row r="70" spans="1:19" x14ac:dyDescent="0.35">
      <c r="A70" s="22"/>
      <c r="B70" s="22"/>
      <c r="C70" s="19"/>
      <c r="D70" s="20"/>
      <c r="E70" s="20" t="s">
        <v>43</v>
      </c>
      <c r="F70" s="121">
        <v>12</v>
      </c>
      <c r="G70" s="20" t="s">
        <v>10</v>
      </c>
      <c r="H70" s="20"/>
      <c r="J70" s="118"/>
      <c r="K70" s="20"/>
      <c r="L70" s="20"/>
      <c r="M70" s="20"/>
      <c r="N70" s="118"/>
      <c r="O70" s="20"/>
      <c r="P70" s="20"/>
      <c r="Q70" s="20"/>
      <c r="R70" s="20"/>
      <c r="S70" s="118"/>
    </row>
    <row r="71" spans="1:19" x14ac:dyDescent="0.35">
      <c r="E71" s="500" t="s">
        <v>105</v>
      </c>
      <c r="F71" s="156">
        <v>4</v>
      </c>
      <c r="G71" s="7" t="s">
        <v>87</v>
      </c>
    </row>
    <row r="72" spans="1:19" x14ac:dyDescent="0.35">
      <c r="E72" s="7" t="s">
        <v>90</v>
      </c>
      <c r="F72" s="389" t="s">
        <v>108</v>
      </c>
      <c r="G72" s="7" t="s">
        <v>91</v>
      </c>
      <c r="I72" s="340"/>
    </row>
    <row r="73" spans="1:19" x14ac:dyDescent="0.35">
      <c r="E73" s="107" t="s">
        <v>109</v>
      </c>
      <c r="F73" s="388">
        <v>100</v>
      </c>
      <c r="G73" s="107" t="s">
        <v>109</v>
      </c>
      <c r="H73" s="107"/>
    </row>
    <row r="74" spans="1:19" x14ac:dyDescent="0.35">
      <c r="A74" s="476"/>
      <c r="B74" s="476"/>
      <c r="C74" s="477"/>
      <c r="D74" s="478"/>
      <c r="E74" s="107" t="s">
        <v>178</v>
      </c>
      <c r="F74" s="388">
        <v>1000000</v>
      </c>
      <c r="G74" s="107" t="s">
        <v>177</v>
      </c>
      <c r="H74" s="107"/>
      <c r="I74" s="336"/>
      <c r="J74" s="211"/>
      <c r="N74" s="134"/>
    </row>
    <row r="75" spans="1:19" x14ac:dyDescent="0.35">
      <c r="E75" s="107" t="s">
        <v>149</v>
      </c>
      <c r="F75" s="497">
        <v>1000</v>
      </c>
      <c r="G75" s="107" t="s">
        <v>107</v>
      </c>
      <c r="H75" s="107"/>
    </row>
    <row r="76" spans="1:19" x14ac:dyDescent="0.35">
      <c r="E76" s="106" t="s">
        <v>235</v>
      </c>
      <c r="F76" s="496">
        <v>-9.9999999999999995E-8</v>
      </c>
      <c r="G76" s="106" t="s">
        <v>108</v>
      </c>
    </row>
    <row r="77" spans="1:19" x14ac:dyDescent="0.35">
      <c r="E77" s="106"/>
      <c r="F77" s="495"/>
      <c r="G77" s="106"/>
    </row>
    <row r="78" spans="1:19" x14ac:dyDescent="0.35">
      <c r="B78" s="1" t="s">
        <v>27</v>
      </c>
    </row>
    <row r="79" spans="1:19" x14ac:dyDescent="0.35">
      <c r="A79" s="8"/>
      <c r="B79" s="8"/>
      <c r="C79" s="13"/>
      <c r="D79" s="34"/>
      <c r="E79" s="6" t="s">
        <v>30</v>
      </c>
      <c r="F79" s="156" t="s">
        <v>31</v>
      </c>
      <c r="G79" s="6" t="s">
        <v>26</v>
      </c>
      <c r="H79" s="6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46</v>
      </c>
      <c r="F80" s="156" t="s">
        <v>47</v>
      </c>
      <c r="G80" s="6" t="s">
        <v>26</v>
      </c>
      <c r="H80" s="6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 t="s">
        <v>48</v>
      </c>
      <c r="F81" s="156" t="s">
        <v>48</v>
      </c>
      <c r="G81" s="6" t="s">
        <v>26</v>
      </c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A82" s="8"/>
      <c r="B82" s="8"/>
      <c r="C82" s="13"/>
      <c r="D82" s="34"/>
      <c r="E82" s="6" t="s">
        <v>49</v>
      </c>
      <c r="F82" s="156" t="s">
        <v>49</v>
      </c>
      <c r="G82" s="6" t="s">
        <v>26</v>
      </c>
      <c r="H82" s="6"/>
      <c r="I82" s="340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40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E84" s="106" t="s">
        <v>114</v>
      </c>
      <c r="F84" s="263">
        <f xml:space="preserve"> IF( INDEX(J84:S84, $I$4) = "", INDEX(J84:R84, $I$6), INDEX(J84:S84, $I$4))</f>
        <v>0</v>
      </c>
      <c r="G84" s="106" t="s">
        <v>115</v>
      </c>
      <c r="H84" s="106"/>
      <c r="I84" s="336" t="str" cm="1">
        <f t="array" ref="I84" xml:space="preserve"> IF( INDEX(J84:S84, I$5) = "", IF( INDEX(J84:S84, I$6) = F84, "vw", "tu"), IF(INDEX(J84:S84, I$5) = F84, "vw", "tu"))</f>
        <v>vw</v>
      </c>
      <c r="J84" s="264"/>
      <c r="K84" s="241"/>
      <c r="L84" s="241"/>
      <c r="M84" s="241"/>
      <c r="N84" s="265"/>
      <c r="O84" s="266"/>
      <c r="P84" s="266"/>
      <c r="Q84" s="266"/>
      <c r="R84" s="266"/>
      <c r="S84" s="265"/>
    </row>
    <row r="85" spans="1:19" x14ac:dyDescent="0.35">
      <c r="A85" s="8"/>
      <c r="B85" s="8"/>
      <c r="C85" s="13"/>
      <c r="D85" s="34"/>
      <c r="E85" s="6"/>
      <c r="F85" s="26"/>
      <c r="G85" s="6"/>
      <c r="H85" s="6"/>
      <c r="I85" s="336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I86" s="336"/>
    </row>
    <row r="87" spans="1:19" x14ac:dyDescent="0.35">
      <c r="A87" s="1" t="s">
        <v>63</v>
      </c>
      <c r="I87" s="336"/>
    </row>
    <row r="88" spans="1:19" x14ac:dyDescent="0.35">
      <c r="I88" s="336"/>
    </row>
  </sheetData>
  <phoneticPr fontId="4" type="noConversion"/>
  <conditionalFormatting sqref="I13:I16">
    <cfRule type="cellIs" dxfId="77" priority="137" operator="equal">
      <formula>"tu"</formula>
    </cfRule>
  </conditionalFormatting>
  <conditionalFormatting sqref="I18">
    <cfRule type="cellIs" dxfId="76" priority="160" operator="equal">
      <formula>"tu"</formula>
    </cfRule>
  </conditionalFormatting>
  <conditionalFormatting sqref="I20:I21">
    <cfRule type="cellIs" dxfId="75" priority="251" operator="equal">
      <formula>"tu"</formula>
    </cfRule>
  </conditionalFormatting>
  <conditionalFormatting sqref="I24:I27">
    <cfRule type="cellIs" dxfId="74" priority="89" operator="equal">
      <formula>"tu"</formula>
    </cfRule>
  </conditionalFormatting>
  <conditionalFormatting sqref="I29:I31">
    <cfRule type="cellIs" dxfId="73" priority="79" operator="equal">
      <formula>"tu"</formula>
    </cfRule>
  </conditionalFormatting>
  <conditionalFormatting sqref="I33">
    <cfRule type="cellIs" dxfId="72" priority="74" operator="equal">
      <formula>"tu"</formula>
    </cfRule>
  </conditionalFormatting>
  <conditionalFormatting sqref="I37">
    <cfRule type="cellIs" dxfId="71" priority="52" operator="equal">
      <formula>"tu"</formula>
    </cfRule>
  </conditionalFormatting>
  <conditionalFormatting sqref="I41">
    <cfRule type="cellIs" dxfId="70" priority="23" operator="equal">
      <formula>"tu"</formula>
    </cfRule>
  </conditionalFormatting>
  <conditionalFormatting sqref="I45:I50">
    <cfRule type="cellIs" dxfId="69" priority="1" operator="equal">
      <formula>"tu"</formula>
    </cfRule>
  </conditionalFormatting>
  <conditionalFormatting sqref="I54:I55">
    <cfRule type="cellIs" dxfId="68" priority="44" operator="equal">
      <formula>"tu"</formula>
    </cfRule>
  </conditionalFormatting>
  <conditionalFormatting sqref="I58:I64">
    <cfRule type="cellIs" dxfId="67" priority="39" operator="equal">
      <formula>"tu"</formula>
    </cfRule>
  </conditionalFormatting>
  <conditionalFormatting sqref="I74">
    <cfRule type="cellIs" dxfId="66" priority="69" operator="equal">
      <formula>"tu"</formula>
    </cfRule>
  </conditionalFormatting>
  <conditionalFormatting sqref="I75:I78">
    <cfRule type="cellIs" dxfId="65" priority="252" operator="equal">
      <formula>1</formula>
    </cfRule>
  </conditionalFormatting>
  <conditionalFormatting sqref="I84:I88">
    <cfRule type="cellIs" dxfId="64" priority="166" operator="equal">
      <formula>"tu"</formula>
    </cfRule>
  </conditionalFormatting>
  <conditionalFormatting sqref="O14:R16">
    <cfRule type="cellIs" dxfId="63" priority="452" operator="equal">
      <formula>""</formula>
    </cfRule>
  </conditionalFormatting>
  <conditionalFormatting sqref="O20:R64">
    <cfRule type="cellIs" dxfId="62" priority="24" operator="equal">
      <formula>""</formula>
    </cfRule>
  </conditionalFormatting>
  <conditionalFormatting sqref="O73:R73">
    <cfRule type="cellIs" dxfId="61" priority="302" operator="equal">
      <formula>""</formula>
    </cfRule>
  </conditionalFormatting>
  <conditionalFormatting sqref="O75:R75">
    <cfRule type="cellIs" dxfId="60" priority="298" operator="equal">
      <formula>""</formula>
    </cfRule>
  </conditionalFormatting>
  <conditionalFormatting sqref="P13:R13 O18:R18 O71:R71">
    <cfRule type="cellIs" dxfId="59" priority="457" operator="equal">
      <formula>""</formula>
    </cfRule>
  </conditionalFormatting>
  <dataValidations count="1">
    <dataValidation allowBlank="1" showInputMessage="1" showErrorMessage="1" sqref="E24:H27 E29:H31 E76:G7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InpC!E$70</f>
        <v>Months in year</v>
      </c>
      <c r="F36" s="93">
        <f xml:space="preserve"> InpC!F$70</f>
        <v>12</v>
      </c>
      <c r="G36" s="93" t="str">
        <f xml:space="preserve"> InpC!G$70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InpC!E$70</f>
        <v>Months in year</v>
      </c>
      <c r="F46" s="93">
        <f xml:space="preserve"> InpC!F$70</f>
        <v>12</v>
      </c>
      <c r="G46" s="93" t="str">
        <f xml:space="preserve"> InpC!G$70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InpC!E$79</f>
        <v>Pre-forecast period</v>
      </c>
      <c r="F62" s="146" t="str">
        <f xml:space="preserve"> InpC!F$79</f>
        <v>Pre-fcst</v>
      </c>
      <c r="G62" s="146" t="str">
        <f xml:space="preserve"> InpC!G$79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InpC!E$80</f>
        <v>Financial Close</v>
      </c>
      <c r="F63" s="38" t="str">
        <f xml:space="preserve"> InpC!F$80</f>
        <v>Fin Close</v>
      </c>
      <c r="G63" s="38" t="str">
        <f xml:space="preserve"> InpC!G$80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InpC!E$81</f>
        <v>Operations</v>
      </c>
      <c r="F64" s="38" t="str">
        <f xml:space="preserve"> InpC!F$81</f>
        <v>Operations</v>
      </c>
      <c r="G64" s="38" t="str">
        <f xml:space="preserve"> InpC!G$81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InpC!E$82</f>
        <v>Post ops</v>
      </c>
      <c r="F65" s="38" t="str">
        <f xml:space="preserve"> InpC!F$82</f>
        <v>Post ops</v>
      </c>
      <c r="G65" s="38" t="str">
        <f xml:space="preserve"> InpC!G$82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InpC!E$70</f>
        <v>Months in year</v>
      </c>
      <c r="F86" s="43">
        <f xml:space="preserve"> InpC!F$70</f>
        <v>12</v>
      </c>
      <c r="G86" s="43" t="str">
        <f xml:space="preserve"> InpC!G$70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InpC!E$70</f>
        <v>Months in year</v>
      </c>
      <c r="F103" s="43">
        <f xml:space="preserve"> InpC!F$70</f>
        <v>12</v>
      </c>
      <c r="G103" s="43" t="str">
        <f xml:space="preserve"> InpC!G$70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InpC!E$70</f>
        <v>Months in year</v>
      </c>
      <c r="F119" s="43">
        <f xml:space="preserve"> InpC!F$70</f>
        <v>12</v>
      </c>
      <c r="G119" s="43" t="str">
        <f xml:space="preserve"> InpC!G$70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InpC!E$71</f>
        <v>Number of periods in a year</v>
      </c>
      <c r="F134" s="38">
        <f xml:space="preserve"> InpC!F$71</f>
        <v>4</v>
      </c>
      <c r="G134" s="38" t="str">
        <f xml:space="preserve"> InpC!G$71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InpC!E$71</f>
        <v>Number of periods in a year</v>
      </c>
      <c r="F140" s="43">
        <f xml:space="preserve"> InpC!F$71</f>
        <v>4</v>
      </c>
      <c r="G140" s="43" t="str">
        <f xml:space="preserve"> InpC!G$71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InpC!E$74</f>
        <v>GWh to kWh conversion</v>
      </c>
      <c r="F34" s="439">
        <f xml:space="preserve"> InpC!F$74</f>
        <v>1000000</v>
      </c>
      <c r="G34" s="439" t="str">
        <f xml:space="preserve"> InpC!G$74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InpC!E$75</f>
        <v>Units in a thousand</v>
      </c>
      <c r="F35" s="148">
        <f xml:space="preserve"> InpC!F$75</f>
        <v>1000</v>
      </c>
      <c r="G35" s="148" t="str">
        <f xml:space="preserve"> InpC!G$75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InpC!E$54</f>
        <v>Accounts receivable days</v>
      </c>
      <c r="F44" s="428">
        <f xml:space="preserve"> InpC!F$54</f>
        <v>60</v>
      </c>
      <c r="G44" s="428" t="str">
        <f xml:space="preserve"> InpC!G$54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InpC!E$60</f>
        <v>Accounts receivable - initial balance</v>
      </c>
      <c r="F57" s="435">
        <f xml:space="preserve"> InpC!F$60</f>
        <v>0</v>
      </c>
      <c r="G57" s="435" t="str">
        <f xml:space="preserve"> InpC!G$60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InpC!E$54</f>
        <v>Accounts receivable days</v>
      </c>
      <c r="F70" s="428">
        <f xml:space="preserve"> InpC!F$54</f>
        <v>60</v>
      </c>
      <c r="G70" s="428" t="str">
        <f xml:space="preserve"> InpC!G$54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InpC!E$60</f>
        <v>Accounts receivable - initial balance</v>
      </c>
      <c r="F80" s="435">
        <f xml:space="preserve"> InpC!F$60</f>
        <v>0</v>
      </c>
      <c r="G80" s="435" t="str">
        <f xml:space="preserve"> InpC!G$60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InpC!E$71</f>
        <v>Number of periods in a year</v>
      </c>
      <c r="F94" s="146">
        <f xml:space="preserve"> InpC!F$71</f>
        <v>4</v>
      </c>
      <c r="G94" s="146" t="str">
        <f xml:space="preserve"> InpC!G$71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InpC!E$55</f>
        <v>Accounts payable days</v>
      </c>
      <c r="F104" s="428">
        <f xml:space="preserve"> InpC!F$55</f>
        <v>30</v>
      </c>
      <c r="G104" s="428" t="str">
        <f xml:space="preserve"> InpC!G$55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InpC!E$61</f>
        <v>Accounts payable - initial balance</v>
      </c>
      <c r="F118" s="435">
        <f xml:space="preserve"> InpC!F$61</f>
        <v>0</v>
      </c>
      <c r="G118" s="435" t="str">
        <f xml:space="preserve"> InpC!G$61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6" sqref="M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InpC!E$71</f>
        <v>Number of periods in a year</v>
      </c>
      <c r="F13" s="503">
        <f xml:space="preserve"> InpC!F$71</f>
        <v>4</v>
      </c>
      <c r="G13" s="503" t="str">
        <f xml:space="preserve"> InpC!G$71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InpC!E$62</f>
        <v xml:space="preserve">Fixed asset - initial balance </v>
      </c>
      <c r="F20" s="435">
        <f xml:space="preserve"> InpC!F$62</f>
        <v>100000</v>
      </c>
      <c r="G20" s="435" t="str">
        <f xml:space="preserve"> InpC!G$62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82"/>
  <sheetViews>
    <sheetView tabSelected="1" defaultGridColor="0" colorId="8" zoomScaleNormal="100" workbookViewId="0">
      <pane xSplit="9" ySplit="5" topLeftCell="J29" activePane="bottomRight" state="frozen"/>
      <selection activeCell="E45" sqref="E45"/>
      <selection pane="topRight" activeCell="E45" sqref="E45"/>
      <selection pane="bottomLeft" activeCell="E45" sqref="E45"/>
      <selection pane="bottomRight" activeCell="E36" sqref="E3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254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254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250</v>
      </c>
    </row>
    <row r="15" spans="1:131" outlineLevel="2" x14ac:dyDescent="0.35">
      <c r="C15" s="13" t="s">
        <v>278</v>
      </c>
    </row>
    <row r="16" spans="1:131" s="498" customFormat="1" outlineLevel="2" x14ac:dyDescent="0.35">
      <c r="A16" s="8"/>
      <c r="B16" s="8"/>
      <c r="C16" s="13"/>
      <c r="D16" s="34"/>
      <c r="E16" s="26" t="str">
        <f t="shared" ref="E16:G16" si="0" xml:space="preserve"> E$12</f>
        <v>Senior debt initial drawdown</v>
      </c>
      <c r="F16" s="26">
        <f t="shared" si="0"/>
        <v>70000</v>
      </c>
      <c r="G16" s="26" t="str">
        <f t="shared" si="0"/>
        <v>$ 000s</v>
      </c>
      <c r="H16" s="26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outlineLevel="2" x14ac:dyDescent="0.35">
      <c r="A17" s="41"/>
      <c r="B17" s="41"/>
      <c r="C17" s="42"/>
      <c r="D17" s="43"/>
      <c r="E17" s="506" t="str">
        <f xml:space="preserve"> InpC!E$45</f>
        <v>Senior debt repayment period</v>
      </c>
      <c r="F17" s="506">
        <f xml:space="preserve"> InpC!F$45</f>
        <v>10</v>
      </c>
      <c r="G17" s="506" t="str">
        <f xml:space="preserve"> InpC!G$45</f>
        <v>years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</row>
    <row r="18" spans="1:131" s="504" customFormat="1" outlineLevel="2" x14ac:dyDescent="0.35">
      <c r="A18" s="501"/>
      <c r="B18" s="501"/>
      <c r="C18" s="502"/>
      <c r="D18" s="503"/>
      <c r="E18" s="503" t="str">
        <f xml:space="preserve"> InpC!E$71</f>
        <v>Number of periods in a year</v>
      </c>
      <c r="F18" s="503">
        <f xml:space="preserve"> InpC!F$71</f>
        <v>4</v>
      </c>
      <c r="G18" s="503" t="str">
        <f xml:space="preserve"> InpC!G$71</f>
        <v>periods</v>
      </c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503"/>
      <c r="AU18" s="503"/>
      <c r="AV18" s="503"/>
      <c r="AW18" s="503"/>
      <c r="AX18" s="503"/>
      <c r="AY18" s="503"/>
      <c r="AZ18" s="503"/>
      <c r="BA18" s="503"/>
      <c r="BB18" s="503"/>
      <c r="BC18" s="503"/>
      <c r="BD18" s="503"/>
      <c r="BE18" s="503"/>
      <c r="BF18" s="503"/>
      <c r="BG18" s="503"/>
      <c r="BH18" s="503"/>
      <c r="BI18" s="503"/>
      <c r="BJ18" s="503"/>
      <c r="BK18" s="503"/>
      <c r="BL18" s="503"/>
      <c r="BM18" s="503"/>
      <c r="BN18" s="503"/>
      <c r="BO18" s="503"/>
      <c r="BP18" s="503"/>
      <c r="BQ18" s="503"/>
      <c r="BR18" s="503"/>
      <c r="BS18" s="503"/>
      <c r="BT18" s="503"/>
      <c r="BU18" s="503"/>
      <c r="BV18" s="503"/>
      <c r="BW18" s="503"/>
      <c r="BX18" s="503"/>
      <c r="BY18" s="503"/>
      <c r="BZ18" s="503"/>
      <c r="CA18" s="503"/>
      <c r="CB18" s="503"/>
      <c r="CC18" s="503"/>
      <c r="CD18" s="503"/>
      <c r="CE18" s="503"/>
      <c r="CF18" s="503"/>
      <c r="CG18" s="503"/>
      <c r="CH18" s="503"/>
      <c r="CI18" s="503"/>
      <c r="CJ18" s="503"/>
      <c r="CK18" s="503"/>
      <c r="CL18" s="503"/>
      <c r="CM18" s="503"/>
      <c r="CN18" s="503"/>
      <c r="CO18" s="503"/>
      <c r="CP18" s="503"/>
      <c r="CQ18" s="503"/>
      <c r="CR18" s="503"/>
      <c r="CS18" s="503"/>
      <c r="CT18" s="503"/>
      <c r="CU18" s="503"/>
      <c r="CV18" s="503"/>
      <c r="CW18" s="503"/>
      <c r="CX18" s="503"/>
      <c r="CY18" s="503"/>
      <c r="CZ18" s="503"/>
      <c r="DA18" s="503"/>
      <c r="DB18" s="503"/>
      <c r="DC18" s="503"/>
      <c r="DD18" s="503"/>
      <c r="DE18" s="503"/>
      <c r="DF18" s="503"/>
      <c r="DG18" s="503"/>
      <c r="DH18" s="503"/>
      <c r="DI18" s="503"/>
      <c r="DJ18" s="503"/>
      <c r="DK18" s="503"/>
      <c r="DL18" s="503"/>
      <c r="DM18" s="503"/>
      <c r="DN18" s="503"/>
      <c r="DO18" s="503"/>
      <c r="DP18" s="503"/>
      <c r="DQ18" s="503"/>
      <c r="DR18" s="503"/>
      <c r="DS18" s="503"/>
      <c r="DT18" s="503"/>
      <c r="DU18" s="503"/>
      <c r="DV18" s="503"/>
      <c r="DW18" s="503"/>
      <c r="DX18" s="503"/>
      <c r="DY18" s="503"/>
      <c r="DZ18" s="503"/>
      <c r="EA18" s="503"/>
    </row>
    <row r="19" spans="1:131" outlineLevel="2" x14ac:dyDescent="0.35">
      <c r="E19" s="148" t="str">
        <f xml:space="preserve"> Time!E$125</f>
        <v>Senior debt repayment period flag</v>
      </c>
      <c r="F19" s="148">
        <f xml:space="preserve"> Time!F$125</f>
        <v>0</v>
      </c>
      <c r="G19" s="148" t="str">
        <f xml:space="preserve"> Time!G$125</f>
        <v>flag</v>
      </c>
      <c r="H19" s="148">
        <f xml:space="preserve"> Time!H$125</f>
        <v>40</v>
      </c>
      <c r="I19" s="148">
        <f xml:space="preserve"> Time!I$125</f>
        <v>0</v>
      </c>
      <c r="J19" s="148">
        <f xml:space="preserve"> Time!J$125</f>
        <v>0</v>
      </c>
      <c r="K19" s="148">
        <f xml:space="preserve"> Time!K$125</f>
        <v>0</v>
      </c>
      <c r="L19" s="148">
        <f xml:space="preserve"> Time!L$125</f>
        <v>0</v>
      </c>
      <c r="M19" s="148">
        <f xml:space="preserve"> Time!M$125</f>
        <v>1</v>
      </c>
      <c r="N19" s="148">
        <f xml:space="preserve"> Time!N$125</f>
        <v>1</v>
      </c>
      <c r="O19" s="148">
        <f xml:space="preserve"> Time!O$125</f>
        <v>1</v>
      </c>
      <c r="P19" s="148">
        <f xml:space="preserve"> Time!P$125</f>
        <v>1</v>
      </c>
      <c r="Q19" s="148">
        <f xml:space="preserve"> Time!Q$125</f>
        <v>1</v>
      </c>
      <c r="R19" s="148">
        <f xml:space="preserve"> Time!R$125</f>
        <v>1</v>
      </c>
      <c r="S19" s="148">
        <f xml:space="preserve"> Time!S$125</f>
        <v>1</v>
      </c>
      <c r="T19" s="148">
        <f xml:space="preserve"> Time!T$125</f>
        <v>1</v>
      </c>
      <c r="U19" s="148">
        <f xml:space="preserve"> Time!U$125</f>
        <v>1</v>
      </c>
      <c r="V19" s="148">
        <f xml:space="preserve"> Time!V$125</f>
        <v>1</v>
      </c>
      <c r="W19" s="148">
        <f xml:space="preserve"> Time!W$125</f>
        <v>1</v>
      </c>
      <c r="X19" s="148">
        <f xml:space="preserve"> Time!X$125</f>
        <v>1</v>
      </c>
      <c r="Y19" s="148">
        <f xml:space="preserve"> Time!Y$125</f>
        <v>1</v>
      </c>
      <c r="Z19" s="148">
        <f xml:space="preserve"> Time!Z$125</f>
        <v>1</v>
      </c>
      <c r="AA19" s="148">
        <f xml:space="preserve"> Time!AA$125</f>
        <v>1</v>
      </c>
      <c r="AB19" s="148">
        <f xml:space="preserve"> Time!AB$125</f>
        <v>1</v>
      </c>
      <c r="AC19" s="148">
        <f xml:space="preserve"> Time!AC$125</f>
        <v>1</v>
      </c>
      <c r="AD19" s="148">
        <f xml:space="preserve"> Time!AD$125</f>
        <v>1</v>
      </c>
      <c r="AE19" s="148">
        <f xml:space="preserve"> Time!AE$125</f>
        <v>1</v>
      </c>
      <c r="AF19" s="148">
        <f xml:space="preserve"> Time!AF$125</f>
        <v>1</v>
      </c>
      <c r="AG19" s="148">
        <f xml:space="preserve"> Time!AG$125</f>
        <v>1</v>
      </c>
      <c r="AH19" s="148">
        <f xml:space="preserve"> Time!AH$125</f>
        <v>1</v>
      </c>
      <c r="AI19" s="148">
        <f xml:space="preserve"> Time!AI$125</f>
        <v>1</v>
      </c>
      <c r="AJ19" s="148">
        <f xml:space="preserve"> Time!AJ$125</f>
        <v>1</v>
      </c>
      <c r="AK19" s="148">
        <f xml:space="preserve"> Time!AK$125</f>
        <v>1</v>
      </c>
      <c r="AL19" s="148">
        <f xml:space="preserve"> Time!AL$125</f>
        <v>1</v>
      </c>
      <c r="AM19" s="148">
        <f xml:space="preserve"> Time!AM$125</f>
        <v>1</v>
      </c>
      <c r="AN19" s="148">
        <f xml:space="preserve"> Time!AN$125</f>
        <v>1</v>
      </c>
      <c r="AO19" s="148">
        <f xml:space="preserve"> Time!AO$125</f>
        <v>1</v>
      </c>
      <c r="AP19" s="148">
        <f xml:space="preserve"> Time!AP$125</f>
        <v>1</v>
      </c>
      <c r="AQ19" s="148">
        <f xml:space="preserve"> Time!AQ$125</f>
        <v>1</v>
      </c>
      <c r="AR19" s="148">
        <f xml:space="preserve"> Time!AR$125</f>
        <v>1</v>
      </c>
      <c r="AS19" s="148">
        <f xml:space="preserve"> Time!AS$125</f>
        <v>1</v>
      </c>
      <c r="AT19" s="148">
        <f xml:space="preserve"> Time!AT$125</f>
        <v>1</v>
      </c>
      <c r="AU19" s="148">
        <f xml:space="preserve"> Time!AU$125</f>
        <v>1</v>
      </c>
      <c r="AV19" s="148">
        <f xml:space="preserve"> Time!AV$125</f>
        <v>1</v>
      </c>
      <c r="AW19" s="148">
        <f xml:space="preserve"> Time!AW$125</f>
        <v>1</v>
      </c>
      <c r="AX19" s="148">
        <f xml:space="preserve"> Time!AX$125</f>
        <v>1</v>
      </c>
      <c r="AY19" s="148">
        <f xml:space="preserve"> Time!AY$125</f>
        <v>1</v>
      </c>
      <c r="AZ19" s="148">
        <f xml:space="preserve"> Time!AZ$125</f>
        <v>1</v>
      </c>
      <c r="BA19" s="148">
        <f xml:space="preserve"> Time!BA$125</f>
        <v>0</v>
      </c>
      <c r="BB19" s="148">
        <f xml:space="preserve"> Time!BB$125</f>
        <v>0</v>
      </c>
      <c r="BC19" s="148">
        <f xml:space="preserve"> Time!BC$125</f>
        <v>0</v>
      </c>
      <c r="BD19" s="148">
        <f xml:space="preserve"> Time!BD$125</f>
        <v>0</v>
      </c>
      <c r="BE19" s="148">
        <f xml:space="preserve"> Time!BE$125</f>
        <v>0</v>
      </c>
      <c r="BF19" s="148">
        <f xml:space="preserve"> Time!BF$125</f>
        <v>0</v>
      </c>
      <c r="BG19" s="148">
        <f xml:space="preserve"> Time!BG$125</f>
        <v>0</v>
      </c>
      <c r="BH19" s="148">
        <f xml:space="preserve"> Time!BH$125</f>
        <v>0</v>
      </c>
      <c r="BI19" s="148">
        <f xml:space="preserve"> Time!BI$125</f>
        <v>0</v>
      </c>
      <c r="BJ19" s="148">
        <f xml:space="preserve"> Time!BJ$125</f>
        <v>0</v>
      </c>
      <c r="BK19" s="148">
        <f xml:space="preserve"> Time!BK$125</f>
        <v>0</v>
      </c>
      <c r="BL19" s="148">
        <f xml:space="preserve"> Time!BL$125</f>
        <v>0</v>
      </c>
      <c r="BM19" s="148">
        <f xml:space="preserve"> Time!BM$125</f>
        <v>0</v>
      </c>
      <c r="BN19" s="148">
        <f xml:space="preserve"> Time!BN$125</f>
        <v>0</v>
      </c>
      <c r="BO19" s="148">
        <f xml:space="preserve"> Time!BO$125</f>
        <v>0</v>
      </c>
      <c r="BP19" s="148">
        <f xml:space="preserve"> Time!BP$125</f>
        <v>0</v>
      </c>
      <c r="BQ19" s="148">
        <f xml:space="preserve"> Time!BQ$125</f>
        <v>0</v>
      </c>
      <c r="BR19" s="148">
        <f xml:space="preserve"> Time!BR$125</f>
        <v>0</v>
      </c>
      <c r="BS19" s="148">
        <f xml:space="preserve"> Time!BS$125</f>
        <v>0</v>
      </c>
      <c r="BT19" s="148">
        <f xml:space="preserve"> Time!BT$125</f>
        <v>0</v>
      </c>
      <c r="BU19" s="148">
        <f xml:space="preserve"> Time!BU$125</f>
        <v>0</v>
      </c>
      <c r="BV19" s="148">
        <f xml:space="preserve"> Time!BV$125</f>
        <v>0</v>
      </c>
      <c r="BW19" s="148">
        <f xml:space="preserve"> Time!BW$125</f>
        <v>0</v>
      </c>
      <c r="BX19" s="148">
        <f xml:space="preserve"> Time!BX$125</f>
        <v>0</v>
      </c>
      <c r="BY19" s="148">
        <f xml:space="preserve"> Time!BY$125</f>
        <v>0</v>
      </c>
      <c r="BZ19" s="148">
        <f xml:space="preserve"> Time!BZ$125</f>
        <v>0</v>
      </c>
      <c r="CA19" s="148">
        <f xml:space="preserve"> Time!CA$125</f>
        <v>0</v>
      </c>
      <c r="CB19" s="148">
        <f xml:space="preserve"> Time!CB$125</f>
        <v>0</v>
      </c>
      <c r="CC19" s="148">
        <f xml:space="preserve"> Time!CC$125</f>
        <v>0</v>
      </c>
      <c r="CD19" s="148">
        <f xml:space="preserve"> Time!CD$125</f>
        <v>0</v>
      </c>
      <c r="CE19" s="148">
        <f xml:space="preserve"> Time!CE$125</f>
        <v>0</v>
      </c>
      <c r="CF19" s="148">
        <f xml:space="preserve"> Time!CF$125</f>
        <v>0</v>
      </c>
      <c r="CG19" s="148">
        <f xml:space="preserve"> Time!CG$125</f>
        <v>0</v>
      </c>
      <c r="CH19" s="148">
        <f xml:space="preserve"> Time!CH$125</f>
        <v>0</v>
      </c>
      <c r="CI19" s="148">
        <f xml:space="preserve"> Time!CI$125</f>
        <v>0</v>
      </c>
      <c r="CJ19" s="148">
        <f xml:space="preserve"> Time!CJ$125</f>
        <v>0</v>
      </c>
      <c r="CK19" s="148">
        <f xml:space="preserve"> Time!CK$125</f>
        <v>0</v>
      </c>
      <c r="CL19" s="148">
        <f xml:space="preserve"> Time!CL$125</f>
        <v>0</v>
      </c>
      <c r="CM19" s="148">
        <f xml:space="preserve"> Time!CM$125</f>
        <v>0</v>
      </c>
      <c r="CN19" s="148">
        <f xml:space="preserve"> Time!CN$125</f>
        <v>0</v>
      </c>
      <c r="CO19" s="148">
        <f xml:space="preserve"> Time!CO$125</f>
        <v>0</v>
      </c>
      <c r="CP19" s="148">
        <f xml:space="preserve"> Time!CP$125</f>
        <v>0</v>
      </c>
      <c r="CQ19" s="148">
        <f xml:space="preserve"> Time!CQ$125</f>
        <v>0</v>
      </c>
      <c r="CR19" s="148">
        <f xml:space="preserve"> Time!CR$125</f>
        <v>0</v>
      </c>
      <c r="CS19" s="148">
        <f xml:space="preserve"> Time!CS$125</f>
        <v>0</v>
      </c>
      <c r="CT19" s="148">
        <f xml:space="preserve"> Time!CT$125</f>
        <v>0</v>
      </c>
      <c r="CU19" s="148">
        <f xml:space="preserve"> Time!CU$125</f>
        <v>0</v>
      </c>
      <c r="CV19" s="148">
        <f xml:space="preserve"> Time!CV$125</f>
        <v>0</v>
      </c>
      <c r="CW19" s="148">
        <f xml:space="preserve"> Time!CW$125</f>
        <v>0</v>
      </c>
      <c r="CX19" s="148">
        <f xml:space="preserve"> Time!CX$125</f>
        <v>0</v>
      </c>
      <c r="CY19" s="148">
        <f xml:space="preserve"> Time!CY$125</f>
        <v>0</v>
      </c>
      <c r="CZ19" s="148">
        <f xml:space="preserve"> Time!CZ$125</f>
        <v>0</v>
      </c>
      <c r="DA19" s="148">
        <f xml:space="preserve"> Time!DA$125</f>
        <v>0</v>
      </c>
      <c r="DB19" s="148">
        <f xml:space="preserve"> Time!DB$125</f>
        <v>0</v>
      </c>
      <c r="DC19" s="148">
        <f xml:space="preserve"> Time!DC$125</f>
        <v>0</v>
      </c>
      <c r="DD19" s="148">
        <f xml:space="preserve"> Time!DD$125</f>
        <v>0</v>
      </c>
      <c r="DE19" s="148">
        <f xml:space="preserve"> Time!DE$125</f>
        <v>0</v>
      </c>
      <c r="DF19" s="148">
        <f xml:space="preserve"> Time!DF$125</f>
        <v>0</v>
      </c>
      <c r="DG19" s="148">
        <f xml:space="preserve"> Time!DG$125</f>
        <v>0</v>
      </c>
      <c r="DH19" s="148">
        <f xml:space="preserve"> Time!DH$125</f>
        <v>0</v>
      </c>
      <c r="DI19" s="148">
        <f xml:space="preserve"> Time!DI$125</f>
        <v>0</v>
      </c>
      <c r="DJ19" s="148">
        <f xml:space="preserve"> Time!DJ$125</f>
        <v>0</v>
      </c>
      <c r="DK19" s="148">
        <f xml:space="preserve"> Time!DK$125</f>
        <v>0</v>
      </c>
      <c r="DL19" s="148">
        <f xml:space="preserve"> Time!DL$125</f>
        <v>0</v>
      </c>
      <c r="DM19" s="148">
        <f xml:space="preserve"> Time!DM$125</f>
        <v>0</v>
      </c>
      <c r="DN19" s="148">
        <f xml:space="preserve"> Time!DN$125</f>
        <v>0</v>
      </c>
      <c r="DO19" s="148">
        <f xml:space="preserve"> Time!DO$125</f>
        <v>0</v>
      </c>
      <c r="DP19" s="148">
        <f xml:space="preserve"> Time!DP$125</f>
        <v>0</v>
      </c>
      <c r="DQ19" s="148">
        <f xml:space="preserve"> Time!DQ$125</f>
        <v>0</v>
      </c>
      <c r="DR19" s="148">
        <f xml:space="preserve"> Time!DR$125</f>
        <v>0</v>
      </c>
      <c r="DS19" s="148">
        <f xml:space="preserve"> Time!DS$125</f>
        <v>0</v>
      </c>
      <c r="DT19" s="148">
        <f xml:space="preserve"> Time!DT$125</f>
        <v>0</v>
      </c>
      <c r="DU19" s="148">
        <f xml:space="preserve"> Time!DU$125</f>
        <v>0</v>
      </c>
      <c r="DV19" s="148">
        <f xml:space="preserve"> Time!DV$125</f>
        <v>0</v>
      </c>
      <c r="DW19" s="148">
        <f xml:space="preserve"> Time!DW$125</f>
        <v>0</v>
      </c>
      <c r="DX19" s="148">
        <f xml:space="preserve"> Time!DX$125</f>
        <v>0</v>
      </c>
      <c r="DY19" s="148">
        <f xml:space="preserve"> Time!DY$125</f>
        <v>0</v>
      </c>
      <c r="DZ19" s="148">
        <f xml:space="preserve"> Time!DZ$125</f>
        <v>0</v>
      </c>
      <c r="EA19" s="148">
        <f xml:space="preserve"> Time!EA$125</f>
        <v>0</v>
      </c>
    </row>
    <row r="20" spans="1:131" outlineLevel="2" x14ac:dyDescent="0.35">
      <c r="E20" s="7" t="s">
        <v>262</v>
      </c>
      <c r="G20" s="6" t="str">
        <f xml:space="preserve"> SMU</f>
        <v>$ 000s</v>
      </c>
      <c r="H20" s="7">
        <f xml:space="preserve"> SUM(J20:EA20)</f>
        <v>70000</v>
      </c>
      <c r="J20" s="7">
        <f t="shared" ref="J20:BU20" si="1" xml:space="preserve"> $F16 / $F17 / $F18 * J19</f>
        <v>0</v>
      </c>
      <c r="K20" s="7">
        <f t="shared" si="1"/>
        <v>0</v>
      </c>
      <c r="L20" s="7">
        <f t="shared" si="1"/>
        <v>0</v>
      </c>
      <c r="M20" s="7">
        <f t="shared" si="1"/>
        <v>1750</v>
      </c>
      <c r="N20" s="7">
        <f t="shared" si="1"/>
        <v>1750</v>
      </c>
      <c r="O20" s="7">
        <f t="shared" si="1"/>
        <v>1750</v>
      </c>
      <c r="P20" s="7">
        <f t="shared" si="1"/>
        <v>1750</v>
      </c>
      <c r="Q20" s="7">
        <f t="shared" si="1"/>
        <v>1750</v>
      </c>
      <c r="R20" s="7">
        <f t="shared" si="1"/>
        <v>1750</v>
      </c>
      <c r="S20" s="7">
        <f t="shared" si="1"/>
        <v>1750</v>
      </c>
      <c r="T20" s="7">
        <f t="shared" si="1"/>
        <v>1750</v>
      </c>
      <c r="U20" s="7">
        <f t="shared" si="1"/>
        <v>1750</v>
      </c>
      <c r="V20" s="7">
        <f t="shared" si="1"/>
        <v>1750</v>
      </c>
      <c r="W20" s="7">
        <f t="shared" si="1"/>
        <v>1750</v>
      </c>
      <c r="X20" s="7">
        <f t="shared" si="1"/>
        <v>1750</v>
      </c>
      <c r="Y20" s="7">
        <f t="shared" si="1"/>
        <v>1750</v>
      </c>
      <c r="Z20" s="7">
        <f t="shared" si="1"/>
        <v>1750</v>
      </c>
      <c r="AA20" s="7">
        <f t="shared" si="1"/>
        <v>1750</v>
      </c>
      <c r="AB20" s="7">
        <f t="shared" si="1"/>
        <v>1750</v>
      </c>
      <c r="AC20" s="7">
        <f t="shared" si="1"/>
        <v>1750</v>
      </c>
      <c r="AD20" s="7">
        <f t="shared" si="1"/>
        <v>1750</v>
      </c>
      <c r="AE20" s="7">
        <f t="shared" si="1"/>
        <v>1750</v>
      </c>
      <c r="AF20" s="7">
        <f t="shared" si="1"/>
        <v>1750</v>
      </c>
      <c r="AG20" s="7">
        <f t="shared" si="1"/>
        <v>1750</v>
      </c>
      <c r="AH20" s="7">
        <f t="shared" si="1"/>
        <v>1750</v>
      </c>
      <c r="AI20" s="7">
        <f t="shared" si="1"/>
        <v>1750</v>
      </c>
      <c r="AJ20" s="7">
        <f t="shared" si="1"/>
        <v>1750</v>
      </c>
      <c r="AK20" s="7">
        <f t="shared" si="1"/>
        <v>1750</v>
      </c>
      <c r="AL20" s="7">
        <f t="shared" si="1"/>
        <v>1750</v>
      </c>
      <c r="AM20" s="7">
        <f t="shared" si="1"/>
        <v>1750</v>
      </c>
      <c r="AN20" s="7">
        <f t="shared" si="1"/>
        <v>1750</v>
      </c>
      <c r="AO20" s="7">
        <f t="shared" si="1"/>
        <v>1750</v>
      </c>
      <c r="AP20" s="7">
        <f t="shared" si="1"/>
        <v>1750</v>
      </c>
      <c r="AQ20" s="7">
        <f t="shared" si="1"/>
        <v>1750</v>
      </c>
      <c r="AR20" s="7">
        <f t="shared" si="1"/>
        <v>1750</v>
      </c>
      <c r="AS20" s="7">
        <f t="shared" si="1"/>
        <v>1750</v>
      </c>
      <c r="AT20" s="7">
        <f t="shared" si="1"/>
        <v>1750</v>
      </c>
      <c r="AU20" s="7">
        <f t="shared" si="1"/>
        <v>1750</v>
      </c>
      <c r="AV20" s="7">
        <f t="shared" si="1"/>
        <v>1750</v>
      </c>
      <c r="AW20" s="7">
        <f t="shared" si="1"/>
        <v>1750</v>
      </c>
      <c r="AX20" s="7">
        <f t="shared" si="1"/>
        <v>1750</v>
      </c>
      <c r="AY20" s="7">
        <f t="shared" si="1"/>
        <v>1750</v>
      </c>
      <c r="AZ20" s="7">
        <f t="shared" si="1"/>
        <v>1750</v>
      </c>
      <c r="BA20" s="7">
        <f t="shared" si="1"/>
        <v>0</v>
      </c>
      <c r="BB20" s="7">
        <f t="shared" si="1"/>
        <v>0</v>
      </c>
      <c r="BC20" s="7">
        <f t="shared" si="1"/>
        <v>0</v>
      </c>
      <c r="BD20" s="7">
        <f t="shared" si="1"/>
        <v>0</v>
      </c>
      <c r="BE20" s="7">
        <f t="shared" si="1"/>
        <v>0</v>
      </c>
      <c r="BF20" s="7">
        <f t="shared" si="1"/>
        <v>0</v>
      </c>
      <c r="BG20" s="7">
        <f t="shared" si="1"/>
        <v>0</v>
      </c>
      <c r="BH20" s="7">
        <f t="shared" si="1"/>
        <v>0</v>
      </c>
      <c r="BI20" s="7">
        <f t="shared" si="1"/>
        <v>0</v>
      </c>
      <c r="BJ20" s="7">
        <f t="shared" si="1"/>
        <v>0</v>
      </c>
      <c r="BK20" s="7">
        <f t="shared" si="1"/>
        <v>0</v>
      </c>
      <c r="BL20" s="7">
        <f t="shared" si="1"/>
        <v>0</v>
      </c>
      <c r="BM20" s="7">
        <f t="shared" si="1"/>
        <v>0</v>
      </c>
      <c r="BN20" s="7">
        <f t="shared" si="1"/>
        <v>0</v>
      </c>
      <c r="BO20" s="7">
        <f t="shared" si="1"/>
        <v>0</v>
      </c>
      <c r="BP20" s="7">
        <f t="shared" si="1"/>
        <v>0</v>
      </c>
      <c r="BQ20" s="7">
        <f t="shared" si="1"/>
        <v>0</v>
      </c>
      <c r="BR20" s="7">
        <f t="shared" si="1"/>
        <v>0</v>
      </c>
      <c r="BS20" s="7">
        <f t="shared" si="1"/>
        <v>0</v>
      </c>
      <c r="BT20" s="7">
        <f t="shared" si="1"/>
        <v>0</v>
      </c>
      <c r="BU20" s="7">
        <f t="shared" si="1"/>
        <v>0</v>
      </c>
      <c r="BV20" s="7">
        <f t="shared" ref="BV20:EA20" si="2" xml:space="preserve"> $F16 / $F17 / $F18 * BV19</f>
        <v>0</v>
      </c>
      <c r="BW20" s="7">
        <f t="shared" si="2"/>
        <v>0</v>
      </c>
      <c r="BX20" s="7">
        <f t="shared" si="2"/>
        <v>0</v>
      </c>
      <c r="BY20" s="7">
        <f t="shared" si="2"/>
        <v>0</v>
      </c>
      <c r="BZ20" s="7">
        <f t="shared" si="2"/>
        <v>0</v>
      </c>
      <c r="CA20" s="7">
        <f t="shared" si="2"/>
        <v>0</v>
      </c>
      <c r="CB20" s="7">
        <f t="shared" si="2"/>
        <v>0</v>
      </c>
      <c r="CC20" s="7">
        <f t="shared" si="2"/>
        <v>0</v>
      </c>
      <c r="CD20" s="7">
        <f t="shared" si="2"/>
        <v>0</v>
      </c>
      <c r="CE20" s="7">
        <f t="shared" si="2"/>
        <v>0</v>
      </c>
      <c r="CF20" s="7">
        <f t="shared" si="2"/>
        <v>0</v>
      </c>
      <c r="CG20" s="7">
        <f t="shared" si="2"/>
        <v>0</v>
      </c>
      <c r="CH20" s="7">
        <f t="shared" si="2"/>
        <v>0</v>
      </c>
      <c r="CI20" s="7">
        <f t="shared" si="2"/>
        <v>0</v>
      </c>
      <c r="CJ20" s="7">
        <f t="shared" si="2"/>
        <v>0</v>
      </c>
      <c r="CK20" s="7">
        <f t="shared" si="2"/>
        <v>0</v>
      </c>
      <c r="CL20" s="7">
        <f t="shared" si="2"/>
        <v>0</v>
      </c>
      <c r="CM20" s="7">
        <f t="shared" si="2"/>
        <v>0</v>
      </c>
      <c r="CN20" s="7">
        <f t="shared" si="2"/>
        <v>0</v>
      </c>
      <c r="CO20" s="7">
        <f t="shared" si="2"/>
        <v>0</v>
      </c>
      <c r="CP20" s="7">
        <f t="shared" si="2"/>
        <v>0</v>
      </c>
      <c r="CQ20" s="7">
        <f t="shared" si="2"/>
        <v>0</v>
      </c>
      <c r="CR20" s="7">
        <f t="shared" si="2"/>
        <v>0</v>
      </c>
      <c r="CS20" s="7">
        <f t="shared" si="2"/>
        <v>0</v>
      </c>
      <c r="CT20" s="7">
        <f t="shared" si="2"/>
        <v>0</v>
      </c>
      <c r="CU20" s="7">
        <f t="shared" si="2"/>
        <v>0</v>
      </c>
      <c r="CV20" s="7">
        <f t="shared" si="2"/>
        <v>0</v>
      </c>
      <c r="CW20" s="7">
        <f t="shared" si="2"/>
        <v>0</v>
      </c>
      <c r="CX20" s="7">
        <f t="shared" si="2"/>
        <v>0</v>
      </c>
      <c r="CY20" s="7">
        <f t="shared" si="2"/>
        <v>0</v>
      </c>
      <c r="CZ20" s="7">
        <f t="shared" si="2"/>
        <v>0</v>
      </c>
      <c r="DA20" s="7">
        <f t="shared" si="2"/>
        <v>0</v>
      </c>
      <c r="DB20" s="7">
        <f t="shared" si="2"/>
        <v>0</v>
      </c>
      <c r="DC20" s="7">
        <f t="shared" si="2"/>
        <v>0</v>
      </c>
      <c r="DD20" s="7">
        <f t="shared" si="2"/>
        <v>0</v>
      </c>
      <c r="DE20" s="7">
        <f t="shared" si="2"/>
        <v>0</v>
      </c>
      <c r="DF20" s="7">
        <f t="shared" si="2"/>
        <v>0</v>
      </c>
      <c r="DG20" s="7">
        <f t="shared" si="2"/>
        <v>0</v>
      </c>
      <c r="DH20" s="7">
        <f t="shared" si="2"/>
        <v>0</v>
      </c>
      <c r="DI20" s="7">
        <f t="shared" si="2"/>
        <v>0</v>
      </c>
      <c r="DJ20" s="7">
        <f t="shared" si="2"/>
        <v>0</v>
      </c>
      <c r="DK20" s="7">
        <f t="shared" si="2"/>
        <v>0</v>
      </c>
      <c r="DL20" s="7">
        <f t="shared" si="2"/>
        <v>0</v>
      </c>
      <c r="DM20" s="7">
        <f t="shared" si="2"/>
        <v>0</v>
      </c>
      <c r="DN20" s="7">
        <f t="shared" si="2"/>
        <v>0</v>
      </c>
      <c r="DO20" s="7">
        <f t="shared" si="2"/>
        <v>0</v>
      </c>
      <c r="DP20" s="7">
        <f t="shared" si="2"/>
        <v>0</v>
      </c>
      <c r="DQ20" s="7">
        <f t="shared" si="2"/>
        <v>0</v>
      </c>
      <c r="DR20" s="7">
        <f t="shared" si="2"/>
        <v>0</v>
      </c>
      <c r="DS20" s="7">
        <f t="shared" si="2"/>
        <v>0</v>
      </c>
      <c r="DT20" s="7">
        <f t="shared" si="2"/>
        <v>0</v>
      </c>
      <c r="DU20" s="7">
        <f t="shared" si="2"/>
        <v>0</v>
      </c>
      <c r="DV20" s="7">
        <f t="shared" si="2"/>
        <v>0</v>
      </c>
      <c r="DW20" s="7">
        <f t="shared" si="2"/>
        <v>0</v>
      </c>
      <c r="DX20" s="7">
        <f t="shared" si="2"/>
        <v>0</v>
      </c>
      <c r="DY20" s="7">
        <f t="shared" si="2"/>
        <v>0</v>
      </c>
      <c r="DZ20" s="7">
        <f t="shared" si="2"/>
        <v>0</v>
      </c>
      <c r="EA20" s="7">
        <f t="shared" si="2"/>
        <v>0</v>
      </c>
    </row>
    <row r="21" spans="1:131" outlineLevel="2" x14ac:dyDescent="0.35"/>
    <row r="22" spans="1:131" outlineLevel="2" x14ac:dyDescent="0.35">
      <c r="C22" s="13" t="s">
        <v>279</v>
      </c>
    </row>
    <row r="23" spans="1:131" outlineLevel="2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s="238" customFormat="1" outlineLevel="2" x14ac:dyDescent="0.35">
      <c r="A24" s="237"/>
      <c r="B24" s="237"/>
      <c r="C24" s="508"/>
      <c r="D24" s="81"/>
      <c r="E24" s="236" t="str">
        <f t="shared" ref="E24:AJ24" si="3" xml:space="preserve"> E$57</f>
        <v>Senior debt period interest rate</v>
      </c>
      <c r="F24" s="236">
        <f t="shared" si="3"/>
        <v>0</v>
      </c>
      <c r="G24" s="236" t="str">
        <f t="shared" si="3"/>
        <v>rate</v>
      </c>
      <c r="H24" s="236">
        <f t="shared" si="3"/>
        <v>0</v>
      </c>
      <c r="I24" s="236">
        <f t="shared" si="3"/>
        <v>0</v>
      </c>
      <c r="J24" s="236">
        <f t="shared" si="3"/>
        <v>1.5333333333333336E-2</v>
      </c>
      <c r="K24" s="236">
        <f t="shared" si="3"/>
        <v>1.5333333333333336E-2</v>
      </c>
      <c r="L24" s="236">
        <f t="shared" si="3"/>
        <v>1.5000000000000001E-2</v>
      </c>
      <c r="M24" s="236">
        <f t="shared" si="3"/>
        <v>1.5166666666666669E-2</v>
      </c>
      <c r="N24" s="236">
        <f t="shared" si="3"/>
        <v>1.5333333333333336E-2</v>
      </c>
      <c r="O24" s="236">
        <f t="shared" si="3"/>
        <v>1.5333333333333336E-2</v>
      </c>
      <c r="P24" s="236">
        <f t="shared" si="3"/>
        <v>1.5000000000000001E-2</v>
      </c>
      <c r="Q24" s="236">
        <f t="shared" si="3"/>
        <v>1.5166666666666669E-2</v>
      </c>
      <c r="R24" s="236">
        <f t="shared" si="3"/>
        <v>1.5333333333333336E-2</v>
      </c>
      <c r="S24" s="236">
        <f t="shared" si="3"/>
        <v>1.5333333333333336E-2</v>
      </c>
      <c r="T24" s="236">
        <f t="shared" si="3"/>
        <v>1.5000000000000001E-2</v>
      </c>
      <c r="U24" s="236">
        <f t="shared" si="3"/>
        <v>1.5166666666666669E-2</v>
      </c>
      <c r="V24" s="236">
        <f t="shared" si="3"/>
        <v>1.5333333333333336E-2</v>
      </c>
      <c r="W24" s="236">
        <f t="shared" si="3"/>
        <v>1.5333333333333336E-2</v>
      </c>
      <c r="X24" s="236">
        <f t="shared" si="3"/>
        <v>1.5166666666666669E-2</v>
      </c>
      <c r="Y24" s="236">
        <f t="shared" si="3"/>
        <v>1.5166666666666669E-2</v>
      </c>
      <c r="Z24" s="236">
        <f t="shared" si="3"/>
        <v>1.5333333333333336E-2</v>
      </c>
      <c r="AA24" s="236">
        <f t="shared" si="3"/>
        <v>1.5333333333333336E-2</v>
      </c>
      <c r="AB24" s="236">
        <f t="shared" si="3"/>
        <v>1.5000000000000001E-2</v>
      </c>
      <c r="AC24" s="236">
        <f t="shared" si="3"/>
        <v>1.5166666666666669E-2</v>
      </c>
      <c r="AD24" s="236">
        <f t="shared" si="3"/>
        <v>1.5333333333333336E-2</v>
      </c>
      <c r="AE24" s="236">
        <f t="shared" si="3"/>
        <v>1.5333333333333336E-2</v>
      </c>
      <c r="AF24" s="236">
        <f t="shared" si="3"/>
        <v>1.5000000000000001E-2</v>
      </c>
      <c r="AG24" s="236">
        <f t="shared" si="3"/>
        <v>1.5166666666666669E-2</v>
      </c>
      <c r="AH24" s="236">
        <f t="shared" si="3"/>
        <v>1.5333333333333336E-2</v>
      </c>
      <c r="AI24" s="236">
        <f t="shared" si="3"/>
        <v>1.5333333333333336E-2</v>
      </c>
      <c r="AJ24" s="236">
        <f t="shared" si="3"/>
        <v>1.5000000000000001E-2</v>
      </c>
      <c r="AK24" s="236">
        <f t="shared" ref="AK24:BP24" si="4" xml:space="preserve"> AK$57</f>
        <v>1.5166666666666669E-2</v>
      </c>
      <c r="AL24" s="236">
        <f t="shared" si="4"/>
        <v>1.5333333333333336E-2</v>
      </c>
      <c r="AM24" s="236">
        <f t="shared" si="4"/>
        <v>1.5333333333333336E-2</v>
      </c>
      <c r="AN24" s="236">
        <f t="shared" si="4"/>
        <v>1.5166666666666669E-2</v>
      </c>
      <c r="AO24" s="236">
        <f t="shared" si="4"/>
        <v>1.5166666666666669E-2</v>
      </c>
      <c r="AP24" s="236">
        <f t="shared" si="4"/>
        <v>1.5333333333333336E-2</v>
      </c>
      <c r="AQ24" s="236">
        <f t="shared" si="4"/>
        <v>1.5333333333333336E-2</v>
      </c>
      <c r="AR24" s="236">
        <f t="shared" si="4"/>
        <v>1.5000000000000001E-2</v>
      </c>
      <c r="AS24" s="236">
        <f t="shared" si="4"/>
        <v>1.5166666666666669E-2</v>
      </c>
      <c r="AT24" s="236">
        <f t="shared" si="4"/>
        <v>1.5333333333333336E-2</v>
      </c>
      <c r="AU24" s="236">
        <f t="shared" si="4"/>
        <v>1.5333333333333336E-2</v>
      </c>
      <c r="AV24" s="236">
        <f t="shared" si="4"/>
        <v>1.5000000000000001E-2</v>
      </c>
      <c r="AW24" s="236">
        <f t="shared" si="4"/>
        <v>1.5166666666666669E-2</v>
      </c>
      <c r="AX24" s="236">
        <f t="shared" si="4"/>
        <v>1.5333333333333336E-2</v>
      </c>
      <c r="AY24" s="236">
        <f t="shared" si="4"/>
        <v>1.5333333333333336E-2</v>
      </c>
      <c r="AZ24" s="236">
        <f t="shared" si="4"/>
        <v>1.5000000000000001E-2</v>
      </c>
      <c r="BA24" s="236">
        <f t="shared" si="4"/>
        <v>1.5166666666666669E-2</v>
      </c>
      <c r="BB24" s="236">
        <f t="shared" si="4"/>
        <v>1.5333333333333336E-2</v>
      </c>
      <c r="BC24" s="236">
        <f t="shared" si="4"/>
        <v>1.5333333333333336E-2</v>
      </c>
      <c r="BD24" s="236">
        <f t="shared" si="4"/>
        <v>1.5166666666666669E-2</v>
      </c>
      <c r="BE24" s="236">
        <f t="shared" si="4"/>
        <v>1.5166666666666669E-2</v>
      </c>
      <c r="BF24" s="236">
        <f t="shared" si="4"/>
        <v>1.5333333333333336E-2</v>
      </c>
      <c r="BG24" s="236">
        <f t="shared" si="4"/>
        <v>1.5333333333333336E-2</v>
      </c>
      <c r="BH24" s="236">
        <f t="shared" si="4"/>
        <v>1.5000000000000001E-2</v>
      </c>
      <c r="BI24" s="236">
        <f t="shared" si="4"/>
        <v>1.5166666666666669E-2</v>
      </c>
      <c r="BJ24" s="236">
        <f t="shared" si="4"/>
        <v>1.5333333333333336E-2</v>
      </c>
      <c r="BK24" s="236">
        <f t="shared" si="4"/>
        <v>1.5333333333333336E-2</v>
      </c>
      <c r="BL24" s="236">
        <f t="shared" si="4"/>
        <v>1.5000000000000001E-2</v>
      </c>
      <c r="BM24" s="236">
        <f t="shared" si="4"/>
        <v>1.5166666666666669E-2</v>
      </c>
      <c r="BN24" s="236">
        <f t="shared" si="4"/>
        <v>1.5333333333333336E-2</v>
      </c>
      <c r="BO24" s="236">
        <f t="shared" si="4"/>
        <v>1.5333333333333336E-2</v>
      </c>
      <c r="BP24" s="236">
        <f t="shared" si="4"/>
        <v>1.5000000000000001E-2</v>
      </c>
      <c r="BQ24" s="236">
        <f t="shared" ref="BQ24:CV24" si="5" xml:space="preserve"> BQ$57</f>
        <v>1.5166666666666669E-2</v>
      </c>
      <c r="BR24" s="236">
        <f t="shared" si="5"/>
        <v>1.5333333333333336E-2</v>
      </c>
      <c r="BS24" s="236">
        <f t="shared" si="5"/>
        <v>1.5333333333333336E-2</v>
      </c>
      <c r="BT24" s="236">
        <f t="shared" si="5"/>
        <v>1.5166666666666669E-2</v>
      </c>
      <c r="BU24" s="236">
        <f t="shared" si="5"/>
        <v>1.5166666666666669E-2</v>
      </c>
      <c r="BV24" s="236">
        <f t="shared" si="5"/>
        <v>1.5333333333333336E-2</v>
      </c>
      <c r="BW24" s="236">
        <f t="shared" si="5"/>
        <v>1.5333333333333336E-2</v>
      </c>
      <c r="BX24" s="236">
        <f t="shared" si="5"/>
        <v>1.5000000000000001E-2</v>
      </c>
      <c r="BY24" s="236">
        <f t="shared" si="5"/>
        <v>1.5166666666666669E-2</v>
      </c>
      <c r="BZ24" s="236">
        <f t="shared" si="5"/>
        <v>1.5333333333333336E-2</v>
      </c>
      <c r="CA24" s="236">
        <f t="shared" si="5"/>
        <v>1.5333333333333336E-2</v>
      </c>
      <c r="CB24" s="236">
        <f t="shared" si="5"/>
        <v>1.5000000000000001E-2</v>
      </c>
      <c r="CC24" s="236">
        <f t="shared" si="5"/>
        <v>1.5166666666666669E-2</v>
      </c>
      <c r="CD24" s="236">
        <f t="shared" si="5"/>
        <v>1.5333333333333336E-2</v>
      </c>
      <c r="CE24" s="236">
        <f t="shared" si="5"/>
        <v>1.5333333333333336E-2</v>
      </c>
      <c r="CF24" s="236">
        <f t="shared" si="5"/>
        <v>1.5000000000000001E-2</v>
      </c>
      <c r="CG24" s="236">
        <f t="shared" si="5"/>
        <v>1.5166666666666669E-2</v>
      </c>
      <c r="CH24" s="236">
        <f t="shared" si="5"/>
        <v>1.5333333333333336E-2</v>
      </c>
      <c r="CI24" s="236">
        <f t="shared" si="5"/>
        <v>1.5333333333333336E-2</v>
      </c>
      <c r="CJ24" s="236">
        <f t="shared" si="5"/>
        <v>1.5166666666666669E-2</v>
      </c>
      <c r="CK24" s="236">
        <f t="shared" si="5"/>
        <v>1.5166666666666669E-2</v>
      </c>
      <c r="CL24" s="236">
        <f t="shared" si="5"/>
        <v>1.5333333333333336E-2</v>
      </c>
      <c r="CM24" s="236">
        <f t="shared" si="5"/>
        <v>1.5333333333333336E-2</v>
      </c>
      <c r="CN24" s="236">
        <f t="shared" si="5"/>
        <v>1.5000000000000001E-2</v>
      </c>
      <c r="CO24" s="236">
        <f t="shared" si="5"/>
        <v>1.5166666666666669E-2</v>
      </c>
      <c r="CP24" s="236">
        <f t="shared" si="5"/>
        <v>1.5333333333333336E-2</v>
      </c>
      <c r="CQ24" s="236">
        <f t="shared" si="5"/>
        <v>1.5333333333333336E-2</v>
      </c>
      <c r="CR24" s="236">
        <f t="shared" si="5"/>
        <v>1.5000000000000001E-2</v>
      </c>
      <c r="CS24" s="236">
        <f t="shared" si="5"/>
        <v>1.5166666666666669E-2</v>
      </c>
      <c r="CT24" s="236">
        <f t="shared" si="5"/>
        <v>1.5333333333333336E-2</v>
      </c>
      <c r="CU24" s="236">
        <f t="shared" si="5"/>
        <v>1.5333333333333336E-2</v>
      </c>
      <c r="CV24" s="236">
        <f t="shared" si="5"/>
        <v>1.5000000000000001E-2</v>
      </c>
      <c r="CW24" s="236">
        <f t="shared" ref="CW24:EA24" si="6" xml:space="preserve"> CW$57</f>
        <v>1.5166666666666669E-2</v>
      </c>
      <c r="CX24" s="236">
        <f t="shared" si="6"/>
        <v>1.5333333333333336E-2</v>
      </c>
      <c r="CY24" s="236">
        <f t="shared" si="6"/>
        <v>1.5333333333333336E-2</v>
      </c>
      <c r="CZ24" s="236">
        <f t="shared" si="6"/>
        <v>1.5166666666666669E-2</v>
      </c>
      <c r="DA24" s="236">
        <f t="shared" si="6"/>
        <v>1.5166666666666669E-2</v>
      </c>
      <c r="DB24" s="236">
        <f t="shared" si="6"/>
        <v>1.5333333333333336E-2</v>
      </c>
      <c r="DC24" s="236">
        <f t="shared" si="6"/>
        <v>1.5333333333333336E-2</v>
      </c>
      <c r="DD24" s="236">
        <f t="shared" si="6"/>
        <v>1.5000000000000001E-2</v>
      </c>
      <c r="DE24" s="236">
        <f t="shared" si="6"/>
        <v>1.5166666666666669E-2</v>
      </c>
      <c r="DF24" s="236">
        <f t="shared" si="6"/>
        <v>1.5333333333333336E-2</v>
      </c>
      <c r="DG24" s="236">
        <f t="shared" si="6"/>
        <v>1.5333333333333336E-2</v>
      </c>
      <c r="DH24" s="236">
        <f t="shared" si="6"/>
        <v>1.5000000000000001E-2</v>
      </c>
      <c r="DI24" s="236">
        <f t="shared" si="6"/>
        <v>1.5166666666666669E-2</v>
      </c>
      <c r="DJ24" s="236">
        <f t="shared" si="6"/>
        <v>1.5333333333333336E-2</v>
      </c>
      <c r="DK24" s="236">
        <f t="shared" si="6"/>
        <v>1.5333333333333336E-2</v>
      </c>
      <c r="DL24" s="236">
        <f t="shared" si="6"/>
        <v>1.5000000000000001E-2</v>
      </c>
      <c r="DM24" s="236">
        <f t="shared" si="6"/>
        <v>1.5166666666666669E-2</v>
      </c>
      <c r="DN24" s="236">
        <f t="shared" si="6"/>
        <v>1.5333333333333336E-2</v>
      </c>
      <c r="DO24" s="236">
        <f t="shared" si="6"/>
        <v>1.5333333333333336E-2</v>
      </c>
      <c r="DP24" s="236">
        <f t="shared" si="6"/>
        <v>1.5166666666666669E-2</v>
      </c>
      <c r="DQ24" s="236">
        <f t="shared" si="6"/>
        <v>1.5166666666666669E-2</v>
      </c>
      <c r="DR24" s="236">
        <f t="shared" si="6"/>
        <v>1.5333333333333336E-2</v>
      </c>
      <c r="DS24" s="236">
        <f t="shared" si="6"/>
        <v>1.5333333333333336E-2</v>
      </c>
      <c r="DT24" s="236">
        <f t="shared" si="6"/>
        <v>1.5000000000000001E-2</v>
      </c>
      <c r="DU24" s="236">
        <f t="shared" si="6"/>
        <v>1.5166666666666669E-2</v>
      </c>
      <c r="DV24" s="236">
        <f t="shared" si="6"/>
        <v>1.5333333333333336E-2</v>
      </c>
      <c r="DW24" s="236">
        <f t="shared" si="6"/>
        <v>1.5333333333333336E-2</v>
      </c>
      <c r="DX24" s="236">
        <f t="shared" si="6"/>
        <v>1.5000000000000001E-2</v>
      </c>
      <c r="DY24" s="236">
        <f t="shared" si="6"/>
        <v>1.5166666666666669E-2</v>
      </c>
      <c r="DZ24" s="236">
        <f t="shared" si="6"/>
        <v>1.5333333333333336E-2</v>
      </c>
      <c r="EA24" s="236">
        <f t="shared" si="6"/>
        <v>1.5333333333333336E-2</v>
      </c>
    </row>
    <row r="25" spans="1:131" outlineLevel="2" x14ac:dyDescent="0.35">
      <c r="E25" s="7" t="s">
        <v>280</v>
      </c>
      <c r="G25" s="7" t="s">
        <v>281</v>
      </c>
      <c r="J25" s="48">
        <f t="shared" ref="J25:AO25" si="7" xml:space="preserve"> IF( J23 = 1, 1, I25 / (1 + J24))</f>
        <v>0</v>
      </c>
      <c r="K25" s="48">
        <f t="shared" si="7"/>
        <v>0</v>
      </c>
      <c r="L25" s="48">
        <f t="shared" si="7"/>
        <v>1</v>
      </c>
      <c r="M25" s="48">
        <f t="shared" si="7"/>
        <v>0.98505992447873902</v>
      </c>
      <c r="N25" s="48">
        <f t="shared" si="7"/>
        <v>0.97018377328831806</v>
      </c>
      <c r="O25" s="48">
        <f t="shared" si="7"/>
        <v>0.95553227835356336</v>
      </c>
      <c r="P25" s="48">
        <f t="shared" si="7"/>
        <v>0.94141111167838765</v>
      </c>
      <c r="Q25" s="48">
        <f t="shared" si="7"/>
        <v>0.92734635857335823</v>
      </c>
      <c r="R25" s="48">
        <f t="shared" si="7"/>
        <v>0.91334178454368831</v>
      </c>
      <c r="S25" s="48">
        <f t="shared" si="7"/>
        <v>0.89954870440941059</v>
      </c>
      <c r="T25" s="48">
        <f t="shared" si="7"/>
        <v>0.88625488119153761</v>
      </c>
      <c r="U25" s="48">
        <f t="shared" si="7"/>
        <v>0.87301416633544981</v>
      </c>
      <c r="V25" s="48">
        <f t="shared" si="7"/>
        <v>0.85983010472959598</v>
      </c>
      <c r="W25" s="48">
        <f t="shared" si="7"/>
        <v>0.8468451458269165</v>
      </c>
      <c r="X25" s="48">
        <f t="shared" si="7"/>
        <v>0.83419321539344915</v>
      </c>
      <c r="Y25" s="48">
        <f t="shared" si="7"/>
        <v>0.82173030575614747</v>
      </c>
      <c r="Z25" s="48">
        <f t="shared" si="7"/>
        <v>0.80932072136193112</v>
      </c>
      <c r="AA25" s="48">
        <f t="shared" si="7"/>
        <v>0.79709854369198729</v>
      </c>
      <c r="AB25" s="48">
        <f t="shared" si="7"/>
        <v>0.78531876225811559</v>
      </c>
      <c r="AC25" s="48">
        <f t="shared" si="7"/>
        <v>0.7735860406417161</v>
      </c>
      <c r="AD25" s="48">
        <f t="shared" si="7"/>
        <v>0.76190352000169015</v>
      </c>
      <c r="AE25" s="48">
        <f t="shared" si="7"/>
        <v>0.7503974261342975</v>
      </c>
      <c r="AF25" s="48">
        <f t="shared" si="7"/>
        <v>0.73930780899930792</v>
      </c>
      <c r="AG25" s="48">
        <f t="shared" si="7"/>
        <v>0.72826249449940028</v>
      </c>
      <c r="AH25" s="48">
        <f t="shared" si="7"/>
        <v>0.7172644397564677</v>
      </c>
      <c r="AI25" s="48">
        <f t="shared" si="7"/>
        <v>0.7064324751376897</v>
      </c>
      <c r="AJ25" s="48">
        <f t="shared" si="7"/>
        <v>0.69599258634255146</v>
      </c>
      <c r="AK25" s="48">
        <f t="shared" si="7"/>
        <v>0.68559440454035603</v>
      </c>
      <c r="AL25" s="48">
        <f t="shared" si="7"/>
        <v>0.67524071359851212</v>
      </c>
      <c r="AM25" s="48">
        <f t="shared" si="7"/>
        <v>0.66504338174508737</v>
      </c>
      <c r="AN25" s="48">
        <f t="shared" si="7"/>
        <v>0.65510758339690101</v>
      </c>
      <c r="AO25" s="48">
        <f t="shared" si="7"/>
        <v>0.64532022662640054</v>
      </c>
      <c r="AP25" s="48">
        <f t="shared" ref="AP25:BU25" si="8" xml:space="preserve"> IF( AP23 = 1, 1, AO25 / (1 + AP24))</f>
        <v>0.63557474716979689</v>
      </c>
      <c r="AQ25" s="48">
        <f t="shared" si="8"/>
        <v>0.62597644172993783</v>
      </c>
      <c r="AR25" s="48">
        <f t="shared" si="8"/>
        <v>0.61672555835461862</v>
      </c>
      <c r="AS25" s="48">
        <f t="shared" si="8"/>
        <v>0.60751163193690882</v>
      </c>
      <c r="AT25" s="48">
        <f t="shared" si="8"/>
        <v>0.59833712928782878</v>
      </c>
      <c r="AU25" s="48">
        <f t="shared" si="8"/>
        <v>0.58930117789346226</v>
      </c>
      <c r="AV25" s="48">
        <f t="shared" si="8"/>
        <v>0.58059229349109587</v>
      </c>
      <c r="AW25" s="48">
        <f t="shared" si="8"/>
        <v>0.5719182007792768</v>
      </c>
      <c r="AX25" s="48">
        <f t="shared" si="8"/>
        <v>0.56328122204131004</v>
      </c>
      <c r="AY25" s="48">
        <f t="shared" si="8"/>
        <v>0.55477467699406757</v>
      </c>
      <c r="AZ25" s="48">
        <f t="shared" si="8"/>
        <v>0.54657603644735731</v>
      </c>
      <c r="BA25" s="48">
        <f t="shared" si="8"/>
        <v>0.5384101491847223</v>
      </c>
      <c r="BB25" s="48">
        <f t="shared" si="8"/>
        <v>0.53027920142947038</v>
      </c>
      <c r="BC25" s="48">
        <f t="shared" si="8"/>
        <v>0.52227104540000358</v>
      </c>
      <c r="BD25" s="48">
        <f t="shared" si="8"/>
        <v>0.51446827653915961</v>
      </c>
      <c r="BE25" s="48">
        <f t="shared" si="8"/>
        <v>0.50678208163437155</v>
      </c>
      <c r="BF25" s="48">
        <f t="shared" si="8"/>
        <v>0.49912877376989973</v>
      </c>
      <c r="BG25" s="48">
        <f t="shared" si="8"/>
        <v>0.49159104442209423</v>
      </c>
      <c r="BH25" s="48">
        <f t="shared" si="8"/>
        <v>0.48432615213999436</v>
      </c>
      <c r="BI25" s="48">
        <f t="shared" si="8"/>
        <v>0.47709028285010113</v>
      </c>
      <c r="BJ25" s="48">
        <f t="shared" si="8"/>
        <v>0.46988537378539175</v>
      </c>
      <c r="BK25" s="48">
        <f t="shared" si="8"/>
        <v>0.4627892716205434</v>
      </c>
      <c r="BL25" s="48">
        <f t="shared" si="8"/>
        <v>0.45595002130102802</v>
      </c>
      <c r="BM25" s="48">
        <f t="shared" si="8"/>
        <v>0.44913809354887013</v>
      </c>
      <c r="BN25" s="48">
        <f t="shared" si="8"/>
        <v>0.44235531209672035</v>
      </c>
      <c r="BO25" s="48">
        <f t="shared" si="8"/>
        <v>0.43567496266912703</v>
      </c>
      <c r="BP25" s="48">
        <f t="shared" si="8"/>
        <v>0.42923641642278532</v>
      </c>
      <c r="BQ25" s="48">
        <f t="shared" si="8"/>
        <v>0.4228235919449535</v>
      </c>
      <c r="BR25" s="48">
        <f t="shared" si="8"/>
        <v>0.41643820611781368</v>
      </c>
      <c r="BS25" s="48">
        <f t="shared" si="8"/>
        <v>0.41014925093678295</v>
      </c>
      <c r="BT25" s="48">
        <f t="shared" si="8"/>
        <v>0.40402159015279882</v>
      </c>
      <c r="BU25" s="48">
        <f t="shared" si="8"/>
        <v>0.39798547708369603</v>
      </c>
      <c r="BV25" s="48">
        <f t="shared" ref="BV25:DA25" si="9" xml:space="preserve"> IF( BV23 = 1, 1, BU25 / (1 + BV24))</f>
        <v>0.3919751908243887</v>
      </c>
      <c r="BW25" s="48">
        <f t="shared" si="9"/>
        <v>0.38605567054273343</v>
      </c>
      <c r="BX25" s="48">
        <f t="shared" si="9"/>
        <v>0.38035041432781624</v>
      </c>
      <c r="BY25" s="48">
        <f t="shared" si="9"/>
        <v>0.37466795041321577</v>
      </c>
      <c r="BZ25" s="48">
        <f t="shared" si="9"/>
        <v>0.36900980014433593</v>
      </c>
      <c r="CA25" s="48">
        <f t="shared" si="9"/>
        <v>0.3634370979753801</v>
      </c>
      <c r="CB25" s="48">
        <f t="shared" si="9"/>
        <v>0.35806610637968483</v>
      </c>
      <c r="CC25" s="48">
        <f t="shared" si="9"/>
        <v>0.35271657170876847</v>
      </c>
      <c r="CD25" s="48">
        <f t="shared" si="9"/>
        <v>0.34738992617409892</v>
      </c>
      <c r="CE25" s="48">
        <f t="shared" si="9"/>
        <v>0.34214372243016961</v>
      </c>
      <c r="CF25" s="48">
        <f t="shared" si="9"/>
        <v>0.33708741126125086</v>
      </c>
      <c r="CG25" s="48">
        <f t="shared" si="9"/>
        <v>0.33205129987974141</v>
      </c>
      <c r="CH25" s="48">
        <f t="shared" si="9"/>
        <v>0.32703673658543142</v>
      </c>
      <c r="CI25" s="48">
        <f t="shared" si="9"/>
        <v>0.32209790208676764</v>
      </c>
      <c r="CJ25" s="48">
        <f t="shared" si="9"/>
        <v>0.3172857351043516</v>
      </c>
      <c r="CK25" s="48">
        <f t="shared" si="9"/>
        <v>0.31254546226007379</v>
      </c>
      <c r="CL25" s="48">
        <f t="shared" si="9"/>
        <v>0.30782547169409757</v>
      </c>
      <c r="CM25" s="48">
        <f t="shared" si="9"/>
        <v>0.30317676135334626</v>
      </c>
      <c r="CN25" s="48">
        <f t="shared" si="9"/>
        <v>0.29869631660428203</v>
      </c>
      <c r="CO25" s="48">
        <f t="shared" si="9"/>
        <v>0.29423377107629156</v>
      </c>
      <c r="CP25" s="48">
        <f t="shared" si="9"/>
        <v>0.28979031951046441</v>
      </c>
      <c r="CQ25" s="48">
        <f t="shared" si="9"/>
        <v>0.28541397194070689</v>
      </c>
      <c r="CR25" s="48">
        <f t="shared" si="9"/>
        <v>0.28119603146867678</v>
      </c>
      <c r="CS25" s="48">
        <f t="shared" si="9"/>
        <v>0.27699494152225584</v>
      </c>
      <c r="CT25" s="48">
        <f t="shared" si="9"/>
        <v>0.27281182684398142</v>
      </c>
      <c r="CU25" s="48">
        <f t="shared" si="9"/>
        <v>0.26869188461324495</v>
      </c>
      <c r="CV25" s="48">
        <f t="shared" si="9"/>
        <v>0.2647210685844778</v>
      </c>
      <c r="CW25" s="48">
        <f t="shared" si="9"/>
        <v>0.26076611582775677</v>
      </c>
      <c r="CX25" s="48">
        <f t="shared" si="9"/>
        <v>0.25682808518820427</v>
      </c>
      <c r="CY25" s="48">
        <f t="shared" si="9"/>
        <v>0.25294952579271596</v>
      </c>
      <c r="CZ25" s="48">
        <f t="shared" si="9"/>
        <v>0.24917044077430564</v>
      </c>
      <c r="DA25" s="48">
        <f t="shared" si="9"/>
        <v>0.24544781557147163</v>
      </c>
      <c r="DB25" s="48">
        <f t="shared" ref="DB25:EA25" si="10" xml:space="preserve"> IF( DB23 = 1, 1, DA25 / (1 + DB24))</f>
        <v>0.24174111842232923</v>
      </c>
      <c r="DC25" s="48">
        <f t="shared" si="10"/>
        <v>0.23809039897143389</v>
      </c>
      <c r="DD25" s="48">
        <f t="shared" si="10"/>
        <v>0.2345718216467329</v>
      </c>
      <c r="DE25" s="48">
        <f t="shared" si="10"/>
        <v>0.23106730091617095</v>
      </c>
      <c r="DF25" s="48">
        <f t="shared" si="10"/>
        <v>0.22757777503234169</v>
      </c>
      <c r="DG25" s="48">
        <f t="shared" si="10"/>
        <v>0.22414094717564839</v>
      </c>
      <c r="DH25" s="48">
        <f t="shared" si="10"/>
        <v>0.22082851938487527</v>
      </c>
      <c r="DI25" s="48">
        <f t="shared" si="10"/>
        <v>0.217529324628017</v>
      </c>
      <c r="DJ25" s="48">
        <f t="shared" si="10"/>
        <v>0.21424424618649079</v>
      </c>
      <c r="DK25" s="48">
        <f t="shared" si="10"/>
        <v>0.21100877825327391</v>
      </c>
      <c r="DL25" s="48">
        <f t="shared" si="10"/>
        <v>0.20789042192440782</v>
      </c>
      <c r="DM25" s="48">
        <f t="shared" si="10"/>
        <v>0.20478452332071037</v>
      </c>
      <c r="DN25" s="48">
        <f t="shared" si="10"/>
        <v>0.20169191397312247</v>
      </c>
      <c r="DO25" s="48">
        <f t="shared" si="10"/>
        <v>0.19864600850931299</v>
      </c>
      <c r="DP25" s="48">
        <f t="shared" si="10"/>
        <v>0.19567822214018682</v>
      </c>
      <c r="DQ25" s="48">
        <f t="shared" si="10"/>
        <v>0.19275477472354635</v>
      </c>
      <c r="DR25" s="48">
        <f t="shared" si="10"/>
        <v>0.18984383590631615</v>
      </c>
      <c r="DS25" s="48">
        <f t="shared" si="10"/>
        <v>0.1869768574257874</v>
      </c>
      <c r="DT25" s="48">
        <f t="shared" si="10"/>
        <v>0.18421365263624376</v>
      </c>
      <c r="DU25" s="48">
        <f t="shared" si="10"/>
        <v>0.18146148675381094</v>
      </c>
      <c r="DV25" s="48">
        <f t="shared" si="10"/>
        <v>0.17872109660585447</v>
      </c>
      <c r="DW25" s="48">
        <f t="shared" si="10"/>
        <v>0.17602209120734189</v>
      </c>
      <c r="DX25" s="48">
        <f t="shared" si="10"/>
        <v>0.17342077951462256</v>
      </c>
      <c r="DY25" s="48">
        <f t="shared" si="10"/>
        <v>0.17082985997171815</v>
      </c>
      <c r="DZ25" s="48">
        <f t="shared" si="10"/>
        <v>0.16825002623609797</v>
      </c>
      <c r="EA25" s="48">
        <f t="shared" si="10"/>
        <v>0.16570915256345825</v>
      </c>
    </row>
    <row r="26" spans="1:131" outlineLevel="2" x14ac:dyDescent="0.35"/>
    <row r="27" spans="1:131" s="483" customFormat="1" outlineLevel="2" x14ac:dyDescent="0.35">
      <c r="A27" s="233"/>
      <c r="B27" s="233"/>
      <c r="C27" s="481"/>
      <c r="D27" s="234"/>
      <c r="E27" s="48" t="str">
        <f t="shared" ref="E27:AJ27" si="11" xml:space="preserve"> E$25</f>
        <v>Senior debt discount factor</v>
      </c>
      <c r="F27" s="48">
        <f t="shared" si="11"/>
        <v>0</v>
      </c>
      <c r="G27" s="48" t="str">
        <f t="shared" si="11"/>
        <v>factor</v>
      </c>
      <c r="H27" s="48">
        <f t="shared" si="11"/>
        <v>0</v>
      </c>
      <c r="I27" s="48">
        <f t="shared" si="11"/>
        <v>0</v>
      </c>
      <c r="J27" s="48">
        <f t="shared" si="11"/>
        <v>0</v>
      </c>
      <c r="K27" s="48">
        <f t="shared" si="11"/>
        <v>0</v>
      </c>
      <c r="L27" s="48">
        <f t="shared" si="11"/>
        <v>1</v>
      </c>
      <c r="M27" s="48">
        <f t="shared" si="11"/>
        <v>0.98505992447873902</v>
      </c>
      <c r="N27" s="48">
        <f t="shared" si="11"/>
        <v>0.97018377328831806</v>
      </c>
      <c r="O27" s="48">
        <f t="shared" si="11"/>
        <v>0.95553227835356336</v>
      </c>
      <c r="P27" s="48">
        <f t="shared" si="11"/>
        <v>0.94141111167838765</v>
      </c>
      <c r="Q27" s="48">
        <f t="shared" si="11"/>
        <v>0.92734635857335823</v>
      </c>
      <c r="R27" s="48">
        <f t="shared" si="11"/>
        <v>0.91334178454368831</v>
      </c>
      <c r="S27" s="48">
        <f t="shared" si="11"/>
        <v>0.89954870440941059</v>
      </c>
      <c r="T27" s="48">
        <f t="shared" si="11"/>
        <v>0.88625488119153761</v>
      </c>
      <c r="U27" s="48">
        <f t="shared" si="11"/>
        <v>0.87301416633544981</v>
      </c>
      <c r="V27" s="48">
        <f t="shared" si="11"/>
        <v>0.85983010472959598</v>
      </c>
      <c r="W27" s="48">
        <f t="shared" si="11"/>
        <v>0.8468451458269165</v>
      </c>
      <c r="X27" s="48">
        <f t="shared" si="11"/>
        <v>0.83419321539344915</v>
      </c>
      <c r="Y27" s="48">
        <f t="shared" si="11"/>
        <v>0.82173030575614747</v>
      </c>
      <c r="Z27" s="48">
        <f t="shared" si="11"/>
        <v>0.80932072136193112</v>
      </c>
      <c r="AA27" s="48">
        <f t="shared" si="11"/>
        <v>0.79709854369198729</v>
      </c>
      <c r="AB27" s="48">
        <f t="shared" si="11"/>
        <v>0.78531876225811559</v>
      </c>
      <c r="AC27" s="48">
        <f t="shared" si="11"/>
        <v>0.7735860406417161</v>
      </c>
      <c r="AD27" s="48">
        <f t="shared" si="11"/>
        <v>0.76190352000169015</v>
      </c>
      <c r="AE27" s="48">
        <f t="shared" si="11"/>
        <v>0.7503974261342975</v>
      </c>
      <c r="AF27" s="48">
        <f t="shared" si="11"/>
        <v>0.73930780899930792</v>
      </c>
      <c r="AG27" s="48">
        <f t="shared" si="11"/>
        <v>0.72826249449940028</v>
      </c>
      <c r="AH27" s="48">
        <f t="shared" si="11"/>
        <v>0.7172644397564677</v>
      </c>
      <c r="AI27" s="48">
        <f t="shared" si="11"/>
        <v>0.7064324751376897</v>
      </c>
      <c r="AJ27" s="48">
        <f t="shared" si="11"/>
        <v>0.69599258634255146</v>
      </c>
      <c r="AK27" s="48">
        <f t="shared" ref="AK27:BP27" si="12" xml:space="preserve"> AK$25</f>
        <v>0.68559440454035603</v>
      </c>
      <c r="AL27" s="48">
        <f t="shared" si="12"/>
        <v>0.67524071359851212</v>
      </c>
      <c r="AM27" s="48">
        <f t="shared" si="12"/>
        <v>0.66504338174508737</v>
      </c>
      <c r="AN27" s="48">
        <f t="shared" si="12"/>
        <v>0.65510758339690101</v>
      </c>
      <c r="AO27" s="48">
        <f t="shared" si="12"/>
        <v>0.64532022662640054</v>
      </c>
      <c r="AP27" s="48">
        <f t="shared" si="12"/>
        <v>0.63557474716979689</v>
      </c>
      <c r="AQ27" s="48">
        <f t="shared" si="12"/>
        <v>0.62597644172993783</v>
      </c>
      <c r="AR27" s="48">
        <f t="shared" si="12"/>
        <v>0.61672555835461862</v>
      </c>
      <c r="AS27" s="48">
        <f t="shared" si="12"/>
        <v>0.60751163193690882</v>
      </c>
      <c r="AT27" s="48">
        <f t="shared" si="12"/>
        <v>0.59833712928782878</v>
      </c>
      <c r="AU27" s="48">
        <f t="shared" si="12"/>
        <v>0.58930117789346226</v>
      </c>
      <c r="AV27" s="48">
        <f t="shared" si="12"/>
        <v>0.58059229349109587</v>
      </c>
      <c r="AW27" s="48">
        <f t="shared" si="12"/>
        <v>0.5719182007792768</v>
      </c>
      <c r="AX27" s="48">
        <f t="shared" si="12"/>
        <v>0.56328122204131004</v>
      </c>
      <c r="AY27" s="48">
        <f t="shared" si="12"/>
        <v>0.55477467699406757</v>
      </c>
      <c r="AZ27" s="48">
        <f t="shared" si="12"/>
        <v>0.54657603644735731</v>
      </c>
      <c r="BA27" s="48">
        <f t="shared" si="12"/>
        <v>0.5384101491847223</v>
      </c>
      <c r="BB27" s="48">
        <f t="shared" si="12"/>
        <v>0.53027920142947038</v>
      </c>
      <c r="BC27" s="48">
        <f t="shared" si="12"/>
        <v>0.52227104540000358</v>
      </c>
      <c r="BD27" s="48">
        <f t="shared" si="12"/>
        <v>0.51446827653915961</v>
      </c>
      <c r="BE27" s="48">
        <f t="shared" si="12"/>
        <v>0.50678208163437155</v>
      </c>
      <c r="BF27" s="48">
        <f t="shared" si="12"/>
        <v>0.49912877376989973</v>
      </c>
      <c r="BG27" s="48">
        <f t="shared" si="12"/>
        <v>0.49159104442209423</v>
      </c>
      <c r="BH27" s="48">
        <f t="shared" si="12"/>
        <v>0.48432615213999436</v>
      </c>
      <c r="BI27" s="48">
        <f t="shared" si="12"/>
        <v>0.47709028285010113</v>
      </c>
      <c r="BJ27" s="48">
        <f t="shared" si="12"/>
        <v>0.46988537378539175</v>
      </c>
      <c r="BK27" s="48">
        <f t="shared" si="12"/>
        <v>0.4627892716205434</v>
      </c>
      <c r="BL27" s="48">
        <f t="shared" si="12"/>
        <v>0.45595002130102802</v>
      </c>
      <c r="BM27" s="48">
        <f t="shared" si="12"/>
        <v>0.44913809354887013</v>
      </c>
      <c r="BN27" s="48">
        <f t="shared" si="12"/>
        <v>0.44235531209672035</v>
      </c>
      <c r="BO27" s="48">
        <f t="shared" si="12"/>
        <v>0.43567496266912703</v>
      </c>
      <c r="BP27" s="48">
        <f t="shared" si="12"/>
        <v>0.42923641642278532</v>
      </c>
      <c r="BQ27" s="48">
        <f t="shared" ref="BQ27:CV27" si="13" xml:space="preserve"> BQ$25</f>
        <v>0.4228235919449535</v>
      </c>
      <c r="BR27" s="48">
        <f t="shared" si="13"/>
        <v>0.41643820611781368</v>
      </c>
      <c r="BS27" s="48">
        <f t="shared" si="13"/>
        <v>0.41014925093678295</v>
      </c>
      <c r="BT27" s="48">
        <f t="shared" si="13"/>
        <v>0.40402159015279882</v>
      </c>
      <c r="BU27" s="48">
        <f t="shared" si="13"/>
        <v>0.39798547708369603</v>
      </c>
      <c r="BV27" s="48">
        <f t="shared" si="13"/>
        <v>0.3919751908243887</v>
      </c>
      <c r="BW27" s="48">
        <f t="shared" si="13"/>
        <v>0.38605567054273343</v>
      </c>
      <c r="BX27" s="48">
        <f t="shared" si="13"/>
        <v>0.38035041432781624</v>
      </c>
      <c r="BY27" s="48">
        <f t="shared" si="13"/>
        <v>0.37466795041321577</v>
      </c>
      <c r="BZ27" s="48">
        <f t="shared" si="13"/>
        <v>0.36900980014433593</v>
      </c>
      <c r="CA27" s="48">
        <f t="shared" si="13"/>
        <v>0.3634370979753801</v>
      </c>
      <c r="CB27" s="48">
        <f t="shared" si="13"/>
        <v>0.35806610637968483</v>
      </c>
      <c r="CC27" s="48">
        <f t="shared" si="13"/>
        <v>0.35271657170876847</v>
      </c>
      <c r="CD27" s="48">
        <f t="shared" si="13"/>
        <v>0.34738992617409892</v>
      </c>
      <c r="CE27" s="48">
        <f t="shared" si="13"/>
        <v>0.34214372243016961</v>
      </c>
      <c r="CF27" s="48">
        <f t="shared" si="13"/>
        <v>0.33708741126125086</v>
      </c>
      <c r="CG27" s="48">
        <f t="shared" si="13"/>
        <v>0.33205129987974141</v>
      </c>
      <c r="CH27" s="48">
        <f t="shared" si="13"/>
        <v>0.32703673658543142</v>
      </c>
      <c r="CI27" s="48">
        <f t="shared" si="13"/>
        <v>0.32209790208676764</v>
      </c>
      <c r="CJ27" s="48">
        <f t="shared" si="13"/>
        <v>0.3172857351043516</v>
      </c>
      <c r="CK27" s="48">
        <f t="shared" si="13"/>
        <v>0.31254546226007379</v>
      </c>
      <c r="CL27" s="48">
        <f t="shared" si="13"/>
        <v>0.30782547169409757</v>
      </c>
      <c r="CM27" s="48">
        <f t="shared" si="13"/>
        <v>0.30317676135334626</v>
      </c>
      <c r="CN27" s="48">
        <f t="shared" si="13"/>
        <v>0.29869631660428203</v>
      </c>
      <c r="CO27" s="48">
        <f t="shared" si="13"/>
        <v>0.29423377107629156</v>
      </c>
      <c r="CP27" s="48">
        <f t="shared" si="13"/>
        <v>0.28979031951046441</v>
      </c>
      <c r="CQ27" s="48">
        <f t="shared" si="13"/>
        <v>0.28541397194070689</v>
      </c>
      <c r="CR27" s="48">
        <f t="shared" si="13"/>
        <v>0.28119603146867678</v>
      </c>
      <c r="CS27" s="48">
        <f t="shared" si="13"/>
        <v>0.27699494152225584</v>
      </c>
      <c r="CT27" s="48">
        <f t="shared" si="13"/>
        <v>0.27281182684398142</v>
      </c>
      <c r="CU27" s="48">
        <f t="shared" si="13"/>
        <v>0.26869188461324495</v>
      </c>
      <c r="CV27" s="48">
        <f t="shared" si="13"/>
        <v>0.2647210685844778</v>
      </c>
      <c r="CW27" s="48">
        <f t="shared" ref="CW27:EA27" si="14" xml:space="preserve"> CW$25</f>
        <v>0.26076611582775677</v>
      </c>
      <c r="CX27" s="48">
        <f t="shared" si="14"/>
        <v>0.25682808518820427</v>
      </c>
      <c r="CY27" s="48">
        <f t="shared" si="14"/>
        <v>0.25294952579271596</v>
      </c>
      <c r="CZ27" s="48">
        <f t="shared" si="14"/>
        <v>0.24917044077430564</v>
      </c>
      <c r="DA27" s="48">
        <f t="shared" si="14"/>
        <v>0.24544781557147163</v>
      </c>
      <c r="DB27" s="48">
        <f t="shared" si="14"/>
        <v>0.24174111842232923</v>
      </c>
      <c r="DC27" s="48">
        <f t="shared" si="14"/>
        <v>0.23809039897143389</v>
      </c>
      <c r="DD27" s="48">
        <f t="shared" si="14"/>
        <v>0.2345718216467329</v>
      </c>
      <c r="DE27" s="48">
        <f t="shared" si="14"/>
        <v>0.23106730091617095</v>
      </c>
      <c r="DF27" s="48">
        <f t="shared" si="14"/>
        <v>0.22757777503234169</v>
      </c>
      <c r="DG27" s="48">
        <f t="shared" si="14"/>
        <v>0.22414094717564839</v>
      </c>
      <c r="DH27" s="48">
        <f t="shared" si="14"/>
        <v>0.22082851938487527</v>
      </c>
      <c r="DI27" s="48">
        <f t="shared" si="14"/>
        <v>0.217529324628017</v>
      </c>
      <c r="DJ27" s="48">
        <f t="shared" si="14"/>
        <v>0.21424424618649079</v>
      </c>
      <c r="DK27" s="48">
        <f t="shared" si="14"/>
        <v>0.21100877825327391</v>
      </c>
      <c r="DL27" s="48">
        <f t="shared" si="14"/>
        <v>0.20789042192440782</v>
      </c>
      <c r="DM27" s="48">
        <f t="shared" si="14"/>
        <v>0.20478452332071037</v>
      </c>
      <c r="DN27" s="48">
        <f t="shared" si="14"/>
        <v>0.20169191397312247</v>
      </c>
      <c r="DO27" s="48">
        <f t="shared" si="14"/>
        <v>0.19864600850931299</v>
      </c>
      <c r="DP27" s="48">
        <f t="shared" si="14"/>
        <v>0.19567822214018682</v>
      </c>
      <c r="DQ27" s="48">
        <f t="shared" si="14"/>
        <v>0.19275477472354635</v>
      </c>
      <c r="DR27" s="48">
        <f t="shared" si="14"/>
        <v>0.18984383590631615</v>
      </c>
      <c r="DS27" s="48">
        <f t="shared" si="14"/>
        <v>0.1869768574257874</v>
      </c>
      <c r="DT27" s="48">
        <f t="shared" si="14"/>
        <v>0.18421365263624376</v>
      </c>
      <c r="DU27" s="48">
        <f t="shared" si="14"/>
        <v>0.18146148675381094</v>
      </c>
      <c r="DV27" s="48">
        <f t="shared" si="14"/>
        <v>0.17872109660585447</v>
      </c>
      <c r="DW27" s="48">
        <f t="shared" si="14"/>
        <v>0.17602209120734189</v>
      </c>
      <c r="DX27" s="48">
        <f t="shared" si="14"/>
        <v>0.17342077951462256</v>
      </c>
      <c r="DY27" s="48">
        <f t="shared" si="14"/>
        <v>0.17082985997171815</v>
      </c>
      <c r="DZ27" s="48">
        <f t="shared" si="14"/>
        <v>0.16825002623609797</v>
      </c>
      <c r="EA27" s="48">
        <f t="shared" si="14"/>
        <v>0.16570915256345825</v>
      </c>
    </row>
    <row r="28" spans="1:131" outlineLevel="2" x14ac:dyDescent="0.35">
      <c r="E28" s="148" t="str">
        <f xml:space="preserve"> Time!E$125</f>
        <v>Senior debt repayment period flag</v>
      </c>
      <c r="F28" s="148">
        <f xml:space="preserve"> Time!F$125</f>
        <v>0</v>
      </c>
      <c r="G28" s="148" t="str">
        <f xml:space="preserve"> Time!G$125</f>
        <v>flag</v>
      </c>
      <c r="H28" s="148">
        <f xml:space="preserve"> Time!H$125</f>
        <v>40</v>
      </c>
      <c r="I28" s="148">
        <f xml:space="preserve"> Time!I$125</f>
        <v>0</v>
      </c>
      <c r="J28" s="148">
        <f xml:space="preserve"> Time!J$125</f>
        <v>0</v>
      </c>
      <c r="K28" s="148">
        <f xml:space="preserve"> Time!K$125</f>
        <v>0</v>
      </c>
      <c r="L28" s="148">
        <f xml:space="preserve"> Time!L$125</f>
        <v>0</v>
      </c>
      <c r="M28" s="148">
        <f xml:space="preserve"> Time!M$125</f>
        <v>1</v>
      </c>
      <c r="N28" s="148">
        <f xml:space="preserve"> Time!N$125</f>
        <v>1</v>
      </c>
      <c r="O28" s="148">
        <f xml:space="preserve"> Time!O$125</f>
        <v>1</v>
      </c>
      <c r="P28" s="148">
        <f xml:space="preserve"> Time!P$125</f>
        <v>1</v>
      </c>
      <c r="Q28" s="148">
        <f xml:space="preserve"> Time!Q$125</f>
        <v>1</v>
      </c>
      <c r="R28" s="148">
        <f xml:space="preserve"> Time!R$125</f>
        <v>1</v>
      </c>
      <c r="S28" s="148">
        <f xml:space="preserve"> Time!S$125</f>
        <v>1</v>
      </c>
      <c r="T28" s="148">
        <f xml:space="preserve"> Time!T$125</f>
        <v>1</v>
      </c>
      <c r="U28" s="148">
        <f xml:space="preserve"> Time!U$125</f>
        <v>1</v>
      </c>
      <c r="V28" s="148">
        <f xml:space="preserve"> Time!V$125</f>
        <v>1</v>
      </c>
      <c r="W28" s="148">
        <f xml:space="preserve"> Time!W$125</f>
        <v>1</v>
      </c>
      <c r="X28" s="148">
        <f xml:space="preserve"> Time!X$125</f>
        <v>1</v>
      </c>
      <c r="Y28" s="148">
        <f xml:space="preserve"> Time!Y$125</f>
        <v>1</v>
      </c>
      <c r="Z28" s="148">
        <f xml:space="preserve"> Time!Z$125</f>
        <v>1</v>
      </c>
      <c r="AA28" s="148">
        <f xml:space="preserve"> Time!AA$125</f>
        <v>1</v>
      </c>
      <c r="AB28" s="148">
        <f xml:space="preserve"> Time!AB$125</f>
        <v>1</v>
      </c>
      <c r="AC28" s="148">
        <f xml:space="preserve"> Time!AC$125</f>
        <v>1</v>
      </c>
      <c r="AD28" s="148">
        <f xml:space="preserve"> Time!AD$125</f>
        <v>1</v>
      </c>
      <c r="AE28" s="148">
        <f xml:space="preserve"> Time!AE$125</f>
        <v>1</v>
      </c>
      <c r="AF28" s="148">
        <f xml:space="preserve"> Time!AF$125</f>
        <v>1</v>
      </c>
      <c r="AG28" s="148">
        <f xml:space="preserve"> Time!AG$125</f>
        <v>1</v>
      </c>
      <c r="AH28" s="148">
        <f xml:space="preserve"> Time!AH$125</f>
        <v>1</v>
      </c>
      <c r="AI28" s="148">
        <f xml:space="preserve"> Time!AI$125</f>
        <v>1</v>
      </c>
      <c r="AJ28" s="148">
        <f xml:space="preserve"> Time!AJ$125</f>
        <v>1</v>
      </c>
      <c r="AK28" s="148">
        <f xml:space="preserve"> Time!AK$125</f>
        <v>1</v>
      </c>
      <c r="AL28" s="148">
        <f xml:space="preserve"> Time!AL$125</f>
        <v>1</v>
      </c>
      <c r="AM28" s="148">
        <f xml:space="preserve"> Time!AM$125</f>
        <v>1</v>
      </c>
      <c r="AN28" s="148">
        <f xml:space="preserve"> Time!AN$125</f>
        <v>1</v>
      </c>
      <c r="AO28" s="148">
        <f xml:space="preserve"> Time!AO$125</f>
        <v>1</v>
      </c>
      <c r="AP28" s="148">
        <f xml:space="preserve"> Time!AP$125</f>
        <v>1</v>
      </c>
      <c r="AQ28" s="148">
        <f xml:space="preserve"> Time!AQ$125</f>
        <v>1</v>
      </c>
      <c r="AR28" s="148">
        <f xml:space="preserve"> Time!AR$125</f>
        <v>1</v>
      </c>
      <c r="AS28" s="148">
        <f xml:space="preserve"> Time!AS$125</f>
        <v>1</v>
      </c>
      <c r="AT28" s="148">
        <f xml:space="preserve"> Time!AT$125</f>
        <v>1</v>
      </c>
      <c r="AU28" s="148">
        <f xml:space="preserve"> Time!AU$125</f>
        <v>1</v>
      </c>
      <c r="AV28" s="148">
        <f xml:space="preserve"> Time!AV$125</f>
        <v>1</v>
      </c>
      <c r="AW28" s="148">
        <f xml:space="preserve"> Time!AW$125</f>
        <v>1</v>
      </c>
      <c r="AX28" s="148">
        <f xml:space="preserve"> Time!AX$125</f>
        <v>1</v>
      </c>
      <c r="AY28" s="148">
        <f xml:space="preserve"> Time!AY$125</f>
        <v>1</v>
      </c>
      <c r="AZ28" s="148">
        <f xml:space="preserve"> Time!AZ$125</f>
        <v>1</v>
      </c>
      <c r="BA28" s="148">
        <f xml:space="preserve"> Time!BA$125</f>
        <v>0</v>
      </c>
      <c r="BB28" s="148">
        <f xml:space="preserve"> Time!BB$125</f>
        <v>0</v>
      </c>
      <c r="BC28" s="148">
        <f xml:space="preserve"> Time!BC$125</f>
        <v>0</v>
      </c>
      <c r="BD28" s="148">
        <f xml:space="preserve"> Time!BD$125</f>
        <v>0</v>
      </c>
      <c r="BE28" s="148">
        <f xml:space="preserve"> Time!BE$125</f>
        <v>0</v>
      </c>
      <c r="BF28" s="148">
        <f xml:space="preserve"> Time!BF$125</f>
        <v>0</v>
      </c>
      <c r="BG28" s="148">
        <f xml:space="preserve"> Time!BG$125</f>
        <v>0</v>
      </c>
      <c r="BH28" s="148">
        <f xml:space="preserve"> Time!BH$125</f>
        <v>0</v>
      </c>
      <c r="BI28" s="148">
        <f xml:space="preserve"> Time!BI$125</f>
        <v>0</v>
      </c>
      <c r="BJ28" s="148">
        <f xml:space="preserve"> Time!BJ$125</f>
        <v>0</v>
      </c>
      <c r="BK28" s="148">
        <f xml:space="preserve"> Time!BK$125</f>
        <v>0</v>
      </c>
      <c r="BL28" s="148">
        <f xml:space="preserve"> Time!BL$125</f>
        <v>0</v>
      </c>
      <c r="BM28" s="148">
        <f xml:space="preserve"> Time!BM$125</f>
        <v>0</v>
      </c>
      <c r="BN28" s="148">
        <f xml:space="preserve"> Time!BN$125</f>
        <v>0</v>
      </c>
      <c r="BO28" s="148">
        <f xml:space="preserve"> Time!BO$125</f>
        <v>0</v>
      </c>
      <c r="BP28" s="148">
        <f xml:space="preserve"> Time!BP$125</f>
        <v>0</v>
      </c>
      <c r="BQ28" s="148">
        <f xml:space="preserve"> Time!BQ$125</f>
        <v>0</v>
      </c>
      <c r="BR28" s="148">
        <f xml:space="preserve"> Time!BR$125</f>
        <v>0</v>
      </c>
      <c r="BS28" s="148">
        <f xml:space="preserve"> Time!BS$125</f>
        <v>0</v>
      </c>
      <c r="BT28" s="148">
        <f xml:space="preserve"> Time!BT$125</f>
        <v>0</v>
      </c>
      <c r="BU28" s="148">
        <f xml:space="preserve"> Time!BU$125</f>
        <v>0</v>
      </c>
      <c r="BV28" s="148">
        <f xml:space="preserve"> Time!BV$125</f>
        <v>0</v>
      </c>
      <c r="BW28" s="148">
        <f xml:space="preserve"> Time!BW$125</f>
        <v>0</v>
      </c>
      <c r="BX28" s="148">
        <f xml:space="preserve"> Time!BX$125</f>
        <v>0</v>
      </c>
      <c r="BY28" s="148">
        <f xml:space="preserve"> Time!BY$125</f>
        <v>0</v>
      </c>
      <c r="BZ28" s="148">
        <f xml:space="preserve"> Time!BZ$125</f>
        <v>0</v>
      </c>
      <c r="CA28" s="148">
        <f xml:space="preserve"> Time!CA$125</f>
        <v>0</v>
      </c>
      <c r="CB28" s="148">
        <f xml:space="preserve"> Time!CB$125</f>
        <v>0</v>
      </c>
      <c r="CC28" s="148">
        <f xml:space="preserve"> Time!CC$125</f>
        <v>0</v>
      </c>
      <c r="CD28" s="148">
        <f xml:space="preserve"> Time!CD$125</f>
        <v>0</v>
      </c>
      <c r="CE28" s="148">
        <f xml:space="preserve"> Time!CE$125</f>
        <v>0</v>
      </c>
      <c r="CF28" s="148">
        <f xml:space="preserve"> Time!CF$125</f>
        <v>0</v>
      </c>
      <c r="CG28" s="148">
        <f xml:space="preserve"> Time!CG$125</f>
        <v>0</v>
      </c>
      <c r="CH28" s="148">
        <f xml:space="preserve"> Time!CH$125</f>
        <v>0</v>
      </c>
      <c r="CI28" s="148">
        <f xml:space="preserve"> Time!CI$125</f>
        <v>0</v>
      </c>
      <c r="CJ28" s="148">
        <f xml:space="preserve"> Time!CJ$125</f>
        <v>0</v>
      </c>
      <c r="CK28" s="148">
        <f xml:space="preserve"> Time!CK$125</f>
        <v>0</v>
      </c>
      <c r="CL28" s="148">
        <f xml:space="preserve"> Time!CL$125</f>
        <v>0</v>
      </c>
      <c r="CM28" s="148">
        <f xml:space="preserve"> Time!CM$125</f>
        <v>0</v>
      </c>
      <c r="CN28" s="148">
        <f xml:space="preserve"> Time!CN$125</f>
        <v>0</v>
      </c>
      <c r="CO28" s="148">
        <f xml:space="preserve"> Time!CO$125</f>
        <v>0</v>
      </c>
      <c r="CP28" s="148">
        <f xml:space="preserve"> Time!CP$125</f>
        <v>0</v>
      </c>
      <c r="CQ28" s="148">
        <f xml:space="preserve"> Time!CQ$125</f>
        <v>0</v>
      </c>
      <c r="CR28" s="148">
        <f xml:space="preserve"> Time!CR$125</f>
        <v>0</v>
      </c>
      <c r="CS28" s="148">
        <f xml:space="preserve"> Time!CS$125</f>
        <v>0</v>
      </c>
      <c r="CT28" s="148">
        <f xml:space="preserve"> Time!CT$125</f>
        <v>0</v>
      </c>
      <c r="CU28" s="148">
        <f xml:space="preserve"> Time!CU$125</f>
        <v>0</v>
      </c>
      <c r="CV28" s="148">
        <f xml:space="preserve"> Time!CV$125</f>
        <v>0</v>
      </c>
      <c r="CW28" s="148">
        <f xml:space="preserve"> Time!CW$125</f>
        <v>0</v>
      </c>
      <c r="CX28" s="148">
        <f xml:space="preserve"> Time!CX$125</f>
        <v>0</v>
      </c>
      <c r="CY28" s="148">
        <f xml:space="preserve"> Time!CY$125</f>
        <v>0</v>
      </c>
      <c r="CZ28" s="148">
        <f xml:space="preserve"> Time!CZ$125</f>
        <v>0</v>
      </c>
      <c r="DA28" s="148">
        <f xml:space="preserve"> Time!DA$125</f>
        <v>0</v>
      </c>
      <c r="DB28" s="148">
        <f xml:space="preserve"> Time!DB$125</f>
        <v>0</v>
      </c>
      <c r="DC28" s="148">
        <f xml:space="preserve"> Time!DC$125</f>
        <v>0</v>
      </c>
      <c r="DD28" s="148">
        <f xml:space="preserve"> Time!DD$125</f>
        <v>0</v>
      </c>
      <c r="DE28" s="148">
        <f xml:space="preserve"> Time!DE$125</f>
        <v>0</v>
      </c>
      <c r="DF28" s="148">
        <f xml:space="preserve"> Time!DF$125</f>
        <v>0</v>
      </c>
      <c r="DG28" s="148">
        <f xml:space="preserve"> Time!DG$125</f>
        <v>0</v>
      </c>
      <c r="DH28" s="148">
        <f xml:space="preserve"> Time!DH$125</f>
        <v>0</v>
      </c>
      <c r="DI28" s="148">
        <f xml:space="preserve"> Time!DI$125</f>
        <v>0</v>
      </c>
      <c r="DJ28" s="148">
        <f xml:space="preserve"> Time!DJ$125</f>
        <v>0</v>
      </c>
      <c r="DK28" s="148">
        <f xml:space="preserve"> Time!DK$125</f>
        <v>0</v>
      </c>
      <c r="DL28" s="148">
        <f xml:space="preserve"> Time!DL$125</f>
        <v>0</v>
      </c>
      <c r="DM28" s="148">
        <f xml:space="preserve"> Time!DM$125</f>
        <v>0</v>
      </c>
      <c r="DN28" s="148">
        <f xml:space="preserve"> Time!DN$125</f>
        <v>0</v>
      </c>
      <c r="DO28" s="148">
        <f xml:space="preserve"> Time!DO$125</f>
        <v>0</v>
      </c>
      <c r="DP28" s="148">
        <f xml:space="preserve"> Time!DP$125</f>
        <v>0</v>
      </c>
      <c r="DQ28" s="148">
        <f xml:space="preserve"> Time!DQ$125</f>
        <v>0</v>
      </c>
      <c r="DR28" s="148">
        <f xml:space="preserve"> Time!DR$125</f>
        <v>0</v>
      </c>
      <c r="DS28" s="148">
        <f xml:space="preserve"> Time!DS$125</f>
        <v>0</v>
      </c>
      <c r="DT28" s="148">
        <f xml:space="preserve"> Time!DT$125</f>
        <v>0</v>
      </c>
      <c r="DU28" s="148">
        <f xml:space="preserve"> Time!DU$125</f>
        <v>0</v>
      </c>
      <c r="DV28" s="148">
        <f xml:space="preserve"> Time!DV$125</f>
        <v>0</v>
      </c>
      <c r="DW28" s="148">
        <f xml:space="preserve"> Time!DW$125</f>
        <v>0</v>
      </c>
      <c r="DX28" s="148">
        <f xml:space="preserve"> Time!DX$125</f>
        <v>0</v>
      </c>
      <c r="DY28" s="148">
        <f xml:space="preserve"> Time!DY$125</f>
        <v>0</v>
      </c>
      <c r="DZ28" s="148">
        <f xml:space="preserve"> Time!DZ$125</f>
        <v>0</v>
      </c>
      <c r="EA28" s="148">
        <f xml:space="preserve"> Time!EA$125</f>
        <v>0</v>
      </c>
    </row>
    <row r="29" spans="1:131" s="483" customFormat="1" outlineLevel="2" x14ac:dyDescent="0.35">
      <c r="A29" s="233"/>
      <c r="B29" s="233"/>
      <c r="C29" s="481"/>
      <c r="D29" s="234"/>
      <c r="E29" s="48" t="s">
        <v>282</v>
      </c>
      <c r="F29" s="48">
        <f xml:space="preserve"> SUMPRODUCT(J27:EA27, J28:EA28)</f>
        <v>29.796051999416637</v>
      </c>
      <c r="G29" s="48" t="s">
        <v>283</v>
      </c>
      <c r="H29" s="48"/>
      <c r="I29" s="509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</row>
    <row r="30" spans="1:131" outlineLevel="2" x14ac:dyDescent="0.35"/>
    <row r="31" spans="1:131" s="498" customFormat="1" outlineLevel="2" x14ac:dyDescent="0.35">
      <c r="A31" s="8"/>
      <c r="B31" s="8"/>
      <c r="C31" s="13"/>
      <c r="D31" s="34"/>
      <c r="E31" s="26" t="str">
        <f t="shared" ref="E31:G31" si="15" xml:space="preserve"> E$12</f>
        <v>Senior debt initial drawdown</v>
      </c>
      <c r="F31" s="26">
        <f t="shared" si="15"/>
        <v>70000</v>
      </c>
      <c r="G31" s="26" t="str">
        <f t="shared" si="15"/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outlineLevel="2" x14ac:dyDescent="0.35">
      <c r="E32" s="510" t="str">
        <f t="shared" ref="E32:G32" si="16" xml:space="preserve"> E$29</f>
        <v>Sum of senior debt discount factors</v>
      </c>
      <c r="F32" s="510">
        <f t="shared" si="16"/>
        <v>29.796051999416637</v>
      </c>
      <c r="G32" s="510" t="str">
        <f t="shared" si="16"/>
        <v>ratio</v>
      </c>
    </row>
    <row r="33" spans="1:131" outlineLevel="2" x14ac:dyDescent="0.35">
      <c r="E33" s="7" t="s">
        <v>284</v>
      </c>
      <c r="F33" s="7">
        <f xml:space="preserve"> F31 / F32</f>
        <v>2349.3045320692318</v>
      </c>
      <c r="G33" s="7" t="str">
        <f xml:space="preserve"> SMU</f>
        <v>$ 000s</v>
      </c>
    </row>
    <row r="34" spans="1:131" outlineLevel="2" x14ac:dyDescent="0.35"/>
    <row r="35" spans="1:131" outlineLevel="2" x14ac:dyDescent="0.35">
      <c r="E35" s="7" t="str">
        <f xml:space="preserve"> E$33</f>
        <v>Senior debt periodic amortising debt service</v>
      </c>
      <c r="F35" s="7">
        <f xml:space="preserve"> F$33</f>
        <v>2349.3045320692318</v>
      </c>
      <c r="G35" s="7" t="str">
        <f xml:space="preserve"> G$33</f>
        <v>$ 000s</v>
      </c>
    </row>
    <row r="36" spans="1:131" outlineLevel="2" x14ac:dyDescent="0.35">
      <c r="E36" s="148" t="str">
        <f xml:space="preserve"> Time!E$125</f>
        <v>Senior debt repayment period flag</v>
      </c>
      <c r="F36" s="148">
        <f xml:space="preserve"> Time!F$125</f>
        <v>0</v>
      </c>
      <c r="G36" s="148" t="str">
        <f xml:space="preserve"> Time!G$125</f>
        <v>flag</v>
      </c>
      <c r="H36" s="148">
        <f xml:space="preserve"> Time!H$125</f>
        <v>40</v>
      </c>
      <c r="I36" s="148">
        <f xml:space="preserve"> Time!I$125</f>
        <v>0</v>
      </c>
      <c r="J36" s="148">
        <f xml:space="preserve"> Time!J$125</f>
        <v>0</v>
      </c>
      <c r="K36" s="148">
        <f xml:space="preserve"> Time!K$125</f>
        <v>0</v>
      </c>
      <c r="L36" s="148">
        <f xml:space="preserve"> Time!L$125</f>
        <v>0</v>
      </c>
      <c r="M36" s="148">
        <f xml:space="preserve"> Time!M$125</f>
        <v>1</v>
      </c>
      <c r="N36" s="148">
        <f xml:space="preserve"> Time!N$125</f>
        <v>1</v>
      </c>
      <c r="O36" s="148">
        <f xml:space="preserve"> Time!O$125</f>
        <v>1</v>
      </c>
      <c r="P36" s="148">
        <f xml:space="preserve"> Time!P$125</f>
        <v>1</v>
      </c>
      <c r="Q36" s="148">
        <f xml:space="preserve"> Time!Q$125</f>
        <v>1</v>
      </c>
      <c r="R36" s="148">
        <f xml:space="preserve"> Time!R$125</f>
        <v>1</v>
      </c>
      <c r="S36" s="148">
        <f xml:space="preserve"> Time!S$125</f>
        <v>1</v>
      </c>
      <c r="T36" s="148">
        <f xml:space="preserve"> Time!T$125</f>
        <v>1</v>
      </c>
      <c r="U36" s="148">
        <f xml:space="preserve"> Time!U$125</f>
        <v>1</v>
      </c>
      <c r="V36" s="148">
        <f xml:space="preserve"> Time!V$125</f>
        <v>1</v>
      </c>
      <c r="W36" s="148">
        <f xml:space="preserve"> Time!W$125</f>
        <v>1</v>
      </c>
      <c r="X36" s="148">
        <f xml:space="preserve"> Time!X$125</f>
        <v>1</v>
      </c>
      <c r="Y36" s="148">
        <f xml:space="preserve"> Time!Y$125</f>
        <v>1</v>
      </c>
      <c r="Z36" s="148">
        <f xml:space="preserve"> Time!Z$125</f>
        <v>1</v>
      </c>
      <c r="AA36" s="148">
        <f xml:space="preserve"> Time!AA$125</f>
        <v>1</v>
      </c>
      <c r="AB36" s="148">
        <f xml:space="preserve"> Time!AB$125</f>
        <v>1</v>
      </c>
      <c r="AC36" s="148">
        <f xml:space="preserve"> Time!AC$125</f>
        <v>1</v>
      </c>
      <c r="AD36" s="148">
        <f xml:space="preserve"> Time!AD$125</f>
        <v>1</v>
      </c>
      <c r="AE36" s="148">
        <f xml:space="preserve"> Time!AE$125</f>
        <v>1</v>
      </c>
      <c r="AF36" s="148">
        <f xml:space="preserve"> Time!AF$125</f>
        <v>1</v>
      </c>
      <c r="AG36" s="148">
        <f xml:space="preserve"> Time!AG$125</f>
        <v>1</v>
      </c>
      <c r="AH36" s="148">
        <f xml:space="preserve"> Time!AH$125</f>
        <v>1</v>
      </c>
      <c r="AI36" s="148">
        <f xml:space="preserve"> Time!AI$125</f>
        <v>1</v>
      </c>
      <c r="AJ36" s="148">
        <f xml:space="preserve"> Time!AJ$125</f>
        <v>1</v>
      </c>
      <c r="AK36" s="148">
        <f xml:space="preserve"> Time!AK$125</f>
        <v>1</v>
      </c>
      <c r="AL36" s="148">
        <f xml:space="preserve"> Time!AL$125</f>
        <v>1</v>
      </c>
      <c r="AM36" s="148">
        <f xml:space="preserve"> Time!AM$125</f>
        <v>1</v>
      </c>
      <c r="AN36" s="148">
        <f xml:space="preserve"> Time!AN$125</f>
        <v>1</v>
      </c>
      <c r="AO36" s="148">
        <f xml:space="preserve"> Time!AO$125</f>
        <v>1</v>
      </c>
      <c r="AP36" s="148">
        <f xml:space="preserve"> Time!AP$125</f>
        <v>1</v>
      </c>
      <c r="AQ36" s="148">
        <f xml:space="preserve"> Time!AQ$125</f>
        <v>1</v>
      </c>
      <c r="AR36" s="148">
        <f xml:space="preserve"> Time!AR$125</f>
        <v>1</v>
      </c>
      <c r="AS36" s="148">
        <f xml:space="preserve"> Time!AS$125</f>
        <v>1</v>
      </c>
      <c r="AT36" s="148">
        <f xml:space="preserve"> Time!AT$125</f>
        <v>1</v>
      </c>
      <c r="AU36" s="148">
        <f xml:space="preserve"> Time!AU$125</f>
        <v>1</v>
      </c>
      <c r="AV36" s="148">
        <f xml:space="preserve"> Time!AV$125</f>
        <v>1</v>
      </c>
      <c r="AW36" s="148">
        <f xml:space="preserve"> Time!AW$125</f>
        <v>1</v>
      </c>
      <c r="AX36" s="148">
        <f xml:space="preserve"> Time!AX$125</f>
        <v>1</v>
      </c>
      <c r="AY36" s="148">
        <f xml:space="preserve"> Time!AY$125</f>
        <v>1</v>
      </c>
      <c r="AZ36" s="148">
        <f xml:space="preserve"> Time!AZ$125</f>
        <v>1</v>
      </c>
      <c r="BA36" s="148">
        <f xml:space="preserve"> Time!BA$125</f>
        <v>0</v>
      </c>
      <c r="BB36" s="148">
        <f xml:space="preserve"> Time!BB$125</f>
        <v>0</v>
      </c>
      <c r="BC36" s="148">
        <f xml:space="preserve"> Time!BC$125</f>
        <v>0</v>
      </c>
      <c r="BD36" s="148">
        <f xml:space="preserve"> Time!BD$125</f>
        <v>0</v>
      </c>
      <c r="BE36" s="148">
        <f xml:space="preserve"> Time!BE$125</f>
        <v>0</v>
      </c>
      <c r="BF36" s="148">
        <f xml:space="preserve"> Time!BF$125</f>
        <v>0</v>
      </c>
      <c r="BG36" s="148">
        <f xml:space="preserve"> Time!BG$125</f>
        <v>0</v>
      </c>
      <c r="BH36" s="148">
        <f xml:space="preserve"> Time!BH$125</f>
        <v>0</v>
      </c>
      <c r="BI36" s="148">
        <f xml:space="preserve"> Time!BI$125</f>
        <v>0</v>
      </c>
      <c r="BJ36" s="148">
        <f xml:space="preserve"> Time!BJ$125</f>
        <v>0</v>
      </c>
      <c r="BK36" s="148">
        <f xml:space="preserve"> Time!BK$125</f>
        <v>0</v>
      </c>
      <c r="BL36" s="148">
        <f xml:space="preserve"> Time!BL$125</f>
        <v>0</v>
      </c>
      <c r="BM36" s="148">
        <f xml:space="preserve"> Time!BM$125</f>
        <v>0</v>
      </c>
      <c r="BN36" s="148">
        <f xml:space="preserve"> Time!BN$125</f>
        <v>0</v>
      </c>
      <c r="BO36" s="148">
        <f xml:space="preserve"> Time!BO$125</f>
        <v>0</v>
      </c>
      <c r="BP36" s="148">
        <f xml:space="preserve"> Time!BP$125</f>
        <v>0</v>
      </c>
      <c r="BQ36" s="148">
        <f xml:space="preserve"> Time!BQ$125</f>
        <v>0</v>
      </c>
      <c r="BR36" s="148">
        <f xml:space="preserve"> Time!BR$125</f>
        <v>0</v>
      </c>
      <c r="BS36" s="148">
        <f xml:space="preserve"> Time!BS$125</f>
        <v>0</v>
      </c>
      <c r="BT36" s="148">
        <f xml:space="preserve"> Time!BT$125</f>
        <v>0</v>
      </c>
      <c r="BU36" s="148">
        <f xml:space="preserve"> Time!BU$125</f>
        <v>0</v>
      </c>
      <c r="BV36" s="148">
        <f xml:space="preserve"> Time!BV$125</f>
        <v>0</v>
      </c>
      <c r="BW36" s="148">
        <f xml:space="preserve"> Time!BW$125</f>
        <v>0</v>
      </c>
      <c r="BX36" s="148">
        <f xml:space="preserve"> Time!BX$125</f>
        <v>0</v>
      </c>
      <c r="BY36" s="148">
        <f xml:space="preserve"> Time!BY$125</f>
        <v>0</v>
      </c>
      <c r="BZ36" s="148">
        <f xml:space="preserve"> Time!BZ$125</f>
        <v>0</v>
      </c>
      <c r="CA36" s="148">
        <f xml:space="preserve"> Time!CA$125</f>
        <v>0</v>
      </c>
      <c r="CB36" s="148">
        <f xml:space="preserve"> Time!CB$125</f>
        <v>0</v>
      </c>
      <c r="CC36" s="148">
        <f xml:space="preserve"> Time!CC$125</f>
        <v>0</v>
      </c>
      <c r="CD36" s="148">
        <f xml:space="preserve"> Time!CD$125</f>
        <v>0</v>
      </c>
      <c r="CE36" s="148">
        <f xml:space="preserve"> Time!CE$125</f>
        <v>0</v>
      </c>
      <c r="CF36" s="148">
        <f xml:space="preserve"> Time!CF$125</f>
        <v>0</v>
      </c>
      <c r="CG36" s="148">
        <f xml:space="preserve"> Time!CG$125</f>
        <v>0</v>
      </c>
      <c r="CH36" s="148">
        <f xml:space="preserve"> Time!CH$125</f>
        <v>0</v>
      </c>
      <c r="CI36" s="148">
        <f xml:space="preserve"> Time!CI$125</f>
        <v>0</v>
      </c>
      <c r="CJ36" s="148">
        <f xml:space="preserve"> Time!CJ$125</f>
        <v>0</v>
      </c>
      <c r="CK36" s="148">
        <f xml:space="preserve"> Time!CK$125</f>
        <v>0</v>
      </c>
      <c r="CL36" s="148">
        <f xml:space="preserve"> Time!CL$125</f>
        <v>0</v>
      </c>
      <c r="CM36" s="148">
        <f xml:space="preserve"> Time!CM$125</f>
        <v>0</v>
      </c>
      <c r="CN36" s="148">
        <f xml:space="preserve"> Time!CN$125</f>
        <v>0</v>
      </c>
      <c r="CO36" s="148">
        <f xml:space="preserve"> Time!CO$125</f>
        <v>0</v>
      </c>
      <c r="CP36" s="148">
        <f xml:space="preserve"> Time!CP$125</f>
        <v>0</v>
      </c>
      <c r="CQ36" s="148">
        <f xml:space="preserve"> Time!CQ$125</f>
        <v>0</v>
      </c>
      <c r="CR36" s="148">
        <f xml:space="preserve"> Time!CR$125</f>
        <v>0</v>
      </c>
      <c r="CS36" s="148">
        <f xml:space="preserve"> Time!CS$125</f>
        <v>0</v>
      </c>
      <c r="CT36" s="148">
        <f xml:space="preserve"> Time!CT$125</f>
        <v>0</v>
      </c>
      <c r="CU36" s="148">
        <f xml:space="preserve"> Time!CU$125</f>
        <v>0</v>
      </c>
      <c r="CV36" s="148">
        <f xml:space="preserve"> Time!CV$125</f>
        <v>0</v>
      </c>
      <c r="CW36" s="148">
        <f xml:space="preserve"> Time!CW$125</f>
        <v>0</v>
      </c>
      <c r="CX36" s="148">
        <f xml:space="preserve"> Time!CX$125</f>
        <v>0</v>
      </c>
      <c r="CY36" s="148">
        <f xml:space="preserve"> Time!CY$125</f>
        <v>0</v>
      </c>
      <c r="CZ36" s="148">
        <f xml:space="preserve"> Time!CZ$125</f>
        <v>0</v>
      </c>
      <c r="DA36" s="148">
        <f xml:space="preserve"> Time!DA$125</f>
        <v>0</v>
      </c>
      <c r="DB36" s="148">
        <f xml:space="preserve"> Time!DB$125</f>
        <v>0</v>
      </c>
      <c r="DC36" s="148">
        <f xml:space="preserve"> Time!DC$125</f>
        <v>0</v>
      </c>
      <c r="DD36" s="148">
        <f xml:space="preserve"> Time!DD$125</f>
        <v>0</v>
      </c>
      <c r="DE36" s="148">
        <f xml:space="preserve"> Time!DE$125</f>
        <v>0</v>
      </c>
      <c r="DF36" s="148">
        <f xml:space="preserve"> Time!DF$125</f>
        <v>0</v>
      </c>
      <c r="DG36" s="148">
        <f xml:space="preserve"> Time!DG$125</f>
        <v>0</v>
      </c>
      <c r="DH36" s="148">
        <f xml:space="preserve"> Time!DH$125</f>
        <v>0</v>
      </c>
      <c r="DI36" s="148">
        <f xml:space="preserve"> Time!DI$125</f>
        <v>0</v>
      </c>
      <c r="DJ36" s="148">
        <f xml:space="preserve"> Time!DJ$125</f>
        <v>0</v>
      </c>
      <c r="DK36" s="148">
        <f xml:space="preserve"> Time!DK$125</f>
        <v>0</v>
      </c>
      <c r="DL36" s="148">
        <f xml:space="preserve"> Time!DL$125</f>
        <v>0</v>
      </c>
      <c r="DM36" s="148">
        <f xml:space="preserve"> Time!DM$125</f>
        <v>0</v>
      </c>
      <c r="DN36" s="148">
        <f xml:space="preserve"> Time!DN$125</f>
        <v>0</v>
      </c>
      <c r="DO36" s="148">
        <f xml:space="preserve"> Time!DO$125</f>
        <v>0</v>
      </c>
      <c r="DP36" s="148">
        <f xml:space="preserve"> Time!DP$125</f>
        <v>0</v>
      </c>
      <c r="DQ36" s="148">
        <f xml:space="preserve"> Time!DQ$125</f>
        <v>0</v>
      </c>
      <c r="DR36" s="148">
        <f xml:space="preserve"> Time!DR$125</f>
        <v>0</v>
      </c>
      <c r="DS36" s="148">
        <f xml:space="preserve"> Time!DS$125</f>
        <v>0</v>
      </c>
      <c r="DT36" s="148">
        <f xml:space="preserve"> Time!DT$125</f>
        <v>0</v>
      </c>
      <c r="DU36" s="148">
        <f xml:space="preserve"> Time!DU$125</f>
        <v>0</v>
      </c>
      <c r="DV36" s="148">
        <f xml:space="preserve"> Time!DV$125</f>
        <v>0</v>
      </c>
      <c r="DW36" s="148">
        <f xml:space="preserve"> Time!DW$125</f>
        <v>0</v>
      </c>
      <c r="DX36" s="148">
        <f xml:space="preserve"> Time!DX$125</f>
        <v>0</v>
      </c>
      <c r="DY36" s="148">
        <f xml:space="preserve"> Time!DY$125</f>
        <v>0</v>
      </c>
      <c r="DZ36" s="148">
        <f xml:space="preserve"> Time!DZ$125</f>
        <v>0</v>
      </c>
      <c r="EA36" s="148">
        <f xml:space="preserve"> Time!EA$125</f>
        <v>0</v>
      </c>
    </row>
    <row r="37" spans="1:131" outlineLevel="2" x14ac:dyDescent="0.35">
      <c r="E37" s="7" t="s">
        <v>285</v>
      </c>
      <c r="G37" s="7" t="str">
        <f xml:space="preserve"> SMU</f>
        <v>$ 000s</v>
      </c>
      <c r="H37" s="7">
        <f xml:space="preserve"> SUM(J37:EA37)</f>
        <v>93972.181282769292</v>
      </c>
      <c r="J37" s="7">
        <f t="shared" ref="J37:AO37" si="17" xml:space="preserve"> $F35 * J36</f>
        <v>0</v>
      </c>
      <c r="K37" s="7">
        <f t="shared" si="17"/>
        <v>0</v>
      </c>
      <c r="L37" s="7">
        <f t="shared" si="17"/>
        <v>0</v>
      </c>
      <c r="M37" s="7">
        <f t="shared" si="17"/>
        <v>2349.3045320692318</v>
      </c>
      <c r="N37" s="7">
        <f t="shared" si="17"/>
        <v>2349.3045320692318</v>
      </c>
      <c r="O37" s="7">
        <f t="shared" si="17"/>
        <v>2349.3045320692318</v>
      </c>
      <c r="P37" s="7">
        <f t="shared" si="17"/>
        <v>2349.3045320692318</v>
      </c>
      <c r="Q37" s="7">
        <f t="shared" si="17"/>
        <v>2349.3045320692318</v>
      </c>
      <c r="R37" s="7">
        <f t="shared" si="17"/>
        <v>2349.3045320692318</v>
      </c>
      <c r="S37" s="7">
        <f t="shared" si="17"/>
        <v>2349.3045320692318</v>
      </c>
      <c r="T37" s="7">
        <f t="shared" si="17"/>
        <v>2349.3045320692318</v>
      </c>
      <c r="U37" s="7">
        <f t="shared" si="17"/>
        <v>2349.3045320692318</v>
      </c>
      <c r="V37" s="7">
        <f t="shared" si="17"/>
        <v>2349.3045320692318</v>
      </c>
      <c r="W37" s="7">
        <f t="shared" si="17"/>
        <v>2349.3045320692318</v>
      </c>
      <c r="X37" s="7">
        <f t="shared" si="17"/>
        <v>2349.3045320692318</v>
      </c>
      <c r="Y37" s="7">
        <f t="shared" si="17"/>
        <v>2349.3045320692318</v>
      </c>
      <c r="Z37" s="7">
        <f t="shared" si="17"/>
        <v>2349.3045320692318</v>
      </c>
      <c r="AA37" s="7">
        <f t="shared" si="17"/>
        <v>2349.3045320692318</v>
      </c>
      <c r="AB37" s="7">
        <f t="shared" si="17"/>
        <v>2349.3045320692318</v>
      </c>
      <c r="AC37" s="7">
        <f t="shared" si="17"/>
        <v>2349.3045320692318</v>
      </c>
      <c r="AD37" s="7">
        <f t="shared" si="17"/>
        <v>2349.3045320692318</v>
      </c>
      <c r="AE37" s="7">
        <f t="shared" si="17"/>
        <v>2349.3045320692318</v>
      </c>
      <c r="AF37" s="7">
        <f t="shared" si="17"/>
        <v>2349.3045320692318</v>
      </c>
      <c r="AG37" s="7">
        <f t="shared" si="17"/>
        <v>2349.3045320692318</v>
      </c>
      <c r="AH37" s="7">
        <f t="shared" si="17"/>
        <v>2349.3045320692318</v>
      </c>
      <c r="AI37" s="7">
        <f t="shared" si="17"/>
        <v>2349.3045320692318</v>
      </c>
      <c r="AJ37" s="7">
        <f t="shared" si="17"/>
        <v>2349.3045320692318</v>
      </c>
      <c r="AK37" s="7">
        <f t="shared" si="17"/>
        <v>2349.3045320692318</v>
      </c>
      <c r="AL37" s="7">
        <f t="shared" si="17"/>
        <v>2349.3045320692318</v>
      </c>
      <c r="AM37" s="7">
        <f t="shared" si="17"/>
        <v>2349.3045320692318</v>
      </c>
      <c r="AN37" s="7">
        <f t="shared" si="17"/>
        <v>2349.3045320692318</v>
      </c>
      <c r="AO37" s="7">
        <f t="shared" si="17"/>
        <v>2349.3045320692318</v>
      </c>
      <c r="AP37" s="7">
        <f t="shared" ref="AP37:BU37" si="18" xml:space="preserve"> $F35 * AP36</f>
        <v>2349.3045320692318</v>
      </c>
      <c r="AQ37" s="7">
        <f t="shared" si="18"/>
        <v>2349.3045320692318</v>
      </c>
      <c r="AR37" s="7">
        <f t="shared" si="18"/>
        <v>2349.3045320692318</v>
      </c>
      <c r="AS37" s="7">
        <f t="shared" si="18"/>
        <v>2349.3045320692318</v>
      </c>
      <c r="AT37" s="7">
        <f t="shared" si="18"/>
        <v>2349.3045320692318</v>
      </c>
      <c r="AU37" s="7">
        <f t="shared" si="18"/>
        <v>2349.3045320692318</v>
      </c>
      <c r="AV37" s="7">
        <f t="shared" si="18"/>
        <v>2349.3045320692318</v>
      </c>
      <c r="AW37" s="7">
        <f t="shared" si="18"/>
        <v>2349.3045320692318</v>
      </c>
      <c r="AX37" s="7">
        <f t="shared" si="18"/>
        <v>2349.3045320692318</v>
      </c>
      <c r="AY37" s="7">
        <f t="shared" si="18"/>
        <v>2349.3045320692318</v>
      </c>
      <c r="AZ37" s="7">
        <f t="shared" si="18"/>
        <v>2349.3045320692318</v>
      </c>
      <c r="BA37" s="7">
        <f t="shared" si="18"/>
        <v>0</v>
      </c>
      <c r="BB37" s="7">
        <f t="shared" si="18"/>
        <v>0</v>
      </c>
      <c r="BC37" s="7">
        <f t="shared" si="18"/>
        <v>0</v>
      </c>
      <c r="BD37" s="7">
        <f t="shared" si="18"/>
        <v>0</v>
      </c>
      <c r="BE37" s="7">
        <f t="shared" si="18"/>
        <v>0</v>
      </c>
      <c r="BF37" s="7">
        <f t="shared" si="18"/>
        <v>0</v>
      </c>
      <c r="BG37" s="7">
        <f t="shared" si="18"/>
        <v>0</v>
      </c>
      <c r="BH37" s="7">
        <f t="shared" si="18"/>
        <v>0</v>
      </c>
      <c r="BI37" s="7">
        <f t="shared" si="18"/>
        <v>0</v>
      </c>
      <c r="BJ37" s="7">
        <f t="shared" si="18"/>
        <v>0</v>
      </c>
      <c r="BK37" s="7">
        <f t="shared" si="18"/>
        <v>0</v>
      </c>
      <c r="BL37" s="7">
        <f t="shared" si="18"/>
        <v>0</v>
      </c>
      <c r="BM37" s="7">
        <f t="shared" si="18"/>
        <v>0</v>
      </c>
      <c r="BN37" s="7">
        <f t="shared" si="18"/>
        <v>0</v>
      </c>
      <c r="BO37" s="7">
        <f t="shared" si="18"/>
        <v>0</v>
      </c>
      <c r="BP37" s="7">
        <f t="shared" si="18"/>
        <v>0</v>
      </c>
      <c r="BQ37" s="7">
        <f t="shared" si="18"/>
        <v>0</v>
      </c>
      <c r="BR37" s="7">
        <f t="shared" si="18"/>
        <v>0</v>
      </c>
      <c r="BS37" s="7">
        <f t="shared" si="18"/>
        <v>0</v>
      </c>
      <c r="BT37" s="7">
        <f t="shared" si="18"/>
        <v>0</v>
      </c>
      <c r="BU37" s="7">
        <f t="shared" si="18"/>
        <v>0</v>
      </c>
      <c r="BV37" s="7">
        <f t="shared" ref="BV37:DA37" si="19" xml:space="preserve"> $F35 * BV36</f>
        <v>0</v>
      </c>
      <c r="BW37" s="7">
        <f t="shared" si="19"/>
        <v>0</v>
      </c>
      <c r="BX37" s="7">
        <f t="shared" si="19"/>
        <v>0</v>
      </c>
      <c r="BY37" s="7">
        <f t="shared" si="19"/>
        <v>0</v>
      </c>
      <c r="BZ37" s="7">
        <f t="shared" si="19"/>
        <v>0</v>
      </c>
      <c r="CA37" s="7">
        <f t="shared" si="19"/>
        <v>0</v>
      </c>
      <c r="CB37" s="7">
        <f t="shared" si="19"/>
        <v>0</v>
      </c>
      <c r="CC37" s="7">
        <f t="shared" si="19"/>
        <v>0</v>
      </c>
      <c r="CD37" s="7">
        <f t="shared" si="19"/>
        <v>0</v>
      </c>
      <c r="CE37" s="7">
        <f t="shared" si="19"/>
        <v>0</v>
      </c>
      <c r="CF37" s="7">
        <f t="shared" si="19"/>
        <v>0</v>
      </c>
      <c r="CG37" s="7">
        <f t="shared" si="19"/>
        <v>0</v>
      </c>
      <c r="CH37" s="7">
        <f t="shared" si="19"/>
        <v>0</v>
      </c>
      <c r="CI37" s="7">
        <f t="shared" si="19"/>
        <v>0</v>
      </c>
      <c r="CJ37" s="7">
        <f t="shared" si="19"/>
        <v>0</v>
      </c>
      <c r="CK37" s="7">
        <f t="shared" si="19"/>
        <v>0</v>
      </c>
      <c r="CL37" s="7">
        <f t="shared" si="19"/>
        <v>0</v>
      </c>
      <c r="CM37" s="7">
        <f t="shared" si="19"/>
        <v>0</v>
      </c>
      <c r="CN37" s="7">
        <f t="shared" si="19"/>
        <v>0</v>
      </c>
      <c r="CO37" s="7">
        <f t="shared" si="19"/>
        <v>0</v>
      </c>
      <c r="CP37" s="7">
        <f t="shared" si="19"/>
        <v>0</v>
      </c>
      <c r="CQ37" s="7">
        <f t="shared" si="19"/>
        <v>0</v>
      </c>
      <c r="CR37" s="7">
        <f t="shared" si="19"/>
        <v>0</v>
      </c>
      <c r="CS37" s="7">
        <f t="shared" si="19"/>
        <v>0</v>
      </c>
      <c r="CT37" s="7">
        <f t="shared" si="19"/>
        <v>0</v>
      </c>
      <c r="CU37" s="7">
        <f t="shared" si="19"/>
        <v>0</v>
      </c>
      <c r="CV37" s="7">
        <f t="shared" si="19"/>
        <v>0</v>
      </c>
      <c r="CW37" s="7">
        <f t="shared" si="19"/>
        <v>0</v>
      </c>
      <c r="CX37" s="7">
        <f t="shared" si="19"/>
        <v>0</v>
      </c>
      <c r="CY37" s="7">
        <f t="shared" si="19"/>
        <v>0</v>
      </c>
      <c r="CZ37" s="7">
        <f t="shared" si="19"/>
        <v>0</v>
      </c>
      <c r="DA37" s="7">
        <f t="shared" si="19"/>
        <v>0</v>
      </c>
      <c r="DB37" s="7">
        <f t="shared" ref="DB37:EA37" si="20" xml:space="preserve"> $F35 * DB36</f>
        <v>0</v>
      </c>
      <c r="DC37" s="7">
        <f t="shared" si="20"/>
        <v>0</v>
      </c>
      <c r="DD37" s="7">
        <f t="shared" si="20"/>
        <v>0</v>
      </c>
      <c r="DE37" s="7">
        <f t="shared" si="20"/>
        <v>0</v>
      </c>
      <c r="DF37" s="7">
        <f t="shared" si="20"/>
        <v>0</v>
      </c>
      <c r="DG37" s="7">
        <f t="shared" si="20"/>
        <v>0</v>
      </c>
      <c r="DH37" s="7">
        <f t="shared" si="20"/>
        <v>0</v>
      </c>
      <c r="DI37" s="7">
        <f t="shared" si="20"/>
        <v>0</v>
      </c>
      <c r="DJ37" s="7">
        <f t="shared" si="20"/>
        <v>0</v>
      </c>
      <c r="DK37" s="7">
        <f t="shared" si="20"/>
        <v>0</v>
      </c>
      <c r="DL37" s="7">
        <f t="shared" si="20"/>
        <v>0</v>
      </c>
      <c r="DM37" s="7">
        <f t="shared" si="20"/>
        <v>0</v>
      </c>
      <c r="DN37" s="7">
        <f t="shared" si="20"/>
        <v>0</v>
      </c>
      <c r="DO37" s="7">
        <f t="shared" si="20"/>
        <v>0</v>
      </c>
      <c r="DP37" s="7">
        <f t="shared" si="20"/>
        <v>0</v>
      </c>
      <c r="DQ37" s="7">
        <f t="shared" si="20"/>
        <v>0</v>
      </c>
      <c r="DR37" s="7">
        <f t="shared" si="20"/>
        <v>0</v>
      </c>
      <c r="DS37" s="7">
        <f t="shared" si="20"/>
        <v>0</v>
      </c>
      <c r="DT37" s="7">
        <f t="shared" si="20"/>
        <v>0</v>
      </c>
      <c r="DU37" s="7">
        <f t="shared" si="20"/>
        <v>0</v>
      </c>
      <c r="DV37" s="7">
        <f t="shared" si="20"/>
        <v>0</v>
      </c>
      <c r="DW37" s="7">
        <f t="shared" si="20"/>
        <v>0</v>
      </c>
      <c r="DX37" s="7">
        <f t="shared" si="20"/>
        <v>0</v>
      </c>
      <c r="DY37" s="7">
        <f t="shared" si="20"/>
        <v>0</v>
      </c>
      <c r="DZ37" s="7">
        <f t="shared" si="20"/>
        <v>0</v>
      </c>
      <c r="EA37" s="7">
        <f t="shared" si="20"/>
        <v>0</v>
      </c>
    </row>
    <row r="38" spans="1:131" outlineLevel="2" x14ac:dyDescent="0.35"/>
    <row r="39" spans="1:131" outlineLevel="2" x14ac:dyDescent="0.35">
      <c r="E39" s="7" t="str">
        <f t="shared" ref="E39:AJ39" si="21" xml:space="preserve"> E$37</f>
        <v>Senior debt amortising debt service</v>
      </c>
      <c r="F39" s="7">
        <f t="shared" si="21"/>
        <v>0</v>
      </c>
      <c r="G39" s="7" t="str">
        <f t="shared" si="21"/>
        <v>$ 000s</v>
      </c>
      <c r="H39" s="7">
        <f t="shared" si="21"/>
        <v>93972.181282769292</v>
      </c>
      <c r="I39" s="7">
        <f t="shared" si="21"/>
        <v>0</v>
      </c>
      <c r="J39" s="7">
        <f t="shared" si="21"/>
        <v>0</v>
      </c>
      <c r="K39" s="7">
        <f t="shared" si="21"/>
        <v>0</v>
      </c>
      <c r="L39" s="7">
        <f t="shared" si="21"/>
        <v>0</v>
      </c>
      <c r="M39" s="7">
        <f t="shared" si="21"/>
        <v>2349.3045320692318</v>
      </c>
      <c r="N39" s="7">
        <f t="shared" si="21"/>
        <v>2349.3045320692318</v>
      </c>
      <c r="O39" s="7">
        <f t="shared" si="21"/>
        <v>2349.3045320692318</v>
      </c>
      <c r="P39" s="7">
        <f t="shared" si="21"/>
        <v>2349.3045320692318</v>
      </c>
      <c r="Q39" s="7">
        <f t="shared" si="21"/>
        <v>2349.3045320692318</v>
      </c>
      <c r="R39" s="7">
        <f t="shared" si="21"/>
        <v>2349.3045320692318</v>
      </c>
      <c r="S39" s="7">
        <f t="shared" si="21"/>
        <v>2349.3045320692318</v>
      </c>
      <c r="T39" s="7">
        <f t="shared" si="21"/>
        <v>2349.3045320692318</v>
      </c>
      <c r="U39" s="7">
        <f t="shared" si="21"/>
        <v>2349.3045320692318</v>
      </c>
      <c r="V39" s="7">
        <f t="shared" si="21"/>
        <v>2349.3045320692318</v>
      </c>
      <c r="W39" s="7">
        <f t="shared" si="21"/>
        <v>2349.3045320692318</v>
      </c>
      <c r="X39" s="7">
        <f t="shared" si="21"/>
        <v>2349.3045320692318</v>
      </c>
      <c r="Y39" s="7">
        <f t="shared" si="21"/>
        <v>2349.3045320692318</v>
      </c>
      <c r="Z39" s="7">
        <f t="shared" si="21"/>
        <v>2349.3045320692318</v>
      </c>
      <c r="AA39" s="7">
        <f t="shared" si="21"/>
        <v>2349.3045320692318</v>
      </c>
      <c r="AB39" s="7">
        <f t="shared" si="21"/>
        <v>2349.3045320692318</v>
      </c>
      <c r="AC39" s="7">
        <f t="shared" si="21"/>
        <v>2349.3045320692318</v>
      </c>
      <c r="AD39" s="7">
        <f t="shared" si="21"/>
        <v>2349.3045320692318</v>
      </c>
      <c r="AE39" s="7">
        <f t="shared" si="21"/>
        <v>2349.3045320692318</v>
      </c>
      <c r="AF39" s="7">
        <f t="shared" si="21"/>
        <v>2349.3045320692318</v>
      </c>
      <c r="AG39" s="7">
        <f t="shared" si="21"/>
        <v>2349.3045320692318</v>
      </c>
      <c r="AH39" s="7">
        <f t="shared" si="21"/>
        <v>2349.3045320692318</v>
      </c>
      <c r="AI39" s="7">
        <f t="shared" si="21"/>
        <v>2349.3045320692318</v>
      </c>
      <c r="AJ39" s="7">
        <f t="shared" si="21"/>
        <v>2349.3045320692318</v>
      </c>
      <c r="AK39" s="7">
        <f t="shared" ref="AK39:BP39" si="22" xml:space="preserve"> AK$37</f>
        <v>2349.3045320692318</v>
      </c>
      <c r="AL39" s="7">
        <f t="shared" si="22"/>
        <v>2349.3045320692318</v>
      </c>
      <c r="AM39" s="7">
        <f t="shared" si="22"/>
        <v>2349.3045320692318</v>
      </c>
      <c r="AN39" s="7">
        <f t="shared" si="22"/>
        <v>2349.3045320692318</v>
      </c>
      <c r="AO39" s="7">
        <f t="shared" si="22"/>
        <v>2349.3045320692318</v>
      </c>
      <c r="AP39" s="7">
        <f t="shared" si="22"/>
        <v>2349.3045320692318</v>
      </c>
      <c r="AQ39" s="7">
        <f t="shared" si="22"/>
        <v>2349.3045320692318</v>
      </c>
      <c r="AR39" s="7">
        <f t="shared" si="22"/>
        <v>2349.3045320692318</v>
      </c>
      <c r="AS39" s="7">
        <f t="shared" si="22"/>
        <v>2349.3045320692318</v>
      </c>
      <c r="AT39" s="7">
        <f t="shared" si="22"/>
        <v>2349.3045320692318</v>
      </c>
      <c r="AU39" s="7">
        <f t="shared" si="22"/>
        <v>2349.3045320692318</v>
      </c>
      <c r="AV39" s="7">
        <f t="shared" si="22"/>
        <v>2349.3045320692318</v>
      </c>
      <c r="AW39" s="7">
        <f t="shared" si="22"/>
        <v>2349.3045320692318</v>
      </c>
      <c r="AX39" s="7">
        <f t="shared" si="22"/>
        <v>2349.3045320692318</v>
      </c>
      <c r="AY39" s="7">
        <f t="shared" si="22"/>
        <v>2349.3045320692318</v>
      </c>
      <c r="AZ39" s="7">
        <f t="shared" si="22"/>
        <v>2349.3045320692318</v>
      </c>
      <c r="BA39" s="7">
        <f t="shared" si="22"/>
        <v>0</v>
      </c>
      <c r="BB39" s="7">
        <f t="shared" si="22"/>
        <v>0</v>
      </c>
      <c r="BC39" s="7">
        <f t="shared" si="22"/>
        <v>0</v>
      </c>
      <c r="BD39" s="7">
        <f t="shared" si="22"/>
        <v>0</v>
      </c>
      <c r="BE39" s="7">
        <f t="shared" si="22"/>
        <v>0</v>
      </c>
      <c r="BF39" s="7">
        <f t="shared" si="22"/>
        <v>0</v>
      </c>
      <c r="BG39" s="7">
        <f t="shared" si="22"/>
        <v>0</v>
      </c>
      <c r="BH39" s="7">
        <f t="shared" si="22"/>
        <v>0</v>
      </c>
      <c r="BI39" s="7">
        <f t="shared" si="22"/>
        <v>0</v>
      </c>
      <c r="BJ39" s="7">
        <f t="shared" si="22"/>
        <v>0</v>
      </c>
      <c r="BK39" s="7">
        <f t="shared" si="22"/>
        <v>0</v>
      </c>
      <c r="BL39" s="7">
        <f t="shared" si="22"/>
        <v>0</v>
      </c>
      <c r="BM39" s="7">
        <f t="shared" si="22"/>
        <v>0</v>
      </c>
      <c r="BN39" s="7">
        <f t="shared" si="22"/>
        <v>0</v>
      </c>
      <c r="BO39" s="7">
        <f t="shared" si="22"/>
        <v>0</v>
      </c>
      <c r="BP39" s="7">
        <f t="shared" si="22"/>
        <v>0</v>
      </c>
      <c r="BQ39" s="7">
        <f t="shared" ref="BQ39:CV39" si="23" xml:space="preserve"> BQ$37</f>
        <v>0</v>
      </c>
      <c r="BR39" s="7">
        <f t="shared" si="23"/>
        <v>0</v>
      </c>
      <c r="BS39" s="7">
        <f t="shared" si="23"/>
        <v>0</v>
      </c>
      <c r="BT39" s="7">
        <f t="shared" si="23"/>
        <v>0</v>
      </c>
      <c r="BU39" s="7">
        <f t="shared" si="23"/>
        <v>0</v>
      </c>
      <c r="BV39" s="7">
        <f t="shared" si="23"/>
        <v>0</v>
      </c>
      <c r="BW39" s="7">
        <f t="shared" si="23"/>
        <v>0</v>
      </c>
      <c r="BX39" s="7">
        <f t="shared" si="23"/>
        <v>0</v>
      </c>
      <c r="BY39" s="7">
        <f t="shared" si="23"/>
        <v>0</v>
      </c>
      <c r="BZ39" s="7">
        <f t="shared" si="23"/>
        <v>0</v>
      </c>
      <c r="CA39" s="7">
        <f t="shared" si="23"/>
        <v>0</v>
      </c>
      <c r="CB39" s="7">
        <f t="shared" si="23"/>
        <v>0</v>
      </c>
      <c r="CC39" s="7">
        <f t="shared" si="23"/>
        <v>0</v>
      </c>
      <c r="CD39" s="7">
        <f t="shared" si="23"/>
        <v>0</v>
      </c>
      <c r="CE39" s="7">
        <f t="shared" si="23"/>
        <v>0</v>
      </c>
      <c r="CF39" s="7">
        <f t="shared" si="23"/>
        <v>0</v>
      </c>
      <c r="CG39" s="7">
        <f t="shared" si="23"/>
        <v>0</v>
      </c>
      <c r="CH39" s="7">
        <f t="shared" si="23"/>
        <v>0</v>
      </c>
      <c r="CI39" s="7">
        <f t="shared" si="23"/>
        <v>0</v>
      </c>
      <c r="CJ39" s="7">
        <f t="shared" si="23"/>
        <v>0</v>
      </c>
      <c r="CK39" s="7">
        <f t="shared" si="23"/>
        <v>0</v>
      </c>
      <c r="CL39" s="7">
        <f t="shared" si="23"/>
        <v>0</v>
      </c>
      <c r="CM39" s="7">
        <f t="shared" si="23"/>
        <v>0</v>
      </c>
      <c r="CN39" s="7">
        <f t="shared" si="23"/>
        <v>0</v>
      </c>
      <c r="CO39" s="7">
        <f t="shared" si="23"/>
        <v>0</v>
      </c>
      <c r="CP39" s="7">
        <f t="shared" si="23"/>
        <v>0</v>
      </c>
      <c r="CQ39" s="7">
        <f t="shared" si="23"/>
        <v>0</v>
      </c>
      <c r="CR39" s="7">
        <f t="shared" si="23"/>
        <v>0</v>
      </c>
      <c r="CS39" s="7">
        <f t="shared" si="23"/>
        <v>0</v>
      </c>
      <c r="CT39" s="7">
        <f t="shared" si="23"/>
        <v>0</v>
      </c>
      <c r="CU39" s="7">
        <f t="shared" si="23"/>
        <v>0</v>
      </c>
      <c r="CV39" s="7">
        <f t="shared" si="23"/>
        <v>0</v>
      </c>
      <c r="CW39" s="7">
        <f t="shared" ref="CW39:EA39" si="24" xml:space="preserve"> CW$37</f>
        <v>0</v>
      </c>
      <c r="CX39" s="7">
        <f t="shared" si="24"/>
        <v>0</v>
      </c>
      <c r="CY39" s="7">
        <f t="shared" si="24"/>
        <v>0</v>
      </c>
      <c r="CZ39" s="7">
        <f t="shared" si="24"/>
        <v>0</v>
      </c>
      <c r="DA39" s="7">
        <f t="shared" si="24"/>
        <v>0</v>
      </c>
      <c r="DB39" s="7">
        <f t="shared" si="24"/>
        <v>0</v>
      </c>
      <c r="DC39" s="7">
        <f t="shared" si="24"/>
        <v>0</v>
      </c>
      <c r="DD39" s="7">
        <f t="shared" si="24"/>
        <v>0</v>
      </c>
      <c r="DE39" s="7">
        <f t="shared" si="24"/>
        <v>0</v>
      </c>
      <c r="DF39" s="7">
        <f t="shared" si="24"/>
        <v>0</v>
      </c>
      <c r="DG39" s="7">
        <f t="shared" si="24"/>
        <v>0</v>
      </c>
      <c r="DH39" s="7">
        <f t="shared" si="24"/>
        <v>0</v>
      </c>
      <c r="DI39" s="7">
        <f t="shared" si="24"/>
        <v>0</v>
      </c>
      <c r="DJ39" s="7">
        <f t="shared" si="24"/>
        <v>0</v>
      </c>
      <c r="DK39" s="7">
        <f t="shared" si="24"/>
        <v>0</v>
      </c>
      <c r="DL39" s="7">
        <f t="shared" si="24"/>
        <v>0</v>
      </c>
      <c r="DM39" s="7">
        <f t="shared" si="24"/>
        <v>0</v>
      </c>
      <c r="DN39" s="7">
        <f t="shared" si="24"/>
        <v>0</v>
      </c>
      <c r="DO39" s="7">
        <f t="shared" si="24"/>
        <v>0</v>
      </c>
      <c r="DP39" s="7">
        <f t="shared" si="24"/>
        <v>0</v>
      </c>
      <c r="DQ39" s="7">
        <f t="shared" si="24"/>
        <v>0</v>
      </c>
      <c r="DR39" s="7">
        <f t="shared" si="24"/>
        <v>0</v>
      </c>
      <c r="DS39" s="7">
        <f t="shared" si="24"/>
        <v>0</v>
      </c>
      <c r="DT39" s="7">
        <f t="shared" si="24"/>
        <v>0</v>
      </c>
      <c r="DU39" s="7">
        <f t="shared" si="24"/>
        <v>0</v>
      </c>
      <c r="DV39" s="7">
        <f t="shared" si="24"/>
        <v>0</v>
      </c>
      <c r="DW39" s="7">
        <f t="shared" si="24"/>
        <v>0</v>
      </c>
      <c r="DX39" s="7">
        <f t="shared" si="24"/>
        <v>0</v>
      </c>
      <c r="DY39" s="7">
        <f t="shared" si="24"/>
        <v>0</v>
      </c>
      <c r="DZ39" s="7">
        <f t="shared" si="24"/>
        <v>0</v>
      </c>
      <c r="EA39" s="7">
        <f t="shared" si="24"/>
        <v>0</v>
      </c>
    </row>
    <row r="40" spans="1:131" outlineLevel="2" x14ac:dyDescent="0.35">
      <c r="E40" s="7" t="str">
        <f t="shared" ref="E40:AJ40" si="25" xml:space="preserve"> E$61</f>
        <v>Senior debt interest POS</v>
      </c>
      <c r="F40" s="7">
        <f t="shared" si="25"/>
        <v>0</v>
      </c>
      <c r="G40" s="7" t="str">
        <f t="shared" si="25"/>
        <v>$ 000s</v>
      </c>
      <c r="H40" s="7">
        <f t="shared" si="25"/>
        <v>23972.181282768801</v>
      </c>
      <c r="I40" s="7">
        <f t="shared" si="25"/>
        <v>0</v>
      </c>
      <c r="J40" s="7">
        <f t="shared" si="25"/>
        <v>0</v>
      </c>
      <c r="K40" s="7">
        <f t="shared" si="25"/>
        <v>0</v>
      </c>
      <c r="L40" s="7">
        <f t="shared" si="25"/>
        <v>0</v>
      </c>
      <c r="M40" s="7">
        <f t="shared" si="25"/>
        <v>1061.6666666666667</v>
      </c>
      <c r="N40" s="7">
        <f t="shared" si="25"/>
        <v>1053.5895527304942</v>
      </c>
      <c r="O40" s="7">
        <f t="shared" si="25"/>
        <v>1033.7219230473004</v>
      </c>
      <c r="P40" s="7">
        <f t="shared" si="25"/>
        <v>991.51596819355166</v>
      </c>
      <c r="Q40" s="7">
        <f t="shared" si="25"/>
        <v>981.93968573247662</v>
      </c>
      <c r="R40" s="7">
        <f t="shared" si="25"/>
        <v>971.76397075237333</v>
      </c>
      <c r="S40" s="7">
        <f t="shared" si="25"/>
        <v>950.64168214551478</v>
      </c>
      <c r="T40" s="7">
        <f t="shared" si="25"/>
        <v>908.9956158717564</v>
      </c>
      <c r="U40" s="7">
        <f t="shared" si="25"/>
        <v>897.25088193022532</v>
      </c>
      <c r="V40" s="7">
        <f t="shared" si="25"/>
        <v>884.84595909619168</v>
      </c>
      <c r="W40" s="7">
        <f t="shared" si="25"/>
        <v>862.39092764393843</v>
      </c>
      <c r="X40" s="7">
        <f t="shared" si="25"/>
        <v>830.46559021257565</v>
      </c>
      <c r="Y40" s="7">
        <f t="shared" si="25"/>
        <v>807.42986626108302</v>
      </c>
      <c r="Z40" s="7">
        <f t="shared" si="25"/>
        <v>792.66064372522339</v>
      </c>
      <c r="AA40" s="7">
        <f t="shared" si="25"/>
        <v>768.79210410394865</v>
      </c>
      <c r="AB40" s="7">
        <f t="shared" si="25"/>
        <v>728.37154585612268</v>
      </c>
      <c r="AC40" s="7">
        <f t="shared" si="25"/>
        <v>711.88041274140301</v>
      </c>
      <c r="AD40" s="7">
        <f t="shared" si="25"/>
        <v>694.59610459018654</v>
      </c>
      <c r="AE40" s="7">
        <f t="shared" si="25"/>
        <v>669.22390870217453</v>
      </c>
      <c r="AF40" s="7">
        <f t="shared" si="25"/>
        <v>629.47435351031697</v>
      </c>
      <c r="AG40" s="7">
        <f t="shared" si="25"/>
        <v>610.38442195228811</v>
      </c>
      <c r="AH40" s="7">
        <f t="shared" si="25"/>
        <v>590.42850138418305</v>
      </c>
      <c r="AI40" s="7">
        <f t="shared" si="25"/>
        <v>563.45906891367906</v>
      </c>
      <c r="AJ40" s="7">
        <f t="shared" si="25"/>
        <v>524.42227677257017</v>
      </c>
      <c r="AK40" s="7">
        <f t="shared" ref="AK40:BP40" si="26" xml:space="preserve"> AK$61</f>
        <v>502.57181008693271</v>
      </c>
      <c r="AL40" s="7">
        <f t="shared" si="26"/>
        <v>479.77800882701661</v>
      </c>
      <c r="AM40" s="7">
        <f t="shared" si="26"/>
        <v>451.1119354706359</v>
      </c>
      <c r="AN40" s="7">
        <f t="shared" si="26"/>
        <v>417.41929048594881</v>
      </c>
      <c r="AO40" s="7">
        <f t="shared" si="26"/>
        <v>388.11903098860233</v>
      </c>
      <c r="AP40" s="7">
        <f t="shared" si="26"/>
        <v>362.31256426861074</v>
      </c>
      <c r="AQ40" s="7">
        <f t="shared" si="26"/>
        <v>331.84535409566786</v>
      </c>
      <c r="AR40" s="7">
        <f t="shared" si="26"/>
        <v>294.36943698920203</v>
      </c>
      <c r="AS40" s="7">
        <f t="shared" si="26"/>
        <v>266.47369290259053</v>
      </c>
      <c r="AT40" s="7">
        <f t="shared" si="26"/>
        <v>237.46523570829092</v>
      </c>
      <c r="AU40" s="7">
        <f t="shared" si="26"/>
        <v>205.0836998307565</v>
      </c>
      <c r="AV40" s="7">
        <f t="shared" si="26"/>
        <v>168.46204604651072</v>
      </c>
      <c r="AW40" s="7">
        <f t="shared" si="26"/>
        <v>137.25773552012737</v>
      </c>
      <c r="AX40" s="7">
        <f t="shared" si="26"/>
        <v>104.8480114036652</v>
      </c>
      <c r="AY40" s="7">
        <f t="shared" si="26"/>
        <v>70.433011420126519</v>
      </c>
      <c r="AZ40" s="7">
        <f t="shared" si="26"/>
        <v>34.718786188213265</v>
      </c>
      <c r="BA40" s="7">
        <f t="shared" si="26"/>
        <v>-2.0346154390911884E-12</v>
      </c>
      <c r="BB40" s="7">
        <f t="shared" si="26"/>
        <v>-2.0881712872425048E-12</v>
      </c>
      <c r="BC40" s="7">
        <f t="shared" si="26"/>
        <v>-2.12018991364689E-12</v>
      </c>
      <c r="BD40" s="7">
        <f t="shared" si="26"/>
        <v>-2.1293005847975611E-12</v>
      </c>
      <c r="BE40" s="7">
        <f t="shared" si="26"/>
        <v>-2.1615949770003242E-12</v>
      </c>
      <c r="BF40" s="7">
        <f t="shared" si="26"/>
        <v>-2.2184932242703766E-12</v>
      </c>
      <c r="BG40" s="7">
        <f t="shared" si="26"/>
        <v>-2.2525101203758557E-12</v>
      </c>
      <c r="BH40" s="7">
        <f t="shared" si="26"/>
        <v>-2.2373301608689745E-12</v>
      </c>
      <c r="BI40" s="7">
        <f t="shared" si="26"/>
        <v>-2.2961222256518096E-12</v>
      </c>
      <c r="BJ40" s="7">
        <f t="shared" si="26"/>
        <v>-2.3565615454816042E-12</v>
      </c>
      <c r="BK40" s="7">
        <f t="shared" si="26"/>
        <v>-2.3926954891789883E-12</v>
      </c>
      <c r="BL40" s="7">
        <f t="shared" si="26"/>
        <v>-2.3765708021866951E-12</v>
      </c>
      <c r="BM40" s="7">
        <f t="shared" si="26"/>
        <v>-2.4390218015997124E-12</v>
      </c>
      <c r="BN40" s="7">
        <f t="shared" si="26"/>
        <v>-2.5032225732711244E-12</v>
      </c>
      <c r="BO40" s="7">
        <f t="shared" si="26"/>
        <v>-2.5416053193946149E-12</v>
      </c>
      <c r="BP40" s="7">
        <f t="shared" si="26"/>
        <v>-2.5244771096334772E-12</v>
      </c>
      <c r="BQ40" s="7">
        <f t="shared" ref="BQ40:CV40" si="27" xml:space="preserve"> BQ$61</f>
        <v>-2.5908147581255125E-12</v>
      </c>
      <c r="BR40" s="7">
        <f t="shared" si="27"/>
        <v>-2.6590110762643038E-12</v>
      </c>
      <c r="BS40" s="7">
        <f t="shared" si="27"/>
        <v>-2.6997825794336896E-12</v>
      </c>
      <c r="BT40" s="7">
        <f t="shared" si="27"/>
        <v>-2.7113838190685022E-12</v>
      </c>
      <c r="BU40" s="7">
        <f t="shared" si="27"/>
        <v>-2.7525064736577075E-12</v>
      </c>
      <c r="BV40" s="7">
        <f t="shared" si="27"/>
        <v>-2.8249588968068077E-12</v>
      </c>
      <c r="BW40" s="7">
        <f t="shared" si="27"/>
        <v>-2.8682749332245121E-12</v>
      </c>
      <c r="BX40" s="7">
        <f t="shared" si="27"/>
        <v>-2.8489452543266942E-12</v>
      </c>
      <c r="BY40" s="7">
        <f t="shared" si="27"/>
        <v>-2.9238092046209457E-12</v>
      </c>
      <c r="BZ40" s="7">
        <f t="shared" si="27"/>
        <v>-3.0007707172378183E-12</v>
      </c>
      <c r="CA40" s="7">
        <f t="shared" si="27"/>
        <v>-3.0467825349021318E-12</v>
      </c>
      <c r="CB40" s="7">
        <f t="shared" si="27"/>
        <v>-3.0262498699930082E-12</v>
      </c>
      <c r="CC40" s="7">
        <f t="shared" si="27"/>
        <v>-3.1057729915767137E-12</v>
      </c>
      <c r="CD40" s="7">
        <f t="shared" si="27"/>
        <v>-3.1875242176480334E-12</v>
      </c>
      <c r="CE40" s="7">
        <f t="shared" si="27"/>
        <v>-3.2363995889853029E-12</v>
      </c>
      <c r="CF40" s="7">
        <f t="shared" si="27"/>
        <v>-3.2145890700160541E-12</v>
      </c>
      <c r="CG40" s="7">
        <f t="shared" si="27"/>
        <v>-3.2990613272448093E-12</v>
      </c>
      <c r="CH40" s="7">
        <f t="shared" si="27"/>
        <v>-3.3859003554410771E-12</v>
      </c>
      <c r="CI40" s="7">
        <f t="shared" si="27"/>
        <v>-3.4378174942245072E-12</v>
      </c>
      <c r="CJ40" s="7">
        <f t="shared" si="27"/>
        <v>-3.452590144761283E-12</v>
      </c>
      <c r="CK40" s="7">
        <f t="shared" si="27"/>
        <v>-3.5049544286234962E-12</v>
      </c>
      <c r="CL40" s="7">
        <f t="shared" si="27"/>
        <v>-3.5972130459278499E-12</v>
      </c>
      <c r="CM40" s="7">
        <f t="shared" si="27"/>
        <v>-3.652370312632077E-12</v>
      </c>
      <c r="CN40" s="7">
        <f t="shared" si="27"/>
        <v>-3.627756512699121E-12</v>
      </c>
      <c r="CO40" s="7">
        <f t="shared" si="27"/>
        <v>-3.7230858921717142E-12</v>
      </c>
      <c r="CP40" s="7">
        <f t="shared" si="27"/>
        <v>-3.8210862409671212E-12</v>
      </c>
      <c r="CQ40" s="7">
        <f t="shared" si="27"/>
        <v>-3.8796762299952841E-12</v>
      </c>
      <c r="CR40" s="7">
        <f t="shared" si="27"/>
        <v>-3.8535305858366193E-12</v>
      </c>
      <c r="CS40" s="7">
        <f t="shared" si="27"/>
        <v>-3.9547928062311038E-12</v>
      </c>
      <c r="CT40" s="7">
        <f t="shared" si="27"/>
        <v>-4.05889222420025E-12</v>
      </c>
      <c r="CU40" s="7">
        <f t="shared" si="27"/>
        <v>-4.1211285716379872E-12</v>
      </c>
      <c r="CV40" s="7">
        <f t="shared" si="27"/>
        <v>-4.0933557486552101E-12</v>
      </c>
      <c r="CW40" s="7">
        <f t="shared" ref="CW40:EA40" si="28" xml:space="preserve"> CW$61</f>
        <v>-4.2009200413837607E-12</v>
      </c>
      <c r="CX40" s="7">
        <f t="shared" si="28"/>
        <v>-4.3114981051837015E-12</v>
      </c>
      <c r="CY40" s="7">
        <f t="shared" si="28"/>
        <v>-4.3776077427965177E-12</v>
      </c>
      <c r="CZ40" s="7">
        <f t="shared" si="28"/>
        <v>-4.3964187673724477E-12</v>
      </c>
      <c r="DA40" s="7">
        <f t="shared" si="28"/>
        <v>-4.4630977853442633E-12</v>
      </c>
      <c r="DB40" s="7">
        <f t="shared" si="28"/>
        <v>-4.5805769819943878E-12</v>
      </c>
      <c r="DC40" s="7">
        <f t="shared" si="28"/>
        <v>-4.6508124957183018E-12</v>
      </c>
      <c r="DD40" s="7">
        <f t="shared" si="28"/>
        <v>-4.6194700636819384E-12</v>
      </c>
      <c r="DE40" s="7">
        <f t="shared" si="28"/>
        <v>-4.74085947146647E-12</v>
      </c>
      <c r="DF40" s="7">
        <f t="shared" si="28"/>
        <v>-4.8656500068582582E-12</v>
      </c>
      <c r="DG40" s="7">
        <f t="shared" si="28"/>
        <v>-4.9402566402967512E-12</v>
      </c>
      <c r="DH40" s="7">
        <f t="shared" si="28"/>
        <v>-4.9069636064164901E-12</v>
      </c>
      <c r="DI40" s="7">
        <f t="shared" si="28"/>
        <v>-5.0359077056295457E-12</v>
      </c>
      <c r="DJ40" s="7">
        <f t="shared" si="28"/>
        <v>-5.1684646022326742E-12</v>
      </c>
      <c r="DK40" s="7">
        <f t="shared" si="28"/>
        <v>-5.2477143928002411E-12</v>
      </c>
      <c r="DL40" s="7">
        <f t="shared" si="28"/>
        <v>-5.2123493610226741E-12</v>
      </c>
      <c r="DM40" s="7">
        <f t="shared" si="28"/>
        <v>-5.3493183192317702E-12</v>
      </c>
      <c r="DN40" s="7">
        <f t="shared" si="28"/>
        <v>-5.4901249179204128E-12</v>
      </c>
      <c r="DO40" s="7">
        <f t="shared" si="28"/>
        <v>-5.5743068333285258E-12</v>
      </c>
      <c r="DP40" s="7">
        <f t="shared" si="28"/>
        <v>-5.5982601953007273E-12</v>
      </c>
      <c r="DQ40" s="7">
        <f t="shared" si="28"/>
        <v>-5.6831671415961215E-12</v>
      </c>
      <c r="DR40" s="7">
        <f t="shared" si="28"/>
        <v>-5.8327614239386476E-12</v>
      </c>
      <c r="DS40" s="7">
        <f t="shared" si="28"/>
        <v>-5.922197099105707E-12</v>
      </c>
      <c r="DT40" s="7">
        <f t="shared" si="28"/>
        <v>-5.8822866403943426E-12</v>
      </c>
      <c r="DU40" s="7">
        <f t="shared" si="28"/>
        <v>-6.0368600615558168E-12</v>
      </c>
      <c r="DV40" s="7">
        <f t="shared" si="28"/>
        <v>-6.1957643707218973E-12</v>
      </c>
      <c r="DW40" s="7">
        <f t="shared" si="28"/>
        <v>-6.2907660910729663E-12</v>
      </c>
      <c r="DX40" s="7">
        <f t="shared" si="28"/>
        <v>-6.2483717978505177E-12</v>
      </c>
      <c r="DY40" s="7">
        <f t="shared" si="28"/>
        <v>-6.4125651234273677E-12</v>
      </c>
      <c r="DZ40" s="7">
        <f t="shared" si="28"/>
        <v>-6.58135887059568E-12</v>
      </c>
      <c r="EA40" s="7">
        <f t="shared" si="28"/>
        <v>-6.6822730399448136E-12</v>
      </c>
    </row>
    <row r="41" spans="1:131" outlineLevel="2" x14ac:dyDescent="0.35">
      <c r="E41" s="7" t="s">
        <v>286</v>
      </c>
      <c r="G41" s="7" t="str">
        <f xml:space="preserve"> SMU</f>
        <v>$ 000s</v>
      </c>
      <c r="H41" s="7">
        <f xml:space="preserve"> SUM(J41:EA41)</f>
        <v>70000.000000000131</v>
      </c>
      <c r="J41" s="7">
        <f t="shared" ref="J41:AO41" si="29" xml:space="preserve"> J39 - J40</f>
        <v>0</v>
      </c>
      <c r="K41" s="7">
        <f t="shared" si="29"/>
        <v>0</v>
      </c>
      <c r="L41" s="7">
        <f t="shared" si="29"/>
        <v>0</v>
      </c>
      <c r="M41" s="7">
        <f t="shared" si="29"/>
        <v>1287.637865402565</v>
      </c>
      <c r="N41" s="7">
        <f t="shared" si="29"/>
        <v>1295.7149793387375</v>
      </c>
      <c r="O41" s="7">
        <f t="shared" si="29"/>
        <v>1315.5826090219314</v>
      </c>
      <c r="P41" s="7">
        <f t="shared" si="29"/>
        <v>1357.7885638756802</v>
      </c>
      <c r="Q41" s="7">
        <f t="shared" si="29"/>
        <v>1367.3648463367551</v>
      </c>
      <c r="R41" s="7">
        <f t="shared" si="29"/>
        <v>1377.5405613168584</v>
      </c>
      <c r="S41" s="7">
        <f t="shared" si="29"/>
        <v>1398.662849923717</v>
      </c>
      <c r="T41" s="7">
        <f t="shared" si="29"/>
        <v>1440.3089161974754</v>
      </c>
      <c r="U41" s="7">
        <f t="shared" si="29"/>
        <v>1452.0536501390065</v>
      </c>
      <c r="V41" s="7">
        <f t="shared" si="29"/>
        <v>1464.4585729730402</v>
      </c>
      <c r="W41" s="7">
        <f t="shared" si="29"/>
        <v>1486.9136044252932</v>
      </c>
      <c r="X41" s="7">
        <f t="shared" si="29"/>
        <v>1518.8389418566562</v>
      </c>
      <c r="Y41" s="7">
        <f t="shared" si="29"/>
        <v>1541.8746658081486</v>
      </c>
      <c r="Z41" s="7">
        <f t="shared" si="29"/>
        <v>1556.6438883440082</v>
      </c>
      <c r="AA41" s="7">
        <f t="shared" si="29"/>
        <v>1580.5124279652832</v>
      </c>
      <c r="AB41" s="7">
        <f t="shared" si="29"/>
        <v>1620.932986213109</v>
      </c>
      <c r="AC41" s="7">
        <f t="shared" si="29"/>
        <v>1637.4241193278287</v>
      </c>
      <c r="AD41" s="7">
        <f t="shared" si="29"/>
        <v>1654.7084274790452</v>
      </c>
      <c r="AE41" s="7">
        <f t="shared" si="29"/>
        <v>1680.0806233670573</v>
      </c>
      <c r="AF41" s="7">
        <f t="shared" si="29"/>
        <v>1719.8301785589147</v>
      </c>
      <c r="AG41" s="7">
        <f t="shared" si="29"/>
        <v>1738.9201101169438</v>
      </c>
      <c r="AH41" s="7">
        <f t="shared" si="29"/>
        <v>1758.8760306850486</v>
      </c>
      <c r="AI41" s="7">
        <f t="shared" si="29"/>
        <v>1785.8454631555528</v>
      </c>
      <c r="AJ41" s="7">
        <f t="shared" si="29"/>
        <v>1824.8822552966617</v>
      </c>
      <c r="AK41" s="7">
        <f t="shared" si="29"/>
        <v>1846.7327219822992</v>
      </c>
      <c r="AL41" s="7">
        <f t="shared" si="29"/>
        <v>1869.5265232422153</v>
      </c>
      <c r="AM41" s="7">
        <f t="shared" si="29"/>
        <v>1898.1925965985959</v>
      </c>
      <c r="AN41" s="7">
        <f t="shared" si="29"/>
        <v>1931.885241583283</v>
      </c>
      <c r="AO41" s="7">
        <f t="shared" si="29"/>
        <v>1961.1855010806294</v>
      </c>
      <c r="AP41" s="7">
        <f t="shared" ref="AP41:BU41" si="30" xml:space="preserve"> AP39 - AP40</f>
        <v>1986.9919678006211</v>
      </c>
      <c r="AQ41" s="7">
        <f t="shared" si="30"/>
        <v>2017.4591779735638</v>
      </c>
      <c r="AR41" s="7">
        <f t="shared" si="30"/>
        <v>2054.9350950800299</v>
      </c>
      <c r="AS41" s="7">
        <f t="shared" si="30"/>
        <v>2082.8308391666415</v>
      </c>
      <c r="AT41" s="7">
        <f t="shared" si="30"/>
        <v>2111.8392963609408</v>
      </c>
      <c r="AU41" s="7">
        <f t="shared" si="30"/>
        <v>2144.2208322384754</v>
      </c>
      <c r="AV41" s="7">
        <f t="shared" si="30"/>
        <v>2180.842486022721</v>
      </c>
      <c r="AW41" s="7">
        <f t="shared" si="30"/>
        <v>2212.0467965491043</v>
      </c>
      <c r="AX41" s="7">
        <f t="shared" si="30"/>
        <v>2244.4565206655666</v>
      </c>
      <c r="AY41" s="7">
        <f t="shared" si="30"/>
        <v>2278.8715206491052</v>
      </c>
      <c r="AZ41" s="7">
        <f t="shared" si="30"/>
        <v>2314.5857458810183</v>
      </c>
      <c r="BA41" s="7">
        <f t="shared" si="30"/>
        <v>2.0346154390911884E-12</v>
      </c>
      <c r="BB41" s="7">
        <f t="shared" si="30"/>
        <v>2.0881712872425048E-12</v>
      </c>
      <c r="BC41" s="7">
        <f t="shared" si="30"/>
        <v>2.12018991364689E-12</v>
      </c>
      <c r="BD41" s="7">
        <f t="shared" si="30"/>
        <v>2.1293005847975611E-12</v>
      </c>
      <c r="BE41" s="7">
        <f t="shared" si="30"/>
        <v>2.1615949770003242E-12</v>
      </c>
      <c r="BF41" s="7">
        <f t="shared" si="30"/>
        <v>2.2184932242703766E-12</v>
      </c>
      <c r="BG41" s="7">
        <f t="shared" si="30"/>
        <v>2.2525101203758557E-12</v>
      </c>
      <c r="BH41" s="7">
        <f t="shared" si="30"/>
        <v>2.2373301608689745E-12</v>
      </c>
      <c r="BI41" s="7">
        <f t="shared" si="30"/>
        <v>2.2961222256518096E-12</v>
      </c>
      <c r="BJ41" s="7">
        <f t="shared" si="30"/>
        <v>2.3565615454816042E-12</v>
      </c>
      <c r="BK41" s="7">
        <f t="shared" si="30"/>
        <v>2.3926954891789883E-12</v>
      </c>
      <c r="BL41" s="7">
        <f t="shared" si="30"/>
        <v>2.3765708021866951E-12</v>
      </c>
      <c r="BM41" s="7">
        <f t="shared" si="30"/>
        <v>2.4390218015997124E-12</v>
      </c>
      <c r="BN41" s="7">
        <f t="shared" si="30"/>
        <v>2.5032225732711244E-12</v>
      </c>
      <c r="BO41" s="7">
        <f t="shared" si="30"/>
        <v>2.5416053193946149E-12</v>
      </c>
      <c r="BP41" s="7">
        <f t="shared" si="30"/>
        <v>2.5244771096334772E-12</v>
      </c>
      <c r="BQ41" s="7">
        <f t="shared" si="30"/>
        <v>2.5908147581255125E-12</v>
      </c>
      <c r="BR41" s="7">
        <f t="shared" si="30"/>
        <v>2.6590110762643038E-12</v>
      </c>
      <c r="BS41" s="7">
        <f t="shared" si="30"/>
        <v>2.6997825794336896E-12</v>
      </c>
      <c r="BT41" s="7">
        <f t="shared" si="30"/>
        <v>2.7113838190685022E-12</v>
      </c>
      <c r="BU41" s="7">
        <f t="shared" si="30"/>
        <v>2.7525064736577075E-12</v>
      </c>
      <c r="BV41" s="7">
        <f t="shared" ref="BV41:DA41" si="31" xml:space="preserve"> BV39 - BV40</f>
        <v>2.8249588968068077E-12</v>
      </c>
      <c r="BW41" s="7">
        <f t="shared" si="31"/>
        <v>2.8682749332245121E-12</v>
      </c>
      <c r="BX41" s="7">
        <f t="shared" si="31"/>
        <v>2.8489452543266942E-12</v>
      </c>
      <c r="BY41" s="7">
        <f t="shared" si="31"/>
        <v>2.9238092046209457E-12</v>
      </c>
      <c r="BZ41" s="7">
        <f t="shared" si="31"/>
        <v>3.0007707172378183E-12</v>
      </c>
      <c r="CA41" s="7">
        <f t="shared" si="31"/>
        <v>3.0467825349021318E-12</v>
      </c>
      <c r="CB41" s="7">
        <f t="shared" si="31"/>
        <v>3.0262498699930082E-12</v>
      </c>
      <c r="CC41" s="7">
        <f t="shared" si="31"/>
        <v>3.1057729915767137E-12</v>
      </c>
      <c r="CD41" s="7">
        <f t="shared" si="31"/>
        <v>3.1875242176480334E-12</v>
      </c>
      <c r="CE41" s="7">
        <f t="shared" si="31"/>
        <v>3.2363995889853029E-12</v>
      </c>
      <c r="CF41" s="7">
        <f t="shared" si="31"/>
        <v>3.2145890700160541E-12</v>
      </c>
      <c r="CG41" s="7">
        <f t="shared" si="31"/>
        <v>3.2990613272448093E-12</v>
      </c>
      <c r="CH41" s="7">
        <f t="shared" si="31"/>
        <v>3.3859003554410771E-12</v>
      </c>
      <c r="CI41" s="7">
        <f t="shared" si="31"/>
        <v>3.4378174942245072E-12</v>
      </c>
      <c r="CJ41" s="7">
        <f t="shared" si="31"/>
        <v>3.452590144761283E-12</v>
      </c>
      <c r="CK41" s="7">
        <f t="shared" si="31"/>
        <v>3.5049544286234962E-12</v>
      </c>
      <c r="CL41" s="7">
        <f t="shared" si="31"/>
        <v>3.5972130459278499E-12</v>
      </c>
      <c r="CM41" s="7">
        <f t="shared" si="31"/>
        <v>3.652370312632077E-12</v>
      </c>
      <c r="CN41" s="7">
        <f t="shared" si="31"/>
        <v>3.627756512699121E-12</v>
      </c>
      <c r="CO41" s="7">
        <f t="shared" si="31"/>
        <v>3.7230858921717142E-12</v>
      </c>
      <c r="CP41" s="7">
        <f t="shared" si="31"/>
        <v>3.8210862409671212E-12</v>
      </c>
      <c r="CQ41" s="7">
        <f t="shared" si="31"/>
        <v>3.8796762299952841E-12</v>
      </c>
      <c r="CR41" s="7">
        <f t="shared" si="31"/>
        <v>3.8535305858366193E-12</v>
      </c>
      <c r="CS41" s="7">
        <f t="shared" si="31"/>
        <v>3.9547928062311038E-12</v>
      </c>
      <c r="CT41" s="7">
        <f t="shared" si="31"/>
        <v>4.05889222420025E-12</v>
      </c>
      <c r="CU41" s="7">
        <f t="shared" si="31"/>
        <v>4.1211285716379872E-12</v>
      </c>
      <c r="CV41" s="7">
        <f t="shared" si="31"/>
        <v>4.0933557486552101E-12</v>
      </c>
      <c r="CW41" s="7">
        <f t="shared" si="31"/>
        <v>4.2009200413837607E-12</v>
      </c>
      <c r="CX41" s="7">
        <f t="shared" si="31"/>
        <v>4.3114981051837015E-12</v>
      </c>
      <c r="CY41" s="7">
        <f t="shared" si="31"/>
        <v>4.3776077427965177E-12</v>
      </c>
      <c r="CZ41" s="7">
        <f t="shared" si="31"/>
        <v>4.3964187673724477E-12</v>
      </c>
      <c r="DA41" s="7">
        <f t="shared" si="31"/>
        <v>4.4630977853442633E-12</v>
      </c>
      <c r="DB41" s="7">
        <f t="shared" ref="DB41:EA41" si="32" xml:space="preserve"> DB39 - DB40</f>
        <v>4.5805769819943878E-12</v>
      </c>
      <c r="DC41" s="7">
        <f t="shared" si="32"/>
        <v>4.6508124957183018E-12</v>
      </c>
      <c r="DD41" s="7">
        <f t="shared" si="32"/>
        <v>4.6194700636819384E-12</v>
      </c>
      <c r="DE41" s="7">
        <f t="shared" si="32"/>
        <v>4.74085947146647E-12</v>
      </c>
      <c r="DF41" s="7">
        <f t="shared" si="32"/>
        <v>4.8656500068582582E-12</v>
      </c>
      <c r="DG41" s="7">
        <f t="shared" si="32"/>
        <v>4.9402566402967512E-12</v>
      </c>
      <c r="DH41" s="7">
        <f t="shared" si="32"/>
        <v>4.9069636064164901E-12</v>
      </c>
      <c r="DI41" s="7">
        <f t="shared" si="32"/>
        <v>5.0359077056295457E-12</v>
      </c>
      <c r="DJ41" s="7">
        <f t="shared" si="32"/>
        <v>5.1684646022326742E-12</v>
      </c>
      <c r="DK41" s="7">
        <f t="shared" si="32"/>
        <v>5.2477143928002411E-12</v>
      </c>
      <c r="DL41" s="7">
        <f t="shared" si="32"/>
        <v>5.2123493610226741E-12</v>
      </c>
      <c r="DM41" s="7">
        <f t="shared" si="32"/>
        <v>5.3493183192317702E-12</v>
      </c>
      <c r="DN41" s="7">
        <f t="shared" si="32"/>
        <v>5.4901249179204128E-12</v>
      </c>
      <c r="DO41" s="7">
        <f t="shared" si="32"/>
        <v>5.5743068333285258E-12</v>
      </c>
      <c r="DP41" s="7">
        <f t="shared" si="32"/>
        <v>5.5982601953007273E-12</v>
      </c>
      <c r="DQ41" s="7">
        <f t="shared" si="32"/>
        <v>5.6831671415961215E-12</v>
      </c>
      <c r="DR41" s="7">
        <f t="shared" si="32"/>
        <v>5.8327614239386476E-12</v>
      </c>
      <c r="DS41" s="7">
        <f t="shared" si="32"/>
        <v>5.922197099105707E-12</v>
      </c>
      <c r="DT41" s="7">
        <f t="shared" si="32"/>
        <v>5.8822866403943426E-12</v>
      </c>
      <c r="DU41" s="7">
        <f t="shared" si="32"/>
        <v>6.0368600615558168E-12</v>
      </c>
      <c r="DV41" s="7">
        <f t="shared" si="32"/>
        <v>6.1957643707218973E-12</v>
      </c>
      <c r="DW41" s="7">
        <f t="shared" si="32"/>
        <v>6.2907660910729663E-12</v>
      </c>
      <c r="DX41" s="7">
        <f t="shared" si="32"/>
        <v>6.2483717978505177E-12</v>
      </c>
      <c r="DY41" s="7">
        <f t="shared" si="32"/>
        <v>6.4125651234273677E-12</v>
      </c>
      <c r="DZ41" s="7">
        <f t="shared" si="32"/>
        <v>6.58135887059568E-12</v>
      </c>
      <c r="EA41" s="7">
        <f t="shared" si="32"/>
        <v>6.6822730399448136E-12</v>
      </c>
    </row>
    <row r="42" spans="1:131" outlineLevel="2" x14ac:dyDescent="0.35"/>
    <row r="43" spans="1:131" outlineLevel="2" x14ac:dyDescent="0.35"/>
    <row r="44" spans="1:131" outlineLevel="2" x14ac:dyDescent="0.35">
      <c r="E44" s="428" t="str">
        <f xml:space="preserve"> InpC!E$47</f>
        <v>Senior debt principal repayment profile selection</v>
      </c>
      <c r="F44" s="428">
        <f xml:space="preserve"> InpC!F$47</f>
        <v>2</v>
      </c>
      <c r="G44" s="428" t="str">
        <f xml:space="preserve"> InpC!G$47</f>
        <v>profile selection</v>
      </c>
      <c r="H44" s="26"/>
    </row>
    <row r="45" spans="1:131" outlineLevel="2" x14ac:dyDescent="0.35">
      <c r="E45" s="7" t="str">
        <f t="shared" ref="E45:AJ45" si="33" xml:space="preserve"> E$20</f>
        <v>Senior debt straight line principal repayment</v>
      </c>
      <c r="F45" s="7">
        <f t="shared" si="33"/>
        <v>0</v>
      </c>
      <c r="G45" s="7" t="str">
        <f t="shared" si="33"/>
        <v>$ 000s</v>
      </c>
      <c r="H45" s="7">
        <f t="shared" si="33"/>
        <v>70000</v>
      </c>
      <c r="I45" s="7">
        <f t="shared" si="33"/>
        <v>0</v>
      </c>
      <c r="J45" s="7">
        <f t="shared" si="33"/>
        <v>0</v>
      </c>
      <c r="K45" s="7">
        <f t="shared" si="33"/>
        <v>0</v>
      </c>
      <c r="L45" s="7">
        <f t="shared" si="33"/>
        <v>0</v>
      </c>
      <c r="M45" s="7">
        <f t="shared" si="33"/>
        <v>1750</v>
      </c>
      <c r="N45" s="7">
        <f t="shared" si="33"/>
        <v>1750</v>
      </c>
      <c r="O45" s="7">
        <f t="shared" si="33"/>
        <v>1750</v>
      </c>
      <c r="P45" s="7">
        <f t="shared" si="33"/>
        <v>1750</v>
      </c>
      <c r="Q45" s="7">
        <f t="shared" si="33"/>
        <v>1750</v>
      </c>
      <c r="R45" s="7">
        <f t="shared" si="33"/>
        <v>1750</v>
      </c>
      <c r="S45" s="7">
        <f t="shared" si="33"/>
        <v>1750</v>
      </c>
      <c r="T45" s="7">
        <f t="shared" si="33"/>
        <v>1750</v>
      </c>
      <c r="U45" s="7">
        <f t="shared" si="33"/>
        <v>1750</v>
      </c>
      <c r="V45" s="7">
        <f t="shared" si="33"/>
        <v>1750</v>
      </c>
      <c r="W45" s="7">
        <f t="shared" si="33"/>
        <v>1750</v>
      </c>
      <c r="X45" s="7">
        <f t="shared" si="33"/>
        <v>1750</v>
      </c>
      <c r="Y45" s="7">
        <f t="shared" si="33"/>
        <v>1750</v>
      </c>
      <c r="Z45" s="7">
        <f t="shared" si="33"/>
        <v>1750</v>
      </c>
      <c r="AA45" s="7">
        <f t="shared" si="33"/>
        <v>1750</v>
      </c>
      <c r="AB45" s="7">
        <f t="shared" si="33"/>
        <v>1750</v>
      </c>
      <c r="AC45" s="7">
        <f t="shared" si="33"/>
        <v>1750</v>
      </c>
      <c r="AD45" s="7">
        <f t="shared" si="33"/>
        <v>1750</v>
      </c>
      <c r="AE45" s="7">
        <f t="shared" si="33"/>
        <v>1750</v>
      </c>
      <c r="AF45" s="7">
        <f t="shared" si="33"/>
        <v>1750</v>
      </c>
      <c r="AG45" s="7">
        <f t="shared" si="33"/>
        <v>1750</v>
      </c>
      <c r="AH45" s="7">
        <f t="shared" si="33"/>
        <v>1750</v>
      </c>
      <c r="AI45" s="7">
        <f t="shared" si="33"/>
        <v>1750</v>
      </c>
      <c r="AJ45" s="7">
        <f t="shared" si="33"/>
        <v>1750</v>
      </c>
      <c r="AK45" s="7">
        <f t="shared" ref="AK45:BP45" si="34" xml:space="preserve"> AK$20</f>
        <v>1750</v>
      </c>
      <c r="AL45" s="7">
        <f t="shared" si="34"/>
        <v>1750</v>
      </c>
      <c r="AM45" s="7">
        <f t="shared" si="34"/>
        <v>1750</v>
      </c>
      <c r="AN45" s="7">
        <f t="shared" si="34"/>
        <v>1750</v>
      </c>
      <c r="AO45" s="7">
        <f t="shared" si="34"/>
        <v>1750</v>
      </c>
      <c r="AP45" s="7">
        <f t="shared" si="34"/>
        <v>1750</v>
      </c>
      <c r="AQ45" s="7">
        <f t="shared" si="34"/>
        <v>1750</v>
      </c>
      <c r="AR45" s="7">
        <f t="shared" si="34"/>
        <v>1750</v>
      </c>
      <c r="AS45" s="7">
        <f t="shared" si="34"/>
        <v>1750</v>
      </c>
      <c r="AT45" s="7">
        <f t="shared" si="34"/>
        <v>1750</v>
      </c>
      <c r="AU45" s="7">
        <f t="shared" si="34"/>
        <v>1750</v>
      </c>
      <c r="AV45" s="7">
        <f t="shared" si="34"/>
        <v>1750</v>
      </c>
      <c r="AW45" s="7">
        <f t="shared" si="34"/>
        <v>1750</v>
      </c>
      <c r="AX45" s="7">
        <f t="shared" si="34"/>
        <v>1750</v>
      </c>
      <c r="AY45" s="7">
        <f t="shared" si="34"/>
        <v>1750</v>
      </c>
      <c r="AZ45" s="7">
        <f t="shared" si="34"/>
        <v>1750</v>
      </c>
      <c r="BA45" s="7">
        <f t="shared" si="34"/>
        <v>0</v>
      </c>
      <c r="BB45" s="7">
        <f t="shared" si="34"/>
        <v>0</v>
      </c>
      <c r="BC45" s="7">
        <f t="shared" si="34"/>
        <v>0</v>
      </c>
      <c r="BD45" s="7">
        <f t="shared" si="34"/>
        <v>0</v>
      </c>
      <c r="BE45" s="7">
        <f t="shared" si="34"/>
        <v>0</v>
      </c>
      <c r="BF45" s="7">
        <f t="shared" si="34"/>
        <v>0</v>
      </c>
      <c r="BG45" s="7">
        <f t="shared" si="34"/>
        <v>0</v>
      </c>
      <c r="BH45" s="7">
        <f t="shared" si="34"/>
        <v>0</v>
      </c>
      <c r="BI45" s="7">
        <f t="shared" si="34"/>
        <v>0</v>
      </c>
      <c r="BJ45" s="7">
        <f t="shared" si="34"/>
        <v>0</v>
      </c>
      <c r="BK45" s="7">
        <f t="shared" si="34"/>
        <v>0</v>
      </c>
      <c r="BL45" s="7">
        <f t="shared" si="34"/>
        <v>0</v>
      </c>
      <c r="BM45" s="7">
        <f t="shared" si="34"/>
        <v>0</v>
      </c>
      <c r="BN45" s="7">
        <f t="shared" si="34"/>
        <v>0</v>
      </c>
      <c r="BO45" s="7">
        <f t="shared" si="34"/>
        <v>0</v>
      </c>
      <c r="BP45" s="7">
        <f t="shared" si="34"/>
        <v>0</v>
      </c>
      <c r="BQ45" s="7">
        <f t="shared" ref="BQ45:CV45" si="35" xml:space="preserve"> BQ$20</f>
        <v>0</v>
      </c>
      <c r="BR45" s="7">
        <f t="shared" si="35"/>
        <v>0</v>
      </c>
      <c r="BS45" s="7">
        <f t="shared" si="35"/>
        <v>0</v>
      </c>
      <c r="BT45" s="7">
        <f t="shared" si="35"/>
        <v>0</v>
      </c>
      <c r="BU45" s="7">
        <f t="shared" si="35"/>
        <v>0</v>
      </c>
      <c r="BV45" s="7">
        <f t="shared" si="35"/>
        <v>0</v>
      </c>
      <c r="BW45" s="7">
        <f t="shared" si="35"/>
        <v>0</v>
      </c>
      <c r="BX45" s="7">
        <f t="shared" si="35"/>
        <v>0</v>
      </c>
      <c r="BY45" s="7">
        <f t="shared" si="35"/>
        <v>0</v>
      </c>
      <c r="BZ45" s="7">
        <f t="shared" si="35"/>
        <v>0</v>
      </c>
      <c r="CA45" s="7">
        <f t="shared" si="35"/>
        <v>0</v>
      </c>
      <c r="CB45" s="7">
        <f t="shared" si="35"/>
        <v>0</v>
      </c>
      <c r="CC45" s="7">
        <f t="shared" si="35"/>
        <v>0</v>
      </c>
      <c r="CD45" s="7">
        <f t="shared" si="35"/>
        <v>0</v>
      </c>
      <c r="CE45" s="7">
        <f t="shared" si="35"/>
        <v>0</v>
      </c>
      <c r="CF45" s="7">
        <f t="shared" si="35"/>
        <v>0</v>
      </c>
      <c r="CG45" s="7">
        <f t="shared" si="35"/>
        <v>0</v>
      </c>
      <c r="CH45" s="7">
        <f t="shared" si="35"/>
        <v>0</v>
      </c>
      <c r="CI45" s="7">
        <f t="shared" si="35"/>
        <v>0</v>
      </c>
      <c r="CJ45" s="7">
        <f t="shared" si="35"/>
        <v>0</v>
      </c>
      <c r="CK45" s="7">
        <f t="shared" si="35"/>
        <v>0</v>
      </c>
      <c r="CL45" s="7">
        <f t="shared" si="35"/>
        <v>0</v>
      </c>
      <c r="CM45" s="7">
        <f t="shared" si="35"/>
        <v>0</v>
      </c>
      <c r="CN45" s="7">
        <f t="shared" si="35"/>
        <v>0</v>
      </c>
      <c r="CO45" s="7">
        <f t="shared" si="35"/>
        <v>0</v>
      </c>
      <c r="CP45" s="7">
        <f t="shared" si="35"/>
        <v>0</v>
      </c>
      <c r="CQ45" s="7">
        <f t="shared" si="35"/>
        <v>0</v>
      </c>
      <c r="CR45" s="7">
        <f t="shared" si="35"/>
        <v>0</v>
      </c>
      <c r="CS45" s="7">
        <f t="shared" si="35"/>
        <v>0</v>
      </c>
      <c r="CT45" s="7">
        <f t="shared" si="35"/>
        <v>0</v>
      </c>
      <c r="CU45" s="7">
        <f t="shared" si="35"/>
        <v>0</v>
      </c>
      <c r="CV45" s="7">
        <f t="shared" si="35"/>
        <v>0</v>
      </c>
      <c r="CW45" s="7">
        <f t="shared" ref="CW45:EA45" si="36" xml:space="preserve"> CW$20</f>
        <v>0</v>
      </c>
      <c r="CX45" s="7">
        <f t="shared" si="36"/>
        <v>0</v>
      </c>
      <c r="CY45" s="7">
        <f t="shared" si="36"/>
        <v>0</v>
      </c>
      <c r="CZ45" s="7">
        <f t="shared" si="36"/>
        <v>0</v>
      </c>
      <c r="DA45" s="7">
        <f t="shared" si="36"/>
        <v>0</v>
      </c>
      <c r="DB45" s="7">
        <f t="shared" si="36"/>
        <v>0</v>
      </c>
      <c r="DC45" s="7">
        <f t="shared" si="36"/>
        <v>0</v>
      </c>
      <c r="DD45" s="7">
        <f t="shared" si="36"/>
        <v>0</v>
      </c>
      <c r="DE45" s="7">
        <f t="shared" si="36"/>
        <v>0</v>
      </c>
      <c r="DF45" s="7">
        <f t="shared" si="36"/>
        <v>0</v>
      </c>
      <c r="DG45" s="7">
        <f t="shared" si="36"/>
        <v>0</v>
      </c>
      <c r="DH45" s="7">
        <f t="shared" si="36"/>
        <v>0</v>
      </c>
      <c r="DI45" s="7">
        <f t="shared" si="36"/>
        <v>0</v>
      </c>
      <c r="DJ45" s="7">
        <f t="shared" si="36"/>
        <v>0</v>
      </c>
      <c r="DK45" s="7">
        <f t="shared" si="36"/>
        <v>0</v>
      </c>
      <c r="DL45" s="7">
        <f t="shared" si="36"/>
        <v>0</v>
      </c>
      <c r="DM45" s="7">
        <f t="shared" si="36"/>
        <v>0</v>
      </c>
      <c r="DN45" s="7">
        <f t="shared" si="36"/>
        <v>0</v>
      </c>
      <c r="DO45" s="7">
        <f t="shared" si="36"/>
        <v>0</v>
      </c>
      <c r="DP45" s="7">
        <f t="shared" si="36"/>
        <v>0</v>
      </c>
      <c r="DQ45" s="7">
        <f t="shared" si="36"/>
        <v>0</v>
      </c>
      <c r="DR45" s="7">
        <f t="shared" si="36"/>
        <v>0</v>
      </c>
      <c r="DS45" s="7">
        <f t="shared" si="36"/>
        <v>0</v>
      </c>
      <c r="DT45" s="7">
        <f t="shared" si="36"/>
        <v>0</v>
      </c>
      <c r="DU45" s="7">
        <f t="shared" si="36"/>
        <v>0</v>
      </c>
      <c r="DV45" s="7">
        <f t="shared" si="36"/>
        <v>0</v>
      </c>
      <c r="DW45" s="7">
        <f t="shared" si="36"/>
        <v>0</v>
      </c>
      <c r="DX45" s="7">
        <f t="shared" si="36"/>
        <v>0</v>
      </c>
      <c r="DY45" s="7">
        <f t="shared" si="36"/>
        <v>0</v>
      </c>
      <c r="DZ45" s="7">
        <f t="shared" si="36"/>
        <v>0</v>
      </c>
      <c r="EA45" s="7">
        <f t="shared" si="36"/>
        <v>0</v>
      </c>
    </row>
    <row r="46" spans="1:131" s="112" customFormat="1" outlineLevel="2" x14ac:dyDescent="0.35">
      <c r="A46" s="8"/>
      <c r="B46" s="8"/>
      <c r="C46" s="13"/>
      <c r="D46" s="34"/>
      <c r="E46" s="6" t="str">
        <f t="shared" ref="E46:AJ46" si="37" xml:space="preserve"> E$41</f>
        <v>Senior debt amortising principal repayment</v>
      </c>
      <c r="F46" s="6">
        <f t="shared" si="37"/>
        <v>0</v>
      </c>
      <c r="G46" s="6" t="str">
        <f t="shared" si="37"/>
        <v>$ 000s</v>
      </c>
      <c r="H46" s="6">
        <f t="shared" si="37"/>
        <v>70000.000000000131</v>
      </c>
      <c r="I46" s="6">
        <f t="shared" si="37"/>
        <v>0</v>
      </c>
      <c r="J46" s="6">
        <f t="shared" si="37"/>
        <v>0</v>
      </c>
      <c r="K46" s="6">
        <f t="shared" si="37"/>
        <v>0</v>
      </c>
      <c r="L46" s="6">
        <f t="shared" si="37"/>
        <v>0</v>
      </c>
      <c r="M46" s="6">
        <f t="shared" si="37"/>
        <v>1287.637865402565</v>
      </c>
      <c r="N46" s="6">
        <f t="shared" si="37"/>
        <v>1295.7149793387375</v>
      </c>
      <c r="O46" s="6">
        <f t="shared" si="37"/>
        <v>1315.5826090219314</v>
      </c>
      <c r="P46" s="6">
        <f t="shared" si="37"/>
        <v>1357.7885638756802</v>
      </c>
      <c r="Q46" s="6">
        <f t="shared" si="37"/>
        <v>1367.3648463367551</v>
      </c>
      <c r="R46" s="6">
        <f t="shared" si="37"/>
        <v>1377.5405613168584</v>
      </c>
      <c r="S46" s="6">
        <f t="shared" si="37"/>
        <v>1398.662849923717</v>
      </c>
      <c r="T46" s="6">
        <f t="shared" si="37"/>
        <v>1440.3089161974754</v>
      </c>
      <c r="U46" s="6">
        <f t="shared" si="37"/>
        <v>1452.0536501390065</v>
      </c>
      <c r="V46" s="6">
        <f t="shared" si="37"/>
        <v>1464.4585729730402</v>
      </c>
      <c r="W46" s="6">
        <f t="shared" si="37"/>
        <v>1486.9136044252932</v>
      </c>
      <c r="X46" s="6">
        <f t="shared" si="37"/>
        <v>1518.8389418566562</v>
      </c>
      <c r="Y46" s="6">
        <f t="shared" si="37"/>
        <v>1541.8746658081486</v>
      </c>
      <c r="Z46" s="6">
        <f t="shared" si="37"/>
        <v>1556.6438883440082</v>
      </c>
      <c r="AA46" s="6">
        <f t="shared" si="37"/>
        <v>1580.5124279652832</v>
      </c>
      <c r="AB46" s="6">
        <f t="shared" si="37"/>
        <v>1620.932986213109</v>
      </c>
      <c r="AC46" s="6">
        <f t="shared" si="37"/>
        <v>1637.4241193278287</v>
      </c>
      <c r="AD46" s="6">
        <f t="shared" si="37"/>
        <v>1654.7084274790452</v>
      </c>
      <c r="AE46" s="6">
        <f t="shared" si="37"/>
        <v>1680.0806233670573</v>
      </c>
      <c r="AF46" s="6">
        <f t="shared" si="37"/>
        <v>1719.8301785589147</v>
      </c>
      <c r="AG46" s="6">
        <f t="shared" si="37"/>
        <v>1738.9201101169438</v>
      </c>
      <c r="AH46" s="6">
        <f t="shared" si="37"/>
        <v>1758.8760306850486</v>
      </c>
      <c r="AI46" s="6">
        <f t="shared" si="37"/>
        <v>1785.8454631555528</v>
      </c>
      <c r="AJ46" s="6">
        <f t="shared" si="37"/>
        <v>1824.8822552966617</v>
      </c>
      <c r="AK46" s="6">
        <f t="shared" ref="AK46:BP46" si="38" xml:space="preserve"> AK$41</f>
        <v>1846.7327219822992</v>
      </c>
      <c r="AL46" s="6">
        <f t="shared" si="38"/>
        <v>1869.5265232422153</v>
      </c>
      <c r="AM46" s="6">
        <f t="shared" si="38"/>
        <v>1898.1925965985959</v>
      </c>
      <c r="AN46" s="6">
        <f t="shared" si="38"/>
        <v>1931.885241583283</v>
      </c>
      <c r="AO46" s="6">
        <f t="shared" si="38"/>
        <v>1961.1855010806294</v>
      </c>
      <c r="AP46" s="6">
        <f t="shared" si="38"/>
        <v>1986.9919678006211</v>
      </c>
      <c r="AQ46" s="6">
        <f t="shared" si="38"/>
        <v>2017.4591779735638</v>
      </c>
      <c r="AR46" s="6">
        <f t="shared" si="38"/>
        <v>2054.9350950800299</v>
      </c>
      <c r="AS46" s="6">
        <f t="shared" si="38"/>
        <v>2082.8308391666415</v>
      </c>
      <c r="AT46" s="6">
        <f t="shared" si="38"/>
        <v>2111.8392963609408</v>
      </c>
      <c r="AU46" s="6">
        <f t="shared" si="38"/>
        <v>2144.2208322384754</v>
      </c>
      <c r="AV46" s="6">
        <f t="shared" si="38"/>
        <v>2180.842486022721</v>
      </c>
      <c r="AW46" s="6">
        <f t="shared" si="38"/>
        <v>2212.0467965491043</v>
      </c>
      <c r="AX46" s="6">
        <f t="shared" si="38"/>
        <v>2244.4565206655666</v>
      </c>
      <c r="AY46" s="6">
        <f t="shared" si="38"/>
        <v>2278.8715206491052</v>
      </c>
      <c r="AZ46" s="6">
        <f t="shared" si="38"/>
        <v>2314.5857458810183</v>
      </c>
      <c r="BA46" s="6">
        <f t="shared" si="38"/>
        <v>2.0346154390911884E-12</v>
      </c>
      <c r="BB46" s="6">
        <f t="shared" si="38"/>
        <v>2.0881712872425048E-12</v>
      </c>
      <c r="BC46" s="6">
        <f t="shared" si="38"/>
        <v>2.12018991364689E-12</v>
      </c>
      <c r="BD46" s="6">
        <f t="shared" si="38"/>
        <v>2.1293005847975611E-12</v>
      </c>
      <c r="BE46" s="6">
        <f t="shared" si="38"/>
        <v>2.1615949770003242E-12</v>
      </c>
      <c r="BF46" s="6">
        <f t="shared" si="38"/>
        <v>2.2184932242703766E-12</v>
      </c>
      <c r="BG46" s="6">
        <f t="shared" si="38"/>
        <v>2.2525101203758557E-12</v>
      </c>
      <c r="BH46" s="6">
        <f t="shared" si="38"/>
        <v>2.2373301608689745E-12</v>
      </c>
      <c r="BI46" s="6">
        <f t="shared" si="38"/>
        <v>2.2961222256518096E-12</v>
      </c>
      <c r="BJ46" s="6">
        <f t="shared" si="38"/>
        <v>2.3565615454816042E-12</v>
      </c>
      <c r="BK46" s="6">
        <f t="shared" si="38"/>
        <v>2.3926954891789883E-12</v>
      </c>
      <c r="BL46" s="6">
        <f t="shared" si="38"/>
        <v>2.3765708021866951E-12</v>
      </c>
      <c r="BM46" s="6">
        <f t="shared" si="38"/>
        <v>2.4390218015997124E-12</v>
      </c>
      <c r="BN46" s="6">
        <f t="shared" si="38"/>
        <v>2.5032225732711244E-12</v>
      </c>
      <c r="BO46" s="6">
        <f t="shared" si="38"/>
        <v>2.5416053193946149E-12</v>
      </c>
      <c r="BP46" s="6">
        <f t="shared" si="38"/>
        <v>2.5244771096334772E-12</v>
      </c>
      <c r="BQ46" s="6">
        <f t="shared" ref="BQ46:CV46" si="39" xml:space="preserve"> BQ$41</f>
        <v>2.5908147581255125E-12</v>
      </c>
      <c r="BR46" s="6">
        <f t="shared" si="39"/>
        <v>2.6590110762643038E-12</v>
      </c>
      <c r="BS46" s="6">
        <f t="shared" si="39"/>
        <v>2.6997825794336896E-12</v>
      </c>
      <c r="BT46" s="6">
        <f t="shared" si="39"/>
        <v>2.7113838190685022E-12</v>
      </c>
      <c r="BU46" s="6">
        <f t="shared" si="39"/>
        <v>2.7525064736577075E-12</v>
      </c>
      <c r="BV46" s="6">
        <f t="shared" si="39"/>
        <v>2.8249588968068077E-12</v>
      </c>
      <c r="BW46" s="6">
        <f t="shared" si="39"/>
        <v>2.8682749332245121E-12</v>
      </c>
      <c r="BX46" s="6">
        <f t="shared" si="39"/>
        <v>2.8489452543266942E-12</v>
      </c>
      <c r="BY46" s="6">
        <f t="shared" si="39"/>
        <v>2.9238092046209457E-12</v>
      </c>
      <c r="BZ46" s="6">
        <f t="shared" si="39"/>
        <v>3.0007707172378183E-12</v>
      </c>
      <c r="CA46" s="6">
        <f t="shared" si="39"/>
        <v>3.0467825349021318E-12</v>
      </c>
      <c r="CB46" s="6">
        <f t="shared" si="39"/>
        <v>3.0262498699930082E-12</v>
      </c>
      <c r="CC46" s="6">
        <f t="shared" si="39"/>
        <v>3.1057729915767137E-12</v>
      </c>
      <c r="CD46" s="6">
        <f t="shared" si="39"/>
        <v>3.1875242176480334E-12</v>
      </c>
      <c r="CE46" s="6">
        <f t="shared" si="39"/>
        <v>3.2363995889853029E-12</v>
      </c>
      <c r="CF46" s="6">
        <f t="shared" si="39"/>
        <v>3.2145890700160541E-12</v>
      </c>
      <c r="CG46" s="6">
        <f t="shared" si="39"/>
        <v>3.2990613272448093E-12</v>
      </c>
      <c r="CH46" s="6">
        <f t="shared" si="39"/>
        <v>3.3859003554410771E-12</v>
      </c>
      <c r="CI46" s="6">
        <f t="shared" si="39"/>
        <v>3.4378174942245072E-12</v>
      </c>
      <c r="CJ46" s="6">
        <f t="shared" si="39"/>
        <v>3.452590144761283E-12</v>
      </c>
      <c r="CK46" s="6">
        <f t="shared" si="39"/>
        <v>3.5049544286234962E-12</v>
      </c>
      <c r="CL46" s="6">
        <f t="shared" si="39"/>
        <v>3.5972130459278499E-12</v>
      </c>
      <c r="CM46" s="6">
        <f t="shared" si="39"/>
        <v>3.652370312632077E-12</v>
      </c>
      <c r="CN46" s="6">
        <f t="shared" si="39"/>
        <v>3.627756512699121E-12</v>
      </c>
      <c r="CO46" s="6">
        <f t="shared" si="39"/>
        <v>3.7230858921717142E-12</v>
      </c>
      <c r="CP46" s="6">
        <f t="shared" si="39"/>
        <v>3.8210862409671212E-12</v>
      </c>
      <c r="CQ46" s="6">
        <f t="shared" si="39"/>
        <v>3.8796762299952841E-12</v>
      </c>
      <c r="CR46" s="6">
        <f t="shared" si="39"/>
        <v>3.8535305858366193E-12</v>
      </c>
      <c r="CS46" s="6">
        <f t="shared" si="39"/>
        <v>3.9547928062311038E-12</v>
      </c>
      <c r="CT46" s="6">
        <f t="shared" si="39"/>
        <v>4.05889222420025E-12</v>
      </c>
      <c r="CU46" s="6">
        <f t="shared" si="39"/>
        <v>4.1211285716379872E-12</v>
      </c>
      <c r="CV46" s="6">
        <f t="shared" si="39"/>
        <v>4.0933557486552101E-12</v>
      </c>
      <c r="CW46" s="6">
        <f t="shared" ref="CW46:EA46" si="40" xml:space="preserve"> CW$41</f>
        <v>4.2009200413837607E-12</v>
      </c>
      <c r="CX46" s="6">
        <f t="shared" si="40"/>
        <v>4.3114981051837015E-12</v>
      </c>
      <c r="CY46" s="6">
        <f t="shared" si="40"/>
        <v>4.3776077427965177E-12</v>
      </c>
      <c r="CZ46" s="6">
        <f t="shared" si="40"/>
        <v>4.3964187673724477E-12</v>
      </c>
      <c r="DA46" s="6">
        <f t="shared" si="40"/>
        <v>4.4630977853442633E-12</v>
      </c>
      <c r="DB46" s="6">
        <f t="shared" si="40"/>
        <v>4.5805769819943878E-12</v>
      </c>
      <c r="DC46" s="6">
        <f t="shared" si="40"/>
        <v>4.6508124957183018E-12</v>
      </c>
      <c r="DD46" s="6">
        <f t="shared" si="40"/>
        <v>4.6194700636819384E-12</v>
      </c>
      <c r="DE46" s="6">
        <f t="shared" si="40"/>
        <v>4.74085947146647E-12</v>
      </c>
      <c r="DF46" s="6">
        <f t="shared" si="40"/>
        <v>4.8656500068582582E-12</v>
      </c>
      <c r="DG46" s="6">
        <f t="shared" si="40"/>
        <v>4.9402566402967512E-12</v>
      </c>
      <c r="DH46" s="6">
        <f t="shared" si="40"/>
        <v>4.9069636064164901E-12</v>
      </c>
      <c r="DI46" s="6">
        <f t="shared" si="40"/>
        <v>5.0359077056295457E-12</v>
      </c>
      <c r="DJ46" s="6">
        <f t="shared" si="40"/>
        <v>5.1684646022326742E-12</v>
      </c>
      <c r="DK46" s="6">
        <f t="shared" si="40"/>
        <v>5.2477143928002411E-12</v>
      </c>
      <c r="DL46" s="6">
        <f t="shared" si="40"/>
        <v>5.2123493610226741E-12</v>
      </c>
      <c r="DM46" s="6">
        <f t="shared" si="40"/>
        <v>5.3493183192317702E-12</v>
      </c>
      <c r="DN46" s="6">
        <f t="shared" si="40"/>
        <v>5.4901249179204128E-12</v>
      </c>
      <c r="DO46" s="6">
        <f t="shared" si="40"/>
        <v>5.5743068333285258E-12</v>
      </c>
      <c r="DP46" s="6">
        <f t="shared" si="40"/>
        <v>5.5982601953007273E-12</v>
      </c>
      <c r="DQ46" s="6">
        <f t="shared" si="40"/>
        <v>5.6831671415961215E-12</v>
      </c>
      <c r="DR46" s="6">
        <f t="shared" si="40"/>
        <v>5.8327614239386476E-12</v>
      </c>
      <c r="DS46" s="6">
        <f t="shared" si="40"/>
        <v>5.922197099105707E-12</v>
      </c>
      <c r="DT46" s="6">
        <f t="shared" si="40"/>
        <v>5.8822866403943426E-12</v>
      </c>
      <c r="DU46" s="6">
        <f t="shared" si="40"/>
        <v>6.0368600615558168E-12</v>
      </c>
      <c r="DV46" s="6">
        <f t="shared" si="40"/>
        <v>6.1957643707218973E-12</v>
      </c>
      <c r="DW46" s="6">
        <f t="shared" si="40"/>
        <v>6.2907660910729663E-12</v>
      </c>
      <c r="DX46" s="6">
        <f t="shared" si="40"/>
        <v>6.2483717978505177E-12</v>
      </c>
      <c r="DY46" s="6">
        <f t="shared" si="40"/>
        <v>6.4125651234273677E-12</v>
      </c>
      <c r="DZ46" s="6">
        <f t="shared" si="40"/>
        <v>6.58135887059568E-12</v>
      </c>
      <c r="EA46" s="6">
        <f t="shared" si="40"/>
        <v>6.6822730399448136E-12</v>
      </c>
    </row>
    <row r="47" spans="1:131" outlineLevel="2" x14ac:dyDescent="0.35">
      <c r="E47" s="507" t="s">
        <v>265</v>
      </c>
      <c r="F47" s="507"/>
      <c r="G47" s="507"/>
      <c r="H47" s="507"/>
      <c r="I47" s="507"/>
      <c r="J47" s="507"/>
      <c r="K47" s="507"/>
      <c r="L47" s="507"/>
      <c r="M47" s="507"/>
      <c r="N47" s="507"/>
      <c r="O47" s="507"/>
      <c r="P47" s="507"/>
      <c r="Q47" s="507"/>
      <c r="R47" s="507"/>
      <c r="S47" s="507"/>
      <c r="T47" s="507"/>
      <c r="U47" s="507"/>
      <c r="V47" s="507"/>
      <c r="W47" s="507"/>
      <c r="X47" s="507"/>
      <c r="Y47" s="507"/>
      <c r="Z47" s="507"/>
      <c r="AA47" s="507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7"/>
      <c r="AQ47" s="507"/>
      <c r="AR47" s="507"/>
      <c r="AS47" s="507"/>
      <c r="AT47" s="507"/>
      <c r="AU47" s="507"/>
      <c r="AV47" s="507"/>
      <c r="AW47" s="507"/>
      <c r="AX47" s="507"/>
      <c r="AY47" s="507"/>
      <c r="AZ47" s="507"/>
      <c r="BA47" s="507"/>
      <c r="BB47" s="507"/>
      <c r="BC47" s="507"/>
      <c r="BD47" s="507"/>
      <c r="BE47" s="507"/>
      <c r="BF47" s="507"/>
      <c r="BG47" s="507"/>
      <c r="BH47" s="507"/>
      <c r="BI47" s="507"/>
      <c r="BJ47" s="507"/>
      <c r="BK47" s="507"/>
      <c r="BL47" s="507"/>
      <c r="BM47" s="507"/>
      <c r="BN47" s="507"/>
      <c r="BO47" s="507"/>
      <c r="BP47" s="507"/>
      <c r="BQ47" s="507"/>
      <c r="BR47" s="507"/>
      <c r="BS47" s="507"/>
      <c r="BT47" s="507"/>
      <c r="BU47" s="507"/>
      <c r="BV47" s="507"/>
      <c r="BW47" s="507"/>
      <c r="BX47" s="507"/>
      <c r="BY47" s="507"/>
      <c r="BZ47" s="507"/>
      <c r="CA47" s="507"/>
      <c r="CB47" s="507"/>
      <c r="CC47" s="507"/>
      <c r="CD47" s="507"/>
      <c r="CE47" s="507"/>
      <c r="CF47" s="507"/>
      <c r="CG47" s="507"/>
      <c r="CH47" s="507"/>
      <c r="CI47" s="507"/>
      <c r="CJ47" s="507"/>
      <c r="CK47" s="507"/>
      <c r="CL47" s="507"/>
      <c r="CM47" s="507"/>
      <c r="CN47" s="507"/>
      <c r="CO47" s="507"/>
      <c r="CP47" s="507"/>
      <c r="CQ47" s="507"/>
      <c r="CR47" s="507"/>
      <c r="CS47" s="507"/>
      <c r="CT47" s="507"/>
      <c r="CU47" s="507"/>
      <c r="CV47" s="507"/>
      <c r="CW47" s="507"/>
      <c r="CX47" s="507"/>
      <c r="CY47" s="507"/>
      <c r="CZ47" s="507"/>
      <c r="DA47" s="507"/>
      <c r="DB47" s="507"/>
      <c r="DC47" s="507"/>
      <c r="DD47" s="507"/>
      <c r="DE47" s="507"/>
      <c r="DF47" s="507"/>
      <c r="DG47" s="507"/>
      <c r="DH47" s="507"/>
      <c r="DI47" s="507"/>
      <c r="DJ47" s="507"/>
      <c r="DK47" s="507"/>
      <c r="DL47" s="507"/>
      <c r="DM47" s="507"/>
      <c r="DN47" s="507"/>
      <c r="DO47" s="507"/>
      <c r="DP47" s="507"/>
      <c r="DQ47" s="507"/>
      <c r="DR47" s="507"/>
      <c r="DS47" s="507"/>
      <c r="DT47" s="507"/>
      <c r="DU47" s="507"/>
      <c r="DV47" s="507"/>
      <c r="DW47" s="507"/>
      <c r="DX47" s="507"/>
      <c r="DY47" s="507"/>
      <c r="DZ47" s="507"/>
      <c r="EA47" s="507"/>
    </row>
    <row r="48" spans="1:131" outlineLevel="2" x14ac:dyDescent="0.35">
      <c r="E48" s="7" t="s">
        <v>266</v>
      </c>
      <c r="G48" s="7" t="str">
        <f xml:space="preserve"> SMU</f>
        <v>$ 000s</v>
      </c>
      <c r="H48" s="7">
        <f xml:space="preserve"> SUM(J48:EA48)</f>
        <v>70000.000000000131</v>
      </c>
      <c r="J48" s="7">
        <f t="shared" ref="J48:AO48" si="41" xml:space="preserve"> INDEX(J45:J47, $F44)</f>
        <v>0</v>
      </c>
      <c r="K48" s="7">
        <f t="shared" si="41"/>
        <v>0</v>
      </c>
      <c r="L48" s="7">
        <f t="shared" si="41"/>
        <v>0</v>
      </c>
      <c r="M48" s="7">
        <f t="shared" si="41"/>
        <v>1287.637865402565</v>
      </c>
      <c r="N48" s="7">
        <f t="shared" si="41"/>
        <v>1295.7149793387375</v>
      </c>
      <c r="O48" s="7">
        <f t="shared" si="41"/>
        <v>1315.5826090219314</v>
      </c>
      <c r="P48" s="7">
        <f t="shared" si="41"/>
        <v>1357.7885638756802</v>
      </c>
      <c r="Q48" s="7">
        <f t="shared" si="41"/>
        <v>1367.3648463367551</v>
      </c>
      <c r="R48" s="7">
        <f t="shared" si="41"/>
        <v>1377.5405613168584</v>
      </c>
      <c r="S48" s="7">
        <f t="shared" si="41"/>
        <v>1398.662849923717</v>
      </c>
      <c r="T48" s="7">
        <f t="shared" si="41"/>
        <v>1440.3089161974754</v>
      </c>
      <c r="U48" s="7">
        <f t="shared" si="41"/>
        <v>1452.0536501390065</v>
      </c>
      <c r="V48" s="7">
        <f t="shared" si="41"/>
        <v>1464.4585729730402</v>
      </c>
      <c r="W48" s="7">
        <f t="shared" si="41"/>
        <v>1486.9136044252932</v>
      </c>
      <c r="X48" s="7">
        <f t="shared" si="41"/>
        <v>1518.8389418566562</v>
      </c>
      <c r="Y48" s="7">
        <f t="shared" si="41"/>
        <v>1541.8746658081486</v>
      </c>
      <c r="Z48" s="7">
        <f t="shared" si="41"/>
        <v>1556.6438883440082</v>
      </c>
      <c r="AA48" s="7">
        <f t="shared" si="41"/>
        <v>1580.5124279652832</v>
      </c>
      <c r="AB48" s="7">
        <f t="shared" si="41"/>
        <v>1620.932986213109</v>
      </c>
      <c r="AC48" s="7">
        <f t="shared" si="41"/>
        <v>1637.4241193278287</v>
      </c>
      <c r="AD48" s="7">
        <f t="shared" si="41"/>
        <v>1654.7084274790452</v>
      </c>
      <c r="AE48" s="7">
        <f t="shared" si="41"/>
        <v>1680.0806233670573</v>
      </c>
      <c r="AF48" s="7">
        <f t="shared" si="41"/>
        <v>1719.8301785589147</v>
      </c>
      <c r="AG48" s="7">
        <f t="shared" si="41"/>
        <v>1738.9201101169438</v>
      </c>
      <c r="AH48" s="7">
        <f t="shared" si="41"/>
        <v>1758.8760306850486</v>
      </c>
      <c r="AI48" s="7">
        <f t="shared" si="41"/>
        <v>1785.8454631555528</v>
      </c>
      <c r="AJ48" s="7">
        <f t="shared" si="41"/>
        <v>1824.8822552966617</v>
      </c>
      <c r="AK48" s="7">
        <f t="shared" si="41"/>
        <v>1846.7327219822992</v>
      </c>
      <c r="AL48" s="7">
        <f t="shared" si="41"/>
        <v>1869.5265232422153</v>
      </c>
      <c r="AM48" s="7">
        <f t="shared" si="41"/>
        <v>1898.1925965985959</v>
      </c>
      <c r="AN48" s="7">
        <f t="shared" si="41"/>
        <v>1931.885241583283</v>
      </c>
      <c r="AO48" s="7">
        <f t="shared" si="41"/>
        <v>1961.1855010806294</v>
      </c>
      <c r="AP48" s="7">
        <f t="shared" ref="AP48:BU48" si="42" xml:space="preserve"> INDEX(AP45:AP47, $F44)</f>
        <v>1986.9919678006211</v>
      </c>
      <c r="AQ48" s="7">
        <f t="shared" si="42"/>
        <v>2017.4591779735638</v>
      </c>
      <c r="AR48" s="7">
        <f t="shared" si="42"/>
        <v>2054.9350950800299</v>
      </c>
      <c r="AS48" s="7">
        <f t="shared" si="42"/>
        <v>2082.8308391666415</v>
      </c>
      <c r="AT48" s="7">
        <f t="shared" si="42"/>
        <v>2111.8392963609408</v>
      </c>
      <c r="AU48" s="7">
        <f t="shared" si="42"/>
        <v>2144.2208322384754</v>
      </c>
      <c r="AV48" s="7">
        <f t="shared" si="42"/>
        <v>2180.842486022721</v>
      </c>
      <c r="AW48" s="7">
        <f t="shared" si="42"/>
        <v>2212.0467965491043</v>
      </c>
      <c r="AX48" s="7">
        <f t="shared" si="42"/>
        <v>2244.4565206655666</v>
      </c>
      <c r="AY48" s="7">
        <f t="shared" si="42"/>
        <v>2278.8715206491052</v>
      </c>
      <c r="AZ48" s="7">
        <f t="shared" si="42"/>
        <v>2314.5857458810183</v>
      </c>
      <c r="BA48" s="7">
        <f t="shared" si="42"/>
        <v>2.0346154390911884E-12</v>
      </c>
      <c r="BB48" s="7">
        <f t="shared" si="42"/>
        <v>2.0881712872425048E-12</v>
      </c>
      <c r="BC48" s="7">
        <f t="shared" si="42"/>
        <v>2.12018991364689E-12</v>
      </c>
      <c r="BD48" s="7">
        <f t="shared" si="42"/>
        <v>2.1293005847975611E-12</v>
      </c>
      <c r="BE48" s="7">
        <f t="shared" si="42"/>
        <v>2.1615949770003242E-12</v>
      </c>
      <c r="BF48" s="7">
        <f t="shared" si="42"/>
        <v>2.2184932242703766E-12</v>
      </c>
      <c r="BG48" s="7">
        <f t="shared" si="42"/>
        <v>2.2525101203758557E-12</v>
      </c>
      <c r="BH48" s="7">
        <f t="shared" si="42"/>
        <v>2.2373301608689745E-12</v>
      </c>
      <c r="BI48" s="7">
        <f t="shared" si="42"/>
        <v>2.2961222256518096E-12</v>
      </c>
      <c r="BJ48" s="7">
        <f t="shared" si="42"/>
        <v>2.3565615454816042E-12</v>
      </c>
      <c r="BK48" s="7">
        <f t="shared" si="42"/>
        <v>2.3926954891789883E-12</v>
      </c>
      <c r="BL48" s="7">
        <f t="shared" si="42"/>
        <v>2.3765708021866951E-12</v>
      </c>
      <c r="BM48" s="7">
        <f t="shared" si="42"/>
        <v>2.4390218015997124E-12</v>
      </c>
      <c r="BN48" s="7">
        <f t="shared" si="42"/>
        <v>2.5032225732711244E-12</v>
      </c>
      <c r="BO48" s="7">
        <f t="shared" si="42"/>
        <v>2.5416053193946149E-12</v>
      </c>
      <c r="BP48" s="7">
        <f t="shared" si="42"/>
        <v>2.5244771096334772E-12</v>
      </c>
      <c r="BQ48" s="7">
        <f t="shared" si="42"/>
        <v>2.5908147581255125E-12</v>
      </c>
      <c r="BR48" s="7">
        <f t="shared" si="42"/>
        <v>2.6590110762643038E-12</v>
      </c>
      <c r="BS48" s="7">
        <f t="shared" si="42"/>
        <v>2.6997825794336896E-12</v>
      </c>
      <c r="BT48" s="7">
        <f t="shared" si="42"/>
        <v>2.7113838190685022E-12</v>
      </c>
      <c r="BU48" s="7">
        <f t="shared" si="42"/>
        <v>2.7525064736577075E-12</v>
      </c>
      <c r="BV48" s="7">
        <f t="shared" ref="BV48:DA48" si="43" xml:space="preserve"> INDEX(BV45:BV47, $F44)</f>
        <v>2.8249588968068077E-12</v>
      </c>
      <c r="BW48" s="7">
        <f t="shared" si="43"/>
        <v>2.8682749332245121E-12</v>
      </c>
      <c r="BX48" s="7">
        <f t="shared" si="43"/>
        <v>2.8489452543266942E-12</v>
      </c>
      <c r="BY48" s="7">
        <f t="shared" si="43"/>
        <v>2.9238092046209457E-12</v>
      </c>
      <c r="BZ48" s="7">
        <f t="shared" si="43"/>
        <v>3.0007707172378183E-12</v>
      </c>
      <c r="CA48" s="7">
        <f t="shared" si="43"/>
        <v>3.0467825349021318E-12</v>
      </c>
      <c r="CB48" s="7">
        <f t="shared" si="43"/>
        <v>3.0262498699930082E-12</v>
      </c>
      <c r="CC48" s="7">
        <f t="shared" si="43"/>
        <v>3.1057729915767137E-12</v>
      </c>
      <c r="CD48" s="7">
        <f t="shared" si="43"/>
        <v>3.1875242176480334E-12</v>
      </c>
      <c r="CE48" s="7">
        <f t="shared" si="43"/>
        <v>3.2363995889853029E-12</v>
      </c>
      <c r="CF48" s="7">
        <f t="shared" si="43"/>
        <v>3.2145890700160541E-12</v>
      </c>
      <c r="CG48" s="7">
        <f t="shared" si="43"/>
        <v>3.2990613272448093E-12</v>
      </c>
      <c r="CH48" s="7">
        <f t="shared" si="43"/>
        <v>3.3859003554410771E-12</v>
      </c>
      <c r="CI48" s="7">
        <f t="shared" si="43"/>
        <v>3.4378174942245072E-12</v>
      </c>
      <c r="CJ48" s="7">
        <f t="shared" si="43"/>
        <v>3.452590144761283E-12</v>
      </c>
      <c r="CK48" s="7">
        <f t="shared" si="43"/>
        <v>3.5049544286234962E-12</v>
      </c>
      <c r="CL48" s="7">
        <f t="shared" si="43"/>
        <v>3.5972130459278499E-12</v>
      </c>
      <c r="CM48" s="7">
        <f t="shared" si="43"/>
        <v>3.652370312632077E-12</v>
      </c>
      <c r="CN48" s="7">
        <f t="shared" si="43"/>
        <v>3.627756512699121E-12</v>
      </c>
      <c r="CO48" s="7">
        <f t="shared" si="43"/>
        <v>3.7230858921717142E-12</v>
      </c>
      <c r="CP48" s="7">
        <f t="shared" si="43"/>
        <v>3.8210862409671212E-12</v>
      </c>
      <c r="CQ48" s="7">
        <f t="shared" si="43"/>
        <v>3.8796762299952841E-12</v>
      </c>
      <c r="CR48" s="7">
        <f t="shared" si="43"/>
        <v>3.8535305858366193E-12</v>
      </c>
      <c r="CS48" s="7">
        <f t="shared" si="43"/>
        <v>3.9547928062311038E-12</v>
      </c>
      <c r="CT48" s="7">
        <f t="shared" si="43"/>
        <v>4.05889222420025E-12</v>
      </c>
      <c r="CU48" s="7">
        <f t="shared" si="43"/>
        <v>4.1211285716379872E-12</v>
      </c>
      <c r="CV48" s="7">
        <f t="shared" si="43"/>
        <v>4.0933557486552101E-12</v>
      </c>
      <c r="CW48" s="7">
        <f t="shared" si="43"/>
        <v>4.2009200413837607E-12</v>
      </c>
      <c r="CX48" s="7">
        <f t="shared" si="43"/>
        <v>4.3114981051837015E-12</v>
      </c>
      <c r="CY48" s="7">
        <f t="shared" si="43"/>
        <v>4.3776077427965177E-12</v>
      </c>
      <c r="CZ48" s="7">
        <f t="shared" si="43"/>
        <v>4.3964187673724477E-12</v>
      </c>
      <c r="DA48" s="7">
        <f t="shared" si="43"/>
        <v>4.4630977853442633E-12</v>
      </c>
      <c r="DB48" s="7">
        <f t="shared" ref="DB48:EA48" si="44" xml:space="preserve"> INDEX(DB45:DB47, $F44)</f>
        <v>4.5805769819943878E-12</v>
      </c>
      <c r="DC48" s="7">
        <f t="shared" si="44"/>
        <v>4.6508124957183018E-12</v>
      </c>
      <c r="DD48" s="7">
        <f t="shared" si="44"/>
        <v>4.6194700636819384E-12</v>
      </c>
      <c r="DE48" s="7">
        <f t="shared" si="44"/>
        <v>4.74085947146647E-12</v>
      </c>
      <c r="DF48" s="7">
        <f t="shared" si="44"/>
        <v>4.8656500068582582E-12</v>
      </c>
      <c r="DG48" s="7">
        <f t="shared" si="44"/>
        <v>4.9402566402967512E-12</v>
      </c>
      <c r="DH48" s="7">
        <f t="shared" si="44"/>
        <v>4.9069636064164901E-12</v>
      </c>
      <c r="DI48" s="7">
        <f t="shared" si="44"/>
        <v>5.0359077056295457E-12</v>
      </c>
      <c r="DJ48" s="7">
        <f t="shared" si="44"/>
        <v>5.1684646022326742E-12</v>
      </c>
      <c r="DK48" s="7">
        <f t="shared" si="44"/>
        <v>5.2477143928002411E-12</v>
      </c>
      <c r="DL48" s="7">
        <f t="shared" si="44"/>
        <v>5.2123493610226741E-12</v>
      </c>
      <c r="DM48" s="7">
        <f t="shared" si="44"/>
        <v>5.3493183192317702E-12</v>
      </c>
      <c r="DN48" s="7">
        <f t="shared" si="44"/>
        <v>5.4901249179204128E-12</v>
      </c>
      <c r="DO48" s="7">
        <f t="shared" si="44"/>
        <v>5.5743068333285258E-12</v>
      </c>
      <c r="DP48" s="7">
        <f t="shared" si="44"/>
        <v>5.5982601953007273E-12</v>
      </c>
      <c r="DQ48" s="7">
        <f t="shared" si="44"/>
        <v>5.6831671415961215E-12</v>
      </c>
      <c r="DR48" s="7">
        <f t="shared" si="44"/>
        <v>5.8327614239386476E-12</v>
      </c>
      <c r="DS48" s="7">
        <f t="shared" si="44"/>
        <v>5.922197099105707E-12</v>
      </c>
      <c r="DT48" s="7">
        <f t="shared" si="44"/>
        <v>5.8822866403943426E-12</v>
      </c>
      <c r="DU48" s="7">
        <f t="shared" si="44"/>
        <v>6.0368600615558168E-12</v>
      </c>
      <c r="DV48" s="7">
        <f t="shared" si="44"/>
        <v>6.1957643707218973E-12</v>
      </c>
      <c r="DW48" s="7">
        <f t="shared" si="44"/>
        <v>6.2907660910729663E-12</v>
      </c>
      <c r="DX48" s="7">
        <f t="shared" si="44"/>
        <v>6.2483717978505177E-12</v>
      </c>
      <c r="DY48" s="7">
        <f t="shared" si="44"/>
        <v>6.4125651234273677E-12</v>
      </c>
      <c r="DZ48" s="7">
        <f t="shared" si="44"/>
        <v>6.58135887059568E-12</v>
      </c>
      <c r="EA48" s="7">
        <f t="shared" si="44"/>
        <v>6.6822730399448136E-12</v>
      </c>
    </row>
    <row r="49" spans="1:131" s="484" customFormat="1" outlineLevel="2" x14ac:dyDescent="0.35">
      <c r="A49" s="102"/>
      <c r="B49" s="102"/>
      <c r="C49" s="103"/>
      <c r="D49" s="104"/>
      <c r="E49" s="147" t="str">
        <f xml:space="preserve"> LEFT(E48, LEN(E48) - 4)</f>
        <v xml:space="preserve">Senior debt principal repayment </v>
      </c>
      <c r="F49" s="147"/>
      <c r="G49" s="147" t="str">
        <f xml:space="preserve"> SMU</f>
        <v>$ 000s</v>
      </c>
      <c r="H49" s="147">
        <f xml:space="preserve"> SUM(J49:EA49)</f>
        <v>-70000.000000000131</v>
      </c>
      <c r="I49" s="105"/>
      <c r="J49" s="147">
        <f t="shared" ref="J49:BU49" si="45" xml:space="preserve"> -1 * J48</f>
        <v>0</v>
      </c>
      <c r="K49" s="147">
        <f t="shared" si="45"/>
        <v>0</v>
      </c>
      <c r="L49" s="147">
        <f t="shared" si="45"/>
        <v>0</v>
      </c>
      <c r="M49" s="147">
        <f t="shared" si="45"/>
        <v>-1287.637865402565</v>
      </c>
      <c r="N49" s="147">
        <f t="shared" si="45"/>
        <v>-1295.7149793387375</v>
      </c>
      <c r="O49" s="147">
        <f t="shared" si="45"/>
        <v>-1315.5826090219314</v>
      </c>
      <c r="P49" s="147">
        <f t="shared" si="45"/>
        <v>-1357.7885638756802</v>
      </c>
      <c r="Q49" s="147">
        <f t="shared" si="45"/>
        <v>-1367.3648463367551</v>
      </c>
      <c r="R49" s="147">
        <f t="shared" si="45"/>
        <v>-1377.5405613168584</v>
      </c>
      <c r="S49" s="147">
        <f t="shared" si="45"/>
        <v>-1398.662849923717</v>
      </c>
      <c r="T49" s="147">
        <f t="shared" si="45"/>
        <v>-1440.3089161974754</v>
      </c>
      <c r="U49" s="147">
        <f t="shared" si="45"/>
        <v>-1452.0536501390065</v>
      </c>
      <c r="V49" s="147">
        <f t="shared" si="45"/>
        <v>-1464.4585729730402</v>
      </c>
      <c r="W49" s="147">
        <f t="shared" si="45"/>
        <v>-1486.9136044252932</v>
      </c>
      <c r="X49" s="147">
        <f t="shared" si="45"/>
        <v>-1518.8389418566562</v>
      </c>
      <c r="Y49" s="147">
        <f t="shared" si="45"/>
        <v>-1541.8746658081486</v>
      </c>
      <c r="Z49" s="147">
        <f t="shared" si="45"/>
        <v>-1556.6438883440082</v>
      </c>
      <c r="AA49" s="147">
        <f t="shared" si="45"/>
        <v>-1580.5124279652832</v>
      </c>
      <c r="AB49" s="147">
        <f t="shared" si="45"/>
        <v>-1620.932986213109</v>
      </c>
      <c r="AC49" s="147">
        <f t="shared" si="45"/>
        <v>-1637.4241193278287</v>
      </c>
      <c r="AD49" s="147">
        <f t="shared" si="45"/>
        <v>-1654.7084274790452</v>
      </c>
      <c r="AE49" s="147">
        <f t="shared" si="45"/>
        <v>-1680.0806233670573</v>
      </c>
      <c r="AF49" s="147">
        <f t="shared" si="45"/>
        <v>-1719.8301785589147</v>
      </c>
      <c r="AG49" s="147">
        <f t="shared" si="45"/>
        <v>-1738.9201101169438</v>
      </c>
      <c r="AH49" s="147">
        <f t="shared" si="45"/>
        <v>-1758.8760306850486</v>
      </c>
      <c r="AI49" s="147">
        <f t="shared" si="45"/>
        <v>-1785.8454631555528</v>
      </c>
      <c r="AJ49" s="147">
        <f t="shared" si="45"/>
        <v>-1824.8822552966617</v>
      </c>
      <c r="AK49" s="147">
        <f t="shared" si="45"/>
        <v>-1846.7327219822992</v>
      </c>
      <c r="AL49" s="147">
        <f t="shared" si="45"/>
        <v>-1869.5265232422153</v>
      </c>
      <c r="AM49" s="147">
        <f t="shared" si="45"/>
        <v>-1898.1925965985959</v>
      </c>
      <c r="AN49" s="147">
        <f t="shared" si="45"/>
        <v>-1931.885241583283</v>
      </c>
      <c r="AO49" s="147">
        <f t="shared" si="45"/>
        <v>-1961.1855010806294</v>
      </c>
      <c r="AP49" s="147">
        <f t="shared" si="45"/>
        <v>-1986.9919678006211</v>
      </c>
      <c r="AQ49" s="147">
        <f t="shared" si="45"/>
        <v>-2017.4591779735638</v>
      </c>
      <c r="AR49" s="147">
        <f t="shared" si="45"/>
        <v>-2054.9350950800299</v>
      </c>
      <c r="AS49" s="147">
        <f t="shared" si="45"/>
        <v>-2082.8308391666415</v>
      </c>
      <c r="AT49" s="147">
        <f t="shared" si="45"/>
        <v>-2111.8392963609408</v>
      </c>
      <c r="AU49" s="147">
        <f t="shared" si="45"/>
        <v>-2144.2208322384754</v>
      </c>
      <c r="AV49" s="147">
        <f t="shared" si="45"/>
        <v>-2180.842486022721</v>
      </c>
      <c r="AW49" s="147">
        <f t="shared" si="45"/>
        <v>-2212.0467965491043</v>
      </c>
      <c r="AX49" s="147">
        <f t="shared" si="45"/>
        <v>-2244.4565206655666</v>
      </c>
      <c r="AY49" s="147">
        <f t="shared" si="45"/>
        <v>-2278.8715206491052</v>
      </c>
      <c r="AZ49" s="147">
        <f t="shared" si="45"/>
        <v>-2314.5857458810183</v>
      </c>
      <c r="BA49" s="147">
        <f t="shared" si="45"/>
        <v>-2.0346154390911884E-12</v>
      </c>
      <c r="BB49" s="147">
        <f t="shared" si="45"/>
        <v>-2.0881712872425048E-12</v>
      </c>
      <c r="BC49" s="147">
        <f t="shared" si="45"/>
        <v>-2.12018991364689E-12</v>
      </c>
      <c r="BD49" s="147">
        <f t="shared" si="45"/>
        <v>-2.1293005847975611E-12</v>
      </c>
      <c r="BE49" s="147">
        <f t="shared" si="45"/>
        <v>-2.1615949770003242E-12</v>
      </c>
      <c r="BF49" s="147">
        <f t="shared" si="45"/>
        <v>-2.2184932242703766E-12</v>
      </c>
      <c r="BG49" s="147">
        <f t="shared" si="45"/>
        <v>-2.2525101203758557E-12</v>
      </c>
      <c r="BH49" s="147">
        <f t="shared" si="45"/>
        <v>-2.2373301608689745E-12</v>
      </c>
      <c r="BI49" s="147">
        <f t="shared" si="45"/>
        <v>-2.2961222256518096E-12</v>
      </c>
      <c r="BJ49" s="147">
        <f t="shared" si="45"/>
        <v>-2.3565615454816042E-12</v>
      </c>
      <c r="BK49" s="147">
        <f t="shared" si="45"/>
        <v>-2.3926954891789883E-12</v>
      </c>
      <c r="BL49" s="147">
        <f t="shared" si="45"/>
        <v>-2.3765708021866951E-12</v>
      </c>
      <c r="BM49" s="147">
        <f t="shared" si="45"/>
        <v>-2.4390218015997124E-12</v>
      </c>
      <c r="BN49" s="147">
        <f t="shared" si="45"/>
        <v>-2.5032225732711244E-12</v>
      </c>
      <c r="BO49" s="147">
        <f t="shared" si="45"/>
        <v>-2.5416053193946149E-12</v>
      </c>
      <c r="BP49" s="147">
        <f t="shared" si="45"/>
        <v>-2.5244771096334772E-12</v>
      </c>
      <c r="BQ49" s="147">
        <f t="shared" si="45"/>
        <v>-2.5908147581255125E-12</v>
      </c>
      <c r="BR49" s="147">
        <f t="shared" si="45"/>
        <v>-2.6590110762643038E-12</v>
      </c>
      <c r="BS49" s="147">
        <f t="shared" si="45"/>
        <v>-2.6997825794336896E-12</v>
      </c>
      <c r="BT49" s="147">
        <f t="shared" si="45"/>
        <v>-2.7113838190685022E-12</v>
      </c>
      <c r="BU49" s="147">
        <f t="shared" si="45"/>
        <v>-2.7525064736577075E-12</v>
      </c>
      <c r="BV49" s="147">
        <f t="shared" ref="BV49:EA49" si="46" xml:space="preserve"> -1 * BV48</f>
        <v>-2.8249588968068077E-12</v>
      </c>
      <c r="BW49" s="147">
        <f t="shared" si="46"/>
        <v>-2.8682749332245121E-12</v>
      </c>
      <c r="BX49" s="147">
        <f t="shared" si="46"/>
        <v>-2.8489452543266942E-12</v>
      </c>
      <c r="BY49" s="147">
        <f t="shared" si="46"/>
        <v>-2.9238092046209457E-12</v>
      </c>
      <c r="BZ49" s="147">
        <f t="shared" si="46"/>
        <v>-3.0007707172378183E-12</v>
      </c>
      <c r="CA49" s="147">
        <f t="shared" si="46"/>
        <v>-3.0467825349021318E-12</v>
      </c>
      <c r="CB49" s="147">
        <f t="shared" si="46"/>
        <v>-3.0262498699930082E-12</v>
      </c>
      <c r="CC49" s="147">
        <f t="shared" si="46"/>
        <v>-3.1057729915767137E-12</v>
      </c>
      <c r="CD49" s="147">
        <f t="shared" si="46"/>
        <v>-3.1875242176480334E-12</v>
      </c>
      <c r="CE49" s="147">
        <f t="shared" si="46"/>
        <v>-3.2363995889853029E-12</v>
      </c>
      <c r="CF49" s="147">
        <f t="shared" si="46"/>
        <v>-3.2145890700160541E-12</v>
      </c>
      <c r="CG49" s="147">
        <f t="shared" si="46"/>
        <v>-3.2990613272448093E-12</v>
      </c>
      <c r="CH49" s="147">
        <f t="shared" si="46"/>
        <v>-3.3859003554410771E-12</v>
      </c>
      <c r="CI49" s="147">
        <f t="shared" si="46"/>
        <v>-3.4378174942245072E-12</v>
      </c>
      <c r="CJ49" s="147">
        <f t="shared" si="46"/>
        <v>-3.452590144761283E-12</v>
      </c>
      <c r="CK49" s="147">
        <f t="shared" si="46"/>
        <v>-3.5049544286234962E-12</v>
      </c>
      <c r="CL49" s="147">
        <f t="shared" si="46"/>
        <v>-3.5972130459278499E-12</v>
      </c>
      <c r="CM49" s="147">
        <f t="shared" si="46"/>
        <v>-3.652370312632077E-12</v>
      </c>
      <c r="CN49" s="147">
        <f t="shared" si="46"/>
        <v>-3.627756512699121E-12</v>
      </c>
      <c r="CO49" s="147">
        <f t="shared" si="46"/>
        <v>-3.7230858921717142E-12</v>
      </c>
      <c r="CP49" s="147">
        <f t="shared" si="46"/>
        <v>-3.8210862409671212E-12</v>
      </c>
      <c r="CQ49" s="147">
        <f t="shared" si="46"/>
        <v>-3.8796762299952841E-12</v>
      </c>
      <c r="CR49" s="147">
        <f t="shared" si="46"/>
        <v>-3.8535305858366193E-12</v>
      </c>
      <c r="CS49" s="147">
        <f t="shared" si="46"/>
        <v>-3.9547928062311038E-12</v>
      </c>
      <c r="CT49" s="147">
        <f t="shared" si="46"/>
        <v>-4.05889222420025E-12</v>
      </c>
      <c r="CU49" s="147">
        <f t="shared" si="46"/>
        <v>-4.1211285716379872E-12</v>
      </c>
      <c r="CV49" s="147">
        <f t="shared" si="46"/>
        <v>-4.0933557486552101E-12</v>
      </c>
      <c r="CW49" s="147">
        <f t="shared" si="46"/>
        <v>-4.2009200413837607E-12</v>
      </c>
      <c r="CX49" s="147">
        <f t="shared" si="46"/>
        <v>-4.3114981051837015E-12</v>
      </c>
      <c r="CY49" s="147">
        <f t="shared" si="46"/>
        <v>-4.3776077427965177E-12</v>
      </c>
      <c r="CZ49" s="147">
        <f t="shared" si="46"/>
        <v>-4.3964187673724477E-12</v>
      </c>
      <c r="DA49" s="147">
        <f t="shared" si="46"/>
        <v>-4.4630977853442633E-12</v>
      </c>
      <c r="DB49" s="147">
        <f t="shared" si="46"/>
        <v>-4.5805769819943878E-12</v>
      </c>
      <c r="DC49" s="147">
        <f t="shared" si="46"/>
        <v>-4.6508124957183018E-12</v>
      </c>
      <c r="DD49" s="147">
        <f t="shared" si="46"/>
        <v>-4.6194700636819384E-12</v>
      </c>
      <c r="DE49" s="147">
        <f t="shared" si="46"/>
        <v>-4.74085947146647E-12</v>
      </c>
      <c r="DF49" s="147">
        <f t="shared" si="46"/>
        <v>-4.8656500068582582E-12</v>
      </c>
      <c r="DG49" s="147">
        <f t="shared" si="46"/>
        <v>-4.9402566402967512E-12</v>
      </c>
      <c r="DH49" s="147">
        <f t="shared" si="46"/>
        <v>-4.9069636064164901E-12</v>
      </c>
      <c r="DI49" s="147">
        <f t="shared" si="46"/>
        <v>-5.0359077056295457E-12</v>
      </c>
      <c r="DJ49" s="147">
        <f t="shared" si="46"/>
        <v>-5.1684646022326742E-12</v>
      </c>
      <c r="DK49" s="147">
        <f t="shared" si="46"/>
        <v>-5.2477143928002411E-12</v>
      </c>
      <c r="DL49" s="147">
        <f t="shared" si="46"/>
        <v>-5.2123493610226741E-12</v>
      </c>
      <c r="DM49" s="147">
        <f t="shared" si="46"/>
        <v>-5.3493183192317702E-12</v>
      </c>
      <c r="DN49" s="147">
        <f t="shared" si="46"/>
        <v>-5.4901249179204128E-12</v>
      </c>
      <c r="DO49" s="147">
        <f t="shared" si="46"/>
        <v>-5.5743068333285258E-12</v>
      </c>
      <c r="DP49" s="147">
        <f t="shared" si="46"/>
        <v>-5.5982601953007273E-12</v>
      </c>
      <c r="DQ49" s="147">
        <f t="shared" si="46"/>
        <v>-5.6831671415961215E-12</v>
      </c>
      <c r="DR49" s="147">
        <f t="shared" si="46"/>
        <v>-5.8327614239386476E-12</v>
      </c>
      <c r="DS49" s="147">
        <f t="shared" si="46"/>
        <v>-5.922197099105707E-12</v>
      </c>
      <c r="DT49" s="147">
        <f t="shared" si="46"/>
        <v>-5.8822866403943426E-12</v>
      </c>
      <c r="DU49" s="147">
        <f t="shared" si="46"/>
        <v>-6.0368600615558168E-12</v>
      </c>
      <c r="DV49" s="147">
        <f t="shared" si="46"/>
        <v>-6.1957643707218973E-12</v>
      </c>
      <c r="DW49" s="147">
        <f t="shared" si="46"/>
        <v>-6.2907660910729663E-12</v>
      </c>
      <c r="DX49" s="147">
        <f t="shared" si="46"/>
        <v>-6.2483717978505177E-12</v>
      </c>
      <c r="DY49" s="147">
        <f t="shared" si="46"/>
        <v>-6.4125651234273677E-12</v>
      </c>
      <c r="DZ49" s="147">
        <f t="shared" si="46"/>
        <v>-6.58135887059568E-12</v>
      </c>
      <c r="EA49" s="147">
        <f t="shared" si="46"/>
        <v>-6.6822730399448136E-12</v>
      </c>
    </row>
    <row r="50" spans="1:131" outlineLevel="1" x14ac:dyDescent="0.35"/>
    <row r="51" spans="1:131" outlineLevel="1" x14ac:dyDescent="0.35">
      <c r="B51" s="8" t="s">
        <v>251</v>
      </c>
    </row>
    <row r="52" spans="1:131" outlineLevel="2" x14ac:dyDescent="0.35"/>
    <row r="53" spans="1:131" outlineLevel="2" x14ac:dyDescent="0.35">
      <c r="E53" s="428" t="str">
        <f xml:space="preserve"> InpC!E$48</f>
        <v>Senior debt swap rate</v>
      </c>
      <c r="F53" s="438">
        <f xml:space="preserve"> InpC!F$48</f>
        <v>2.5000000000000001E-2</v>
      </c>
      <c r="G53" s="428" t="str">
        <f xml:space="preserve"> InpC!G$48</f>
        <v>% p.a.</v>
      </c>
      <c r="H53" s="26"/>
    </row>
    <row r="54" spans="1:131" outlineLevel="2" x14ac:dyDescent="0.35">
      <c r="E54" s="428" t="str">
        <f xml:space="preserve"> InpC!E$49</f>
        <v>Sebuir debt margin</v>
      </c>
      <c r="F54" s="438">
        <f xml:space="preserve"> InpC!F$49</f>
        <v>3.5000000000000003E-2</v>
      </c>
      <c r="G54" s="428" t="str">
        <f xml:space="preserve"> InpC!G$49</f>
        <v>% p.a.</v>
      </c>
      <c r="H54" s="26"/>
    </row>
    <row r="55" spans="1:131" outlineLevel="2" x14ac:dyDescent="0.35">
      <c r="E55" s="428" t="str">
        <f xml:space="preserve"> InpC!E$50</f>
        <v>Senior debt day count convention</v>
      </c>
      <c r="F55" s="428">
        <f xml:space="preserve"> InpC!F$50</f>
        <v>360</v>
      </c>
      <c r="G55" s="428" t="str">
        <f xml:space="preserve"> InpC!G$50</f>
        <v>days / year</v>
      </c>
      <c r="H55" s="26"/>
    </row>
    <row r="56" spans="1:131" outlineLevel="2" x14ac:dyDescent="0.35">
      <c r="E56" s="146" t="str">
        <f xml:space="preserve"> Time!E$149</f>
        <v>Days in period</v>
      </c>
      <c r="F56" s="146">
        <f xml:space="preserve"> Time!F$149</f>
        <v>0</v>
      </c>
      <c r="G56" s="146" t="str">
        <f xml:space="preserve"> Time!G$149</f>
        <v>days</v>
      </c>
      <c r="H56" s="146">
        <f xml:space="preserve"> Time!H$149</f>
        <v>0</v>
      </c>
      <c r="I56" s="146">
        <f xml:space="preserve"> Time!I$149</f>
        <v>0</v>
      </c>
      <c r="J56" s="146">
        <f xml:space="preserve"> Time!J$149</f>
        <v>92</v>
      </c>
      <c r="K56" s="146">
        <f xml:space="preserve"> Time!K$149</f>
        <v>92</v>
      </c>
      <c r="L56" s="146">
        <f xml:space="preserve"> Time!L$149</f>
        <v>90</v>
      </c>
      <c r="M56" s="146">
        <f xml:space="preserve"> Time!M$149</f>
        <v>91</v>
      </c>
      <c r="N56" s="146">
        <f xml:space="preserve"> Time!N$149</f>
        <v>92</v>
      </c>
      <c r="O56" s="146">
        <f xml:space="preserve"> Time!O$149</f>
        <v>92</v>
      </c>
      <c r="P56" s="146">
        <f xml:space="preserve"> Time!P$149</f>
        <v>90</v>
      </c>
      <c r="Q56" s="146">
        <f xml:space="preserve"> Time!Q$149</f>
        <v>91</v>
      </c>
      <c r="R56" s="146">
        <f xml:space="preserve"> Time!R$149</f>
        <v>92</v>
      </c>
      <c r="S56" s="146">
        <f xml:space="preserve"> Time!S$149</f>
        <v>92</v>
      </c>
      <c r="T56" s="146">
        <f xml:space="preserve"> Time!T$149</f>
        <v>90</v>
      </c>
      <c r="U56" s="146">
        <f xml:space="preserve"> Time!U$149</f>
        <v>91</v>
      </c>
      <c r="V56" s="146">
        <f xml:space="preserve"> Time!V$149</f>
        <v>92</v>
      </c>
      <c r="W56" s="146">
        <f xml:space="preserve"> Time!W$149</f>
        <v>92</v>
      </c>
      <c r="X56" s="146">
        <f xml:space="preserve"> Time!X$149</f>
        <v>91</v>
      </c>
      <c r="Y56" s="146">
        <f xml:space="preserve"> Time!Y$149</f>
        <v>91</v>
      </c>
      <c r="Z56" s="146">
        <f xml:space="preserve"> Time!Z$149</f>
        <v>92</v>
      </c>
      <c r="AA56" s="146">
        <f xml:space="preserve"> Time!AA$149</f>
        <v>92</v>
      </c>
      <c r="AB56" s="146">
        <f xml:space="preserve"> Time!AB$149</f>
        <v>90</v>
      </c>
      <c r="AC56" s="146">
        <f xml:space="preserve"> Time!AC$149</f>
        <v>91</v>
      </c>
      <c r="AD56" s="146">
        <f xml:space="preserve"> Time!AD$149</f>
        <v>92</v>
      </c>
      <c r="AE56" s="146">
        <f xml:space="preserve"> Time!AE$149</f>
        <v>92</v>
      </c>
      <c r="AF56" s="146">
        <f xml:space="preserve"> Time!AF$149</f>
        <v>90</v>
      </c>
      <c r="AG56" s="146">
        <f xml:space="preserve"> Time!AG$149</f>
        <v>91</v>
      </c>
      <c r="AH56" s="146">
        <f xml:space="preserve"> Time!AH$149</f>
        <v>92</v>
      </c>
      <c r="AI56" s="146">
        <f xml:space="preserve"> Time!AI$149</f>
        <v>92</v>
      </c>
      <c r="AJ56" s="146">
        <f xml:space="preserve"> Time!AJ$149</f>
        <v>90</v>
      </c>
      <c r="AK56" s="146">
        <f xml:space="preserve"> Time!AK$149</f>
        <v>91</v>
      </c>
      <c r="AL56" s="146">
        <f xml:space="preserve"> Time!AL$149</f>
        <v>92</v>
      </c>
      <c r="AM56" s="146">
        <f xml:space="preserve"> Time!AM$149</f>
        <v>92</v>
      </c>
      <c r="AN56" s="146">
        <f xml:space="preserve"> Time!AN$149</f>
        <v>91</v>
      </c>
      <c r="AO56" s="146">
        <f xml:space="preserve"> Time!AO$149</f>
        <v>91</v>
      </c>
      <c r="AP56" s="146">
        <f xml:space="preserve"> Time!AP$149</f>
        <v>92</v>
      </c>
      <c r="AQ56" s="146">
        <f xml:space="preserve"> Time!AQ$149</f>
        <v>92</v>
      </c>
      <c r="AR56" s="146">
        <f xml:space="preserve"> Time!AR$149</f>
        <v>90</v>
      </c>
      <c r="AS56" s="146">
        <f xml:space="preserve"> Time!AS$149</f>
        <v>91</v>
      </c>
      <c r="AT56" s="146">
        <f xml:space="preserve"> Time!AT$149</f>
        <v>92</v>
      </c>
      <c r="AU56" s="146">
        <f xml:space="preserve"> Time!AU$149</f>
        <v>92</v>
      </c>
      <c r="AV56" s="146">
        <f xml:space="preserve"> Time!AV$149</f>
        <v>90</v>
      </c>
      <c r="AW56" s="146">
        <f xml:space="preserve"> Time!AW$149</f>
        <v>91</v>
      </c>
      <c r="AX56" s="146">
        <f xml:space="preserve"> Time!AX$149</f>
        <v>92</v>
      </c>
      <c r="AY56" s="146">
        <f xml:space="preserve"> Time!AY$149</f>
        <v>92</v>
      </c>
      <c r="AZ56" s="146">
        <f xml:space="preserve"> Time!AZ$149</f>
        <v>90</v>
      </c>
      <c r="BA56" s="146">
        <f xml:space="preserve"> Time!BA$149</f>
        <v>91</v>
      </c>
      <c r="BB56" s="146">
        <f xml:space="preserve"> Time!BB$149</f>
        <v>92</v>
      </c>
      <c r="BC56" s="146">
        <f xml:space="preserve"> Time!BC$149</f>
        <v>92</v>
      </c>
      <c r="BD56" s="146">
        <f xml:space="preserve"> Time!BD$149</f>
        <v>91</v>
      </c>
      <c r="BE56" s="146">
        <f xml:space="preserve"> Time!BE$149</f>
        <v>91</v>
      </c>
      <c r="BF56" s="146">
        <f xml:space="preserve"> Time!BF$149</f>
        <v>92</v>
      </c>
      <c r="BG56" s="146">
        <f xml:space="preserve"> Time!BG$149</f>
        <v>92</v>
      </c>
      <c r="BH56" s="146">
        <f xml:space="preserve"> Time!BH$149</f>
        <v>90</v>
      </c>
      <c r="BI56" s="146">
        <f xml:space="preserve"> Time!BI$149</f>
        <v>91</v>
      </c>
      <c r="BJ56" s="146">
        <f xml:space="preserve"> Time!BJ$149</f>
        <v>92</v>
      </c>
      <c r="BK56" s="146">
        <f xml:space="preserve"> Time!BK$149</f>
        <v>92</v>
      </c>
      <c r="BL56" s="146">
        <f xml:space="preserve"> Time!BL$149</f>
        <v>90</v>
      </c>
      <c r="BM56" s="146">
        <f xml:space="preserve"> Time!BM$149</f>
        <v>91</v>
      </c>
      <c r="BN56" s="146">
        <f xml:space="preserve"> Time!BN$149</f>
        <v>92</v>
      </c>
      <c r="BO56" s="146">
        <f xml:space="preserve"> Time!BO$149</f>
        <v>92</v>
      </c>
      <c r="BP56" s="146">
        <f xml:space="preserve"> Time!BP$149</f>
        <v>90</v>
      </c>
      <c r="BQ56" s="146">
        <f xml:space="preserve"> Time!BQ$149</f>
        <v>91</v>
      </c>
      <c r="BR56" s="146">
        <f xml:space="preserve"> Time!BR$149</f>
        <v>92</v>
      </c>
      <c r="BS56" s="146">
        <f xml:space="preserve"> Time!BS$149</f>
        <v>92</v>
      </c>
      <c r="BT56" s="146">
        <f xml:space="preserve"> Time!BT$149</f>
        <v>91</v>
      </c>
      <c r="BU56" s="146">
        <f xml:space="preserve"> Time!BU$149</f>
        <v>91</v>
      </c>
      <c r="BV56" s="146">
        <f xml:space="preserve"> Time!BV$149</f>
        <v>92</v>
      </c>
      <c r="BW56" s="146">
        <f xml:space="preserve"> Time!BW$149</f>
        <v>92</v>
      </c>
      <c r="BX56" s="146">
        <f xml:space="preserve"> Time!BX$149</f>
        <v>90</v>
      </c>
      <c r="BY56" s="146">
        <f xml:space="preserve"> Time!BY$149</f>
        <v>91</v>
      </c>
      <c r="BZ56" s="146">
        <f xml:space="preserve"> Time!BZ$149</f>
        <v>92</v>
      </c>
      <c r="CA56" s="146">
        <f xml:space="preserve"> Time!CA$149</f>
        <v>92</v>
      </c>
      <c r="CB56" s="146">
        <f xml:space="preserve"> Time!CB$149</f>
        <v>90</v>
      </c>
      <c r="CC56" s="146">
        <f xml:space="preserve"> Time!CC$149</f>
        <v>91</v>
      </c>
      <c r="CD56" s="146">
        <f xml:space="preserve"> Time!CD$149</f>
        <v>92</v>
      </c>
      <c r="CE56" s="146">
        <f xml:space="preserve"> Time!CE$149</f>
        <v>92</v>
      </c>
      <c r="CF56" s="146">
        <f xml:space="preserve"> Time!CF$149</f>
        <v>90</v>
      </c>
      <c r="CG56" s="146">
        <f xml:space="preserve"> Time!CG$149</f>
        <v>91</v>
      </c>
      <c r="CH56" s="146">
        <f xml:space="preserve"> Time!CH$149</f>
        <v>92</v>
      </c>
      <c r="CI56" s="146">
        <f xml:space="preserve"> Time!CI$149</f>
        <v>92</v>
      </c>
      <c r="CJ56" s="146">
        <f xml:space="preserve"> Time!CJ$149</f>
        <v>91</v>
      </c>
      <c r="CK56" s="146">
        <f xml:space="preserve"> Time!CK$149</f>
        <v>91</v>
      </c>
      <c r="CL56" s="146">
        <f xml:space="preserve"> Time!CL$149</f>
        <v>92</v>
      </c>
      <c r="CM56" s="146">
        <f xml:space="preserve"> Time!CM$149</f>
        <v>92</v>
      </c>
      <c r="CN56" s="146">
        <f xml:space="preserve"> Time!CN$149</f>
        <v>90</v>
      </c>
      <c r="CO56" s="146">
        <f xml:space="preserve"> Time!CO$149</f>
        <v>91</v>
      </c>
      <c r="CP56" s="146">
        <f xml:space="preserve"> Time!CP$149</f>
        <v>92</v>
      </c>
      <c r="CQ56" s="146">
        <f xml:space="preserve"> Time!CQ$149</f>
        <v>92</v>
      </c>
      <c r="CR56" s="146">
        <f xml:space="preserve"> Time!CR$149</f>
        <v>90</v>
      </c>
      <c r="CS56" s="146">
        <f xml:space="preserve"> Time!CS$149</f>
        <v>91</v>
      </c>
      <c r="CT56" s="146">
        <f xml:space="preserve"> Time!CT$149</f>
        <v>92</v>
      </c>
      <c r="CU56" s="146">
        <f xml:space="preserve"> Time!CU$149</f>
        <v>92</v>
      </c>
      <c r="CV56" s="146">
        <f xml:space="preserve"> Time!CV$149</f>
        <v>90</v>
      </c>
      <c r="CW56" s="146">
        <f xml:space="preserve"> Time!CW$149</f>
        <v>91</v>
      </c>
      <c r="CX56" s="146">
        <f xml:space="preserve"> Time!CX$149</f>
        <v>92</v>
      </c>
      <c r="CY56" s="146">
        <f xml:space="preserve"> Time!CY$149</f>
        <v>92</v>
      </c>
      <c r="CZ56" s="146">
        <f xml:space="preserve"> Time!CZ$149</f>
        <v>91</v>
      </c>
      <c r="DA56" s="146">
        <f xml:space="preserve"> Time!DA$149</f>
        <v>91</v>
      </c>
      <c r="DB56" s="146">
        <f xml:space="preserve"> Time!DB$149</f>
        <v>92</v>
      </c>
      <c r="DC56" s="146">
        <f xml:space="preserve"> Time!DC$149</f>
        <v>92</v>
      </c>
      <c r="DD56" s="146">
        <f xml:space="preserve"> Time!DD$149</f>
        <v>90</v>
      </c>
      <c r="DE56" s="146">
        <f xml:space="preserve"> Time!DE$149</f>
        <v>91</v>
      </c>
      <c r="DF56" s="146">
        <f xml:space="preserve"> Time!DF$149</f>
        <v>92</v>
      </c>
      <c r="DG56" s="146">
        <f xml:space="preserve"> Time!DG$149</f>
        <v>92</v>
      </c>
      <c r="DH56" s="146">
        <f xml:space="preserve"> Time!DH$149</f>
        <v>90</v>
      </c>
      <c r="DI56" s="146">
        <f xml:space="preserve"> Time!DI$149</f>
        <v>91</v>
      </c>
      <c r="DJ56" s="146">
        <f xml:space="preserve"> Time!DJ$149</f>
        <v>92</v>
      </c>
      <c r="DK56" s="146">
        <f xml:space="preserve"> Time!DK$149</f>
        <v>92</v>
      </c>
      <c r="DL56" s="146">
        <f xml:space="preserve"> Time!DL$149</f>
        <v>90</v>
      </c>
      <c r="DM56" s="146">
        <f xml:space="preserve"> Time!DM$149</f>
        <v>91</v>
      </c>
      <c r="DN56" s="146">
        <f xml:space="preserve"> Time!DN$149</f>
        <v>92</v>
      </c>
      <c r="DO56" s="146">
        <f xml:space="preserve"> Time!DO$149</f>
        <v>92</v>
      </c>
      <c r="DP56" s="146">
        <f xml:space="preserve"> Time!DP$149</f>
        <v>91</v>
      </c>
      <c r="DQ56" s="146">
        <f xml:space="preserve"> Time!DQ$149</f>
        <v>91</v>
      </c>
      <c r="DR56" s="146">
        <f xml:space="preserve"> Time!DR$149</f>
        <v>92</v>
      </c>
      <c r="DS56" s="146">
        <f xml:space="preserve"> Time!DS$149</f>
        <v>92</v>
      </c>
      <c r="DT56" s="146">
        <f xml:space="preserve"> Time!DT$149</f>
        <v>90</v>
      </c>
      <c r="DU56" s="146">
        <f xml:space="preserve"> Time!DU$149</f>
        <v>91</v>
      </c>
      <c r="DV56" s="146">
        <f xml:space="preserve"> Time!DV$149</f>
        <v>92</v>
      </c>
      <c r="DW56" s="146">
        <f xml:space="preserve"> Time!DW$149</f>
        <v>92</v>
      </c>
      <c r="DX56" s="146">
        <f xml:space="preserve"> Time!DX$149</f>
        <v>90</v>
      </c>
      <c r="DY56" s="146">
        <f xml:space="preserve"> Time!DY$149</f>
        <v>91</v>
      </c>
      <c r="DZ56" s="146">
        <f xml:space="preserve"> Time!DZ$149</f>
        <v>92</v>
      </c>
      <c r="EA56" s="146">
        <f xml:space="preserve"> Time!EA$149</f>
        <v>92</v>
      </c>
    </row>
    <row r="57" spans="1:131" outlineLevel="2" x14ac:dyDescent="0.35">
      <c r="E57" s="7" t="s">
        <v>273</v>
      </c>
      <c r="G57" s="7" t="s">
        <v>274</v>
      </c>
      <c r="J57" s="236">
        <f t="shared" ref="J57:AO57" si="47" xml:space="preserve"> ($F53 + $F54) / $F55 * J56</f>
        <v>1.5333333333333336E-2</v>
      </c>
      <c r="K57" s="236">
        <f t="shared" si="47"/>
        <v>1.5333333333333336E-2</v>
      </c>
      <c r="L57" s="236">
        <f t="shared" si="47"/>
        <v>1.5000000000000001E-2</v>
      </c>
      <c r="M57" s="236">
        <f t="shared" si="47"/>
        <v>1.5166666666666669E-2</v>
      </c>
      <c r="N57" s="236">
        <f t="shared" si="47"/>
        <v>1.5333333333333336E-2</v>
      </c>
      <c r="O57" s="236">
        <f t="shared" si="47"/>
        <v>1.5333333333333336E-2</v>
      </c>
      <c r="P57" s="236">
        <f t="shared" si="47"/>
        <v>1.5000000000000001E-2</v>
      </c>
      <c r="Q57" s="236">
        <f t="shared" si="47"/>
        <v>1.5166666666666669E-2</v>
      </c>
      <c r="R57" s="236">
        <f t="shared" si="47"/>
        <v>1.5333333333333336E-2</v>
      </c>
      <c r="S57" s="236">
        <f t="shared" si="47"/>
        <v>1.5333333333333336E-2</v>
      </c>
      <c r="T57" s="236">
        <f t="shared" si="47"/>
        <v>1.5000000000000001E-2</v>
      </c>
      <c r="U57" s="236">
        <f t="shared" si="47"/>
        <v>1.5166666666666669E-2</v>
      </c>
      <c r="V57" s="236">
        <f t="shared" si="47"/>
        <v>1.5333333333333336E-2</v>
      </c>
      <c r="W57" s="236">
        <f t="shared" si="47"/>
        <v>1.5333333333333336E-2</v>
      </c>
      <c r="X57" s="236">
        <f t="shared" si="47"/>
        <v>1.5166666666666669E-2</v>
      </c>
      <c r="Y57" s="236">
        <f t="shared" si="47"/>
        <v>1.5166666666666669E-2</v>
      </c>
      <c r="Z57" s="236">
        <f t="shared" si="47"/>
        <v>1.5333333333333336E-2</v>
      </c>
      <c r="AA57" s="236">
        <f t="shared" si="47"/>
        <v>1.5333333333333336E-2</v>
      </c>
      <c r="AB57" s="236">
        <f t="shared" si="47"/>
        <v>1.5000000000000001E-2</v>
      </c>
      <c r="AC57" s="236">
        <f t="shared" si="47"/>
        <v>1.5166666666666669E-2</v>
      </c>
      <c r="AD57" s="236">
        <f t="shared" si="47"/>
        <v>1.5333333333333336E-2</v>
      </c>
      <c r="AE57" s="236">
        <f t="shared" si="47"/>
        <v>1.5333333333333336E-2</v>
      </c>
      <c r="AF57" s="236">
        <f t="shared" si="47"/>
        <v>1.5000000000000001E-2</v>
      </c>
      <c r="AG57" s="236">
        <f t="shared" si="47"/>
        <v>1.5166666666666669E-2</v>
      </c>
      <c r="AH57" s="236">
        <f t="shared" si="47"/>
        <v>1.5333333333333336E-2</v>
      </c>
      <c r="AI57" s="236">
        <f t="shared" si="47"/>
        <v>1.5333333333333336E-2</v>
      </c>
      <c r="AJ57" s="236">
        <f t="shared" si="47"/>
        <v>1.5000000000000001E-2</v>
      </c>
      <c r="AK57" s="236">
        <f t="shared" si="47"/>
        <v>1.5166666666666669E-2</v>
      </c>
      <c r="AL57" s="236">
        <f t="shared" si="47"/>
        <v>1.5333333333333336E-2</v>
      </c>
      <c r="AM57" s="236">
        <f t="shared" si="47"/>
        <v>1.5333333333333336E-2</v>
      </c>
      <c r="AN57" s="236">
        <f t="shared" si="47"/>
        <v>1.5166666666666669E-2</v>
      </c>
      <c r="AO57" s="236">
        <f t="shared" si="47"/>
        <v>1.5166666666666669E-2</v>
      </c>
      <c r="AP57" s="236">
        <f t="shared" ref="AP57:BU57" si="48" xml:space="preserve"> ($F53 + $F54) / $F55 * AP56</f>
        <v>1.5333333333333336E-2</v>
      </c>
      <c r="AQ57" s="236">
        <f t="shared" si="48"/>
        <v>1.5333333333333336E-2</v>
      </c>
      <c r="AR57" s="236">
        <f t="shared" si="48"/>
        <v>1.5000000000000001E-2</v>
      </c>
      <c r="AS57" s="236">
        <f t="shared" si="48"/>
        <v>1.5166666666666669E-2</v>
      </c>
      <c r="AT57" s="236">
        <f t="shared" si="48"/>
        <v>1.5333333333333336E-2</v>
      </c>
      <c r="AU57" s="236">
        <f t="shared" si="48"/>
        <v>1.5333333333333336E-2</v>
      </c>
      <c r="AV57" s="236">
        <f t="shared" si="48"/>
        <v>1.5000000000000001E-2</v>
      </c>
      <c r="AW57" s="236">
        <f t="shared" si="48"/>
        <v>1.5166666666666669E-2</v>
      </c>
      <c r="AX57" s="236">
        <f t="shared" si="48"/>
        <v>1.5333333333333336E-2</v>
      </c>
      <c r="AY57" s="236">
        <f t="shared" si="48"/>
        <v>1.5333333333333336E-2</v>
      </c>
      <c r="AZ57" s="236">
        <f t="shared" si="48"/>
        <v>1.5000000000000001E-2</v>
      </c>
      <c r="BA57" s="236">
        <f t="shared" si="48"/>
        <v>1.5166666666666669E-2</v>
      </c>
      <c r="BB57" s="236">
        <f t="shared" si="48"/>
        <v>1.5333333333333336E-2</v>
      </c>
      <c r="BC57" s="236">
        <f t="shared" si="48"/>
        <v>1.5333333333333336E-2</v>
      </c>
      <c r="BD57" s="236">
        <f t="shared" si="48"/>
        <v>1.5166666666666669E-2</v>
      </c>
      <c r="BE57" s="236">
        <f t="shared" si="48"/>
        <v>1.5166666666666669E-2</v>
      </c>
      <c r="BF57" s="236">
        <f t="shared" si="48"/>
        <v>1.5333333333333336E-2</v>
      </c>
      <c r="BG57" s="236">
        <f t="shared" si="48"/>
        <v>1.5333333333333336E-2</v>
      </c>
      <c r="BH57" s="236">
        <f t="shared" si="48"/>
        <v>1.5000000000000001E-2</v>
      </c>
      <c r="BI57" s="236">
        <f t="shared" si="48"/>
        <v>1.5166666666666669E-2</v>
      </c>
      <c r="BJ57" s="236">
        <f t="shared" si="48"/>
        <v>1.5333333333333336E-2</v>
      </c>
      <c r="BK57" s="236">
        <f t="shared" si="48"/>
        <v>1.5333333333333336E-2</v>
      </c>
      <c r="BL57" s="236">
        <f t="shared" si="48"/>
        <v>1.5000000000000001E-2</v>
      </c>
      <c r="BM57" s="236">
        <f t="shared" si="48"/>
        <v>1.5166666666666669E-2</v>
      </c>
      <c r="BN57" s="236">
        <f t="shared" si="48"/>
        <v>1.5333333333333336E-2</v>
      </c>
      <c r="BO57" s="236">
        <f t="shared" si="48"/>
        <v>1.5333333333333336E-2</v>
      </c>
      <c r="BP57" s="236">
        <f t="shared" si="48"/>
        <v>1.5000000000000001E-2</v>
      </c>
      <c r="BQ57" s="236">
        <f t="shared" si="48"/>
        <v>1.5166666666666669E-2</v>
      </c>
      <c r="BR57" s="236">
        <f t="shared" si="48"/>
        <v>1.5333333333333336E-2</v>
      </c>
      <c r="BS57" s="236">
        <f t="shared" si="48"/>
        <v>1.5333333333333336E-2</v>
      </c>
      <c r="BT57" s="236">
        <f t="shared" si="48"/>
        <v>1.5166666666666669E-2</v>
      </c>
      <c r="BU57" s="236">
        <f t="shared" si="48"/>
        <v>1.5166666666666669E-2</v>
      </c>
      <c r="BV57" s="236">
        <f t="shared" ref="BV57:DA57" si="49" xml:space="preserve"> ($F53 + $F54) / $F55 * BV56</f>
        <v>1.5333333333333336E-2</v>
      </c>
      <c r="BW57" s="236">
        <f t="shared" si="49"/>
        <v>1.5333333333333336E-2</v>
      </c>
      <c r="BX57" s="236">
        <f t="shared" si="49"/>
        <v>1.5000000000000001E-2</v>
      </c>
      <c r="BY57" s="236">
        <f t="shared" si="49"/>
        <v>1.5166666666666669E-2</v>
      </c>
      <c r="BZ57" s="236">
        <f t="shared" si="49"/>
        <v>1.5333333333333336E-2</v>
      </c>
      <c r="CA57" s="236">
        <f t="shared" si="49"/>
        <v>1.5333333333333336E-2</v>
      </c>
      <c r="CB57" s="236">
        <f t="shared" si="49"/>
        <v>1.5000000000000001E-2</v>
      </c>
      <c r="CC57" s="236">
        <f t="shared" si="49"/>
        <v>1.5166666666666669E-2</v>
      </c>
      <c r="CD57" s="236">
        <f t="shared" si="49"/>
        <v>1.5333333333333336E-2</v>
      </c>
      <c r="CE57" s="236">
        <f t="shared" si="49"/>
        <v>1.5333333333333336E-2</v>
      </c>
      <c r="CF57" s="236">
        <f t="shared" si="49"/>
        <v>1.5000000000000001E-2</v>
      </c>
      <c r="CG57" s="236">
        <f t="shared" si="49"/>
        <v>1.5166666666666669E-2</v>
      </c>
      <c r="CH57" s="236">
        <f t="shared" si="49"/>
        <v>1.5333333333333336E-2</v>
      </c>
      <c r="CI57" s="236">
        <f t="shared" si="49"/>
        <v>1.5333333333333336E-2</v>
      </c>
      <c r="CJ57" s="236">
        <f t="shared" si="49"/>
        <v>1.5166666666666669E-2</v>
      </c>
      <c r="CK57" s="236">
        <f t="shared" si="49"/>
        <v>1.5166666666666669E-2</v>
      </c>
      <c r="CL57" s="236">
        <f t="shared" si="49"/>
        <v>1.5333333333333336E-2</v>
      </c>
      <c r="CM57" s="236">
        <f t="shared" si="49"/>
        <v>1.5333333333333336E-2</v>
      </c>
      <c r="CN57" s="236">
        <f t="shared" si="49"/>
        <v>1.5000000000000001E-2</v>
      </c>
      <c r="CO57" s="236">
        <f t="shared" si="49"/>
        <v>1.5166666666666669E-2</v>
      </c>
      <c r="CP57" s="236">
        <f t="shared" si="49"/>
        <v>1.5333333333333336E-2</v>
      </c>
      <c r="CQ57" s="236">
        <f t="shared" si="49"/>
        <v>1.5333333333333336E-2</v>
      </c>
      <c r="CR57" s="236">
        <f t="shared" si="49"/>
        <v>1.5000000000000001E-2</v>
      </c>
      <c r="CS57" s="236">
        <f t="shared" si="49"/>
        <v>1.5166666666666669E-2</v>
      </c>
      <c r="CT57" s="236">
        <f t="shared" si="49"/>
        <v>1.5333333333333336E-2</v>
      </c>
      <c r="CU57" s="236">
        <f t="shared" si="49"/>
        <v>1.5333333333333336E-2</v>
      </c>
      <c r="CV57" s="236">
        <f t="shared" si="49"/>
        <v>1.5000000000000001E-2</v>
      </c>
      <c r="CW57" s="236">
        <f t="shared" si="49"/>
        <v>1.5166666666666669E-2</v>
      </c>
      <c r="CX57" s="236">
        <f t="shared" si="49"/>
        <v>1.5333333333333336E-2</v>
      </c>
      <c r="CY57" s="236">
        <f t="shared" si="49"/>
        <v>1.5333333333333336E-2</v>
      </c>
      <c r="CZ57" s="236">
        <f t="shared" si="49"/>
        <v>1.5166666666666669E-2</v>
      </c>
      <c r="DA57" s="236">
        <f t="shared" si="49"/>
        <v>1.5166666666666669E-2</v>
      </c>
      <c r="DB57" s="236">
        <f t="shared" ref="DB57:EA57" si="50" xml:space="preserve"> ($F53 + $F54) / $F55 * DB56</f>
        <v>1.5333333333333336E-2</v>
      </c>
      <c r="DC57" s="236">
        <f t="shared" si="50"/>
        <v>1.5333333333333336E-2</v>
      </c>
      <c r="DD57" s="236">
        <f t="shared" si="50"/>
        <v>1.5000000000000001E-2</v>
      </c>
      <c r="DE57" s="236">
        <f t="shared" si="50"/>
        <v>1.5166666666666669E-2</v>
      </c>
      <c r="DF57" s="236">
        <f t="shared" si="50"/>
        <v>1.5333333333333336E-2</v>
      </c>
      <c r="DG57" s="236">
        <f t="shared" si="50"/>
        <v>1.5333333333333336E-2</v>
      </c>
      <c r="DH57" s="236">
        <f t="shared" si="50"/>
        <v>1.5000000000000001E-2</v>
      </c>
      <c r="DI57" s="236">
        <f t="shared" si="50"/>
        <v>1.5166666666666669E-2</v>
      </c>
      <c r="DJ57" s="236">
        <f t="shared" si="50"/>
        <v>1.5333333333333336E-2</v>
      </c>
      <c r="DK57" s="236">
        <f t="shared" si="50"/>
        <v>1.5333333333333336E-2</v>
      </c>
      <c r="DL57" s="236">
        <f t="shared" si="50"/>
        <v>1.5000000000000001E-2</v>
      </c>
      <c r="DM57" s="236">
        <f t="shared" si="50"/>
        <v>1.5166666666666669E-2</v>
      </c>
      <c r="DN57" s="236">
        <f t="shared" si="50"/>
        <v>1.5333333333333336E-2</v>
      </c>
      <c r="DO57" s="236">
        <f t="shared" si="50"/>
        <v>1.5333333333333336E-2</v>
      </c>
      <c r="DP57" s="236">
        <f t="shared" si="50"/>
        <v>1.5166666666666669E-2</v>
      </c>
      <c r="DQ57" s="236">
        <f t="shared" si="50"/>
        <v>1.5166666666666669E-2</v>
      </c>
      <c r="DR57" s="236">
        <f t="shared" si="50"/>
        <v>1.5333333333333336E-2</v>
      </c>
      <c r="DS57" s="236">
        <f t="shared" si="50"/>
        <v>1.5333333333333336E-2</v>
      </c>
      <c r="DT57" s="236">
        <f t="shared" si="50"/>
        <v>1.5000000000000001E-2</v>
      </c>
      <c r="DU57" s="236">
        <f t="shared" si="50"/>
        <v>1.5166666666666669E-2</v>
      </c>
      <c r="DV57" s="236">
        <f t="shared" si="50"/>
        <v>1.5333333333333336E-2</v>
      </c>
      <c r="DW57" s="236">
        <f t="shared" si="50"/>
        <v>1.5333333333333336E-2</v>
      </c>
      <c r="DX57" s="236">
        <f t="shared" si="50"/>
        <v>1.5000000000000001E-2</v>
      </c>
      <c r="DY57" s="236">
        <f t="shared" si="50"/>
        <v>1.5166666666666669E-2</v>
      </c>
      <c r="DZ57" s="236">
        <f t="shared" si="50"/>
        <v>1.5333333333333336E-2</v>
      </c>
      <c r="EA57" s="236">
        <f t="shared" si="50"/>
        <v>1.5333333333333336E-2</v>
      </c>
    </row>
    <row r="58" spans="1:131" outlineLevel="2" x14ac:dyDescent="0.35"/>
    <row r="59" spans="1:131" outlineLevel="2" x14ac:dyDescent="0.35">
      <c r="E59" s="7" t="str">
        <f t="shared" ref="E59:AJ59" si="51" xml:space="preserve"> E$70</f>
        <v>Senior debt balance BEG</v>
      </c>
      <c r="F59" s="7">
        <f t="shared" si="51"/>
        <v>0</v>
      </c>
      <c r="G59" s="7" t="str">
        <f t="shared" si="51"/>
        <v>$ 000s</v>
      </c>
      <c r="H59" s="7">
        <f t="shared" si="51"/>
        <v>0</v>
      </c>
      <c r="I59" s="7">
        <f t="shared" si="51"/>
        <v>0</v>
      </c>
      <c r="J59" s="7">
        <f t="shared" si="51"/>
        <v>0</v>
      </c>
      <c r="K59" s="7">
        <f t="shared" si="51"/>
        <v>0</v>
      </c>
      <c r="L59" s="7">
        <f t="shared" si="51"/>
        <v>0</v>
      </c>
      <c r="M59" s="7">
        <f t="shared" si="51"/>
        <v>70000</v>
      </c>
      <c r="N59" s="7">
        <f t="shared" si="51"/>
        <v>68712.362134597439</v>
      </c>
      <c r="O59" s="7">
        <f t="shared" si="51"/>
        <v>67416.647155258703</v>
      </c>
      <c r="P59" s="7">
        <f t="shared" si="51"/>
        <v>66101.064546236768</v>
      </c>
      <c r="Q59" s="7">
        <f t="shared" si="51"/>
        <v>64743.27598236109</v>
      </c>
      <c r="R59" s="7">
        <f t="shared" si="51"/>
        <v>63375.911136024333</v>
      </c>
      <c r="S59" s="7">
        <f t="shared" si="51"/>
        <v>61998.370574707478</v>
      </c>
      <c r="T59" s="7">
        <f t="shared" si="51"/>
        <v>60599.707724783759</v>
      </c>
      <c r="U59" s="7">
        <f t="shared" si="51"/>
        <v>59159.39880858628</v>
      </c>
      <c r="V59" s="7">
        <f t="shared" si="51"/>
        <v>57707.345158447271</v>
      </c>
      <c r="W59" s="7">
        <f t="shared" si="51"/>
        <v>56242.886585474233</v>
      </c>
      <c r="X59" s="7">
        <f t="shared" si="51"/>
        <v>54755.972981048937</v>
      </c>
      <c r="Y59" s="7">
        <f t="shared" si="51"/>
        <v>53237.134039192279</v>
      </c>
      <c r="Z59" s="7">
        <f t="shared" si="51"/>
        <v>51695.259373384128</v>
      </c>
      <c r="AA59" s="7">
        <f t="shared" si="51"/>
        <v>50138.615485040122</v>
      </c>
      <c r="AB59" s="7">
        <f t="shared" si="51"/>
        <v>48558.103057074841</v>
      </c>
      <c r="AC59" s="7">
        <f t="shared" si="51"/>
        <v>46937.170070861728</v>
      </c>
      <c r="AD59" s="7">
        <f t="shared" si="51"/>
        <v>45299.7459515339</v>
      </c>
      <c r="AE59" s="7">
        <f t="shared" si="51"/>
        <v>43645.037524054853</v>
      </c>
      <c r="AF59" s="7">
        <f t="shared" si="51"/>
        <v>41964.956900687794</v>
      </c>
      <c r="AG59" s="7">
        <f t="shared" si="51"/>
        <v>40245.12672212888</v>
      </c>
      <c r="AH59" s="7">
        <f t="shared" si="51"/>
        <v>38506.206612011934</v>
      </c>
      <c r="AI59" s="7">
        <f t="shared" si="51"/>
        <v>36747.330581326889</v>
      </c>
      <c r="AJ59" s="7">
        <f t="shared" si="51"/>
        <v>34961.485118171338</v>
      </c>
      <c r="AK59" s="7">
        <f t="shared" ref="AK59:BP59" si="52" xml:space="preserve"> AK$70</f>
        <v>33136.602862874679</v>
      </c>
      <c r="AL59" s="7">
        <f t="shared" si="52"/>
        <v>31289.870140892381</v>
      </c>
      <c r="AM59" s="7">
        <f t="shared" si="52"/>
        <v>29420.343617650164</v>
      </c>
      <c r="AN59" s="7">
        <f t="shared" si="52"/>
        <v>27522.151021051566</v>
      </c>
      <c r="AO59" s="7">
        <f t="shared" si="52"/>
        <v>25590.265779468282</v>
      </c>
      <c r="AP59" s="7">
        <f t="shared" si="52"/>
        <v>23629.080278387653</v>
      </c>
      <c r="AQ59" s="7">
        <f t="shared" si="52"/>
        <v>21642.088310587031</v>
      </c>
      <c r="AR59" s="7">
        <f t="shared" si="52"/>
        <v>19624.629132613467</v>
      </c>
      <c r="AS59" s="7">
        <f t="shared" si="52"/>
        <v>17569.694037533438</v>
      </c>
      <c r="AT59" s="7">
        <f t="shared" si="52"/>
        <v>15486.863198366796</v>
      </c>
      <c r="AU59" s="7">
        <f t="shared" si="52"/>
        <v>13375.023902005856</v>
      </c>
      <c r="AV59" s="7">
        <f t="shared" si="52"/>
        <v>11230.80306976738</v>
      </c>
      <c r="AW59" s="7">
        <f t="shared" si="52"/>
        <v>9049.9605837446597</v>
      </c>
      <c r="AX59" s="7">
        <f t="shared" si="52"/>
        <v>6837.9137871955554</v>
      </c>
      <c r="AY59" s="7">
        <f t="shared" si="52"/>
        <v>4593.4572665299893</v>
      </c>
      <c r="AZ59" s="7">
        <f t="shared" si="52"/>
        <v>2314.5857458808841</v>
      </c>
      <c r="BA59" s="7">
        <f t="shared" si="52"/>
        <v>-1.3415046851150692E-10</v>
      </c>
      <c r="BB59" s="7">
        <f t="shared" si="52"/>
        <v>-1.3618508395059811E-10</v>
      </c>
      <c r="BC59" s="7">
        <f t="shared" si="52"/>
        <v>-1.3827325523784061E-10</v>
      </c>
      <c r="BD59" s="7">
        <f t="shared" si="52"/>
        <v>-1.4039344515148752E-10</v>
      </c>
      <c r="BE59" s="7">
        <f t="shared" si="52"/>
        <v>-1.4252274573628509E-10</v>
      </c>
      <c r="BF59" s="7">
        <f t="shared" si="52"/>
        <v>-1.446843407132854E-10</v>
      </c>
      <c r="BG59" s="7">
        <f t="shared" si="52"/>
        <v>-1.4690283393755577E-10</v>
      </c>
      <c r="BH59" s="7">
        <f t="shared" si="52"/>
        <v>-1.4915534405793163E-10</v>
      </c>
      <c r="BI59" s="7">
        <f t="shared" si="52"/>
        <v>-1.5139267421880061E-10</v>
      </c>
      <c r="BJ59" s="7">
        <f t="shared" si="52"/>
        <v>-1.5368879644445241E-10</v>
      </c>
      <c r="BK59" s="7">
        <f t="shared" si="52"/>
        <v>-1.56045357989934E-10</v>
      </c>
      <c r="BL59" s="7">
        <f t="shared" si="52"/>
        <v>-1.5843805347911299E-10</v>
      </c>
      <c r="BM59" s="7">
        <f t="shared" si="52"/>
        <v>-1.6081462428129969E-10</v>
      </c>
      <c r="BN59" s="7">
        <f t="shared" si="52"/>
        <v>-1.632536460828994E-10</v>
      </c>
      <c r="BO59" s="7">
        <f t="shared" si="52"/>
        <v>-1.6575686865617051E-10</v>
      </c>
      <c r="BP59" s="7">
        <f t="shared" si="52"/>
        <v>-1.6829847397556512E-10</v>
      </c>
      <c r="BQ59" s="7">
        <f t="shared" ref="BQ59:CV59" si="53" xml:space="preserve"> BQ$70</f>
        <v>-1.7082295108519861E-10</v>
      </c>
      <c r="BR59" s="7">
        <f t="shared" si="53"/>
        <v>-1.7341376584332412E-10</v>
      </c>
      <c r="BS59" s="7">
        <f t="shared" si="53"/>
        <v>-1.7607277691958842E-10</v>
      </c>
      <c r="BT59" s="7">
        <f t="shared" si="53"/>
        <v>-1.7877255949902209E-10</v>
      </c>
      <c r="BU59" s="7">
        <f t="shared" si="53"/>
        <v>-1.8148394331809058E-10</v>
      </c>
      <c r="BV59" s="7">
        <f t="shared" si="53"/>
        <v>-1.8423644979174829E-10</v>
      </c>
      <c r="BW59" s="7">
        <f t="shared" si="53"/>
        <v>-1.870614086885551E-10</v>
      </c>
      <c r="BX59" s="7">
        <f t="shared" si="53"/>
        <v>-1.8992968362177961E-10</v>
      </c>
      <c r="BY59" s="7">
        <f t="shared" si="53"/>
        <v>-1.9277862887610629E-10</v>
      </c>
      <c r="BZ59" s="7">
        <f t="shared" si="53"/>
        <v>-1.9570243808072725E-10</v>
      </c>
      <c r="CA59" s="7">
        <f t="shared" si="53"/>
        <v>-1.9870320879796507E-10</v>
      </c>
      <c r="CB59" s="7">
        <f t="shared" si="53"/>
        <v>-2.017499913328672E-10</v>
      </c>
      <c r="CC59" s="7">
        <f t="shared" si="53"/>
        <v>-2.0477624120286021E-10</v>
      </c>
      <c r="CD59" s="7">
        <f t="shared" si="53"/>
        <v>-2.0788201419443692E-10</v>
      </c>
      <c r="CE59" s="7">
        <f t="shared" si="53"/>
        <v>-2.1106953841208495E-10</v>
      </c>
      <c r="CF59" s="7">
        <f t="shared" si="53"/>
        <v>-2.1430593800107024E-10</v>
      </c>
      <c r="CG59" s="7">
        <f t="shared" si="53"/>
        <v>-2.1752052707108629E-10</v>
      </c>
      <c r="CH59" s="7">
        <f t="shared" si="53"/>
        <v>-2.2081958839833109E-10</v>
      </c>
      <c r="CI59" s="7">
        <f t="shared" si="53"/>
        <v>-2.2420548875377216E-10</v>
      </c>
      <c r="CJ59" s="7">
        <f t="shared" si="53"/>
        <v>-2.2764330624799667E-10</v>
      </c>
      <c r="CK59" s="7">
        <f t="shared" si="53"/>
        <v>-2.3109589639275796E-10</v>
      </c>
      <c r="CL59" s="7">
        <f t="shared" si="53"/>
        <v>-2.3460085082138146E-10</v>
      </c>
      <c r="CM59" s="7">
        <f t="shared" si="53"/>
        <v>-2.381980638673093E-10</v>
      </c>
      <c r="CN59" s="7">
        <f t="shared" si="53"/>
        <v>-2.4185043417994138E-10</v>
      </c>
      <c r="CO59" s="7">
        <f t="shared" si="53"/>
        <v>-2.4547819069264048E-10</v>
      </c>
      <c r="CP59" s="7">
        <f t="shared" si="53"/>
        <v>-2.4920127658481221E-10</v>
      </c>
      <c r="CQ59" s="7">
        <f t="shared" si="53"/>
        <v>-2.5302236282577934E-10</v>
      </c>
      <c r="CR59" s="7">
        <f t="shared" si="53"/>
        <v>-2.5690203905577462E-10</v>
      </c>
      <c r="CS59" s="7">
        <f t="shared" si="53"/>
        <v>-2.6075556964161123E-10</v>
      </c>
      <c r="CT59" s="7">
        <f t="shared" si="53"/>
        <v>-2.6471036244784235E-10</v>
      </c>
      <c r="CU59" s="7">
        <f t="shared" si="53"/>
        <v>-2.6876925467204262E-10</v>
      </c>
      <c r="CV59" s="7">
        <f t="shared" si="53"/>
        <v>-2.7289038324368063E-10</v>
      </c>
      <c r="CW59" s="7">
        <f t="shared" ref="CW59:EA59" si="54" xml:space="preserve"> CW$70</f>
        <v>-2.7698373899233584E-10</v>
      </c>
      <c r="CX59" s="7">
        <f t="shared" si="54"/>
        <v>-2.8118465903371959E-10</v>
      </c>
      <c r="CY59" s="7">
        <f t="shared" si="54"/>
        <v>-2.8549615713890329E-10</v>
      </c>
      <c r="CZ59" s="7">
        <f t="shared" si="54"/>
        <v>-2.8987376488169981E-10</v>
      </c>
      <c r="DA59" s="7">
        <f t="shared" si="54"/>
        <v>-2.9427018364907226E-10</v>
      </c>
      <c r="DB59" s="7">
        <f t="shared" si="54"/>
        <v>-2.9873328143441653E-10</v>
      </c>
      <c r="DC59" s="7">
        <f t="shared" si="54"/>
        <v>-3.0331385841641094E-10</v>
      </c>
      <c r="DD59" s="7">
        <f t="shared" si="54"/>
        <v>-3.0796467091212923E-10</v>
      </c>
      <c r="DE59" s="7">
        <f t="shared" si="54"/>
        <v>-3.1258414097581117E-10</v>
      </c>
      <c r="DF59" s="7">
        <f t="shared" si="54"/>
        <v>-3.1732500044727764E-10</v>
      </c>
      <c r="DG59" s="7">
        <f t="shared" si="54"/>
        <v>-3.2219065045413591E-10</v>
      </c>
      <c r="DH59" s="7">
        <f t="shared" si="54"/>
        <v>-3.2713090709443267E-10</v>
      </c>
      <c r="DI59" s="7">
        <f t="shared" si="54"/>
        <v>-3.3203787070084914E-10</v>
      </c>
      <c r="DJ59" s="7">
        <f t="shared" si="54"/>
        <v>-3.3707377840647867E-10</v>
      </c>
      <c r="DK59" s="7">
        <f t="shared" si="54"/>
        <v>-3.4224224300871133E-10</v>
      </c>
      <c r="DL59" s="7">
        <f t="shared" si="54"/>
        <v>-3.4748995740151156E-10</v>
      </c>
      <c r="DM59" s="7">
        <f t="shared" si="54"/>
        <v>-3.5270230676253423E-10</v>
      </c>
      <c r="DN59" s="7">
        <f t="shared" si="54"/>
        <v>-3.58051625081766E-10</v>
      </c>
      <c r="DO59" s="7">
        <f t="shared" si="54"/>
        <v>-3.635417499996864E-10</v>
      </c>
      <c r="DP59" s="7">
        <f t="shared" si="54"/>
        <v>-3.6911605683301494E-10</v>
      </c>
      <c r="DQ59" s="7">
        <f t="shared" si="54"/>
        <v>-3.7471431702831565E-10</v>
      </c>
      <c r="DR59" s="7">
        <f t="shared" si="54"/>
        <v>-3.8039748416991176E-10</v>
      </c>
      <c r="DS59" s="7">
        <f t="shared" si="54"/>
        <v>-3.8623024559385041E-10</v>
      </c>
      <c r="DT59" s="7">
        <f t="shared" si="54"/>
        <v>-3.9215244269295612E-10</v>
      </c>
      <c r="DU59" s="7">
        <f t="shared" si="54"/>
        <v>-3.9803472933335048E-10</v>
      </c>
      <c r="DV59" s="7">
        <f t="shared" si="54"/>
        <v>-4.040715893949063E-10</v>
      </c>
      <c r="DW59" s="7">
        <f t="shared" si="54"/>
        <v>-4.1026735376562818E-10</v>
      </c>
      <c r="DX59" s="7">
        <f t="shared" si="54"/>
        <v>-4.1655811985670115E-10</v>
      </c>
      <c r="DY59" s="7">
        <f t="shared" si="54"/>
        <v>-4.2280649165455167E-10</v>
      </c>
      <c r="DZ59" s="7">
        <f t="shared" si="54"/>
        <v>-4.2921905677797905E-10</v>
      </c>
      <c r="EA59" s="7">
        <f t="shared" si="54"/>
        <v>-4.3580041564857471E-10</v>
      </c>
    </row>
    <row r="60" spans="1:131" s="238" customFormat="1" outlineLevel="2" x14ac:dyDescent="0.35">
      <c r="A60" s="237"/>
      <c r="B60" s="237"/>
      <c r="C60" s="508"/>
      <c r="D60" s="81"/>
      <c r="E60" s="236" t="str">
        <f t="shared" ref="E60:AJ60" si="55" xml:space="preserve"> E$57</f>
        <v>Senior debt period interest rate</v>
      </c>
      <c r="F60" s="236">
        <f t="shared" si="55"/>
        <v>0</v>
      </c>
      <c r="G60" s="236" t="str">
        <f t="shared" si="55"/>
        <v>rate</v>
      </c>
      <c r="H60" s="236">
        <f t="shared" si="55"/>
        <v>0</v>
      </c>
      <c r="I60" s="236">
        <f t="shared" si="55"/>
        <v>0</v>
      </c>
      <c r="J60" s="236">
        <f t="shared" si="55"/>
        <v>1.5333333333333336E-2</v>
      </c>
      <c r="K60" s="236">
        <f t="shared" si="55"/>
        <v>1.5333333333333336E-2</v>
      </c>
      <c r="L60" s="236">
        <f t="shared" si="55"/>
        <v>1.5000000000000001E-2</v>
      </c>
      <c r="M60" s="236">
        <f t="shared" si="55"/>
        <v>1.5166666666666669E-2</v>
      </c>
      <c r="N60" s="236">
        <f t="shared" si="55"/>
        <v>1.5333333333333336E-2</v>
      </c>
      <c r="O60" s="236">
        <f t="shared" si="55"/>
        <v>1.5333333333333336E-2</v>
      </c>
      <c r="P60" s="236">
        <f t="shared" si="55"/>
        <v>1.5000000000000001E-2</v>
      </c>
      <c r="Q60" s="236">
        <f t="shared" si="55"/>
        <v>1.5166666666666669E-2</v>
      </c>
      <c r="R60" s="236">
        <f t="shared" si="55"/>
        <v>1.5333333333333336E-2</v>
      </c>
      <c r="S60" s="236">
        <f t="shared" si="55"/>
        <v>1.5333333333333336E-2</v>
      </c>
      <c r="T60" s="236">
        <f t="shared" si="55"/>
        <v>1.5000000000000001E-2</v>
      </c>
      <c r="U60" s="236">
        <f t="shared" si="55"/>
        <v>1.5166666666666669E-2</v>
      </c>
      <c r="V60" s="236">
        <f t="shared" si="55"/>
        <v>1.5333333333333336E-2</v>
      </c>
      <c r="W60" s="236">
        <f t="shared" si="55"/>
        <v>1.5333333333333336E-2</v>
      </c>
      <c r="X60" s="236">
        <f t="shared" si="55"/>
        <v>1.5166666666666669E-2</v>
      </c>
      <c r="Y60" s="236">
        <f t="shared" si="55"/>
        <v>1.5166666666666669E-2</v>
      </c>
      <c r="Z60" s="236">
        <f t="shared" si="55"/>
        <v>1.5333333333333336E-2</v>
      </c>
      <c r="AA60" s="236">
        <f t="shared" si="55"/>
        <v>1.5333333333333336E-2</v>
      </c>
      <c r="AB60" s="236">
        <f t="shared" si="55"/>
        <v>1.5000000000000001E-2</v>
      </c>
      <c r="AC60" s="236">
        <f t="shared" si="55"/>
        <v>1.5166666666666669E-2</v>
      </c>
      <c r="AD60" s="236">
        <f t="shared" si="55"/>
        <v>1.5333333333333336E-2</v>
      </c>
      <c r="AE60" s="236">
        <f t="shared" si="55"/>
        <v>1.5333333333333336E-2</v>
      </c>
      <c r="AF60" s="236">
        <f t="shared" si="55"/>
        <v>1.5000000000000001E-2</v>
      </c>
      <c r="AG60" s="236">
        <f t="shared" si="55"/>
        <v>1.5166666666666669E-2</v>
      </c>
      <c r="AH60" s="236">
        <f t="shared" si="55"/>
        <v>1.5333333333333336E-2</v>
      </c>
      <c r="AI60" s="236">
        <f t="shared" si="55"/>
        <v>1.5333333333333336E-2</v>
      </c>
      <c r="AJ60" s="236">
        <f t="shared" si="55"/>
        <v>1.5000000000000001E-2</v>
      </c>
      <c r="AK60" s="236">
        <f t="shared" ref="AK60:BP60" si="56" xml:space="preserve"> AK$57</f>
        <v>1.5166666666666669E-2</v>
      </c>
      <c r="AL60" s="236">
        <f t="shared" si="56"/>
        <v>1.5333333333333336E-2</v>
      </c>
      <c r="AM60" s="236">
        <f t="shared" si="56"/>
        <v>1.5333333333333336E-2</v>
      </c>
      <c r="AN60" s="236">
        <f t="shared" si="56"/>
        <v>1.5166666666666669E-2</v>
      </c>
      <c r="AO60" s="236">
        <f t="shared" si="56"/>
        <v>1.5166666666666669E-2</v>
      </c>
      <c r="AP60" s="236">
        <f t="shared" si="56"/>
        <v>1.5333333333333336E-2</v>
      </c>
      <c r="AQ60" s="236">
        <f t="shared" si="56"/>
        <v>1.5333333333333336E-2</v>
      </c>
      <c r="AR60" s="236">
        <f t="shared" si="56"/>
        <v>1.5000000000000001E-2</v>
      </c>
      <c r="AS60" s="236">
        <f t="shared" si="56"/>
        <v>1.5166666666666669E-2</v>
      </c>
      <c r="AT60" s="236">
        <f t="shared" si="56"/>
        <v>1.5333333333333336E-2</v>
      </c>
      <c r="AU60" s="236">
        <f t="shared" si="56"/>
        <v>1.5333333333333336E-2</v>
      </c>
      <c r="AV60" s="236">
        <f t="shared" si="56"/>
        <v>1.5000000000000001E-2</v>
      </c>
      <c r="AW60" s="236">
        <f t="shared" si="56"/>
        <v>1.5166666666666669E-2</v>
      </c>
      <c r="AX60" s="236">
        <f t="shared" si="56"/>
        <v>1.5333333333333336E-2</v>
      </c>
      <c r="AY60" s="236">
        <f t="shared" si="56"/>
        <v>1.5333333333333336E-2</v>
      </c>
      <c r="AZ60" s="236">
        <f t="shared" si="56"/>
        <v>1.5000000000000001E-2</v>
      </c>
      <c r="BA60" s="236">
        <f t="shared" si="56"/>
        <v>1.5166666666666669E-2</v>
      </c>
      <c r="BB60" s="236">
        <f t="shared" si="56"/>
        <v>1.5333333333333336E-2</v>
      </c>
      <c r="BC60" s="236">
        <f t="shared" si="56"/>
        <v>1.5333333333333336E-2</v>
      </c>
      <c r="BD60" s="236">
        <f t="shared" si="56"/>
        <v>1.5166666666666669E-2</v>
      </c>
      <c r="BE60" s="236">
        <f t="shared" si="56"/>
        <v>1.5166666666666669E-2</v>
      </c>
      <c r="BF60" s="236">
        <f t="shared" si="56"/>
        <v>1.5333333333333336E-2</v>
      </c>
      <c r="BG60" s="236">
        <f t="shared" si="56"/>
        <v>1.5333333333333336E-2</v>
      </c>
      <c r="BH60" s="236">
        <f t="shared" si="56"/>
        <v>1.5000000000000001E-2</v>
      </c>
      <c r="BI60" s="236">
        <f t="shared" si="56"/>
        <v>1.5166666666666669E-2</v>
      </c>
      <c r="BJ60" s="236">
        <f t="shared" si="56"/>
        <v>1.5333333333333336E-2</v>
      </c>
      <c r="BK60" s="236">
        <f t="shared" si="56"/>
        <v>1.5333333333333336E-2</v>
      </c>
      <c r="BL60" s="236">
        <f t="shared" si="56"/>
        <v>1.5000000000000001E-2</v>
      </c>
      <c r="BM60" s="236">
        <f t="shared" si="56"/>
        <v>1.5166666666666669E-2</v>
      </c>
      <c r="BN60" s="236">
        <f t="shared" si="56"/>
        <v>1.5333333333333336E-2</v>
      </c>
      <c r="BO60" s="236">
        <f t="shared" si="56"/>
        <v>1.5333333333333336E-2</v>
      </c>
      <c r="BP60" s="236">
        <f t="shared" si="56"/>
        <v>1.5000000000000001E-2</v>
      </c>
      <c r="BQ60" s="236">
        <f t="shared" ref="BQ60:CV60" si="57" xml:space="preserve"> BQ$57</f>
        <v>1.5166666666666669E-2</v>
      </c>
      <c r="BR60" s="236">
        <f t="shared" si="57"/>
        <v>1.5333333333333336E-2</v>
      </c>
      <c r="BS60" s="236">
        <f t="shared" si="57"/>
        <v>1.5333333333333336E-2</v>
      </c>
      <c r="BT60" s="236">
        <f t="shared" si="57"/>
        <v>1.5166666666666669E-2</v>
      </c>
      <c r="BU60" s="236">
        <f t="shared" si="57"/>
        <v>1.5166666666666669E-2</v>
      </c>
      <c r="BV60" s="236">
        <f t="shared" si="57"/>
        <v>1.5333333333333336E-2</v>
      </c>
      <c r="BW60" s="236">
        <f t="shared" si="57"/>
        <v>1.5333333333333336E-2</v>
      </c>
      <c r="BX60" s="236">
        <f t="shared" si="57"/>
        <v>1.5000000000000001E-2</v>
      </c>
      <c r="BY60" s="236">
        <f t="shared" si="57"/>
        <v>1.5166666666666669E-2</v>
      </c>
      <c r="BZ60" s="236">
        <f t="shared" si="57"/>
        <v>1.5333333333333336E-2</v>
      </c>
      <c r="CA60" s="236">
        <f t="shared" si="57"/>
        <v>1.5333333333333336E-2</v>
      </c>
      <c r="CB60" s="236">
        <f t="shared" si="57"/>
        <v>1.5000000000000001E-2</v>
      </c>
      <c r="CC60" s="236">
        <f t="shared" si="57"/>
        <v>1.5166666666666669E-2</v>
      </c>
      <c r="CD60" s="236">
        <f t="shared" si="57"/>
        <v>1.5333333333333336E-2</v>
      </c>
      <c r="CE60" s="236">
        <f t="shared" si="57"/>
        <v>1.5333333333333336E-2</v>
      </c>
      <c r="CF60" s="236">
        <f t="shared" si="57"/>
        <v>1.5000000000000001E-2</v>
      </c>
      <c r="CG60" s="236">
        <f t="shared" si="57"/>
        <v>1.5166666666666669E-2</v>
      </c>
      <c r="CH60" s="236">
        <f t="shared" si="57"/>
        <v>1.5333333333333336E-2</v>
      </c>
      <c r="CI60" s="236">
        <f t="shared" si="57"/>
        <v>1.5333333333333336E-2</v>
      </c>
      <c r="CJ60" s="236">
        <f t="shared" si="57"/>
        <v>1.5166666666666669E-2</v>
      </c>
      <c r="CK60" s="236">
        <f t="shared" si="57"/>
        <v>1.5166666666666669E-2</v>
      </c>
      <c r="CL60" s="236">
        <f t="shared" si="57"/>
        <v>1.5333333333333336E-2</v>
      </c>
      <c r="CM60" s="236">
        <f t="shared" si="57"/>
        <v>1.5333333333333336E-2</v>
      </c>
      <c r="CN60" s="236">
        <f t="shared" si="57"/>
        <v>1.5000000000000001E-2</v>
      </c>
      <c r="CO60" s="236">
        <f t="shared" si="57"/>
        <v>1.5166666666666669E-2</v>
      </c>
      <c r="CP60" s="236">
        <f t="shared" si="57"/>
        <v>1.5333333333333336E-2</v>
      </c>
      <c r="CQ60" s="236">
        <f t="shared" si="57"/>
        <v>1.5333333333333336E-2</v>
      </c>
      <c r="CR60" s="236">
        <f t="shared" si="57"/>
        <v>1.5000000000000001E-2</v>
      </c>
      <c r="CS60" s="236">
        <f t="shared" si="57"/>
        <v>1.5166666666666669E-2</v>
      </c>
      <c r="CT60" s="236">
        <f t="shared" si="57"/>
        <v>1.5333333333333336E-2</v>
      </c>
      <c r="CU60" s="236">
        <f t="shared" si="57"/>
        <v>1.5333333333333336E-2</v>
      </c>
      <c r="CV60" s="236">
        <f t="shared" si="57"/>
        <v>1.5000000000000001E-2</v>
      </c>
      <c r="CW60" s="236">
        <f t="shared" ref="CW60:EA60" si="58" xml:space="preserve"> CW$57</f>
        <v>1.5166666666666669E-2</v>
      </c>
      <c r="CX60" s="236">
        <f t="shared" si="58"/>
        <v>1.5333333333333336E-2</v>
      </c>
      <c r="CY60" s="236">
        <f t="shared" si="58"/>
        <v>1.5333333333333336E-2</v>
      </c>
      <c r="CZ60" s="236">
        <f t="shared" si="58"/>
        <v>1.5166666666666669E-2</v>
      </c>
      <c r="DA60" s="236">
        <f t="shared" si="58"/>
        <v>1.5166666666666669E-2</v>
      </c>
      <c r="DB60" s="236">
        <f t="shared" si="58"/>
        <v>1.5333333333333336E-2</v>
      </c>
      <c r="DC60" s="236">
        <f t="shared" si="58"/>
        <v>1.5333333333333336E-2</v>
      </c>
      <c r="DD60" s="236">
        <f t="shared" si="58"/>
        <v>1.5000000000000001E-2</v>
      </c>
      <c r="DE60" s="236">
        <f t="shared" si="58"/>
        <v>1.5166666666666669E-2</v>
      </c>
      <c r="DF60" s="236">
        <f t="shared" si="58"/>
        <v>1.5333333333333336E-2</v>
      </c>
      <c r="DG60" s="236">
        <f t="shared" si="58"/>
        <v>1.5333333333333336E-2</v>
      </c>
      <c r="DH60" s="236">
        <f t="shared" si="58"/>
        <v>1.5000000000000001E-2</v>
      </c>
      <c r="DI60" s="236">
        <f t="shared" si="58"/>
        <v>1.5166666666666669E-2</v>
      </c>
      <c r="DJ60" s="236">
        <f t="shared" si="58"/>
        <v>1.5333333333333336E-2</v>
      </c>
      <c r="DK60" s="236">
        <f t="shared" si="58"/>
        <v>1.5333333333333336E-2</v>
      </c>
      <c r="DL60" s="236">
        <f t="shared" si="58"/>
        <v>1.5000000000000001E-2</v>
      </c>
      <c r="DM60" s="236">
        <f t="shared" si="58"/>
        <v>1.5166666666666669E-2</v>
      </c>
      <c r="DN60" s="236">
        <f t="shared" si="58"/>
        <v>1.5333333333333336E-2</v>
      </c>
      <c r="DO60" s="236">
        <f t="shared" si="58"/>
        <v>1.5333333333333336E-2</v>
      </c>
      <c r="DP60" s="236">
        <f t="shared" si="58"/>
        <v>1.5166666666666669E-2</v>
      </c>
      <c r="DQ60" s="236">
        <f t="shared" si="58"/>
        <v>1.5166666666666669E-2</v>
      </c>
      <c r="DR60" s="236">
        <f t="shared" si="58"/>
        <v>1.5333333333333336E-2</v>
      </c>
      <c r="DS60" s="236">
        <f t="shared" si="58"/>
        <v>1.5333333333333336E-2</v>
      </c>
      <c r="DT60" s="236">
        <f t="shared" si="58"/>
        <v>1.5000000000000001E-2</v>
      </c>
      <c r="DU60" s="236">
        <f t="shared" si="58"/>
        <v>1.5166666666666669E-2</v>
      </c>
      <c r="DV60" s="236">
        <f t="shared" si="58"/>
        <v>1.5333333333333336E-2</v>
      </c>
      <c r="DW60" s="236">
        <f t="shared" si="58"/>
        <v>1.5333333333333336E-2</v>
      </c>
      <c r="DX60" s="236">
        <f t="shared" si="58"/>
        <v>1.5000000000000001E-2</v>
      </c>
      <c r="DY60" s="236">
        <f t="shared" si="58"/>
        <v>1.5166666666666669E-2</v>
      </c>
      <c r="DZ60" s="236">
        <f t="shared" si="58"/>
        <v>1.5333333333333336E-2</v>
      </c>
      <c r="EA60" s="236">
        <f t="shared" si="58"/>
        <v>1.5333333333333336E-2</v>
      </c>
    </row>
    <row r="61" spans="1:131" outlineLevel="2" x14ac:dyDescent="0.35">
      <c r="E61" s="7" t="s">
        <v>275</v>
      </c>
      <c r="G61" s="7" t="str">
        <f xml:space="preserve"> SMU</f>
        <v>$ 000s</v>
      </c>
      <c r="H61" s="7">
        <f xml:space="preserve"> SUM(J61:EA61)</f>
        <v>23972.181282768801</v>
      </c>
      <c r="J61" s="7">
        <f t="shared" ref="J61:AO61" si="59" xml:space="preserve"> J59 * J60</f>
        <v>0</v>
      </c>
      <c r="K61" s="7">
        <f t="shared" si="59"/>
        <v>0</v>
      </c>
      <c r="L61" s="7">
        <f t="shared" si="59"/>
        <v>0</v>
      </c>
      <c r="M61" s="7">
        <f t="shared" si="59"/>
        <v>1061.6666666666667</v>
      </c>
      <c r="N61" s="7">
        <f t="shared" si="59"/>
        <v>1053.5895527304942</v>
      </c>
      <c r="O61" s="7">
        <f t="shared" si="59"/>
        <v>1033.7219230473004</v>
      </c>
      <c r="P61" s="7">
        <f t="shared" si="59"/>
        <v>991.51596819355166</v>
      </c>
      <c r="Q61" s="7">
        <f t="shared" si="59"/>
        <v>981.93968573247662</v>
      </c>
      <c r="R61" s="7">
        <f t="shared" si="59"/>
        <v>971.76397075237333</v>
      </c>
      <c r="S61" s="7">
        <f t="shared" si="59"/>
        <v>950.64168214551478</v>
      </c>
      <c r="T61" s="7">
        <f t="shared" si="59"/>
        <v>908.9956158717564</v>
      </c>
      <c r="U61" s="7">
        <f t="shared" si="59"/>
        <v>897.25088193022532</v>
      </c>
      <c r="V61" s="7">
        <f t="shared" si="59"/>
        <v>884.84595909619168</v>
      </c>
      <c r="W61" s="7">
        <f t="shared" si="59"/>
        <v>862.39092764393843</v>
      </c>
      <c r="X61" s="7">
        <f t="shared" si="59"/>
        <v>830.46559021257565</v>
      </c>
      <c r="Y61" s="7">
        <f t="shared" si="59"/>
        <v>807.42986626108302</v>
      </c>
      <c r="Z61" s="7">
        <f t="shared" si="59"/>
        <v>792.66064372522339</v>
      </c>
      <c r="AA61" s="7">
        <f t="shared" si="59"/>
        <v>768.79210410394865</v>
      </c>
      <c r="AB61" s="7">
        <f t="shared" si="59"/>
        <v>728.37154585612268</v>
      </c>
      <c r="AC61" s="7">
        <f t="shared" si="59"/>
        <v>711.88041274140301</v>
      </c>
      <c r="AD61" s="7">
        <f t="shared" si="59"/>
        <v>694.59610459018654</v>
      </c>
      <c r="AE61" s="7">
        <f t="shared" si="59"/>
        <v>669.22390870217453</v>
      </c>
      <c r="AF61" s="7">
        <f t="shared" si="59"/>
        <v>629.47435351031697</v>
      </c>
      <c r="AG61" s="7">
        <f t="shared" si="59"/>
        <v>610.38442195228811</v>
      </c>
      <c r="AH61" s="7">
        <f t="shared" si="59"/>
        <v>590.42850138418305</v>
      </c>
      <c r="AI61" s="7">
        <f t="shared" si="59"/>
        <v>563.45906891367906</v>
      </c>
      <c r="AJ61" s="7">
        <f t="shared" si="59"/>
        <v>524.42227677257017</v>
      </c>
      <c r="AK61" s="7">
        <f t="shared" si="59"/>
        <v>502.57181008693271</v>
      </c>
      <c r="AL61" s="7">
        <f t="shared" si="59"/>
        <v>479.77800882701661</v>
      </c>
      <c r="AM61" s="7">
        <f t="shared" si="59"/>
        <v>451.1119354706359</v>
      </c>
      <c r="AN61" s="7">
        <f t="shared" si="59"/>
        <v>417.41929048594881</v>
      </c>
      <c r="AO61" s="7">
        <f t="shared" si="59"/>
        <v>388.11903098860233</v>
      </c>
      <c r="AP61" s="7">
        <f t="shared" ref="AP61:BU61" si="60" xml:space="preserve"> AP59 * AP60</f>
        <v>362.31256426861074</v>
      </c>
      <c r="AQ61" s="7">
        <f t="shared" si="60"/>
        <v>331.84535409566786</v>
      </c>
      <c r="AR61" s="7">
        <f t="shared" si="60"/>
        <v>294.36943698920203</v>
      </c>
      <c r="AS61" s="7">
        <f t="shared" si="60"/>
        <v>266.47369290259053</v>
      </c>
      <c r="AT61" s="7">
        <f t="shared" si="60"/>
        <v>237.46523570829092</v>
      </c>
      <c r="AU61" s="7">
        <f t="shared" si="60"/>
        <v>205.0836998307565</v>
      </c>
      <c r="AV61" s="7">
        <f t="shared" si="60"/>
        <v>168.46204604651072</v>
      </c>
      <c r="AW61" s="7">
        <f t="shared" si="60"/>
        <v>137.25773552012737</v>
      </c>
      <c r="AX61" s="7">
        <f t="shared" si="60"/>
        <v>104.8480114036652</v>
      </c>
      <c r="AY61" s="7">
        <f t="shared" si="60"/>
        <v>70.433011420126519</v>
      </c>
      <c r="AZ61" s="7">
        <f t="shared" si="60"/>
        <v>34.718786188213265</v>
      </c>
      <c r="BA61" s="7">
        <f t="shared" si="60"/>
        <v>-2.0346154390911884E-12</v>
      </c>
      <c r="BB61" s="7">
        <f t="shared" si="60"/>
        <v>-2.0881712872425048E-12</v>
      </c>
      <c r="BC61" s="7">
        <f t="shared" si="60"/>
        <v>-2.12018991364689E-12</v>
      </c>
      <c r="BD61" s="7">
        <f t="shared" si="60"/>
        <v>-2.1293005847975611E-12</v>
      </c>
      <c r="BE61" s="7">
        <f t="shared" si="60"/>
        <v>-2.1615949770003242E-12</v>
      </c>
      <c r="BF61" s="7">
        <f t="shared" si="60"/>
        <v>-2.2184932242703766E-12</v>
      </c>
      <c r="BG61" s="7">
        <f t="shared" si="60"/>
        <v>-2.2525101203758557E-12</v>
      </c>
      <c r="BH61" s="7">
        <f t="shared" si="60"/>
        <v>-2.2373301608689745E-12</v>
      </c>
      <c r="BI61" s="7">
        <f t="shared" si="60"/>
        <v>-2.2961222256518096E-12</v>
      </c>
      <c r="BJ61" s="7">
        <f t="shared" si="60"/>
        <v>-2.3565615454816042E-12</v>
      </c>
      <c r="BK61" s="7">
        <f t="shared" si="60"/>
        <v>-2.3926954891789883E-12</v>
      </c>
      <c r="BL61" s="7">
        <f t="shared" si="60"/>
        <v>-2.3765708021866951E-12</v>
      </c>
      <c r="BM61" s="7">
        <f t="shared" si="60"/>
        <v>-2.4390218015997124E-12</v>
      </c>
      <c r="BN61" s="7">
        <f t="shared" si="60"/>
        <v>-2.5032225732711244E-12</v>
      </c>
      <c r="BO61" s="7">
        <f t="shared" si="60"/>
        <v>-2.5416053193946149E-12</v>
      </c>
      <c r="BP61" s="7">
        <f t="shared" si="60"/>
        <v>-2.5244771096334772E-12</v>
      </c>
      <c r="BQ61" s="7">
        <f t="shared" si="60"/>
        <v>-2.5908147581255125E-12</v>
      </c>
      <c r="BR61" s="7">
        <f t="shared" si="60"/>
        <v>-2.6590110762643038E-12</v>
      </c>
      <c r="BS61" s="7">
        <f t="shared" si="60"/>
        <v>-2.6997825794336896E-12</v>
      </c>
      <c r="BT61" s="7">
        <f t="shared" si="60"/>
        <v>-2.7113838190685022E-12</v>
      </c>
      <c r="BU61" s="7">
        <f t="shared" si="60"/>
        <v>-2.7525064736577075E-12</v>
      </c>
      <c r="BV61" s="7">
        <f t="shared" ref="BV61:DA61" si="61" xml:space="preserve"> BV59 * BV60</f>
        <v>-2.8249588968068077E-12</v>
      </c>
      <c r="BW61" s="7">
        <f t="shared" si="61"/>
        <v>-2.8682749332245121E-12</v>
      </c>
      <c r="BX61" s="7">
        <f t="shared" si="61"/>
        <v>-2.8489452543266942E-12</v>
      </c>
      <c r="BY61" s="7">
        <f t="shared" si="61"/>
        <v>-2.9238092046209457E-12</v>
      </c>
      <c r="BZ61" s="7">
        <f t="shared" si="61"/>
        <v>-3.0007707172378183E-12</v>
      </c>
      <c r="CA61" s="7">
        <f t="shared" si="61"/>
        <v>-3.0467825349021318E-12</v>
      </c>
      <c r="CB61" s="7">
        <f t="shared" si="61"/>
        <v>-3.0262498699930082E-12</v>
      </c>
      <c r="CC61" s="7">
        <f t="shared" si="61"/>
        <v>-3.1057729915767137E-12</v>
      </c>
      <c r="CD61" s="7">
        <f t="shared" si="61"/>
        <v>-3.1875242176480334E-12</v>
      </c>
      <c r="CE61" s="7">
        <f t="shared" si="61"/>
        <v>-3.2363995889853029E-12</v>
      </c>
      <c r="CF61" s="7">
        <f t="shared" si="61"/>
        <v>-3.2145890700160541E-12</v>
      </c>
      <c r="CG61" s="7">
        <f t="shared" si="61"/>
        <v>-3.2990613272448093E-12</v>
      </c>
      <c r="CH61" s="7">
        <f t="shared" si="61"/>
        <v>-3.3859003554410771E-12</v>
      </c>
      <c r="CI61" s="7">
        <f t="shared" si="61"/>
        <v>-3.4378174942245072E-12</v>
      </c>
      <c r="CJ61" s="7">
        <f t="shared" si="61"/>
        <v>-3.452590144761283E-12</v>
      </c>
      <c r="CK61" s="7">
        <f t="shared" si="61"/>
        <v>-3.5049544286234962E-12</v>
      </c>
      <c r="CL61" s="7">
        <f t="shared" si="61"/>
        <v>-3.5972130459278499E-12</v>
      </c>
      <c r="CM61" s="7">
        <f t="shared" si="61"/>
        <v>-3.652370312632077E-12</v>
      </c>
      <c r="CN61" s="7">
        <f t="shared" si="61"/>
        <v>-3.627756512699121E-12</v>
      </c>
      <c r="CO61" s="7">
        <f t="shared" si="61"/>
        <v>-3.7230858921717142E-12</v>
      </c>
      <c r="CP61" s="7">
        <f t="shared" si="61"/>
        <v>-3.8210862409671212E-12</v>
      </c>
      <c r="CQ61" s="7">
        <f t="shared" si="61"/>
        <v>-3.8796762299952841E-12</v>
      </c>
      <c r="CR61" s="7">
        <f t="shared" si="61"/>
        <v>-3.8535305858366193E-12</v>
      </c>
      <c r="CS61" s="7">
        <f t="shared" si="61"/>
        <v>-3.9547928062311038E-12</v>
      </c>
      <c r="CT61" s="7">
        <f t="shared" si="61"/>
        <v>-4.05889222420025E-12</v>
      </c>
      <c r="CU61" s="7">
        <f t="shared" si="61"/>
        <v>-4.1211285716379872E-12</v>
      </c>
      <c r="CV61" s="7">
        <f t="shared" si="61"/>
        <v>-4.0933557486552101E-12</v>
      </c>
      <c r="CW61" s="7">
        <f t="shared" si="61"/>
        <v>-4.2009200413837607E-12</v>
      </c>
      <c r="CX61" s="7">
        <f t="shared" si="61"/>
        <v>-4.3114981051837015E-12</v>
      </c>
      <c r="CY61" s="7">
        <f t="shared" si="61"/>
        <v>-4.3776077427965177E-12</v>
      </c>
      <c r="CZ61" s="7">
        <f t="shared" si="61"/>
        <v>-4.3964187673724477E-12</v>
      </c>
      <c r="DA61" s="7">
        <f t="shared" si="61"/>
        <v>-4.4630977853442633E-12</v>
      </c>
      <c r="DB61" s="7">
        <f t="shared" ref="DB61:EA61" si="62" xml:space="preserve"> DB59 * DB60</f>
        <v>-4.5805769819943878E-12</v>
      </c>
      <c r="DC61" s="7">
        <f t="shared" si="62"/>
        <v>-4.6508124957183018E-12</v>
      </c>
      <c r="DD61" s="7">
        <f t="shared" si="62"/>
        <v>-4.6194700636819384E-12</v>
      </c>
      <c r="DE61" s="7">
        <f t="shared" si="62"/>
        <v>-4.74085947146647E-12</v>
      </c>
      <c r="DF61" s="7">
        <f t="shared" si="62"/>
        <v>-4.8656500068582582E-12</v>
      </c>
      <c r="DG61" s="7">
        <f t="shared" si="62"/>
        <v>-4.9402566402967512E-12</v>
      </c>
      <c r="DH61" s="7">
        <f t="shared" si="62"/>
        <v>-4.9069636064164901E-12</v>
      </c>
      <c r="DI61" s="7">
        <f t="shared" si="62"/>
        <v>-5.0359077056295457E-12</v>
      </c>
      <c r="DJ61" s="7">
        <f t="shared" si="62"/>
        <v>-5.1684646022326742E-12</v>
      </c>
      <c r="DK61" s="7">
        <f t="shared" si="62"/>
        <v>-5.2477143928002411E-12</v>
      </c>
      <c r="DL61" s="7">
        <f t="shared" si="62"/>
        <v>-5.2123493610226741E-12</v>
      </c>
      <c r="DM61" s="7">
        <f t="shared" si="62"/>
        <v>-5.3493183192317702E-12</v>
      </c>
      <c r="DN61" s="7">
        <f t="shared" si="62"/>
        <v>-5.4901249179204128E-12</v>
      </c>
      <c r="DO61" s="7">
        <f t="shared" si="62"/>
        <v>-5.5743068333285258E-12</v>
      </c>
      <c r="DP61" s="7">
        <f t="shared" si="62"/>
        <v>-5.5982601953007273E-12</v>
      </c>
      <c r="DQ61" s="7">
        <f t="shared" si="62"/>
        <v>-5.6831671415961215E-12</v>
      </c>
      <c r="DR61" s="7">
        <f t="shared" si="62"/>
        <v>-5.8327614239386476E-12</v>
      </c>
      <c r="DS61" s="7">
        <f t="shared" si="62"/>
        <v>-5.922197099105707E-12</v>
      </c>
      <c r="DT61" s="7">
        <f t="shared" si="62"/>
        <v>-5.8822866403943426E-12</v>
      </c>
      <c r="DU61" s="7">
        <f t="shared" si="62"/>
        <v>-6.0368600615558168E-12</v>
      </c>
      <c r="DV61" s="7">
        <f t="shared" si="62"/>
        <v>-6.1957643707218973E-12</v>
      </c>
      <c r="DW61" s="7">
        <f t="shared" si="62"/>
        <v>-6.2907660910729663E-12</v>
      </c>
      <c r="DX61" s="7">
        <f t="shared" si="62"/>
        <v>-6.2483717978505177E-12</v>
      </c>
      <c r="DY61" s="7">
        <f t="shared" si="62"/>
        <v>-6.4125651234273677E-12</v>
      </c>
      <c r="DZ61" s="7">
        <f t="shared" si="62"/>
        <v>-6.58135887059568E-12</v>
      </c>
      <c r="EA61" s="7">
        <f t="shared" si="62"/>
        <v>-6.6822730399448136E-12</v>
      </c>
    </row>
    <row r="62" spans="1:131" s="484" customFormat="1" outlineLevel="2" x14ac:dyDescent="0.35">
      <c r="A62" s="102"/>
      <c r="B62" s="102"/>
      <c r="C62" s="103"/>
      <c r="D62" s="104"/>
      <c r="E62" s="147" t="str">
        <f xml:space="preserve"> LEFT(E61, LEN(E61) - 4)</f>
        <v>Senior debt interest</v>
      </c>
      <c r="F62" s="147"/>
      <c r="G62" s="147" t="str">
        <f xml:space="preserve"> SMU</f>
        <v>$ 000s</v>
      </c>
      <c r="H62" s="147">
        <f xml:space="preserve"> SUM(J62:EA62)</f>
        <v>-23972.181282768801</v>
      </c>
      <c r="I62" s="105"/>
      <c r="J62" s="147">
        <f t="shared" ref="J62:BU62" si="63" xml:space="preserve"> -1 * J61</f>
        <v>0</v>
      </c>
      <c r="K62" s="147">
        <f t="shared" si="63"/>
        <v>0</v>
      </c>
      <c r="L62" s="147">
        <f t="shared" si="63"/>
        <v>0</v>
      </c>
      <c r="M62" s="147">
        <f t="shared" si="63"/>
        <v>-1061.6666666666667</v>
      </c>
      <c r="N62" s="147">
        <f t="shared" si="63"/>
        <v>-1053.5895527304942</v>
      </c>
      <c r="O62" s="147">
        <f t="shared" si="63"/>
        <v>-1033.7219230473004</v>
      </c>
      <c r="P62" s="147">
        <f t="shared" si="63"/>
        <v>-991.51596819355166</v>
      </c>
      <c r="Q62" s="147">
        <f t="shared" si="63"/>
        <v>-981.93968573247662</v>
      </c>
      <c r="R62" s="147">
        <f t="shared" si="63"/>
        <v>-971.76397075237333</v>
      </c>
      <c r="S62" s="147">
        <f t="shared" si="63"/>
        <v>-950.64168214551478</v>
      </c>
      <c r="T62" s="147">
        <f t="shared" si="63"/>
        <v>-908.9956158717564</v>
      </c>
      <c r="U62" s="147">
        <f t="shared" si="63"/>
        <v>-897.25088193022532</v>
      </c>
      <c r="V62" s="147">
        <f t="shared" si="63"/>
        <v>-884.84595909619168</v>
      </c>
      <c r="W62" s="147">
        <f t="shared" si="63"/>
        <v>-862.39092764393843</v>
      </c>
      <c r="X62" s="147">
        <f t="shared" si="63"/>
        <v>-830.46559021257565</v>
      </c>
      <c r="Y62" s="147">
        <f t="shared" si="63"/>
        <v>-807.42986626108302</v>
      </c>
      <c r="Z62" s="147">
        <f t="shared" si="63"/>
        <v>-792.66064372522339</v>
      </c>
      <c r="AA62" s="147">
        <f t="shared" si="63"/>
        <v>-768.79210410394865</v>
      </c>
      <c r="AB62" s="147">
        <f t="shared" si="63"/>
        <v>-728.37154585612268</v>
      </c>
      <c r="AC62" s="147">
        <f t="shared" si="63"/>
        <v>-711.88041274140301</v>
      </c>
      <c r="AD62" s="147">
        <f t="shared" si="63"/>
        <v>-694.59610459018654</v>
      </c>
      <c r="AE62" s="147">
        <f t="shared" si="63"/>
        <v>-669.22390870217453</v>
      </c>
      <c r="AF62" s="147">
        <f t="shared" si="63"/>
        <v>-629.47435351031697</v>
      </c>
      <c r="AG62" s="147">
        <f t="shared" si="63"/>
        <v>-610.38442195228811</v>
      </c>
      <c r="AH62" s="147">
        <f t="shared" si="63"/>
        <v>-590.42850138418305</v>
      </c>
      <c r="AI62" s="147">
        <f t="shared" si="63"/>
        <v>-563.45906891367906</v>
      </c>
      <c r="AJ62" s="147">
        <f t="shared" si="63"/>
        <v>-524.42227677257017</v>
      </c>
      <c r="AK62" s="147">
        <f t="shared" si="63"/>
        <v>-502.57181008693271</v>
      </c>
      <c r="AL62" s="147">
        <f t="shared" si="63"/>
        <v>-479.77800882701661</v>
      </c>
      <c r="AM62" s="147">
        <f t="shared" si="63"/>
        <v>-451.1119354706359</v>
      </c>
      <c r="AN62" s="147">
        <f t="shared" si="63"/>
        <v>-417.41929048594881</v>
      </c>
      <c r="AO62" s="147">
        <f t="shared" si="63"/>
        <v>-388.11903098860233</v>
      </c>
      <c r="AP62" s="147">
        <f t="shared" si="63"/>
        <v>-362.31256426861074</v>
      </c>
      <c r="AQ62" s="147">
        <f t="shared" si="63"/>
        <v>-331.84535409566786</v>
      </c>
      <c r="AR62" s="147">
        <f t="shared" si="63"/>
        <v>-294.36943698920203</v>
      </c>
      <c r="AS62" s="147">
        <f t="shared" si="63"/>
        <v>-266.47369290259053</v>
      </c>
      <c r="AT62" s="147">
        <f t="shared" si="63"/>
        <v>-237.46523570829092</v>
      </c>
      <c r="AU62" s="147">
        <f t="shared" si="63"/>
        <v>-205.0836998307565</v>
      </c>
      <c r="AV62" s="147">
        <f t="shared" si="63"/>
        <v>-168.46204604651072</v>
      </c>
      <c r="AW62" s="147">
        <f t="shared" si="63"/>
        <v>-137.25773552012737</v>
      </c>
      <c r="AX62" s="147">
        <f t="shared" si="63"/>
        <v>-104.8480114036652</v>
      </c>
      <c r="AY62" s="147">
        <f t="shared" si="63"/>
        <v>-70.433011420126519</v>
      </c>
      <c r="AZ62" s="147">
        <f t="shared" si="63"/>
        <v>-34.718786188213265</v>
      </c>
      <c r="BA62" s="147">
        <f t="shared" si="63"/>
        <v>2.0346154390911884E-12</v>
      </c>
      <c r="BB62" s="147">
        <f t="shared" si="63"/>
        <v>2.0881712872425048E-12</v>
      </c>
      <c r="BC62" s="147">
        <f t="shared" si="63"/>
        <v>2.12018991364689E-12</v>
      </c>
      <c r="BD62" s="147">
        <f t="shared" si="63"/>
        <v>2.1293005847975611E-12</v>
      </c>
      <c r="BE62" s="147">
        <f t="shared" si="63"/>
        <v>2.1615949770003242E-12</v>
      </c>
      <c r="BF62" s="147">
        <f t="shared" si="63"/>
        <v>2.2184932242703766E-12</v>
      </c>
      <c r="BG62" s="147">
        <f t="shared" si="63"/>
        <v>2.2525101203758557E-12</v>
      </c>
      <c r="BH62" s="147">
        <f t="shared" si="63"/>
        <v>2.2373301608689745E-12</v>
      </c>
      <c r="BI62" s="147">
        <f t="shared" si="63"/>
        <v>2.2961222256518096E-12</v>
      </c>
      <c r="BJ62" s="147">
        <f t="shared" si="63"/>
        <v>2.3565615454816042E-12</v>
      </c>
      <c r="BK62" s="147">
        <f t="shared" si="63"/>
        <v>2.3926954891789883E-12</v>
      </c>
      <c r="BL62" s="147">
        <f t="shared" si="63"/>
        <v>2.3765708021866951E-12</v>
      </c>
      <c r="BM62" s="147">
        <f t="shared" si="63"/>
        <v>2.4390218015997124E-12</v>
      </c>
      <c r="BN62" s="147">
        <f t="shared" si="63"/>
        <v>2.5032225732711244E-12</v>
      </c>
      <c r="BO62" s="147">
        <f t="shared" si="63"/>
        <v>2.5416053193946149E-12</v>
      </c>
      <c r="BP62" s="147">
        <f t="shared" si="63"/>
        <v>2.5244771096334772E-12</v>
      </c>
      <c r="BQ62" s="147">
        <f t="shared" si="63"/>
        <v>2.5908147581255125E-12</v>
      </c>
      <c r="BR62" s="147">
        <f t="shared" si="63"/>
        <v>2.6590110762643038E-12</v>
      </c>
      <c r="BS62" s="147">
        <f t="shared" si="63"/>
        <v>2.6997825794336896E-12</v>
      </c>
      <c r="BT62" s="147">
        <f t="shared" si="63"/>
        <v>2.7113838190685022E-12</v>
      </c>
      <c r="BU62" s="147">
        <f t="shared" si="63"/>
        <v>2.7525064736577075E-12</v>
      </c>
      <c r="BV62" s="147">
        <f t="shared" ref="BV62:EA62" si="64" xml:space="preserve"> -1 * BV61</f>
        <v>2.8249588968068077E-12</v>
      </c>
      <c r="BW62" s="147">
        <f t="shared" si="64"/>
        <v>2.8682749332245121E-12</v>
      </c>
      <c r="BX62" s="147">
        <f t="shared" si="64"/>
        <v>2.8489452543266942E-12</v>
      </c>
      <c r="BY62" s="147">
        <f t="shared" si="64"/>
        <v>2.9238092046209457E-12</v>
      </c>
      <c r="BZ62" s="147">
        <f t="shared" si="64"/>
        <v>3.0007707172378183E-12</v>
      </c>
      <c r="CA62" s="147">
        <f t="shared" si="64"/>
        <v>3.0467825349021318E-12</v>
      </c>
      <c r="CB62" s="147">
        <f t="shared" si="64"/>
        <v>3.0262498699930082E-12</v>
      </c>
      <c r="CC62" s="147">
        <f t="shared" si="64"/>
        <v>3.1057729915767137E-12</v>
      </c>
      <c r="CD62" s="147">
        <f t="shared" si="64"/>
        <v>3.1875242176480334E-12</v>
      </c>
      <c r="CE62" s="147">
        <f t="shared" si="64"/>
        <v>3.2363995889853029E-12</v>
      </c>
      <c r="CF62" s="147">
        <f t="shared" si="64"/>
        <v>3.2145890700160541E-12</v>
      </c>
      <c r="CG62" s="147">
        <f t="shared" si="64"/>
        <v>3.2990613272448093E-12</v>
      </c>
      <c r="CH62" s="147">
        <f t="shared" si="64"/>
        <v>3.3859003554410771E-12</v>
      </c>
      <c r="CI62" s="147">
        <f t="shared" si="64"/>
        <v>3.4378174942245072E-12</v>
      </c>
      <c r="CJ62" s="147">
        <f t="shared" si="64"/>
        <v>3.452590144761283E-12</v>
      </c>
      <c r="CK62" s="147">
        <f t="shared" si="64"/>
        <v>3.5049544286234962E-12</v>
      </c>
      <c r="CL62" s="147">
        <f t="shared" si="64"/>
        <v>3.5972130459278499E-12</v>
      </c>
      <c r="CM62" s="147">
        <f t="shared" si="64"/>
        <v>3.652370312632077E-12</v>
      </c>
      <c r="CN62" s="147">
        <f t="shared" si="64"/>
        <v>3.627756512699121E-12</v>
      </c>
      <c r="CO62" s="147">
        <f t="shared" si="64"/>
        <v>3.7230858921717142E-12</v>
      </c>
      <c r="CP62" s="147">
        <f t="shared" si="64"/>
        <v>3.8210862409671212E-12</v>
      </c>
      <c r="CQ62" s="147">
        <f t="shared" si="64"/>
        <v>3.8796762299952841E-12</v>
      </c>
      <c r="CR62" s="147">
        <f t="shared" si="64"/>
        <v>3.8535305858366193E-12</v>
      </c>
      <c r="CS62" s="147">
        <f t="shared" si="64"/>
        <v>3.9547928062311038E-12</v>
      </c>
      <c r="CT62" s="147">
        <f t="shared" si="64"/>
        <v>4.05889222420025E-12</v>
      </c>
      <c r="CU62" s="147">
        <f t="shared" si="64"/>
        <v>4.1211285716379872E-12</v>
      </c>
      <c r="CV62" s="147">
        <f t="shared" si="64"/>
        <v>4.0933557486552101E-12</v>
      </c>
      <c r="CW62" s="147">
        <f t="shared" si="64"/>
        <v>4.2009200413837607E-12</v>
      </c>
      <c r="CX62" s="147">
        <f t="shared" si="64"/>
        <v>4.3114981051837015E-12</v>
      </c>
      <c r="CY62" s="147">
        <f t="shared" si="64"/>
        <v>4.3776077427965177E-12</v>
      </c>
      <c r="CZ62" s="147">
        <f t="shared" si="64"/>
        <v>4.3964187673724477E-12</v>
      </c>
      <c r="DA62" s="147">
        <f t="shared" si="64"/>
        <v>4.4630977853442633E-12</v>
      </c>
      <c r="DB62" s="147">
        <f t="shared" si="64"/>
        <v>4.5805769819943878E-12</v>
      </c>
      <c r="DC62" s="147">
        <f t="shared" si="64"/>
        <v>4.6508124957183018E-12</v>
      </c>
      <c r="DD62" s="147">
        <f t="shared" si="64"/>
        <v>4.6194700636819384E-12</v>
      </c>
      <c r="DE62" s="147">
        <f t="shared" si="64"/>
        <v>4.74085947146647E-12</v>
      </c>
      <c r="DF62" s="147">
        <f t="shared" si="64"/>
        <v>4.8656500068582582E-12</v>
      </c>
      <c r="DG62" s="147">
        <f t="shared" si="64"/>
        <v>4.9402566402967512E-12</v>
      </c>
      <c r="DH62" s="147">
        <f t="shared" si="64"/>
        <v>4.9069636064164901E-12</v>
      </c>
      <c r="DI62" s="147">
        <f t="shared" si="64"/>
        <v>5.0359077056295457E-12</v>
      </c>
      <c r="DJ62" s="147">
        <f t="shared" si="64"/>
        <v>5.1684646022326742E-12</v>
      </c>
      <c r="DK62" s="147">
        <f t="shared" si="64"/>
        <v>5.2477143928002411E-12</v>
      </c>
      <c r="DL62" s="147">
        <f t="shared" si="64"/>
        <v>5.2123493610226741E-12</v>
      </c>
      <c r="DM62" s="147">
        <f t="shared" si="64"/>
        <v>5.3493183192317702E-12</v>
      </c>
      <c r="DN62" s="147">
        <f t="shared" si="64"/>
        <v>5.4901249179204128E-12</v>
      </c>
      <c r="DO62" s="147">
        <f t="shared" si="64"/>
        <v>5.5743068333285258E-12</v>
      </c>
      <c r="DP62" s="147">
        <f t="shared" si="64"/>
        <v>5.5982601953007273E-12</v>
      </c>
      <c r="DQ62" s="147">
        <f t="shared" si="64"/>
        <v>5.6831671415961215E-12</v>
      </c>
      <c r="DR62" s="147">
        <f t="shared" si="64"/>
        <v>5.8327614239386476E-12</v>
      </c>
      <c r="DS62" s="147">
        <f t="shared" si="64"/>
        <v>5.922197099105707E-12</v>
      </c>
      <c r="DT62" s="147">
        <f t="shared" si="64"/>
        <v>5.8822866403943426E-12</v>
      </c>
      <c r="DU62" s="147">
        <f t="shared" si="64"/>
        <v>6.0368600615558168E-12</v>
      </c>
      <c r="DV62" s="147">
        <f t="shared" si="64"/>
        <v>6.1957643707218973E-12</v>
      </c>
      <c r="DW62" s="147">
        <f t="shared" si="64"/>
        <v>6.2907660910729663E-12</v>
      </c>
      <c r="DX62" s="147">
        <f t="shared" si="64"/>
        <v>6.2483717978505177E-12</v>
      </c>
      <c r="DY62" s="147">
        <f t="shared" si="64"/>
        <v>6.4125651234273677E-12</v>
      </c>
      <c r="DZ62" s="147">
        <f t="shared" si="64"/>
        <v>6.58135887059568E-12</v>
      </c>
      <c r="EA62" s="147">
        <f t="shared" si="64"/>
        <v>6.6822730399448136E-12</v>
      </c>
    </row>
    <row r="63" spans="1:131" outlineLevel="2" x14ac:dyDescent="0.35"/>
    <row r="64" spans="1:131" outlineLevel="1" x14ac:dyDescent="0.35"/>
    <row r="65" spans="1:131" outlineLevel="1" x14ac:dyDescent="0.35">
      <c r="B65" s="8" t="s">
        <v>249</v>
      </c>
    </row>
    <row r="66" spans="1:131" outlineLevel="2" x14ac:dyDescent="0.35"/>
    <row r="67" spans="1:131" outlineLevel="2" x14ac:dyDescent="0.35">
      <c r="A67" s="171"/>
      <c r="B67" s="171"/>
      <c r="C67" s="172"/>
      <c r="D67" s="173"/>
      <c r="E67" s="174" t="str">
        <f t="shared" ref="E67:G67" si="65" xml:space="preserve"> E$12</f>
        <v>Senior debt initial drawdown</v>
      </c>
      <c r="F67" s="174">
        <f t="shared" si="65"/>
        <v>70000</v>
      </c>
      <c r="G67" s="174" t="str">
        <f t="shared" si="65"/>
        <v>$ 000s</v>
      </c>
      <c r="H67" s="174"/>
      <c r="I67" s="175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4"/>
      <c r="BJ67" s="174"/>
      <c r="BK67" s="174"/>
      <c r="BL67" s="174"/>
      <c r="BM67" s="174"/>
      <c r="BN67" s="174"/>
      <c r="BO67" s="174"/>
      <c r="BP67" s="174"/>
      <c r="BQ67" s="174"/>
      <c r="BR67" s="174"/>
      <c r="BS67" s="174"/>
      <c r="BT67" s="174"/>
      <c r="BU67" s="174"/>
      <c r="BV67" s="174"/>
      <c r="BW67" s="174"/>
      <c r="BX67" s="174"/>
      <c r="BY67" s="174"/>
      <c r="BZ67" s="174"/>
      <c r="CA67" s="174"/>
      <c r="CB67" s="174"/>
      <c r="CC67" s="174"/>
      <c r="CD67" s="174"/>
      <c r="CE67" s="174"/>
      <c r="CF67" s="174"/>
      <c r="CG67" s="174"/>
      <c r="CH67" s="174"/>
      <c r="CI67" s="174"/>
      <c r="CJ67" s="174"/>
      <c r="CK67" s="174"/>
      <c r="CL67" s="174"/>
      <c r="CM67" s="174"/>
      <c r="CN67" s="174"/>
      <c r="CO67" s="174"/>
      <c r="CP67" s="174"/>
      <c r="CQ67" s="174"/>
      <c r="CR67" s="174"/>
      <c r="CS67" s="174"/>
      <c r="CT67" s="174"/>
      <c r="CU67" s="174"/>
      <c r="CV67" s="174"/>
      <c r="CW67" s="174"/>
      <c r="CX67" s="174"/>
      <c r="CY67" s="174"/>
      <c r="CZ67" s="174"/>
      <c r="DA67" s="174"/>
      <c r="DB67" s="174"/>
      <c r="DC67" s="174"/>
      <c r="DD67" s="174"/>
      <c r="DE67" s="174"/>
      <c r="DF67" s="174"/>
      <c r="DG67" s="174"/>
      <c r="DH67" s="174"/>
      <c r="DI67" s="174"/>
      <c r="DJ67" s="174"/>
      <c r="DK67" s="174"/>
      <c r="DL67" s="174"/>
      <c r="DM67" s="174"/>
      <c r="DN67" s="174"/>
      <c r="DO67" s="174"/>
      <c r="DP67" s="174"/>
      <c r="DQ67" s="174"/>
      <c r="DR67" s="174"/>
      <c r="DS67" s="174"/>
      <c r="DT67" s="174"/>
      <c r="DU67" s="174"/>
      <c r="DV67" s="174"/>
      <c r="DW67" s="174"/>
      <c r="DX67" s="174"/>
      <c r="DY67" s="174"/>
      <c r="DZ67" s="174"/>
      <c r="EA67" s="174"/>
    </row>
    <row r="68" spans="1:131" outlineLevel="2" x14ac:dyDescent="0.35">
      <c r="E68" s="182" t="str">
        <f xml:space="preserve"> Time!E$76</f>
        <v>Financial close date flag</v>
      </c>
      <c r="F68" s="182">
        <f xml:space="preserve"> Time!F$76</f>
        <v>0</v>
      </c>
      <c r="G68" s="182" t="str">
        <f xml:space="preserve"> Time!G$76</f>
        <v>flag</v>
      </c>
      <c r="H68" s="182">
        <f xml:space="preserve"> Time!H$76</f>
        <v>1</v>
      </c>
      <c r="I68" s="182">
        <f xml:space="preserve"> Time!I$76</f>
        <v>0</v>
      </c>
      <c r="J68" s="182">
        <f xml:space="preserve"> Time!J$76</f>
        <v>0</v>
      </c>
      <c r="K68" s="182">
        <f xml:space="preserve"> Time!K$76</f>
        <v>0</v>
      </c>
      <c r="L68" s="182">
        <f xml:space="preserve"> Time!L$76</f>
        <v>1</v>
      </c>
      <c r="M68" s="182">
        <f xml:space="preserve"> Time!M$76</f>
        <v>0</v>
      </c>
      <c r="N68" s="182">
        <f xml:space="preserve"> Time!N$76</f>
        <v>0</v>
      </c>
      <c r="O68" s="182">
        <f xml:space="preserve"> Time!O$76</f>
        <v>0</v>
      </c>
      <c r="P68" s="182">
        <f xml:space="preserve"> Time!P$76</f>
        <v>0</v>
      </c>
      <c r="Q68" s="182">
        <f xml:space="preserve"> Time!Q$76</f>
        <v>0</v>
      </c>
      <c r="R68" s="182">
        <f xml:space="preserve"> Time!R$76</f>
        <v>0</v>
      </c>
      <c r="S68" s="182">
        <f xml:space="preserve"> Time!S$76</f>
        <v>0</v>
      </c>
      <c r="T68" s="182">
        <f xml:space="preserve"> Time!T$76</f>
        <v>0</v>
      </c>
      <c r="U68" s="182">
        <f xml:space="preserve"> Time!U$76</f>
        <v>0</v>
      </c>
      <c r="V68" s="182">
        <f xml:space="preserve"> Time!V$76</f>
        <v>0</v>
      </c>
      <c r="W68" s="182">
        <f xml:space="preserve"> Time!W$76</f>
        <v>0</v>
      </c>
      <c r="X68" s="182">
        <f xml:space="preserve"> Time!X$76</f>
        <v>0</v>
      </c>
      <c r="Y68" s="182">
        <f xml:space="preserve"> Time!Y$76</f>
        <v>0</v>
      </c>
      <c r="Z68" s="182">
        <f xml:space="preserve"> Time!Z$76</f>
        <v>0</v>
      </c>
      <c r="AA68" s="182">
        <f xml:space="preserve"> Time!AA$76</f>
        <v>0</v>
      </c>
      <c r="AB68" s="182">
        <f xml:space="preserve"> Time!AB$76</f>
        <v>0</v>
      </c>
      <c r="AC68" s="182">
        <f xml:space="preserve"> Time!AC$76</f>
        <v>0</v>
      </c>
      <c r="AD68" s="182">
        <f xml:space="preserve"> Time!AD$76</f>
        <v>0</v>
      </c>
      <c r="AE68" s="182">
        <f xml:space="preserve"> Time!AE$76</f>
        <v>0</v>
      </c>
      <c r="AF68" s="182">
        <f xml:space="preserve"> Time!AF$76</f>
        <v>0</v>
      </c>
      <c r="AG68" s="182">
        <f xml:space="preserve"> Time!AG$76</f>
        <v>0</v>
      </c>
      <c r="AH68" s="182">
        <f xml:space="preserve"> Time!AH$76</f>
        <v>0</v>
      </c>
      <c r="AI68" s="182">
        <f xml:space="preserve"> Time!AI$76</f>
        <v>0</v>
      </c>
      <c r="AJ68" s="182">
        <f xml:space="preserve"> Time!AJ$76</f>
        <v>0</v>
      </c>
      <c r="AK68" s="182">
        <f xml:space="preserve"> Time!AK$76</f>
        <v>0</v>
      </c>
      <c r="AL68" s="182">
        <f xml:space="preserve"> Time!AL$76</f>
        <v>0</v>
      </c>
      <c r="AM68" s="182">
        <f xml:space="preserve"> Time!AM$76</f>
        <v>0</v>
      </c>
      <c r="AN68" s="182">
        <f xml:space="preserve"> Time!AN$76</f>
        <v>0</v>
      </c>
      <c r="AO68" s="182">
        <f xml:space="preserve"> Time!AO$76</f>
        <v>0</v>
      </c>
      <c r="AP68" s="182">
        <f xml:space="preserve"> Time!AP$76</f>
        <v>0</v>
      </c>
      <c r="AQ68" s="182">
        <f xml:space="preserve"> Time!AQ$76</f>
        <v>0</v>
      </c>
      <c r="AR68" s="182">
        <f xml:space="preserve"> Time!AR$76</f>
        <v>0</v>
      </c>
      <c r="AS68" s="182">
        <f xml:space="preserve"> Time!AS$76</f>
        <v>0</v>
      </c>
      <c r="AT68" s="182">
        <f xml:space="preserve"> Time!AT$76</f>
        <v>0</v>
      </c>
      <c r="AU68" s="182">
        <f xml:space="preserve"> Time!AU$76</f>
        <v>0</v>
      </c>
      <c r="AV68" s="182">
        <f xml:space="preserve"> Time!AV$76</f>
        <v>0</v>
      </c>
      <c r="AW68" s="182">
        <f xml:space="preserve"> Time!AW$76</f>
        <v>0</v>
      </c>
      <c r="AX68" s="182">
        <f xml:space="preserve"> Time!AX$76</f>
        <v>0</v>
      </c>
      <c r="AY68" s="182">
        <f xml:space="preserve"> Time!AY$76</f>
        <v>0</v>
      </c>
      <c r="AZ68" s="182">
        <f xml:space="preserve"> Time!AZ$76</f>
        <v>0</v>
      </c>
      <c r="BA68" s="182">
        <f xml:space="preserve"> Time!BA$76</f>
        <v>0</v>
      </c>
      <c r="BB68" s="182">
        <f xml:space="preserve"> Time!BB$76</f>
        <v>0</v>
      </c>
      <c r="BC68" s="182">
        <f xml:space="preserve"> Time!BC$76</f>
        <v>0</v>
      </c>
      <c r="BD68" s="182">
        <f xml:space="preserve"> Time!BD$76</f>
        <v>0</v>
      </c>
      <c r="BE68" s="182">
        <f xml:space="preserve"> Time!BE$76</f>
        <v>0</v>
      </c>
      <c r="BF68" s="182">
        <f xml:space="preserve"> Time!BF$76</f>
        <v>0</v>
      </c>
      <c r="BG68" s="182">
        <f xml:space="preserve"> Time!BG$76</f>
        <v>0</v>
      </c>
      <c r="BH68" s="182">
        <f xml:space="preserve"> Time!BH$76</f>
        <v>0</v>
      </c>
      <c r="BI68" s="182">
        <f xml:space="preserve"> Time!BI$76</f>
        <v>0</v>
      </c>
      <c r="BJ68" s="182">
        <f xml:space="preserve"> Time!BJ$76</f>
        <v>0</v>
      </c>
      <c r="BK68" s="182">
        <f xml:space="preserve"> Time!BK$76</f>
        <v>0</v>
      </c>
      <c r="BL68" s="182">
        <f xml:space="preserve"> Time!BL$76</f>
        <v>0</v>
      </c>
      <c r="BM68" s="182">
        <f xml:space="preserve"> Time!BM$76</f>
        <v>0</v>
      </c>
      <c r="BN68" s="182">
        <f xml:space="preserve"> Time!BN$76</f>
        <v>0</v>
      </c>
      <c r="BO68" s="182">
        <f xml:space="preserve"> Time!BO$76</f>
        <v>0</v>
      </c>
      <c r="BP68" s="182">
        <f xml:space="preserve"> Time!BP$76</f>
        <v>0</v>
      </c>
      <c r="BQ68" s="182">
        <f xml:space="preserve"> Time!BQ$76</f>
        <v>0</v>
      </c>
      <c r="BR68" s="182">
        <f xml:space="preserve"> Time!BR$76</f>
        <v>0</v>
      </c>
      <c r="BS68" s="182">
        <f xml:space="preserve"> Time!BS$76</f>
        <v>0</v>
      </c>
      <c r="BT68" s="182">
        <f xml:space="preserve"> Time!BT$76</f>
        <v>0</v>
      </c>
      <c r="BU68" s="182">
        <f xml:space="preserve"> Time!BU$76</f>
        <v>0</v>
      </c>
      <c r="BV68" s="182">
        <f xml:space="preserve"> Time!BV$76</f>
        <v>0</v>
      </c>
      <c r="BW68" s="182">
        <f xml:space="preserve"> Time!BW$76</f>
        <v>0</v>
      </c>
      <c r="BX68" s="182">
        <f xml:space="preserve"> Time!BX$76</f>
        <v>0</v>
      </c>
      <c r="BY68" s="182">
        <f xml:space="preserve"> Time!BY$76</f>
        <v>0</v>
      </c>
      <c r="BZ68" s="182">
        <f xml:space="preserve"> Time!BZ$76</f>
        <v>0</v>
      </c>
      <c r="CA68" s="182">
        <f xml:space="preserve"> Time!CA$76</f>
        <v>0</v>
      </c>
      <c r="CB68" s="182">
        <f xml:space="preserve"> Time!CB$76</f>
        <v>0</v>
      </c>
      <c r="CC68" s="182">
        <f xml:space="preserve"> Time!CC$76</f>
        <v>0</v>
      </c>
      <c r="CD68" s="182">
        <f xml:space="preserve"> Time!CD$76</f>
        <v>0</v>
      </c>
      <c r="CE68" s="182">
        <f xml:space="preserve"> Time!CE$76</f>
        <v>0</v>
      </c>
      <c r="CF68" s="182">
        <f xml:space="preserve"> Time!CF$76</f>
        <v>0</v>
      </c>
      <c r="CG68" s="182">
        <f xml:space="preserve"> Time!CG$76</f>
        <v>0</v>
      </c>
      <c r="CH68" s="182">
        <f xml:space="preserve"> Time!CH$76</f>
        <v>0</v>
      </c>
      <c r="CI68" s="182">
        <f xml:space="preserve"> Time!CI$76</f>
        <v>0</v>
      </c>
      <c r="CJ68" s="182">
        <f xml:space="preserve"> Time!CJ$76</f>
        <v>0</v>
      </c>
      <c r="CK68" s="182">
        <f xml:space="preserve"> Time!CK$76</f>
        <v>0</v>
      </c>
      <c r="CL68" s="182">
        <f xml:space="preserve"> Time!CL$76</f>
        <v>0</v>
      </c>
      <c r="CM68" s="182">
        <f xml:space="preserve"> Time!CM$76</f>
        <v>0</v>
      </c>
      <c r="CN68" s="182">
        <f xml:space="preserve"> Time!CN$76</f>
        <v>0</v>
      </c>
      <c r="CO68" s="182">
        <f xml:space="preserve"> Time!CO$76</f>
        <v>0</v>
      </c>
      <c r="CP68" s="182">
        <f xml:space="preserve"> Time!CP$76</f>
        <v>0</v>
      </c>
      <c r="CQ68" s="182">
        <f xml:space="preserve"> Time!CQ$76</f>
        <v>0</v>
      </c>
      <c r="CR68" s="182">
        <f xml:space="preserve"> Time!CR$76</f>
        <v>0</v>
      </c>
      <c r="CS68" s="182">
        <f xml:space="preserve"> Time!CS$76</f>
        <v>0</v>
      </c>
      <c r="CT68" s="182">
        <f xml:space="preserve"> Time!CT$76</f>
        <v>0</v>
      </c>
      <c r="CU68" s="182">
        <f xml:space="preserve"> Time!CU$76</f>
        <v>0</v>
      </c>
      <c r="CV68" s="182">
        <f xml:space="preserve"> Time!CV$76</f>
        <v>0</v>
      </c>
      <c r="CW68" s="182">
        <f xml:space="preserve"> Time!CW$76</f>
        <v>0</v>
      </c>
      <c r="CX68" s="182">
        <f xml:space="preserve"> Time!CX$76</f>
        <v>0</v>
      </c>
      <c r="CY68" s="182">
        <f xml:space="preserve"> Time!CY$76</f>
        <v>0</v>
      </c>
      <c r="CZ68" s="182">
        <f xml:space="preserve"> Time!CZ$76</f>
        <v>0</v>
      </c>
      <c r="DA68" s="182">
        <f xml:space="preserve"> Time!DA$76</f>
        <v>0</v>
      </c>
      <c r="DB68" s="182">
        <f xml:space="preserve"> Time!DB$76</f>
        <v>0</v>
      </c>
      <c r="DC68" s="182">
        <f xml:space="preserve"> Time!DC$76</f>
        <v>0</v>
      </c>
      <c r="DD68" s="182">
        <f xml:space="preserve"> Time!DD$76</f>
        <v>0</v>
      </c>
      <c r="DE68" s="182">
        <f xml:space="preserve"> Time!DE$76</f>
        <v>0</v>
      </c>
      <c r="DF68" s="182">
        <f xml:space="preserve"> Time!DF$76</f>
        <v>0</v>
      </c>
      <c r="DG68" s="182">
        <f xml:space="preserve"> Time!DG$76</f>
        <v>0</v>
      </c>
      <c r="DH68" s="182">
        <f xml:space="preserve"> Time!DH$76</f>
        <v>0</v>
      </c>
      <c r="DI68" s="182">
        <f xml:space="preserve"> Time!DI$76</f>
        <v>0</v>
      </c>
      <c r="DJ68" s="182">
        <f xml:space="preserve"> Time!DJ$76</f>
        <v>0</v>
      </c>
      <c r="DK68" s="182">
        <f xml:space="preserve"> Time!DK$76</f>
        <v>0</v>
      </c>
      <c r="DL68" s="182">
        <f xml:space="preserve"> Time!DL$76</f>
        <v>0</v>
      </c>
      <c r="DM68" s="182">
        <f xml:space="preserve"> Time!DM$76</f>
        <v>0</v>
      </c>
      <c r="DN68" s="182">
        <f xml:space="preserve"> Time!DN$76</f>
        <v>0</v>
      </c>
      <c r="DO68" s="182">
        <f xml:space="preserve"> Time!DO$76</f>
        <v>0</v>
      </c>
      <c r="DP68" s="182">
        <f xml:space="preserve"> Time!DP$76</f>
        <v>0</v>
      </c>
      <c r="DQ68" s="182">
        <f xml:space="preserve"> Time!DQ$76</f>
        <v>0</v>
      </c>
      <c r="DR68" s="182">
        <f xml:space="preserve"> Time!DR$76</f>
        <v>0</v>
      </c>
      <c r="DS68" s="182">
        <f xml:space="preserve"> Time!DS$76</f>
        <v>0</v>
      </c>
      <c r="DT68" s="182">
        <f xml:space="preserve"> Time!DT$76</f>
        <v>0</v>
      </c>
      <c r="DU68" s="182">
        <f xml:space="preserve"> Time!DU$76</f>
        <v>0</v>
      </c>
      <c r="DV68" s="182">
        <f xml:space="preserve"> Time!DV$76</f>
        <v>0</v>
      </c>
      <c r="DW68" s="182">
        <f xml:space="preserve"> Time!DW$76</f>
        <v>0</v>
      </c>
      <c r="DX68" s="182">
        <f xml:space="preserve"> Time!DX$76</f>
        <v>0</v>
      </c>
      <c r="DY68" s="182">
        <f xml:space="preserve"> Time!DY$76</f>
        <v>0</v>
      </c>
      <c r="DZ68" s="182">
        <f xml:space="preserve"> Time!DZ$76</f>
        <v>0</v>
      </c>
      <c r="EA68" s="182">
        <f xml:space="preserve"> Time!EA$76</f>
        <v>0</v>
      </c>
    </row>
    <row r="69" spans="1:131" outlineLevel="2" x14ac:dyDescent="0.35">
      <c r="E69" s="169"/>
      <c r="F69" s="169"/>
      <c r="G69" s="169"/>
      <c r="H69" s="169"/>
      <c r="I69" s="26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  <c r="DG69" s="169"/>
      <c r="DH69" s="169"/>
      <c r="DI69" s="169"/>
      <c r="DJ69" s="169"/>
      <c r="DK69" s="169"/>
      <c r="DL69" s="169"/>
      <c r="DM69" s="169"/>
      <c r="DN69" s="169"/>
      <c r="DO69" s="169"/>
      <c r="DP69" s="169"/>
      <c r="DQ69" s="169"/>
      <c r="DR69" s="169"/>
      <c r="DS69" s="169"/>
      <c r="DT69" s="169"/>
      <c r="DU69" s="169"/>
      <c r="DV69" s="169"/>
      <c r="DW69" s="169"/>
      <c r="DX69" s="169"/>
      <c r="DY69" s="169"/>
      <c r="DZ69" s="169"/>
      <c r="EA69" s="169"/>
    </row>
    <row r="70" spans="1:131" outlineLevel="2" x14ac:dyDescent="0.35">
      <c r="E70" s="169" t="s">
        <v>252</v>
      </c>
      <c r="F70" s="169"/>
      <c r="G70" s="169" t="str">
        <f xml:space="preserve"> SMU</f>
        <v>$ 000s</v>
      </c>
      <c r="H70" s="169"/>
      <c r="I70" s="26"/>
      <c r="J70" s="169">
        <f t="shared" ref="J70:BU70" si="66">I72</f>
        <v>0</v>
      </c>
      <c r="K70" s="169">
        <f t="shared" si="66"/>
        <v>0</v>
      </c>
      <c r="L70" s="169">
        <f t="shared" si="66"/>
        <v>0</v>
      </c>
      <c r="M70" s="169">
        <f t="shared" si="66"/>
        <v>70000</v>
      </c>
      <c r="N70" s="169">
        <f t="shared" si="66"/>
        <v>68712.362134597439</v>
      </c>
      <c r="O70" s="169">
        <f t="shared" si="66"/>
        <v>67416.647155258703</v>
      </c>
      <c r="P70" s="169">
        <f t="shared" si="66"/>
        <v>66101.064546236768</v>
      </c>
      <c r="Q70" s="169">
        <f t="shared" si="66"/>
        <v>64743.27598236109</v>
      </c>
      <c r="R70" s="169">
        <f t="shared" si="66"/>
        <v>63375.911136024333</v>
      </c>
      <c r="S70" s="169">
        <f t="shared" si="66"/>
        <v>61998.370574707478</v>
      </c>
      <c r="T70" s="169">
        <f t="shared" si="66"/>
        <v>60599.707724783759</v>
      </c>
      <c r="U70" s="169">
        <f t="shared" si="66"/>
        <v>59159.39880858628</v>
      </c>
      <c r="V70" s="169">
        <f t="shared" si="66"/>
        <v>57707.345158447271</v>
      </c>
      <c r="W70" s="169">
        <f t="shared" si="66"/>
        <v>56242.886585474233</v>
      </c>
      <c r="X70" s="169">
        <f t="shared" si="66"/>
        <v>54755.972981048937</v>
      </c>
      <c r="Y70" s="169">
        <f t="shared" si="66"/>
        <v>53237.134039192279</v>
      </c>
      <c r="Z70" s="169">
        <f t="shared" si="66"/>
        <v>51695.259373384128</v>
      </c>
      <c r="AA70" s="169">
        <f t="shared" si="66"/>
        <v>50138.615485040122</v>
      </c>
      <c r="AB70" s="169">
        <f t="shared" si="66"/>
        <v>48558.103057074841</v>
      </c>
      <c r="AC70" s="169">
        <f t="shared" si="66"/>
        <v>46937.170070861728</v>
      </c>
      <c r="AD70" s="169">
        <f t="shared" si="66"/>
        <v>45299.7459515339</v>
      </c>
      <c r="AE70" s="169">
        <f t="shared" si="66"/>
        <v>43645.037524054853</v>
      </c>
      <c r="AF70" s="169">
        <f t="shared" si="66"/>
        <v>41964.956900687794</v>
      </c>
      <c r="AG70" s="169">
        <f t="shared" si="66"/>
        <v>40245.12672212888</v>
      </c>
      <c r="AH70" s="169">
        <f t="shared" si="66"/>
        <v>38506.206612011934</v>
      </c>
      <c r="AI70" s="169">
        <f t="shared" si="66"/>
        <v>36747.330581326889</v>
      </c>
      <c r="AJ70" s="169">
        <f t="shared" si="66"/>
        <v>34961.485118171338</v>
      </c>
      <c r="AK70" s="169">
        <f t="shared" si="66"/>
        <v>33136.602862874679</v>
      </c>
      <c r="AL70" s="169">
        <f t="shared" si="66"/>
        <v>31289.870140892381</v>
      </c>
      <c r="AM70" s="169">
        <f t="shared" si="66"/>
        <v>29420.343617650164</v>
      </c>
      <c r="AN70" s="169">
        <f t="shared" si="66"/>
        <v>27522.151021051566</v>
      </c>
      <c r="AO70" s="169">
        <f t="shared" si="66"/>
        <v>25590.265779468282</v>
      </c>
      <c r="AP70" s="169">
        <f t="shared" si="66"/>
        <v>23629.080278387653</v>
      </c>
      <c r="AQ70" s="169">
        <f t="shared" si="66"/>
        <v>21642.088310587031</v>
      </c>
      <c r="AR70" s="169">
        <f t="shared" si="66"/>
        <v>19624.629132613467</v>
      </c>
      <c r="AS70" s="169">
        <f t="shared" si="66"/>
        <v>17569.694037533438</v>
      </c>
      <c r="AT70" s="169">
        <f t="shared" si="66"/>
        <v>15486.863198366796</v>
      </c>
      <c r="AU70" s="169">
        <f t="shared" si="66"/>
        <v>13375.023902005856</v>
      </c>
      <c r="AV70" s="169">
        <f t="shared" si="66"/>
        <v>11230.80306976738</v>
      </c>
      <c r="AW70" s="169">
        <f t="shared" si="66"/>
        <v>9049.9605837446597</v>
      </c>
      <c r="AX70" s="169">
        <f t="shared" si="66"/>
        <v>6837.9137871955554</v>
      </c>
      <c r="AY70" s="169">
        <f t="shared" si="66"/>
        <v>4593.4572665299893</v>
      </c>
      <c r="AZ70" s="169">
        <f t="shared" si="66"/>
        <v>2314.5857458808841</v>
      </c>
      <c r="BA70" s="169">
        <f t="shared" si="66"/>
        <v>-1.3415046851150692E-10</v>
      </c>
      <c r="BB70" s="169">
        <f t="shared" si="66"/>
        <v>-1.3618508395059811E-10</v>
      </c>
      <c r="BC70" s="169">
        <f t="shared" si="66"/>
        <v>-1.3827325523784061E-10</v>
      </c>
      <c r="BD70" s="169">
        <f t="shared" si="66"/>
        <v>-1.4039344515148752E-10</v>
      </c>
      <c r="BE70" s="169">
        <f t="shared" si="66"/>
        <v>-1.4252274573628509E-10</v>
      </c>
      <c r="BF70" s="169">
        <f t="shared" si="66"/>
        <v>-1.446843407132854E-10</v>
      </c>
      <c r="BG70" s="169">
        <f t="shared" si="66"/>
        <v>-1.4690283393755577E-10</v>
      </c>
      <c r="BH70" s="169">
        <f t="shared" si="66"/>
        <v>-1.4915534405793163E-10</v>
      </c>
      <c r="BI70" s="169">
        <f t="shared" si="66"/>
        <v>-1.5139267421880061E-10</v>
      </c>
      <c r="BJ70" s="169">
        <f t="shared" si="66"/>
        <v>-1.5368879644445241E-10</v>
      </c>
      <c r="BK70" s="169">
        <f t="shared" si="66"/>
        <v>-1.56045357989934E-10</v>
      </c>
      <c r="BL70" s="169">
        <f t="shared" si="66"/>
        <v>-1.5843805347911299E-10</v>
      </c>
      <c r="BM70" s="169">
        <f t="shared" si="66"/>
        <v>-1.6081462428129969E-10</v>
      </c>
      <c r="BN70" s="169">
        <f t="shared" si="66"/>
        <v>-1.632536460828994E-10</v>
      </c>
      <c r="BO70" s="169">
        <f t="shared" si="66"/>
        <v>-1.6575686865617051E-10</v>
      </c>
      <c r="BP70" s="169">
        <f t="shared" si="66"/>
        <v>-1.6829847397556512E-10</v>
      </c>
      <c r="BQ70" s="169">
        <f t="shared" si="66"/>
        <v>-1.7082295108519861E-10</v>
      </c>
      <c r="BR70" s="169">
        <f t="shared" si="66"/>
        <v>-1.7341376584332412E-10</v>
      </c>
      <c r="BS70" s="169">
        <f t="shared" si="66"/>
        <v>-1.7607277691958842E-10</v>
      </c>
      <c r="BT70" s="169">
        <f t="shared" si="66"/>
        <v>-1.7877255949902209E-10</v>
      </c>
      <c r="BU70" s="169">
        <f t="shared" si="66"/>
        <v>-1.8148394331809058E-10</v>
      </c>
      <c r="BV70" s="169">
        <f t="shared" ref="BV70:EA70" si="67">BU72</f>
        <v>-1.8423644979174829E-10</v>
      </c>
      <c r="BW70" s="169">
        <f t="shared" si="67"/>
        <v>-1.870614086885551E-10</v>
      </c>
      <c r="BX70" s="169">
        <f t="shared" si="67"/>
        <v>-1.8992968362177961E-10</v>
      </c>
      <c r="BY70" s="169">
        <f t="shared" si="67"/>
        <v>-1.9277862887610629E-10</v>
      </c>
      <c r="BZ70" s="169">
        <f t="shared" si="67"/>
        <v>-1.9570243808072725E-10</v>
      </c>
      <c r="CA70" s="169">
        <f t="shared" si="67"/>
        <v>-1.9870320879796507E-10</v>
      </c>
      <c r="CB70" s="169">
        <f t="shared" si="67"/>
        <v>-2.017499913328672E-10</v>
      </c>
      <c r="CC70" s="169">
        <f t="shared" si="67"/>
        <v>-2.0477624120286021E-10</v>
      </c>
      <c r="CD70" s="169">
        <f t="shared" si="67"/>
        <v>-2.0788201419443692E-10</v>
      </c>
      <c r="CE70" s="169">
        <f t="shared" si="67"/>
        <v>-2.1106953841208495E-10</v>
      </c>
      <c r="CF70" s="169">
        <f t="shared" si="67"/>
        <v>-2.1430593800107024E-10</v>
      </c>
      <c r="CG70" s="169">
        <f t="shared" si="67"/>
        <v>-2.1752052707108629E-10</v>
      </c>
      <c r="CH70" s="169">
        <f t="shared" si="67"/>
        <v>-2.2081958839833109E-10</v>
      </c>
      <c r="CI70" s="169">
        <f t="shared" si="67"/>
        <v>-2.2420548875377216E-10</v>
      </c>
      <c r="CJ70" s="169">
        <f t="shared" si="67"/>
        <v>-2.2764330624799667E-10</v>
      </c>
      <c r="CK70" s="169">
        <f t="shared" si="67"/>
        <v>-2.3109589639275796E-10</v>
      </c>
      <c r="CL70" s="169">
        <f t="shared" si="67"/>
        <v>-2.3460085082138146E-10</v>
      </c>
      <c r="CM70" s="169">
        <f t="shared" si="67"/>
        <v>-2.381980638673093E-10</v>
      </c>
      <c r="CN70" s="169">
        <f t="shared" si="67"/>
        <v>-2.4185043417994138E-10</v>
      </c>
      <c r="CO70" s="169">
        <f t="shared" si="67"/>
        <v>-2.4547819069264048E-10</v>
      </c>
      <c r="CP70" s="169">
        <f t="shared" si="67"/>
        <v>-2.4920127658481221E-10</v>
      </c>
      <c r="CQ70" s="169">
        <f t="shared" si="67"/>
        <v>-2.5302236282577934E-10</v>
      </c>
      <c r="CR70" s="169">
        <f t="shared" si="67"/>
        <v>-2.5690203905577462E-10</v>
      </c>
      <c r="CS70" s="169">
        <f t="shared" si="67"/>
        <v>-2.6075556964161123E-10</v>
      </c>
      <c r="CT70" s="169">
        <f t="shared" si="67"/>
        <v>-2.6471036244784235E-10</v>
      </c>
      <c r="CU70" s="169">
        <f t="shared" si="67"/>
        <v>-2.6876925467204262E-10</v>
      </c>
      <c r="CV70" s="169">
        <f t="shared" si="67"/>
        <v>-2.7289038324368063E-10</v>
      </c>
      <c r="CW70" s="169">
        <f t="shared" si="67"/>
        <v>-2.7698373899233584E-10</v>
      </c>
      <c r="CX70" s="169">
        <f t="shared" si="67"/>
        <v>-2.8118465903371959E-10</v>
      </c>
      <c r="CY70" s="169">
        <f t="shared" si="67"/>
        <v>-2.8549615713890329E-10</v>
      </c>
      <c r="CZ70" s="169">
        <f t="shared" si="67"/>
        <v>-2.8987376488169981E-10</v>
      </c>
      <c r="DA70" s="169">
        <f t="shared" si="67"/>
        <v>-2.9427018364907226E-10</v>
      </c>
      <c r="DB70" s="169">
        <f t="shared" si="67"/>
        <v>-2.9873328143441653E-10</v>
      </c>
      <c r="DC70" s="169">
        <f t="shared" si="67"/>
        <v>-3.0331385841641094E-10</v>
      </c>
      <c r="DD70" s="169">
        <f t="shared" si="67"/>
        <v>-3.0796467091212923E-10</v>
      </c>
      <c r="DE70" s="169">
        <f t="shared" si="67"/>
        <v>-3.1258414097581117E-10</v>
      </c>
      <c r="DF70" s="169">
        <f t="shared" si="67"/>
        <v>-3.1732500044727764E-10</v>
      </c>
      <c r="DG70" s="169">
        <f t="shared" si="67"/>
        <v>-3.2219065045413591E-10</v>
      </c>
      <c r="DH70" s="169">
        <f t="shared" si="67"/>
        <v>-3.2713090709443267E-10</v>
      </c>
      <c r="DI70" s="169">
        <f t="shared" si="67"/>
        <v>-3.3203787070084914E-10</v>
      </c>
      <c r="DJ70" s="169">
        <f t="shared" si="67"/>
        <v>-3.3707377840647867E-10</v>
      </c>
      <c r="DK70" s="169">
        <f t="shared" si="67"/>
        <v>-3.4224224300871133E-10</v>
      </c>
      <c r="DL70" s="169">
        <f t="shared" si="67"/>
        <v>-3.4748995740151156E-10</v>
      </c>
      <c r="DM70" s="169">
        <f t="shared" si="67"/>
        <v>-3.5270230676253423E-10</v>
      </c>
      <c r="DN70" s="169">
        <f t="shared" si="67"/>
        <v>-3.58051625081766E-10</v>
      </c>
      <c r="DO70" s="169">
        <f t="shared" si="67"/>
        <v>-3.635417499996864E-10</v>
      </c>
      <c r="DP70" s="169">
        <f t="shared" si="67"/>
        <v>-3.6911605683301494E-10</v>
      </c>
      <c r="DQ70" s="169">
        <f t="shared" si="67"/>
        <v>-3.7471431702831565E-10</v>
      </c>
      <c r="DR70" s="169">
        <f t="shared" si="67"/>
        <v>-3.8039748416991176E-10</v>
      </c>
      <c r="DS70" s="169">
        <f t="shared" si="67"/>
        <v>-3.8623024559385041E-10</v>
      </c>
      <c r="DT70" s="169">
        <f t="shared" si="67"/>
        <v>-3.9215244269295612E-10</v>
      </c>
      <c r="DU70" s="169">
        <f t="shared" si="67"/>
        <v>-3.9803472933335048E-10</v>
      </c>
      <c r="DV70" s="169">
        <f t="shared" si="67"/>
        <v>-4.040715893949063E-10</v>
      </c>
      <c r="DW70" s="169">
        <f t="shared" si="67"/>
        <v>-4.1026735376562818E-10</v>
      </c>
      <c r="DX70" s="169">
        <f t="shared" si="67"/>
        <v>-4.1655811985670115E-10</v>
      </c>
      <c r="DY70" s="169">
        <f t="shared" si="67"/>
        <v>-4.2280649165455167E-10</v>
      </c>
      <c r="DZ70" s="169">
        <f t="shared" si="67"/>
        <v>-4.2921905677797905E-10</v>
      </c>
      <c r="EA70" s="169">
        <f t="shared" si="67"/>
        <v>-4.3580041564857471E-10</v>
      </c>
    </row>
    <row r="71" spans="1:131" outlineLevel="2" x14ac:dyDescent="0.35">
      <c r="E71" s="26" t="str">
        <f t="shared" ref="E71:AJ71" si="68" xml:space="preserve"> E$48</f>
        <v xml:space="preserve">Senior debt principal repayment POS </v>
      </c>
      <c r="F71" s="26">
        <f t="shared" si="68"/>
        <v>0</v>
      </c>
      <c r="G71" s="26" t="str">
        <f t="shared" si="68"/>
        <v>$ 000s</v>
      </c>
      <c r="H71" s="26">
        <f t="shared" si="68"/>
        <v>70000.000000000131</v>
      </c>
      <c r="I71" s="26">
        <f t="shared" si="68"/>
        <v>0</v>
      </c>
      <c r="J71" s="26">
        <f t="shared" si="68"/>
        <v>0</v>
      </c>
      <c r="K71" s="26">
        <f t="shared" si="68"/>
        <v>0</v>
      </c>
      <c r="L71" s="26">
        <f t="shared" si="68"/>
        <v>0</v>
      </c>
      <c r="M71" s="26">
        <f t="shared" si="68"/>
        <v>1287.637865402565</v>
      </c>
      <c r="N71" s="26">
        <f t="shared" si="68"/>
        <v>1295.7149793387375</v>
      </c>
      <c r="O71" s="26">
        <f t="shared" si="68"/>
        <v>1315.5826090219314</v>
      </c>
      <c r="P71" s="26">
        <f t="shared" si="68"/>
        <v>1357.7885638756802</v>
      </c>
      <c r="Q71" s="26">
        <f t="shared" si="68"/>
        <v>1367.3648463367551</v>
      </c>
      <c r="R71" s="26">
        <f t="shared" si="68"/>
        <v>1377.5405613168584</v>
      </c>
      <c r="S71" s="26">
        <f t="shared" si="68"/>
        <v>1398.662849923717</v>
      </c>
      <c r="T71" s="26">
        <f t="shared" si="68"/>
        <v>1440.3089161974754</v>
      </c>
      <c r="U71" s="26">
        <f t="shared" si="68"/>
        <v>1452.0536501390065</v>
      </c>
      <c r="V71" s="26">
        <f t="shared" si="68"/>
        <v>1464.4585729730402</v>
      </c>
      <c r="W71" s="26">
        <f t="shared" si="68"/>
        <v>1486.9136044252932</v>
      </c>
      <c r="X71" s="26">
        <f t="shared" si="68"/>
        <v>1518.8389418566562</v>
      </c>
      <c r="Y71" s="26">
        <f t="shared" si="68"/>
        <v>1541.8746658081486</v>
      </c>
      <c r="Z71" s="26">
        <f t="shared" si="68"/>
        <v>1556.6438883440082</v>
      </c>
      <c r="AA71" s="26">
        <f t="shared" si="68"/>
        <v>1580.5124279652832</v>
      </c>
      <c r="AB71" s="26">
        <f t="shared" si="68"/>
        <v>1620.932986213109</v>
      </c>
      <c r="AC71" s="26">
        <f t="shared" si="68"/>
        <v>1637.4241193278287</v>
      </c>
      <c r="AD71" s="26">
        <f t="shared" si="68"/>
        <v>1654.7084274790452</v>
      </c>
      <c r="AE71" s="26">
        <f t="shared" si="68"/>
        <v>1680.0806233670573</v>
      </c>
      <c r="AF71" s="26">
        <f t="shared" si="68"/>
        <v>1719.8301785589147</v>
      </c>
      <c r="AG71" s="26">
        <f t="shared" si="68"/>
        <v>1738.9201101169438</v>
      </c>
      <c r="AH71" s="26">
        <f t="shared" si="68"/>
        <v>1758.8760306850486</v>
      </c>
      <c r="AI71" s="26">
        <f t="shared" si="68"/>
        <v>1785.8454631555528</v>
      </c>
      <c r="AJ71" s="26">
        <f t="shared" si="68"/>
        <v>1824.8822552966617</v>
      </c>
      <c r="AK71" s="26">
        <f t="shared" ref="AK71:BP71" si="69" xml:space="preserve"> AK$48</f>
        <v>1846.7327219822992</v>
      </c>
      <c r="AL71" s="26">
        <f t="shared" si="69"/>
        <v>1869.5265232422153</v>
      </c>
      <c r="AM71" s="26">
        <f t="shared" si="69"/>
        <v>1898.1925965985959</v>
      </c>
      <c r="AN71" s="26">
        <f t="shared" si="69"/>
        <v>1931.885241583283</v>
      </c>
      <c r="AO71" s="26">
        <f t="shared" si="69"/>
        <v>1961.1855010806294</v>
      </c>
      <c r="AP71" s="26">
        <f t="shared" si="69"/>
        <v>1986.9919678006211</v>
      </c>
      <c r="AQ71" s="26">
        <f t="shared" si="69"/>
        <v>2017.4591779735638</v>
      </c>
      <c r="AR71" s="26">
        <f t="shared" si="69"/>
        <v>2054.9350950800299</v>
      </c>
      <c r="AS71" s="26">
        <f t="shared" si="69"/>
        <v>2082.8308391666415</v>
      </c>
      <c r="AT71" s="26">
        <f t="shared" si="69"/>
        <v>2111.8392963609408</v>
      </c>
      <c r="AU71" s="26">
        <f t="shared" si="69"/>
        <v>2144.2208322384754</v>
      </c>
      <c r="AV71" s="26">
        <f t="shared" si="69"/>
        <v>2180.842486022721</v>
      </c>
      <c r="AW71" s="26">
        <f t="shared" si="69"/>
        <v>2212.0467965491043</v>
      </c>
      <c r="AX71" s="26">
        <f t="shared" si="69"/>
        <v>2244.4565206655666</v>
      </c>
      <c r="AY71" s="26">
        <f t="shared" si="69"/>
        <v>2278.8715206491052</v>
      </c>
      <c r="AZ71" s="26">
        <f t="shared" si="69"/>
        <v>2314.5857458810183</v>
      </c>
      <c r="BA71" s="26">
        <f t="shared" si="69"/>
        <v>2.0346154390911884E-12</v>
      </c>
      <c r="BB71" s="26">
        <f t="shared" si="69"/>
        <v>2.0881712872425048E-12</v>
      </c>
      <c r="BC71" s="26">
        <f t="shared" si="69"/>
        <v>2.12018991364689E-12</v>
      </c>
      <c r="BD71" s="26">
        <f t="shared" si="69"/>
        <v>2.1293005847975611E-12</v>
      </c>
      <c r="BE71" s="26">
        <f t="shared" si="69"/>
        <v>2.1615949770003242E-12</v>
      </c>
      <c r="BF71" s="26">
        <f t="shared" si="69"/>
        <v>2.2184932242703766E-12</v>
      </c>
      <c r="BG71" s="26">
        <f t="shared" si="69"/>
        <v>2.2525101203758557E-12</v>
      </c>
      <c r="BH71" s="26">
        <f t="shared" si="69"/>
        <v>2.2373301608689745E-12</v>
      </c>
      <c r="BI71" s="26">
        <f t="shared" si="69"/>
        <v>2.2961222256518096E-12</v>
      </c>
      <c r="BJ71" s="26">
        <f t="shared" si="69"/>
        <v>2.3565615454816042E-12</v>
      </c>
      <c r="BK71" s="26">
        <f t="shared" si="69"/>
        <v>2.3926954891789883E-12</v>
      </c>
      <c r="BL71" s="26">
        <f t="shared" si="69"/>
        <v>2.3765708021866951E-12</v>
      </c>
      <c r="BM71" s="26">
        <f t="shared" si="69"/>
        <v>2.4390218015997124E-12</v>
      </c>
      <c r="BN71" s="26">
        <f t="shared" si="69"/>
        <v>2.5032225732711244E-12</v>
      </c>
      <c r="BO71" s="26">
        <f t="shared" si="69"/>
        <v>2.5416053193946149E-12</v>
      </c>
      <c r="BP71" s="26">
        <f t="shared" si="69"/>
        <v>2.5244771096334772E-12</v>
      </c>
      <c r="BQ71" s="26">
        <f t="shared" ref="BQ71:CV71" si="70" xml:space="preserve"> BQ$48</f>
        <v>2.5908147581255125E-12</v>
      </c>
      <c r="BR71" s="26">
        <f t="shared" si="70"/>
        <v>2.6590110762643038E-12</v>
      </c>
      <c r="BS71" s="26">
        <f t="shared" si="70"/>
        <v>2.6997825794336896E-12</v>
      </c>
      <c r="BT71" s="26">
        <f t="shared" si="70"/>
        <v>2.7113838190685022E-12</v>
      </c>
      <c r="BU71" s="26">
        <f t="shared" si="70"/>
        <v>2.7525064736577075E-12</v>
      </c>
      <c r="BV71" s="26">
        <f t="shared" si="70"/>
        <v>2.8249588968068077E-12</v>
      </c>
      <c r="BW71" s="26">
        <f t="shared" si="70"/>
        <v>2.8682749332245121E-12</v>
      </c>
      <c r="BX71" s="26">
        <f t="shared" si="70"/>
        <v>2.8489452543266942E-12</v>
      </c>
      <c r="BY71" s="26">
        <f t="shared" si="70"/>
        <v>2.9238092046209457E-12</v>
      </c>
      <c r="BZ71" s="26">
        <f t="shared" si="70"/>
        <v>3.0007707172378183E-12</v>
      </c>
      <c r="CA71" s="26">
        <f t="shared" si="70"/>
        <v>3.0467825349021318E-12</v>
      </c>
      <c r="CB71" s="26">
        <f t="shared" si="70"/>
        <v>3.0262498699930082E-12</v>
      </c>
      <c r="CC71" s="26">
        <f t="shared" si="70"/>
        <v>3.1057729915767137E-12</v>
      </c>
      <c r="CD71" s="26">
        <f t="shared" si="70"/>
        <v>3.1875242176480334E-12</v>
      </c>
      <c r="CE71" s="26">
        <f t="shared" si="70"/>
        <v>3.2363995889853029E-12</v>
      </c>
      <c r="CF71" s="26">
        <f t="shared" si="70"/>
        <v>3.2145890700160541E-12</v>
      </c>
      <c r="CG71" s="26">
        <f t="shared" si="70"/>
        <v>3.2990613272448093E-12</v>
      </c>
      <c r="CH71" s="26">
        <f t="shared" si="70"/>
        <v>3.3859003554410771E-12</v>
      </c>
      <c r="CI71" s="26">
        <f t="shared" si="70"/>
        <v>3.4378174942245072E-12</v>
      </c>
      <c r="CJ71" s="26">
        <f t="shared" si="70"/>
        <v>3.452590144761283E-12</v>
      </c>
      <c r="CK71" s="26">
        <f t="shared" si="70"/>
        <v>3.5049544286234962E-12</v>
      </c>
      <c r="CL71" s="26">
        <f t="shared" si="70"/>
        <v>3.5972130459278499E-12</v>
      </c>
      <c r="CM71" s="26">
        <f t="shared" si="70"/>
        <v>3.652370312632077E-12</v>
      </c>
      <c r="CN71" s="26">
        <f t="shared" si="70"/>
        <v>3.627756512699121E-12</v>
      </c>
      <c r="CO71" s="26">
        <f t="shared" si="70"/>
        <v>3.7230858921717142E-12</v>
      </c>
      <c r="CP71" s="26">
        <f t="shared" si="70"/>
        <v>3.8210862409671212E-12</v>
      </c>
      <c r="CQ71" s="26">
        <f t="shared" si="70"/>
        <v>3.8796762299952841E-12</v>
      </c>
      <c r="CR71" s="26">
        <f t="shared" si="70"/>
        <v>3.8535305858366193E-12</v>
      </c>
      <c r="CS71" s="26">
        <f t="shared" si="70"/>
        <v>3.9547928062311038E-12</v>
      </c>
      <c r="CT71" s="26">
        <f t="shared" si="70"/>
        <v>4.05889222420025E-12</v>
      </c>
      <c r="CU71" s="26">
        <f t="shared" si="70"/>
        <v>4.1211285716379872E-12</v>
      </c>
      <c r="CV71" s="26">
        <f t="shared" si="70"/>
        <v>4.0933557486552101E-12</v>
      </c>
      <c r="CW71" s="26">
        <f t="shared" ref="CW71:EA71" si="71" xml:space="preserve"> CW$48</f>
        <v>4.2009200413837607E-12</v>
      </c>
      <c r="CX71" s="26">
        <f t="shared" si="71"/>
        <v>4.3114981051837015E-12</v>
      </c>
      <c r="CY71" s="26">
        <f t="shared" si="71"/>
        <v>4.3776077427965177E-12</v>
      </c>
      <c r="CZ71" s="26">
        <f t="shared" si="71"/>
        <v>4.3964187673724477E-12</v>
      </c>
      <c r="DA71" s="26">
        <f t="shared" si="71"/>
        <v>4.4630977853442633E-12</v>
      </c>
      <c r="DB71" s="26">
        <f t="shared" si="71"/>
        <v>4.5805769819943878E-12</v>
      </c>
      <c r="DC71" s="26">
        <f t="shared" si="71"/>
        <v>4.6508124957183018E-12</v>
      </c>
      <c r="DD71" s="26">
        <f t="shared" si="71"/>
        <v>4.6194700636819384E-12</v>
      </c>
      <c r="DE71" s="26">
        <f t="shared" si="71"/>
        <v>4.74085947146647E-12</v>
      </c>
      <c r="DF71" s="26">
        <f t="shared" si="71"/>
        <v>4.8656500068582582E-12</v>
      </c>
      <c r="DG71" s="26">
        <f t="shared" si="71"/>
        <v>4.9402566402967512E-12</v>
      </c>
      <c r="DH71" s="26">
        <f t="shared" si="71"/>
        <v>4.9069636064164901E-12</v>
      </c>
      <c r="DI71" s="26">
        <f t="shared" si="71"/>
        <v>5.0359077056295457E-12</v>
      </c>
      <c r="DJ71" s="26">
        <f t="shared" si="71"/>
        <v>5.1684646022326742E-12</v>
      </c>
      <c r="DK71" s="26">
        <f t="shared" si="71"/>
        <v>5.2477143928002411E-12</v>
      </c>
      <c r="DL71" s="26">
        <f t="shared" si="71"/>
        <v>5.2123493610226741E-12</v>
      </c>
      <c r="DM71" s="26">
        <f t="shared" si="71"/>
        <v>5.3493183192317702E-12</v>
      </c>
      <c r="DN71" s="26">
        <f t="shared" si="71"/>
        <v>5.4901249179204128E-12</v>
      </c>
      <c r="DO71" s="26">
        <f t="shared" si="71"/>
        <v>5.5743068333285258E-12</v>
      </c>
      <c r="DP71" s="26">
        <f t="shared" si="71"/>
        <v>5.5982601953007273E-12</v>
      </c>
      <c r="DQ71" s="26">
        <f t="shared" si="71"/>
        <v>5.6831671415961215E-12</v>
      </c>
      <c r="DR71" s="26">
        <f t="shared" si="71"/>
        <v>5.8327614239386476E-12</v>
      </c>
      <c r="DS71" s="26">
        <f t="shared" si="71"/>
        <v>5.922197099105707E-12</v>
      </c>
      <c r="DT71" s="26">
        <f t="shared" si="71"/>
        <v>5.8822866403943426E-12</v>
      </c>
      <c r="DU71" s="26">
        <f t="shared" si="71"/>
        <v>6.0368600615558168E-12</v>
      </c>
      <c r="DV71" s="26">
        <f t="shared" si="71"/>
        <v>6.1957643707218973E-12</v>
      </c>
      <c r="DW71" s="26">
        <f t="shared" si="71"/>
        <v>6.2907660910729663E-12</v>
      </c>
      <c r="DX71" s="26">
        <f t="shared" si="71"/>
        <v>6.2483717978505177E-12</v>
      </c>
      <c r="DY71" s="26">
        <f t="shared" si="71"/>
        <v>6.4125651234273677E-12</v>
      </c>
      <c r="DZ71" s="26">
        <f t="shared" si="71"/>
        <v>6.58135887059568E-12</v>
      </c>
      <c r="EA71" s="26">
        <f t="shared" si="71"/>
        <v>6.6822730399448136E-12</v>
      </c>
    </row>
    <row r="72" spans="1:131" s="484" customFormat="1" outlineLevel="2" x14ac:dyDescent="0.35">
      <c r="A72" s="429"/>
      <c r="B72" s="429"/>
      <c r="C72" s="430"/>
      <c r="D72" s="431"/>
      <c r="E72" s="432" t="s">
        <v>249</v>
      </c>
      <c r="F72" s="432"/>
      <c r="G72" s="432" t="str">
        <f xml:space="preserve"> SMU</f>
        <v>$ 000s</v>
      </c>
      <c r="H72" s="432"/>
      <c r="I72" s="433"/>
      <c r="J72" s="432">
        <f t="shared" ref="J72:AO72" si="72" xml:space="preserve"> IF( J68 = 1, $F67, J70 - J71)</f>
        <v>0</v>
      </c>
      <c r="K72" s="432">
        <f t="shared" si="72"/>
        <v>0</v>
      </c>
      <c r="L72" s="432">
        <f t="shared" si="72"/>
        <v>70000</v>
      </c>
      <c r="M72" s="432">
        <f t="shared" si="72"/>
        <v>68712.362134597439</v>
      </c>
      <c r="N72" s="432">
        <f t="shared" si="72"/>
        <v>67416.647155258703</v>
      </c>
      <c r="O72" s="432">
        <f t="shared" si="72"/>
        <v>66101.064546236768</v>
      </c>
      <c r="P72" s="432">
        <f t="shared" si="72"/>
        <v>64743.27598236109</v>
      </c>
      <c r="Q72" s="432">
        <f t="shared" si="72"/>
        <v>63375.911136024333</v>
      </c>
      <c r="R72" s="432">
        <f t="shared" si="72"/>
        <v>61998.370574707478</v>
      </c>
      <c r="S72" s="432">
        <f t="shared" si="72"/>
        <v>60599.707724783759</v>
      </c>
      <c r="T72" s="432">
        <f t="shared" si="72"/>
        <v>59159.39880858628</v>
      </c>
      <c r="U72" s="432">
        <f t="shared" si="72"/>
        <v>57707.345158447271</v>
      </c>
      <c r="V72" s="432">
        <f t="shared" si="72"/>
        <v>56242.886585474233</v>
      </c>
      <c r="W72" s="432">
        <f t="shared" si="72"/>
        <v>54755.972981048937</v>
      </c>
      <c r="X72" s="432">
        <f t="shared" si="72"/>
        <v>53237.134039192279</v>
      </c>
      <c r="Y72" s="432">
        <f t="shared" si="72"/>
        <v>51695.259373384128</v>
      </c>
      <c r="Z72" s="432">
        <f t="shared" si="72"/>
        <v>50138.615485040122</v>
      </c>
      <c r="AA72" s="432">
        <f t="shared" si="72"/>
        <v>48558.103057074841</v>
      </c>
      <c r="AB72" s="432">
        <f t="shared" si="72"/>
        <v>46937.170070861728</v>
      </c>
      <c r="AC72" s="432">
        <f t="shared" si="72"/>
        <v>45299.7459515339</v>
      </c>
      <c r="AD72" s="432">
        <f t="shared" si="72"/>
        <v>43645.037524054853</v>
      </c>
      <c r="AE72" s="432">
        <f t="shared" si="72"/>
        <v>41964.956900687794</v>
      </c>
      <c r="AF72" s="432">
        <f t="shared" si="72"/>
        <v>40245.12672212888</v>
      </c>
      <c r="AG72" s="432">
        <f t="shared" si="72"/>
        <v>38506.206612011934</v>
      </c>
      <c r="AH72" s="432">
        <f t="shared" si="72"/>
        <v>36747.330581326889</v>
      </c>
      <c r="AI72" s="432">
        <f t="shared" si="72"/>
        <v>34961.485118171338</v>
      </c>
      <c r="AJ72" s="432">
        <f t="shared" si="72"/>
        <v>33136.602862874679</v>
      </c>
      <c r="AK72" s="432">
        <f t="shared" si="72"/>
        <v>31289.870140892381</v>
      </c>
      <c r="AL72" s="432">
        <f t="shared" si="72"/>
        <v>29420.343617650164</v>
      </c>
      <c r="AM72" s="432">
        <f t="shared" si="72"/>
        <v>27522.151021051566</v>
      </c>
      <c r="AN72" s="432">
        <f t="shared" si="72"/>
        <v>25590.265779468282</v>
      </c>
      <c r="AO72" s="432">
        <f t="shared" si="72"/>
        <v>23629.080278387653</v>
      </c>
      <c r="AP72" s="432">
        <f t="shared" ref="AP72:BU72" si="73" xml:space="preserve"> IF( AP68 = 1, $F67, AP70 - AP71)</f>
        <v>21642.088310587031</v>
      </c>
      <c r="AQ72" s="432">
        <f t="shared" si="73"/>
        <v>19624.629132613467</v>
      </c>
      <c r="AR72" s="432">
        <f t="shared" si="73"/>
        <v>17569.694037533438</v>
      </c>
      <c r="AS72" s="432">
        <f t="shared" si="73"/>
        <v>15486.863198366796</v>
      </c>
      <c r="AT72" s="432">
        <f t="shared" si="73"/>
        <v>13375.023902005856</v>
      </c>
      <c r="AU72" s="432">
        <f t="shared" si="73"/>
        <v>11230.80306976738</v>
      </c>
      <c r="AV72" s="432">
        <f t="shared" si="73"/>
        <v>9049.9605837446597</v>
      </c>
      <c r="AW72" s="432">
        <f t="shared" si="73"/>
        <v>6837.9137871955554</v>
      </c>
      <c r="AX72" s="432">
        <f t="shared" si="73"/>
        <v>4593.4572665299893</v>
      </c>
      <c r="AY72" s="432">
        <f t="shared" si="73"/>
        <v>2314.5857458808841</v>
      </c>
      <c r="AZ72" s="432">
        <f t="shared" si="73"/>
        <v>-1.3415046851150692E-10</v>
      </c>
      <c r="BA72" s="432">
        <f t="shared" si="73"/>
        <v>-1.3618508395059811E-10</v>
      </c>
      <c r="BB72" s="432">
        <f t="shared" si="73"/>
        <v>-1.3827325523784061E-10</v>
      </c>
      <c r="BC72" s="432">
        <f t="shared" si="73"/>
        <v>-1.4039344515148752E-10</v>
      </c>
      <c r="BD72" s="432">
        <f t="shared" si="73"/>
        <v>-1.4252274573628509E-10</v>
      </c>
      <c r="BE72" s="432">
        <f t="shared" si="73"/>
        <v>-1.446843407132854E-10</v>
      </c>
      <c r="BF72" s="432">
        <f t="shared" si="73"/>
        <v>-1.4690283393755577E-10</v>
      </c>
      <c r="BG72" s="432">
        <f t="shared" si="73"/>
        <v>-1.4915534405793163E-10</v>
      </c>
      <c r="BH72" s="432">
        <f t="shared" si="73"/>
        <v>-1.5139267421880061E-10</v>
      </c>
      <c r="BI72" s="432">
        <f t="shared" si="73"/>
        <v>-1.5368879644445241E-10</v>
      </c>
      <c r="BJ72" s="432">
        <f t="shared" si="73"/>
        <v>-1.56045357989934E-10</v>
      </c>
      <c r="BK72" s="432">
        <f t="shared" si="73"/>
        <v>-1.5843805347911299E-10</v>
      </c>
      <c r="BL72" s="432">
        <f t="shared" si="73"/>
        <v>-1.6081462428129969E-10</v>
      </c>
      <c r="BM72" s="432">
        <f t="shared" si="73"/>
        <v>-1.632536460828994E-10</v>
      </c>
      <c r="BN72" s="432">
        <f t="shared" si="73"/>
        <v>-1.6575686865617051E-10</v>
      </c>
      <c r="BO72" s="432">
        <f t="shared" si="73"/>
        <v>-1.6829847397556512E-10</v>
      </c>
      <c r="BP72" s="432">
        <f t="shared" si="73"/>
        <v>-1.7082295108519861E-10</v>
      </c>
      <c r="BQ72" s="432">
        <f t="shared" si="73"/>
        <v>-1.7341376584332412E-10</v>
      </c>
      <c r="BR72" s="432">
        <f t="shared" si="73"/>
        <v>-1.7607277691958842E-10</v>
      </c>
      <c r="BS72" s="432">
        <f t="shared" si="73"/>
        <v>-1.7877255949902209E-10</v>
      </c>
      <c r="BT72" s="432">
        <f t="shared" si="73"/>
        <v>-1.8148394331809058E-10</v>
      </c>
      <c r="BU72" s="432">
        <f t="shared" si="73"/>
        <v>-1.8423644979174829E-10</v>
      </c>
      <c r="BV72" s="432">
        <f t="shared" ref="BV72:DA72" si="74" xml:space="preserve"> IF( BV68 = 1, $F67, BV70 - BV71)</f>
        <v>-1.870614086885551E-10</v>
      </c>
      <c r="BW72" s="432">
        <f t="shared" si="74"/>
        <v>-1.8992968362177961E-10</v>
      </c>
      <c r="BX72" s="432">
        <f t="shared" si="74"/>
        <v>-1.9277862887610629E-10</v>
      </c>
      <c r="BY72" s="432">
        <f t="shared" si="74"/>
        <v>-1.9570243808072725E-10</v>
      </c>
      <c r="BZ72" s="432">
        <f t="shared" si="74"/>
        <v>-1.9870320879796507E-10</v>
      </c>
      <c r="CA72" s="432">
        <f t="shared" si="74"/>
        <v>-2.017499913328672E-10</v>
      </c>
      <c r="CB72" s="432">
        <f t="shared" si="74"/>
        <v>-2.0477624120286021E-10</v>
      </c>
      <c r="CC72" s="432">
        <f t="shared" si="74"/>
        <v>-2.0788201419443692E-10</v>
      </c>
      <c r="CD72" s="432">
        <f t="shared" si="74"/>
        <v>-2.1106953841208495E-10</v>
      </c>
      <c r="CE72" s="432">
        <f t="shared" si="74"/>
        <v>-2.1430593800107024E-10</v>
      </c>
      <c r="CF72" s="432">
        <f t="shared" si="74"/>
        <v>-2.1752052707108629E-10</v>
      </c>
      <c r="CG72" s="432">
        <f t="shared" si="74"/>
        <v>-2.2081958839833109E-10</v>
      </c>
      <c r="CH72" s="432">
        <f t="shared" si="74"/>
        <v>-2.2420548875377216E-10</v>
      </c>
      <c r="CI72" s="432">
        <f t="shared" si="74"/>
        <v>-2.2764330624799667E-10</v>
      </c>
      <c r="CJ72" s="432">
        <f t="shared" si="74"/>
        <v>-2.3109589639275796E-10</v>
      </c>
      <c r="CK72" s="432">
        <f t="shared" si="74"/>
        <v>-2.3460085082138146E-10</v>
      </c>
      <c r="CL72" s="432">
        <f t="shared" si="74"/>
        <v>-2.381980638673093E-10</v>
      </c>
      <c r="CM72" s="432">
        <f t="shared" si="74"/>
        <v>-2.4185043417994138E-10</v>
      </c>
      <c r="CN72" s="432">
        <f t="shared" si="74"/>
        <v>-2.4547819069264048E-10</v>
      </c>
      <c r="CO72" s="432">
        <f t="shared" si="74"/>
        <v>-2.4920127658481221E-10</v>
      </c>
      <c r="CP72" s="432">
        <f t="shared" si="74"/>
        <v>-2.5302236282577934E-10</v>
      </c>
      <c r="CQ72" s="432">
        <f t="shared" si="74"/>
        <v>-2.5690203905577462E-10</v>
      </c>
      <c r="CR72" s="432">
        <f t="shared" si="74"/>
        <v>-2.6075556964161123E-10</v>
      </c>
      <c r="CS72" s="432">
        <f t="shared" si="74"/>
        <v>-2.6471036244784235E-10</v>
      </c>
      <c r="CT72" s="432">
        <f t="shared" si="74"/>
        <v>-2.6876925467204262E-10</v>
      </c>
      <c r="CU72" s="432">
        <f t="shared" si="74"/>
        <v>-2.7289038324368063E-10</v>
      </c>
      <c r="CV72" s="432">
        <f t="shared" si="74"/>
        <v>-2.7698373899233584E-10</v>
      </c>
      <c r="CW72" s="432">
        <f t="shared" si="74"/>
        <v>-2.8118465903371959E-10</v>
      </c>
      <c r="CX72" s="432">
        <f t="shared" si="74"/>
        <v>-2.8549615713890329E-10</v>
      </c>
      <c r="CY72" s="432">
        <f t="shared" si="74"/>
        <v>-2.8987376488169981E-10</v>
      </c>
      <c r="CZ72" s="432">
        <f t="shared" si="74"/>
        <v>-2.9427018364907226E-10</v>
      </c>
      <c r="DA72" s="432">
        <f t="shared" si="74"/>
        <v>-2.9873328143441653E-10</v>
      </c>
      <c r="DB72" s="432">
        <f t="shared" ref="DB72:EA72" si="75" xml:space="preserve"> IF( DB68 = 1, $F67, DB70 - DB71)</f>
        <v>-3.0331385841641094E-10</v>
      </c>
      <c r="DC72" s="432">
        <f t="shared" si="75"/>
        <v>-3.0796467091212923E-10</v>
      </c>
      <c r="DD72" s="432">
        <f t="shared" si="75"/>
        <v>-3.1258414097581117E-10</v>
      </c>
      <c r="DE72" s="432">
        <f t="shared" si="75"/>
        <v>-3.1732500044727764E-10</v>
      </c>
      <c r="DF72" s="432">
        <f t="shared" si="75"/>
        <v>-3.2219065045413591E-10</v>
      </c>
      <c r="DG72" s="432">
        <f t="shared" si="75"/>
        <v>-3.2713090709443267E-10</v>
      </c>
      <c r="DH72" s="432">
        <f t="shared" si="75"/>
        <v>-3.3203787070084914E-10</v>
      </c>
      <c r="DI72" s="432">
        <f t="shared" si="75"/>
        <v>-3.3707377840647867E-10</v>
      </c>
      <c r="DJ72" s="432">
        <f t="shared" si="75"/>
        <v>-3.4224224300871133E-10</v>
      </c>
      <c r="DK72" s="432">
        <f t="shared" si="75"/>
        <v>-3.4748995740151156E-10</v>
      </c>
      <c r="DL72" s="432">
        <f t="shared" si="75"/>
        <v>-3.5270230676253423E-10</v>
      </c>
      <c r="DM72" s="432">
        <f t="shared" si="75"/>
        <v>-3.58051625081766E-10</v>
      </c>
      <c r="DN72" s="432">
        <f t="shared" si="75"/>
        <v>-3.635417499996864E-10</v>
      </c>
      <c r="DO72" s="432">
        <f t="shared" si="75"/>
        <v>-3.6911605683301494E-10</v>
      </c>
      <c r="DP72" s="432">
        <f t="shared" si="75"/>
        <v>-3.7471431702831565E-10</v>
      </c>
      <c r="DQ72" s="432">
        <f t="shared" si="75"/>
        <v>-3.8039748416991176E-10</v>
      </c>
      <c r="DR72" s="432">
        <f t="shared" si="75"/>
        <v>-3.8623024559385041E-10</v>
      </c>
      <c r="DS72" s="432">
        <f t="shared" si="75"/>
        <v>-3.9215244269295612E-10</v>
      </c>
      <c r="DT72" s="432">
        <f t="shared" si="75"/>
        <v>-3.9803472933335048E-10</v>
      </c>
      <c r="DU72" s="432">
        <f t="shared" si="75"/>
        <v>-4.040715893949063E-10</v>
      </c>
      <c r="DV72" s="432">
        <f t="shared" si="75"/>
        <v>-4.1026735376562818E-10</v>
      </c>
      <c r="DW72" s="432">
        <f t="shared" si="75"/>
        <v>-4.1655811985670115E-10</v>
      </c>
      <c r="DX72" s="432">
        <f t="shared" si="75"/>
        <v>-4.2280649165455167E-10</v>
      </c>
      <c r="DY72" s="432">
        <f t="shared" si="75"/>
        <v>-4.2921905677797905E-10</v>
      </c>
      <c r="DZ72" s="432">
        <f t="shared" si="75"/>
        <v>-4.3580041564857471E-10</v>
      </c>
      <c r="EA72" s="432">
        <f t="shared" si="75"/>
        <v>-4.4248268868851951E-10</v>
      </c>
    </row>
    <row r="73" spans="1:131" outlineLevel="2" x14ac:dyDescent="0.35"/>
    <row r="74" spans="1:131" outlineLevel="1" x14ac:dyDescent="0.35"/>
    <row r="75" spans="1:131" outlineLevel="1" x14ac:dyDescent="0.35">
      <c r="B75" s="8" t="s">
        <v>277</v>
      </c>
    </row>
    <row r="76" spans="1:131" outlineLevel="2" x14ac:dyDescent="0.35">
      <c r="E76" s="7" t="str">
        <f t="shared" ref="E76:AJ76" si="76" xml:space="preserve"> E$61</f>
        <v>Senior debt interest POS</v>
      </c>
      <c r="F76" s="7">
        <f t="shared" si="76"/>
        <v>0</v>
      </c>
      <c r="G76" s="7" t="str">
        <f t="shared" si="76"/>
        <v>$ 000s</v>
      </c>
      <c r="H76" s="7">
        <f t="shared" si="76"/>
        <v>23972.181282768801</v>
      </c>
      <c r="I76" s="7">
        <f t="shared" si="76"/>
        <v>0</v>
      </c>
      <c r="J76" s="7">
        <f t="shared" si="76"/>
        <v>0</v>
      </c>
      <c r="K76" s="7">
        <f t="shared" si="76"/>
        <v>0</v>
      </c>
      <c r="L76" s="7">
        <f t="shared" si="76"/>
        <v>0</v>
      </c>
      <c r="M76" s="7">
        <f t="shared" si="76"/>
        <v>1061.6666666666667</v>
      </c>
      <c r="N76" s="7">
        <f t="shared" si="76"/>
        <v>1053.5895527304942</v>
      </c>
      <c r="O76" s="7">
        <f t="shared" si="76"/>
        <v>1033.7219230473004</v>
      </c>
      <c r="P76" s="7">
        <f t="shared" si="76"/>
        <v>991.51596819355166</v>
      </c>
      <c r="Q76" s="7">
        <f t="shared" si="76"/>
        <v>981.93968573247662</v>
      </c>
      <c r="R76" s="7">
        <f t="shared" si="76"/>
        <v>971.76397075237333</v>
      </c>
      <c r="S76" s="7">
        <f t="shared" si="76"/>
        <v>950.64168214551478</v>
      </c>
      <c r="T76" s="7">
        <f t="shared" si="76"/>
        <v>908.9956158717564</v>
      </c>
      <c r="U76" s="7">
        <f t="shared" si="76"/>
        <v>897.25088193022532</v>
      </c>
      <c r="V76" s="7">
        <f t="shared" si="76"/>
        <v>884.84595909619168</v>
      </c>
      <c r="W76" s="7">
        <f t="shared" si="76"/>
        <v>862.39092764393843</v>
      </c>
      <c r="X76" s="7">
        <f t="shared" si="76"/>
        <v>830.46559021257565</v>
      </c>
      <c r="Y76" s="7">
        <f t="shared" si="76"/>
        <v>807.42986626108302</v>
      </c>
      <c r="Z76" s="7">
        <f t="shared" si="76"/>
        <v>792.66064372522339</v>
      </c>
      <c r="AA76" s="7">
        <f t="shared" si="76"/>
        <v>768.79210410394865</v>
      </c>
      <c r="AB76" s="7">
        <f t="shared" si="76"/>
        <v>728.37154585612268</v>
      </c>
      <c r="AC76" s="7">
        <f t="shared" si="76"/>
        <v>711.88041274140301</v>
      </c>
      <c r="AD76" s="7">
        <f t="shared" si="76"/>
        <v>694.59610459018654</v>
      </c>
      <c r="AE76" s="7">
        <f t="shared" si="76"/>
        <v>669.22390870217453</v>
      </c>
      <c r="AF76" s="7">
        <f t="shared" si="76"/>
        <v>629.47435351031697</v>
      </c>
      <c r="AG76" s="7">
        <f t="shared" si="76"/>
        <v>610.38442195228811</v>
      </c>
      <c r="AH76" s="7">
        <f t="shared" si="76"/>
        <v>590.42850138418305</v>
      </c>
      <c r="AI76" s="7">
        <f t="shared" si="76"/>
        <v>563.45906891367906</v>
      </c>
      <c r="AJ76" s="7">
        <f t="shared" si="76"/>
        <v>524.42227677257017</v>
      </c>
      <c r="AK76" s="7">
        <f t="shared" ref="AK76:BP76" si="77" xml:space="preserve"> AK$61</f>
        <v>502.57181008693271</v>
      </c>
      <c r="AL76" s="7">
        <f t="shared" si="77"/>
        <v>479.77800882701661</v>
      </c>
      <c r="AM76" s="7">
        <f t="shared" si="77"/>
        <v>451.1119354706359</v>
      </c>
      <c r="AN76" s="7">
        <f t="shared" si="77"/>
        <v>417.41929048594881</v>
      </c>
      <c r="AO76" s="7">
        <f t="shared" si="77"/>
        <v>388.11903098860233</v>
      </c>
      <c r="AP76" s="7">
        <f t="shared" si="77"/>
        <v>362.31256426861074</v>
      </c>
      <c r="AQ76" s="7">
        <f t="shared" si="77"/>
        <v>331.84535409566786</v>
      </c>
      <c r="AR76" s="7">
        <f t="shared" si="77"/>
        <v>294.36943698920203</v>
      </c>
      <c r="AS76" s="7">
        <f t="shared" si="77"/>
        <v>266.47369290259053</v>
      </c>
      <c r="AT76" s="7">
        <f t="shared" si="77"/>
        <v>237.46523570829092</v>
      </c>
      <c r="AU76" s="7">
        <f t="shared" si="77"/>
        <v>205.0836998307565</v>
      </c>
      <c r="AV76" s="7">
        <f t="shared" si="77"/>
        <v>168.46204604651072</v>
      </c>
      <c r="AW76" s="7">
        <f t="shared" si="77"/>
        <v>137.25773552012737</v>
      </c>
      <c r="AX76" s="7">
        <f t="shared" si="77"/>
        <v>104.8480114036652</v>
      </c>
      <c r="AY76" s="7">
        <f t="shared" si="77"/>
        <v>70.433011420126519</v>
      </c>
      <c r="AZ76" s="7">
        <f t="shared" si="77"/>
        <v>34.718786188213265</v>
      </c>
      <c r="BA76" s="7">
        <f t="shared" si="77"/>
        <v>-2.0346154390911884E-12</v>
      </c>
      <c r="BB76" s="7">
        <f t="shared" si="77"/>
        <v>-2.0881712872425048E-12</v>
      </c>
      <c r="BC76" s="7">
        <f t="shared" si="77"/>
        <v>-2.12018991364689E-12</v>
      </c>
      <c r="BD76" s="7">
        <f t="shared" si="77"/>
        <v>-2.1293005847975611E-12</v>
      </c>
      <c r="BE76" s="7">
        <f t="shared" si="77"/>
        <v>-2.1615949770003242E-12</v>
      </c>
      <c r="BF76" s="7">
        <f t="shared" si="77"/>
        <v>-2.2184932242703766E-12</v>
      </c>
      <c r="BG76" s="7">
        <f t="shared" si="77"/>
        <v>-2.2525101203758557E-12</v>
      </c>
      <c r="BH76" s="7">
        <f t="shared" si="77"/>
        <v>-2.2373301608689745E-12</v>
      </c>
      <c r="BI76" s="7">
        <f t="shared" si="77"/>
        <v>-2.2961222256518096E-12</v>
      </c>
      <c r="BJ76" s="7">
        <f t="shared" si="77"/>
        <v>-2.3565615454816042E-12</v>
      </c>
      <c r="BK76" s="7">
        <f t="shared" si="77"/>
        <v>-2.3926954891789883E-12</v>
      </c>
      <c r="BL76" s="7">
        <f t="shared" si="77"/>
        <v>-2.3765708021866951E-12</v>
      </c>
      <c r="BM76" s="7">
        <f t="shared" si="77"/>
        <v>-2.4390218015997124E-12</v>
      </c>
      <c r="BN76" s="7">
        <f t="shared" si="77"/>
        <v>-2.5032225732711244E-12</v>
      </c>
      <c r="BO76" s="7">
        <f t="shared" si="77"/>
        <v>-2.5416053193946149E-12</v>
      </c>
      <c r="BP76" s="7">
        <f t="shared" si="77"/>
        <v>-2.5244771096334772E-12</v>
      </c>
      <c r="BQ76" s="7">
        <f t="shared" ref="BQ76:CV76" si="78" xml:space="preserve"> BQ$61</f>
        <v>-2.5908147581255125E-12</v>
      </c>
      <c r="BR76" s="7">
        <f t="shared" si="78"/>
        <v>-2.6590110762643038E-12</v>
      </c>
      <c r="BS76" s="7">
        <f t="shared" si="78"/>
        <v>-2.6997825794336896E-12</v>
      </c>
      <c r="BT76" s="7">
        <f t="shared" si="78"/>
        <v>-2.7113838190685022E-12</v>
      </c>
      <c r="BU76" s="7">
        <f t="shared" si="78"/>
        <v>-2.7525064736577075E-12</v>
      </c>
      <c r="BV76" s="7">
        <f t="shared" si="78"/>
        <v>-2.8249588968068077E-12</v>
      </c>
      <c r="BW76" s="7">
        <f t="shared" si="78"/>
        <v>-2.8682749332245121E-12</v>
      </c>
      <c r="BX76" s="7">
        <f t="shared" si="78"/>
        <v>-2.8489452543266942E-12</v>
      </c>
      <c r="BY76" s="7">
        <f t="shared" si="78"/>
        <v>-2.9238092046209457E-12</v>
      </c>
      <c r="BZ76" s="7">
        <f t="shared" si="78"/>
        <v>-3.0007707172378183E-12</v>
      </c>
      <c r="CA76" s="7">
        <f t="shared" si="78"/>
        <v>-3.0467825349021318E-12</v>
      </c>
      <c r="CB76" s="7">
        <f t="shared" si="78"/>
        <v>-3.0262498699930082E-12</v>
      </c>
      <c r="CC76" s="7">
        <f t="shared" si="78"/>
        <v>-3.1057729915767137E-12</v>
      </c>
      <c r="CD76" s="7">
        <f t="shared" si="78"/>
        <v>-3.1875242176480334E-12</v>
      </c>
      <c r="CE76" s="7">
        <f t="shared" si="78"/>
        <v>-3.2363995889853029E-12</v>
      </c>
      <c r="CF76" s="7">
        <f t="shared" si="78"/>
        <v>-3.2145890700160541E-12</v>
      </c>
      <c r="CG76" s="7">
        <f t="shared" si="78"/>
        <v>-3.2990613272448093E-12</v>
      </c>
      <c r="CH76" s="7">
        <f t="shared" si="78"/>
        <v>-3.3859003554410771E-12</v>
      </c>
      <c r="CI76" s="7">
        <f t="shared" si="78"/>
        <v>-3.4378174942245072E-12</v>
      </c>
      <c r="CJ76" s="7">
        <f t="shared" si="78"/>
        <v>-3.452590144761283E-12</v>
      </c>
      <c r="CK76" s="7">
        <f t="shared" si="78"/>
        <v>-3.5049544286234962E-12</v>
      </c>
      <c r="CL76" s="7">
        <f t="shared" si="78"/>
        <v>-3.5972130459278499E-12</v>
      </c>
      <c r="CM76" s="7">
        <f t="shared" si="78"/>
        <v>-3.652370312632077E-12</v>
      </c>
      <c r="CN76" s="7">
        <f t="shared" si="78"/>
        <v>-3.627756512699121E-12</v>
      </c>
      <c r="CO76" s="7">
        <f t="shared" si="78"/>
        <v>-3.7230858921717142E-12</v>
      </c>
      <c r="CP76" s="7">
        <f t="shared" si="78"/>
        <v>-3.8210862409671212E-12</v>
      </c>
      <c r="CQ76" s="7">
        <f t="shared" si="78"/>
        <v>-3.8796762299952841E-12</v>
      </c>
      <c r="CR76" s="7">
        <f t="shared" si="78"/>
        <v>-3.8535305858366193E-12</v>
      </c>
      <c r="CS76" s="7">
        <f t="shared" si="78"/>
        <v>-3.9547928062311038E-12</v>
      </c>
      <c r="CT76" s="7">
        <f t="shared" si="78"/>
        <v>-4.05889222420025E-12</v>
      </c>
      <c r="CU76" s="7">
        <f t="shared" si="78"/>
        <v>-4.1211285716379872E-12</v>
      </c>
      <c r="CV76" s="7">
        <f t="shared" si="78"/>
        <v>-4.0933557486552101E-12</v>
      </c>
      <c r="CW76" s="7">
        <f t="shared" ref="CW76:EA76" si="79" xml:space="preserve"> CW$61</f>
        <v>-4.2009200413837607E-12</v>
      </c>
      <c r="CX76" s="7">
        <f t="shared" si="79"/>
        <v>-4.3114981051837015E-12</v>
      </c>
      <c r="CY76" s="7">
        <f t="shared" si="79"/>
        <v>-4.3776077427965177E-12</v>
      </c>
      <c r="CZ76" s="7">
        <f t="shared" si="79"/>
        <v>-4.3964187673724477E-12</v>
      </c>
      <c r="DA76" s="7">
        <f t="shared" si="79"/>
        <v>-4.4630977853442633E-12</v>
      </c>
      <c r="DB76" s="7">
        <f t="shared" si="79"/>
        <v>-4.5805769819943878E-12</v>
      </c>
      <c r="DC76" s="7">
        <f t="shared" si="79"/>
        <v>-4.6508124957183018E-12</v>
      </c>
      <c r="DD76" s="7">
        <f t="shared" si="79"/>
        <v>-4.6194700636819384E-12</v>
      </c>
      <c r="DE76" s="7">
        <f t="shared" si="79"/>
        <v>-4.74085947146647E-12</v>
      </c>
      <c r="DF76" s="7">
        <f t="shared" si="79"/>
        <v>-4.8656500068582582E-12</v>
      </c>
      <c r="DG76" s="7">
        <f t="shared" si="79"/>
        <v>-4.9402566402967512E-12</v>
      </c>
      <c r="DH76" s="7">
        <f t="shared" si="79"/>
        <v>-4.9069636064164901E-12</v>
      </c>
      <c r="DI76" s="7">
        <f t="shared" si="79"/>
        <v>-5.0359077056295457E-12</v>
      </c>
      <c r="DJ76" s="7">
        <f t="shared" si="79"/>
        <v>-5.1684646022326742E-12</v>
      </c>
      <c r="DK76" s="7">
        <f t="shared" si="79"/>
        <v>-5.2477143928002411E-12</v>
      </c>
      <c r="DL76" s="7">
        <f t="shared" si="79"/>
        <v>-5.2123493610226741E-12</v>
      </c>
      <c r="DM76" s="7">
        <f t="shared" si="79"/>
        <v>-5.3493183192317702E-12</v>
      </c>
      <c r="DN76" s="7">
        <f t="shared" si="79"/>
        <v>-5.4901249179204128E-12</v>
      </c>
      <c r="DO76" s="7">
        <f t="shared" si="79"/>
        <v>-5.5743068333285258E-12</v>
      </c>
      <c r="DP76" s="7">
        <f t="shared" si="79"/>
        <v>-5.5982601953007273E-12</v>
      </c>
      <c r="DQ76" s="7">
        <f t="shared" si="79"/>
        <v>-5.6831671415961215E-12</v>
      </c>
      <c r="DR76" s="7">
        <f t="shared" si="79"/>
        <v>-5.8327614239386476E-12</v>
      </c>
      <c r="DS76" s="7">
        <f t="shared" si="79"/>
        <v>-5.922197099105707E-12</v>
      </c>
      <c r="DT76" s="7">
        <f t="shared" si="79"/>
        <v>-5.8822866403943426E-12</v>
      </c>
      <c r="DU76" s="7">
        <f t="shared" si="79"/>
        <v>-6.0368600615558168E-12</v>
      </c>
      <c r="DV76" s="7">
        <f t="shared" si="79"/>
        <v>-6.1957643707218973E-12</v>
      </c>
      <c r="DW76" s="7">
        <f t="shared" si="79"/>
        <v>-6.2907660910729663E-12</v>
      </c>
      <c r="DX76" s="7">
        <f t="shared" si="79"/>
        <v>-6.2483717978505177E-12</v>
      </c>
      <c r="DY76" s="7">
        <f t="shared" si="79"/>
        <v>-6.4125651234273677E-12</v>
      </c>
      <c r="DZ76" s="7">
        <f t="shared" si="79"/>
        <v>-6.58135887059568E-12</v>
      </c>
      <c r="EA76" s="7">
        <f t="shared" si="79"/>
        <v>-6.6822730399448136E-12</v>
      </c>
    </row>
    <row r="77" spans="1:131" outlineLevel="2" x14ac:dyDescent="0.35">
      <c r="E77" s="26" t="str">
        <f t="shared" ref="E77:BP77" si="80" xml:space="preserve"> E$48</f>
        <v xml:space="preserve">Senior debt principal repayment POS </v>
      </c>
      <c r="F77" s="26">
        <f t="shared" si="80"/>
        <v>0</v>
      </c>
      <c r="G77" s="26" t="str">
        <f t="shared" si="80"/>
        <v>$ 000s</v>
      </c>
      <c r="H77" s="26">
        <f t="shared" si="80"/>
        <v>70000.000000000131</v>
      </c>
      <c r="I77" s="26">
        <f t="shared" si="80"/>
        <v>0</v>
      </c>
      <c r="J77" s="26">
        <f t="shared" si="80"/>
        <v>0</v>
      </c>
      <c r="K77" s="26">
        <f t="shared" si="80"/>
        <v>0</v>
      </c>
      <c r="L77" s="26">
        <f t="shared" si="80"/>
        <v>0</v>
      </c>
      <c r="M77" s="26">
        <f t="shared" si="80"/>
        <v>1287.637865402565</v>
      </c>
      <c r="N77" s="26">
        <f t="shared" si="80"/>
        <v>1295.7149793387375</v>
      </c>
      <c r="O77" s="26">
        <f t="shared" si="80"/>
        <v>1315.5826090219314</v>
      </c>
      <c r="P77" s="26">
        <f t="shared" si="80"/>
        <v>1357.7885638756802</v>
      </c>
      <c r="Q77" s="26">
        <f t="shared" si="80"/>
        <v>1367.3648463367551</v>
      </c>
      <c r="R77" s="26">
        <f t="shared" si="80"/>
        <v>1377.5405613168584</v>
      </c>
      <c r="S77" s="26">
        <f t="shared" si="80"/>
        <v>1398.662849923717</v>
      </c>
      <c r="T77" s="26">
        <f t="shared" si="80"/>
        <v>1440.3089161974754</v>
      </c>
      <c r="U77" s="26">
        <f t="shared" si="80"/>
        <v>1452.0536501390065</v>
      </c>
      <c r="V77" s="26">
        <f t="shared" si="80"/>
        <v>1464.4585729730402</v>
      </c>
      <c r="W77" s="26">
        <f t="shared" si="80"/>
        <v>1486.9136044252932</v>
      </c>
      <c r="X77" s="26">
        <f t="shared" si="80"/>
        <v>1518.8389418566562</v>
      </c>
      <c r="Y77" s="26">
        <f t="shared" si="80"/>
        <v>1541.8746658081486</v>
      </c>
      <c r="Z77" s="26">
        <f t="shared" si="80"/>
        <v>1556.6438883440082</v>
      </c>
      <c r="AA77" s="26">
        <f t="shared" si="80"/>
        <v>1580.5124279652832</v>
      </c>
      <c r="AB77" s="26">
        <f t="shared" si="80"/>
        <v>1620.932986213109</v>
      </c>
      <c r="AC77" s="26">
        <f t="shared" si="80"/>
        <v>1637.4241193278287</v>
      </c>
      <c r="AD77" s="26">
        <f t="shared" si="80"/>
        <v>1654.7084274790452</v>
      </c>
      <c r="AE77" s="26">
        <f t="shared" si="80"/>
        <v>1680.0806233670573</v>
      </c>
      <c r="AF77" s="26">
        <f t="shared" si="80"/>
        <v>1719.8301785589147</v>
      </c>
      <c r="AG77" s="26">
        <f t="shared" si="80"/>
        <v>1738.9201101169438</v>
      </c>
      <c r="AH77" s="26">
        <f t="shared" si="80"/>
        <v>1758.8760306850486</v>
      </c>
      <c r="AI77" s="26">
        <f t="shared" si="80"/>
        <v>1785.8454631555528</v>
      </c>
      <c r="AJ77" s="26">
        <f t="shared" si="80"/>
        <v>1824.8822552966617</v>
      </c>
      <c r="AK77" s="26">
        <f t="shared" si="80"/>
        <v>1846.7327219822992</v>
      </c>
      <c r="AL77" s="26">
        <f t="shared" si="80"/>
        <v>1869.5265232422153</v>
      </c>
      <c r="AM77" s="26">
        <f t="shared" si="80"/>
        <v>1898.1925965985959</v>
      </c>
      <c r="AN77" s="26">
        <f t="shared" si="80"/>
        <v>1931.885241583283</v>
      </c>
      <c r="AO77" s="26">
        <f t="shared" si="80"/>
        <v>1961.1855010806294</v>
      </c>
      <c r="AP77" s="26">
        <f t="shared" si="80"/>
        <v>1986.9919678006211</v>
      </c>
      <c r="AQ77" s="26">
        <f t="shared" si="80"/>
        <v>2017.4591779735638</v>
      </c>
      <c r="AR77" s="26">
        <f t="shared" si="80"/>
        <v>2054.9350950800299</v>
      </c>
      <c r="AS77" s="26">
        <f t="shared" si="80"/>
        <v>2082.8308391666415</v>
      </c>
      <c r="AT77" s="26">
        <f t="shared" si="80"/>
        <v>2111.8392963609408</v>
      </c>
      <c r="AU77" s="26">
        <f t="shared" si="80"/>
        <v>2144.2208322384754</v>
      </c>
      <c r="AV77" s="26">
        <f t="shared" si="80"/>
        <v>2180.842486022721</v>
      </c>
      <c r="AW77" s="26">
        <f t="shared" si="80"/>
        <v>2212.0467965491043</v>
      </c>
      <c r="AX77" s="26">
        <f t="shared" si="80"/>
        <v>2244.4565206655666</v>
      </c>
      <c r="AY77" s="26">
        <f t="shared" si="80"/>
        <v>2278.8715206491052</v>
      </c>
      <c r="AZ77" s="26">
        <f t="shared" si="80"/>
        <v>2314.5857458810183</v>
      </c>
      <c r="BA77" s="26">
        <f t="shared" si="80"/>
        <v>2.0346154390911884E-12</v>
      </c>
      <c r="BB77" s="26">
        <f t="shared" si="80"/>
        <v>2.0881712872425048E-12</v>
      </c>
      <c r="BC77" s="26">
        <f t="shared" si="80"/>
        <v>2.12018991364689E-12</v>
      </c>
      <c r="BD77" s="26">
        <f t="shared" si="80"/>
        <v>2.1293005847975611E-12</v>
      </c>
      <c r="BE77" s="26">
        <f t="shared" si="80"/>
        <v>2.1615949770003242E-12</v>
      </c>
      <c r="BF77" s="26">
        <f t="shared" si="80"/>
        <v>2.2184932242703766E-12</v>
      </c>
      <c r="BG77" s="26">
        <f t="shared" si="80"/>
        <v>2.2525101203758557E-12</v>
      </c>
      <c r="BH77" s="26">
        <f t="shared" si="80"/>
        <v>2.2373301608689745E-12</v>
      </c>
      <c r="BI77" s="26">
        <f t="shared" si="80"/>
        <v>2.2961222256518096E-12</v>
      </c>
      <c r="BJ77" s="26">
        <f t="shared" si="80"/>
        <v>2.3565615454816042E-12</v>
      </c>
      <c r="BK77" s="26">
        <f t="shared" si="80"/>
        <v>2.3926954891789883E-12</v>
      </c>
      <c r="BL77" s="26">
        <f t="shared" si="80"/>
        <v>2.3765708021866951E-12</v>
      </c>
      <c r="BM77" s="26">
        <f t="shared" si="80"/>
        <v>2.4390218015997124E-12</v>
      </c>
      <c r="BN77" s="26">
        <f t="shared" si="80"/>
        <v>2.5032225732711244E-12</v>
      </c>
      <c r="BO77" s="26">
        <f t="shared" si="80"/>
        <v>2.5416053193946149E-12</v>
      </c>
      <c r="BP77" s="26">
        <f t="shared" si="80"/>
        <v>2.5244771096334772E-12</v>
      </c>
      <c r="BQ77" s="26">
        <f t="shared" ref="BQ77:EA77" si="81" xml:space="preserve"> BQ$48</f>
        <v>2.5908147581255125E-12</v>
      </c>
      <c r="BR77" s="26">
        <f t="shared" si="81"/>
        <v>2.6590110762643038E-12</v>
      </c>
      <c r="BS77" s="26">
        <f t="shared" si="81"/>
        <v>2.6997825794336896E-12</v>
      </c>
      <c r="BT77" s="26">
        <f t="shared" si="81"/>
        <v>2.7113838190685022E-12</v>
      </c>
      <c r="BU77" s="26">
        <f t="shared" si="81"/>
        <v>2.7525064736577075E-12</v>
      </c>
      <c r="BV77" s="26">
        <f t="shared" si="81"/>
        <v>2.8249588968068077E-12</v>
      </c>
      <c r="BW77" s="26">
        <f t="shared" si="81"/>
        <v>2.8682749332245121E-12</v>
      </c>
      <c r="BX77" s="26">
        <f t="shared" si="81"/>
        <v>2.8489452543266942E-12</v>
      </c>
      <c r="BY77" s="26">
        <f t="shared" si="81"/>
        <v>2.9238092046209457E-12</v>
      </c>
      <c r="BZ77" s="26">
        <f t="shared" si="81"/>
        <v>3.0007707172378183E-12</v>
      </c>
      <c r="CA77" s="26">
        <f t="shared" si="81"/>
        <v>3.0467825349021318E-12</v>
      </c>
      <c r="CB77" s="26">
        <f t="shared" si="81"/>
        <v>3.0262498699930082E-12</v>
      </c>
      <c r="CC77" s="26">
        <f t="shared" si="81"/>
        <v>3.1057729915767137E-12</v>
      </c>
      <c r="CD77" s="26">
        <f t="shared" si="81"/>
        <v>3.1875242176480334E-12</v>
      </c>
      <c r="CE77" s="26">
        <f t="shared" si="81"/>
        <v>3.2363995889853029E-12</v>
      </c>
      <c r="CF77" s="26">
        <f t="shared" si="81"/>
        <v>3.2145890700160541E-12</v>
      </c>
      <c r="CG77" s="26">
        <f t="shared" si="81"/>
        <v>3.2990613272448093E-12</v>
      </c>
      <c r="CH77" s="26">
        <f t="shared" si="81"/>
        <v>3.3859003554410771E-12</v>
      </c>
      <c r="CI77" s="26">
        <f t="shared" si="81"/>
        <v>3.4378174942245072E-12</v>
      </c>
      <c r="CJ77" s="26">
        <f t="shared" si="81"/>
        <v>3.452590144761283E-12</v>
      </c>
      <c r="CK77" s="26">
        <f t="shared" si="81"/>
        <v>3.5049544286234962E-12</v>
      </c>
      <c r="CL77" s="26">
        <f t="shared" si="81"/>
        <v>3.5972130459278499E-12</v>
      </c>
      <c r="CM77" s="26">
        <f t="shared" si="81"/>
        <v>3.652370312632077E-12</v>
      </c>
      <c r="CN77" s="26">
        <f t="shared" si="81"/>
        <v>3.627756512699121E-12</v>
      </c>
      <c r="CO77" s="26">
        <f t="shared" si="81"/>
        <v>3.7230858921717142E-12</v>
      </c>
      <c r="CP77" s="26">
        <f t="shared" si="81"/>
        <v>3.8210862409671212E-12</v>
      </c>
      <c r="CQ77" s="26">
        <f t="shared" si="81"/>
        <v>3.8796762299952841E-12</v>
      </c>
      <c r="CR77" s="26">
        <f t="shared" si="81"/>
        <v>3.8535305858366193E-12</v>
      </c>
      <c r="CS77" s="26">
        <f t="shared" si="81"/>
        <v>3.9547928062311038E-12</v>
      </c>
      <c r="CT77" s="26">
        <f t="shared" si="81"/>
        <v>4.05889222420025E-12</v>
      </c>
      <c r="CU77" s="26">
        <f t="shared" si="81"/>
        <v>4.1211285716379872E-12</v>
      </c>
      <c r="CV77" s="26">
        <f t="shared" si="81"/>
        <v>4.0933557486552101E-12</v>
      </c>
      <c r="CW77" s="26">
        <f t="shared" si="81"/>
        <v>4.2009200413837607E-12</v>
      </c>
      <c r="CX77" s="26">
        <f t="shared" si="81"/>
        <v>4.3114981051837015E-12</v>
      </c>
      <c r="CY77" s="26">
        <f t="shared" si="81"/>
        <v>4.3776077427965177E-12</v>
      </c>
      <c r="CZ77" s="26">
        <f t="shared" si="81"/>
        <v>4.3964187673724477E-12</v>
      </c>
      <c r="DA77" s="26">
        <f t="shared" si="81"/>
        <v>4.4630977853442633E-12</v>
      </c>
      <c r="DB77" s="26">
        <f t="shared" si="81"/>
        <v>4.5805769819943878E-12</v>
      </c>
      <c r="DC77" s="26">
        <f t="shared" si="81"/>
        <v>4.6508124957183018E-12</v>
      </c>
      <c r="DD77" s="26">
        <f t="shared" si="81"/>
        <v>4.6194700636819384E-12</v>
      </c>
      <c r="DE77" s="26">
        <f t="shared" si="81"/>
        <v>4.74085947146647E-12</v>
      </c>
      <c r="DF77" s="26">
        <f t="shared" si="81"/>
        <v>4.8656500068582582E-12</v>
      </c>
      <c r="DG77" s="26">
        <f t="shared" si="81"/>
        <v>4.9402566402967512E-12</v>
      </c>
      <c r="DH77" s="26">
        <f t="shared" si="81"/>
        <v>4.9069636064164901E-12</v>
      </c>
      <c r="DI77" s="26">
        <f t="shared" si="81"/>
        <v>5.0359077056295457E-12</v>
      </c>
      <c r="DJ77" s="26">
        <f t="shared" si="81"/>
        <v>5.1684646022326742E-12</v>
      </c>
      <c r="DK77" s="26">
        <f t="shared" si="81"/>
        <v>5.2477143928002411E-12</v>
      </c>
      <c r="DL77" s="26">
        <f t="shared" si="81"/>
        <v>5.2123493610226741E-12</v>
      </c>
      <c r="DM77" s="26">
        <f t="shared" si="81"/>
        <v>5.3493183192317702E-12</v>
      </c>
      <c r="DN77" s="26">
        <f t="shared" si="81"/>
        <v>5.4901249179204128E-12</v>
      </c>
      <c r="DO77" s="26">
        <f t="shared" si="81"/>
        <v>5.5743068333285258E-12</v>
      </c>
      <c r="DP77" s="26">
        <f t="shared" si="81"/>
        <v>5.5982601953007273E-12</v>
      </c>
      <c r="DQ77" s="26">
        <f t="shared" si="81"/>
        <v>5.6831671415961215E-12</v>
      </c>
      <c r="DR77" s="26">
        <f t="shared" si="81"/>
        <v>5.8327614239386476E-12</v>
      </c>
      <c r="DS77" s="26">
        <f t="shared" si="81"/>
        <v>5.922197099105707E-12</v>
      </c>
      <c r="DT77" s="26">
        <f t="shared" si="81"/>
        <v>5.8822866403943426E-12</v>
      </c>
      <c r="DU77" s="26">
        <f t="shared" si="81"/>
        <v>6.0368600615558168E-12</v>
      </c>
      <c r="DV77" s="26">
        <f t="shared" si="81"/>
        <v>6.1957643707218973E-12</v>
      </c>
      <c r="DW77" s="26">
        <f t="shared" si="81"/>
        <v>6.2907660910729663E-12</v>
      </c>
      <c r="DX77" s="26">
        <f t="shared" si="81"/>
        <v>6.2483717978505177E-12</v>
      </c>
      <c r="DY77" s="26">
        <f t="shared" si="81"/>
        <v>6.4125651234273677E-12</v>
      </c>
      <c r="DZ77" s="26">
        <f t="shared" si="81"/>
        <v>6.58135887059568E-12</v>
      </c>
      <c r="EA77" s="26">
        <f t="shared" si="81"/>
        <v>6.6822730399448136E-12</v>
      </c>
    </row>
    <row r="78" spans="1:131" s="484" customFormat="1" outlineLevel="2" x14ac:dyDescent="0.35">
      <c r="A78" s="102"/>
      <c r="B78" s="102"/>
      <c r="C78" s="103"/>
      <c r="D78" s="104"/>
      <c r="E78" s="512" t="s">
        <v>277</v>
      </c>
      <c r="F78" s="512"/>
      <c r="G78" s="512" t="str">
        <f xml:space="preserve"> SMU</f>
        <v>$ 000s</v>
      </c>
      <c r="H78" s="512">
        <f xml:space="preserve"> SUM(J78:EA78)</f>
        <v>93972.181282769292</v>
      </c>
      <c r="I78" s="513"/>
      <c r="J78" s="512">
        <f t="shared" ref="J78:AO78" si="82">SUM(J76:J77)</f>
        <v>0</v>
      </c>
      <c r="K78" s="512">
        <f t="shared" si="82"/>
        <v>0</v>
      </c>
      <c r="L78" s="512">
        <f t="shared" si="82"/>
        <v>0</v>
      </c>
      <c r="M78" s="512">
        <f t="shared" si="82"/>
        <v>2349.3045320692318</v>
      </c>
      <c r="N78" s="512">
        <f t="shared" si="82"/>
        <v>2349.3045320692318</v>
      </c>
      <c r="O78" s="512">
        <f t="shared" si="82"/>
        <v>2349.3045320692318</v>
      </c>
      <c r="P78" s="512">
        <f t="shared" si="82"/>
        <v>2349.3045320692318</v>
      </c>
      <c r="Q78" s="512">
        <f t="shared" si="82"/>
        <v>2349.3045320692318</v>
      </c>
      <c r="R78" s="512">
        <f t="shared" si="82"/>
        <v>2349.3045320692318</v>
      </c>
      <c r="S78" s="512">
        <f t="shared" si="82"/>
        <v>2349.3045320692318</v>
      </c>
      <c r="T78" s="512">
        <f t="shared" si="82"/>
        <v>2349.3045320692318</v>
      </c>
      <c r="U78" s="512">
        <f t="shared" si="82"/>
        <v>2349.3045320692318</v>
      </c>
      <c r="V78" s="512">
        <f t="shared" si="82"/>
        <v>2349.3045320692318</v>
      </c>
      <c r="W78" s="512">
        <f t="shared" si="82"/>
        <v>2349.3045320692318</v>
      </c>
      <c r="X78" s="512">
        <f t="shared" si="82"/>
        <v>2349.3045320692318</v>
      </c>
      <c r="Y78" s="512">
        <f t="shared" si="82"/>
        <v>2349.3045320692318</v>
      </c>
      <c r="Z78" s="512">
        <f t="shared" si="82"/>
        <v>2349.3045320692318</v>
      </c>
      <c r="AA78" s="512">
        <f t="shared" si="82"/>
        <v>2349.3045320692318</v>
      </c>
      <c r="AB78" s="512">
        <f t="shared" si="82"/>
        <v>2349.3045320692318</v>
      </c>
      <c r="AC78" s="512">
        <f t="shared" si="82"/>
        <v>2349.3045320692318</v>
      </c>
      <c r="AD78" s="512">
        <f t="shared" si="82"/>
        <v>2349.3045320692318</v>
      </c>
      <c r="AE78" s="512">
        <f t="shared" si="82"/>
        <v>2349.3045320692318</v>
      </c>
      <c r="AF78" s="512">
        <f t="shared" si="82"/>
        <v>2349.3045320692318</v>
      </c>
      <c r="AG78" s="512">
        <f t="shared" si="82"/>
        <v>2349.3045320692318</v>
      </c>
      <c r="AH78" s="512">
        <f t="shared" si="82"/>
        <v>2349.3045320692318</v>
      </c>
      <c r="AI78" s="512">
        <f t="shared" si="82"/>
        <v>2349.3045320692318</v>
      </c>
      <c r="AJ78" s="512">
        <f t="shared" si="82"/>
        <v>2349.3045320692318</v>
      </c>
      <c r="AK78" s="512">
        <f t="shared" si="82"/>
        <v>2349.3045320692318</v>
      </c>
      <c r="AL78" s="512">
        <f t="shared" si="82"/>
        <v>2349.3045320692318</v>
      </c>
      <c r="AM78" s="512">
        <f t="shared" si="82"/>
        <v>2349.3045320692318</v>
      </c>
      <c r="AN78" s="512">
        <f t="shared" si="82"/>
        <v>2349.3045320692318</v>
      </c>
      <c r="AO78" s="512">
        <f t="shared" si="82"/>
        <v>2349.3045320692318</v>
      </c>
      <c r="AP78" s="512">
        <f t="shared" ref="AP78:BU78" si="83">SUM(AP76:AP77)</f>
        <v>2349.3045320692318</v>
      </c>
      <c r="AQ78" s="512">
        <f t="shared" si="83"/>
        <v>2349.3045320692318</v>
      </c>
      <c r="AR78" s="512">
        <f t="shared" si="83"/>
        <v>2349.3045320692318</v>
      </c>
      <c r="AS78" s="512">
        <f t="shared" si="83"/>
        <v>2349.3045320692318</v>
      </c>
      <c r="AT78" s="512">
        <f t="shared" si="83"/>
        <v>2349.3045320692318</v>
      </c>
      <c r="AU78" s="512">
        <f t="shared" si="83"/>
        <v>2349.3045320692318</v>
      </c>
      <c r="AV78" s="512">
        <f t="shared" si="83"/>
        <v>2349.3045320692318</v>
      </c>
      <c r="AW78" s="512">
        <f t="shared" si="83"/>
        <v>2349.3045320692318</v>
      </c>
      <c r="AX78" s="512">
        <f t="shared" si="83"/>
        <v>2349.3045320692318</v>
      </c>
      <c r="AY78" s="512">
        <f t="shared" si="83"/>
        <v>2349.3045320692318</v>
      </c>
      <c r="AZ78" s="512">
        <f t="shared" si="83"/>
        <v>2349.3045320692318</v>
      </c>
      <c r="BA78" s="512">
        <f t="shared" si="83"/>
        <v>0</v>
      </c>
      <c r="BB78" s="512">
        <f t="shared" si="83"/>
        <v>0</v>
      </c>
      <c r="BC78" s="512">
        <f t="shared" si="83"/>
        <v>0</v>
      </c>
      <c r="BD78" s="512">
        <f t="shared" si="83"/>
        <v>0</v>
      </c>
      <c r="BE78" s="512">
        <f t="shared" si="83"/>
        <v>0</v>
      </c>
      <c r="BF78" s="512">
        <f t="shared" si="83"/>
        <v>0</v>
      </c>
      <c r="BG78" s="512">
        <f t="shared" si="83"/>
        <v>0</v>
      </c>
      <c r="BH78" s="512">
        <f t="shared" si="83"/>
        <v>0</v>
      </c>
      <c r="BI78" s="512">
        <f t="shared" si="83"/>
        <v>0</v>
      </c>
      <c r="BJ78" s="512">
        <f t="shared" si="83"/>
        <v>0</v>
      </c>
      <c r="BK78" s="512">
        <f t="shared" si="83"/>
        <v>0</v>
      </c>
      <c r="BL78" s="512">
        <f t="shared" si="83"/>
        <v>0</v>
      </c>
      <c r="BM78" s="512">
        <f t="shared" si="83"/>
        <v>0</v>
      </c>
      <c r="BN78" s="512">
        <f t="shared" si="83"/>
        <v>0</v>
      </c>
      <c r="BO78" s="512">
        <f t="shared" si="83"/>
        <v>0</v>
      </c>
      <c r="BP78" s="512">
        <f t="shared" si="83"/>
        <v>0</v>
      </c>
      <c r="BQ78" s="512">
        <f t="shared" si="83"/>
        <v>0</v>
      </c>
      <c r="BR78" s="512">
        <f t="shared" si="83"/>
        <v>0</v>
      </c>
      <c r="BS78" s="512">
        <f t="shared" si="83"/>
        <v>0</v>
      </c>
      <c r="BT78" s="512">
        <f t="shared" si="83"/>
        <v>0</v>
      </c>
      <c r="BU78" s="512">
        <f t="shared" si="83"/>
        <v>0</v>
      </c>
      <c r="BV78" s="512">
        <f t="shared" ref="BV78:DA78" si="84">SUM(BV76:BV77)</f>
        <v>0</v>
      </c>
      <c r="BW78" s="512">
        <f t="shared" si="84"/>
        <v>0</v>
      </c>
      <c r="BX78" s="512">
        <f t="shared" si="84"/>
        <v>0</v>
      </c>
      <c r="BY78" s="512">
        <f t="shared" si="84"/>
        <v>0</v>
      </c>
      <c r="BZ78" s="512">
        <f t="shared" si="84"/>
        <v>0</v>
      </c>
      <c r="CA78" s="512">
        <f t="shared" si="84"/>
        <v>0</v>
      </c>
      <c r="CB78" s="512">
        <f t="shared" si="84"/>
        <v>0</v>
      </c>
      <c r="CC78" s="512">
        <f t="shared" si="84"/>
        <v>0</v>
      </c>
      <c r="CD78" s="512">
        <f t="shared" si="84"/>
        <v>0</v>
      </c>
      <c r="CE78" s="512">
        <f t="shared" si="84"/>
        <v>0</v>
      </c>
      <c r="CF78" s="512">
        <f t="shared" si="84"/>
        <v>0</v>
      </c>
      <c r="CG78" s="512">
        <f t="shared" si="84"/>
        <v>0</v>
      </c>
      <c r="CH78" s="512">
        <f t="shared" si="84"/>
        <v>0</v>
      </c>
      <c r="CI78" s="512">
        <f t="shared" si="84"/>
        <v>0</v>
      </c>
      <c r="CJ78" s="512">
        <f t="shared" si="84"/>
        <v>0</v>
      </c>
      <c r="CK78" s="512">
        <f t="shared" si="84"/>
        <v>0</v>
      </c>
      <c r="CL78" s="512">
        <f t="shared" si="84"/>
        <v>0</v>
      </c>
      <c r="CM78" s="512">
        <f t="shared" si="84"/>
        <v>0</v>
      </c>
      <c r="CN78" s="512">
        <f t="shared" si="84"/>
        <v>0</v>
      </c>
      <c r="CO78" s="512">
        <f t="shared" si="84"/>
        <v>0</v>
      </c>
      <c r="CP78" s="512">
        <f t="shared" si="84"/>
        <v>0</v>
      </c>
      <c r="CQ78" s="512">
        <f t="shared" si="84"/>
        <v>0</v>
      </c>
      <c r="CR78" s="512">
        <f t="shared" si="84"/>
        <v>0</v>
      </c>
      <c r="CS78" s="512">
        <f t="shared" si="84"/>
        <v>0</v>
      </c>
      <c r="CT78" s="512">
        <f t="shared" si="84"/>
        <v>0</v>
      </c>
      <c r="CU78" s="512">
        <f t="shared" si="84"/>
        <v>0</v>
      </c>
      <c r="CV78" s="512">
        <f t="shared" si="84"/>
        <v>0</v>
      </c>
      <c r="CW78" s="512">
        <f t="shared" si="84"/>
        <v>0</v>
      </c>
      <c r="CX78" s="512">
        <f t="shared" si="84"/>
        <v>0</v>
      </c>
      <c r="CY78" s="512">
        <f t="shared" si="84"/>
        <v>0</v>
      </c>
      <c r="CZ78" s="512">
        <f t="shared" si="84"/>
        <v>0</v>
      </c>
      <c r="DA78" s="512">
        <f t="shared" si="84"/>
        <v>0</v>
      </c>
      <c r="DB78" s="512">
        <f t="shared" ref="DB78:EA78" si="85">SUM(DB76:DB77)</f>
        <v>0</v>
      </c>
      <c r="DC78" s="512">
        <f t="shared" si="85"/>
        <v>0</v>
      </c>
      <c r="DD78" s="512">
        <f t="shared" si="85"/>
        <v>0</v>
      </c>
      <c r="DE78" s="512">
        <f t="shared" si="85"/>
        <v>0</v>
      </c>
      <c r="DF78" s="512">
        <f t="shared" si="85"/>
        <v>0</v>
      </c>
      <c r="DG78" s="512">
        <f t="shared" si="85"/>
        <v>0</v>
      </c>
      <c r="DH78" s="512">
        <f t="shared" si="85"/>
        <v>0</v>
      </c>
      <c r="DI78" s="512">
        <f t="shared" si="85"/>
        <v>0</v>
      </c>
      <c r="DJ78" s="512">
        <f t="shared" si="85"/>
        <v>0</v>
      </c>
      <c r="DK78" s="512">
        <f t="shared" si="85"/>
        <v>0</v>
      </c>
      <c r="DL78" s="512">
        <f t="shared" si="85"/>
        <v>0</v>
      </c>
      <c r="DM78" s="512">
        <f t="shared" si="85"/>
        <v>0</v>
      </c>
      <c r="DN78" s="512">
        <f t="shared" si="85"/>
        <v>0</v>
      </c>
      <c r="DO78" s="512">
        <f t="shared" si="85"/>
        <v>0</v>
      </c>
      <c r="DP78" s="512">
        <f t="shared" si="85"/>
        <v>0</v>
      </c>
      <c r="DQ78" s="512">
        <f t="shared" si="85"/>
        <v>0</v>
      </c>
      <c r="DR78" s="512">
        <f t="shared" si="85"/>
        <v>0</v>
      </c>
      <c r="DS78" s="512">
        <f t="shared" si="85"/>
        <v>0</v>
      </c>
      <c r="DT78" s="512">
        <f t="shared" si="85"/>
        <v>0</v>
      </c>
      <c r="DU78" s="512">
        <f t="shared" si="85"/>
        <v>0</v>
      </c>
      <c r="DV78" s="512">
        <f t="shared" si="85"/>
        <v>0</v>
      </c>
      <c r="DW78" s="512">
        <f t="shared" si="85"/>
        <v>0</v>
      </c>
      <c r="DX78" s="512">
        <f t="shared" si="85"/>
        <v>0</v>
      </c>
      <c r="DY78" s="512">
        <f t="shared" si="85"/>
        <v>0</v>
      </c>
      <c r="DZ78" s="512">
        <f t="shared" si="85"/>
        <v>0</v>
      </c>
      <c r="EA78" s="512">
        <f t="shared" si="85"/>
        <v>0</v>
      </c>
    </row>
    <row r="79" spans="1:131" outlineLevel="2" x14ac:dyDescent="0.35"/>
    <row r="80" spans="1:131" outlineLevel="2" x14ac:dyDescent="0.35"/>
    <row r="82" spans="1:1" x14ac:dyDescent="0.35">
      <c r="A8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disablePrompts="1" count="1">
    <dataValidation allowBlank="1" showInputMessage="1" showErrorMessage="1" sqref="E16:H16 E10:H11 E44:H44 E53:H55 E31:H3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InpC!E$58</f>
        <v xml:space="preserve">Retained earnings - initial balance </v>
      </c>
      <c r="F35" s="435">
        <f xml:space="preserve"> InpC!F$58</f>
        <v>0</v>
      </c>
      <c r="G35" s="435" t="str">
        <f xml:space="preserve"> InpC!G$58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2763.083333333333</v>
      </c>
      <c r="O38" s="169">
        <f t="shared" si="23"/>
        <v>4160.6052224586938</v>
      </c>
      <c r="P38" s="169">
        <f t="shared" si="23"/>
        <v>2368.1925716300811</v>
      </c>
      <c r="Q38" s="169">
        <f t="shared" si="23"/>
        <v>2437.3076657021547</v>
      </c>
      <c r="R38" s="169">
        <f t="shared" si="23"/>
        <v>4909.920726851622</v>
      </c>
      <c r="S38" s="169">
        <f t="shared" si="23"/>
        <v>5557.9812994480199</v>
      </c>
      <c r="T38" s="169">
        <f t="shared" si="23"/>
        <v>3859.1209119871592</v>
      </c>
      <c r="U38" s="169">
        <f t="shared" si="23"/>
        <v>3990.8924929518216</v>
      </c>
      <c r="V38" s="169">
        <f t="shared" si="23"/>
        <v>6558.9546571335504</v>
      </c>
      <c r="W38" s="169">
        <f t="shared" si="23"/>
        <v>7292.6062361253662</v>
      </c>
      <c r="X38" s="169">
        <f t="shared" si="23"/>
        <v>5692.4162133597974</v>
      </c>
      <c r="Y38" s="169">
        <f t="shared" si="23"/>
        <v>5882.7590937562027</v>
      </c>
      <c r="Z38" s="169">
        <f t="shared" si="23"/>
        <v>8551.5413974763087</v>
      </c>
      <c r="AA38" s="169">
        <f t="shared" si="23"/>
        <v>9376.0582687426577</v>
      </c>
      <c r="AB38" s="169">
        <f t="shared" si="23"/>
        <v>7879.8345218958984</v>
      </c>
      <c r="AC38" s="169">
        <f t="shared" si="23"/>
        <v>8152.2144286975044</v>
      </c>
      <c r="AD38" s="169">
        <f t="shared" si="23"/>
        <v>10927.587319895305</v>
      </c>
      <c r="AE38" s="169">
        <f t="shared" si="23"/>
        <v>11848.855662287617</v>
      </c>
      <c r="AF38" s="169">
        <f t="shared" si="23"/>
        <v>10462.515658471008</v>
      </c>
      <c r="AG38" s="169">
        <f t="shared" si="23"/>
        <v>10813.633955442272</v>
      </c>
      <c r="AH38" s="169">
        <f t="shared" si="23"/>
        <v>13701.689229183263</v>
      </c>
      <c r="AI38" s="169">
        <f t="shared" si="23"/>
        <v>14725.819035071978</v>
      </c>
      <c r="AJ38" s="169">
        <f t="shared" si="23"/>
        <v>13455.507765597704</v>
      </c>
      <c r="AK38" s="169">
        <f t="shared" si="23"/>
        <v>13891.413997550704</v>
      </c>
      <c r="AL38" s="169">
        <f t="shared" si="23"/>
        <v>16898.616843936339</v>
      </c>
      <c r="AM38" s="169">
        <f t="shared" si="23"/>
        <v>18032.097904474933</v>
      </c>
      <c r="AN38" s="169">
        <f t="shared" si="23"/>
        <v>16884.346260214679</v>
      </c>
      <c r="AO38" s="169">
        <f t="shared" si="23"/>
        <v>17406.882377605616</v>
      </c>
      <c r="AP38" s="169">
        <f t="shared" si="23"/>
        <v>20540.024908934662</v>
      </c>
      <c r="AQ38" s="169">
        <f t="shared" si="23"/>
        <v>21789.679051722007</v>
      </c>
      <c r="AR38" s="169">
        <f t="shared" si="23"/>
        <v>20771.355326736495</v>
      </c>
      <c r="AS38" s="169">
        <f t="shared" si="23"/>
        <v>21396.455552682113</v>
      </c>
      <c r="AT38" s="169">
        <f t="shared" si="23"/>
        <v>24662.885715175547</v>
      </c>
      <c r="AU38" s="169">
        <f t="shared" si="23"/>
        <v>26036.101673900743</v>
      </c>
      <c r="AV38" s="169">
        <f t="shared" si="23"/>
        <v>25154.6500347445</v>
      </c>
      <c r="AW38" s="169">
        <f t="shared" si="23"/>
        <v>25885.055510752103</v>
      </c>
      <c r="AX38" s="169">
        <f t="shared" si="23"/>
        <v>29270.096810622465</v>
      </c>
      <c r="AY38" s="169">
        <f t="shared" si="23"/>
        <v>30797.057315056216</v>
      </c>
      <c r="AZ38" s="169">
        <f t="shared" si="23"/>
        <v>30060.31613570355</v>
      </c>
      <c r="BA38" s="169">
        <f t="shared" si="23"/>
        <v>30903.742514676465</v>
      </c>
      <c r="BB38" s="169">
        <f t="shared" si="23"/>
        <v>32111.106693243131</v>
      </c>
      <c r="BC38" s="169">
        <f t="shared" si="23"/>
        <v>31369.932777264596</v>
      </c>
      <c r="BD38" s="169">
        <f t="shared" si="23"/>
        <v>28364.329433280571</v>
      </c>
      <c r="BE38" s="169">
        <f t="shared" si="23"/>
        <v>27378.556076725978</v>
      </c>
      <c r="BF38" s="169">
        <f t="shared" si="23"/>
        <v>28091.817571664506</v>
      </c>
      <c r="BG38" s="169">
        <f t="shared" si="23"/>
        <v>27349.378539632842</v>
      </c>
      <c r="BH38" s="169">
        <f t="shared" si="23"/>
        <v>24353.734379723697</v>
      </c>
      <c r="BI38" s="169">
        <f t="shared" si="23"/>
        <v>23383.027260740091</v>
      </c>
      <c r="BJ38" s="169">
        <f t="shared" si="23"/>
        <v>24072.547622733658</v>
      </c>
      <c r="BK38" s="169">
        <f t="shared" si="23"/>
        <v>23328.850223674417</v>
      </c>
      <c r="BL38" s="169">
        <f t="shared" si="23"/>
        <v>20343.115317969594</v>
      </c>
      <c r="BM38" s="169">
        <f t="shared" si="23"/>
        <v>19372.156298820581</v>
      </c>
      <c r="BN38" s="169">
        <f t="shared" si="23"/>
        <v>20053.295203644251</v>
      </c>
      <c r="BO38" s="169">
        <f t="shared" si="23"/>
        <v>19308.346162172518</v>
      </c>
      <c r="BP38" s="169">
        <f t="shared" si="23"/>
        <v>16332.470821517512</v>
      </c>
      <c r="BQ38" s="169">
        <f t="shared" si="23"/>
        <v>15361.259016171145</v>
      </c>
      <c r="BR38" s="169">
        <f t="shared" si="23"/>
        <v>16034.058648581806</v>
      </c>
      <c r="BS38" s="169">
        <f t="shared" si="23"/>
        <v>15287.864665208372</v>
      </c>
      <c r="BT38" s="169">
        <f t="shared" si="23"/>
        <v>12321.799439812155</v>
      </c>
      <c r="BU38" s="169">
        <f t="shared" si="23"/>
        <v>11335.495089212742</v>
      </c>
      <c r="BV38" s="169">
        <f t="shared" ref="BV38:EA38" si="24">BU41</f>
        <v>12014.836268209885</v>
      </c>
      <c r="BW38" s="169">
        <f t="shared" si="24"/>
        <v>11267.404019649599</v>
      </c>
      <c r="BX38" s="169">
        <f t="shared" si="24"/>
        <v>8311.0996977356517</v>
      </c>
      <c r="BY38" s="169">
        <f t="shared" si="24"/>
        <v>7339.3795064259684</v>
      </c>
      <c r="BZ38" s="169">
        <f t="shared" si="24"/>
        <v>7995.6263491461195</v>
      </c>
      <c r="CA38" s="169">
        <f t="shared" si="24"/>
        <v>7246.9624886285128</v>
      </c>
      <c r="CB38" s="169">
        <f t="shared" si="24"/>
        <v>4300.3700950893708</v>
      </c>
      <c r="CC38" s="169">
        <f t="shared" si="24"/>
        <v>3328.3942245729331</v>
      </c>
      <c r="CD38" s="169">
        <f t="shared" si="24"/>
        <v>3976.4271534279492</v>
      </c>
      <c r="CE38" s="169">
        <f t="shared" si="24"/>
        <v>3226.5383110101839</v>
      </c>
      <c r="CF38" s="169">
        <f t="shared" si="24"/>
        <v>289.60910606544758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550.06025187035573</v>
      </c>
      <c r="DJ38" s="169">
        <f t="shared" si="24"/>
        <v>3.2139269023900852E-10</v>
      </c>
      <c r="DK38" s="169">
        <f t="shared" si="24"/>
        <v>3.2656115484124117E-10</v>
      </c>
      <c r="DL38" s="169">
        <f t="shared" si="24"/>
        <v>3.318088692340414E-10</v>
      </c>
      <c r="DM38" s="169">
        <f t="shared" si="24"/>
        <v>3.3702121859506407E-10</v>
      </c>
      <c r="DN38" s="169">
        <f t="shared" si="24"/>
        <v>3.4237053691429584E-10</v>
      </c>
      <c r="DO38" s="169">
        <f t="shared" si="24"/>
        <v>3.4786066183221624E-10</v>
      </c>
      <c r="DP38" s="169">
        <f t="shared" si="24"/>
        <v>3.5343496866554478E-10</v>
      </c>
      <c r="DQ38" s="169">
        <f t="shared" si="24"/>
        <v>3.590332288608455E-10</v>
      </c>
      <c r="DR38" s="169">
        <f t="shared" si="24"/>
        <v>3.647163960024416E-10</v>
      </c>
      <c r="DS38" s="169">
        <f t="shared" si="24"/>
        <v>3.7054915742638025E-10</v>
      </c>
      <c r="DT38" s="169">
        <f t="shared" si="24"/>
        <v>3.7647135452548596E-10</v>
      </c>
      <c r="DU38" s="169">
        <f t="shared" si="24"/>
        <v>3.8235364116588032E-10</v>
      </c>
      <c r="DV38" s="169">
        <f t="shared" si="24"/>
        <v>3.8839050122743614E-10</v>
      </c>
      <c r="DW38" s="169">
        <f t="shared" si="24"/>
        <v>3.9458626559815802E-10</v>
      </c>
      <c r="DX38" s="169">
        <f t="shared" si="24"/>
        <v>4.0087703168923099E-10</v>
      </c>
      <c r="DY38" s="169">
        <f t="shared" si="24"/>
        <v>4.0712540348708151E-10</v>
      </c>
      <c r="DZ38" s="169">
        <f t="shared" si="24"/>
        <v>4.1353796861050889E-10</v>
      </c>
      <c r="EA38" s="169">
        <f t="shared" si="24"/>
        <v>4.2011932748110455E-10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198694.85994453946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2763.083333333333</v>
      </c>
      <c r="N39" s="428">
        <f xml:space="preserve"> 'FS Qtr'!N$22</f>
        <v>3242.1510722695061</v>
      </c>
      <c r="O39" s="428">
        <f xml:space="preserve"> 'FS Qtr'!O$22</f>
        <v>28.812405077698486</v>
      </c>
      <c r="P39" s="428">
        <f xml:space="preserve"> 'FS Qtr'!P$22</f>
        <v>69.115094072073475</v>
      </c>
      <c r="Q39" s="428">
        <f xml:space="preserve"> 'FS Qtr'!Q$22</f>
        <v>2809.3373630011947</v>
      </c>
      <c r="R39" s="428">
        <f xml:space="preserve"> 'FS Qtr'!R$22</f>
        <v>3288.113119941383</v>
      </c>
      <c r="S39" s="428">
        <f xml:space="preserve"> 'FS Qtr'!S$22</f>
        <v>92.067132310166699</v>
      </c>
      <c r="T39" s="428">
        <f xml:space="preserve"> 'FS Qtr'!T$22</f>
        <v>131.77158096466246</v>
      </c>
      <c r="U39" s="428">
        <f xml:space="preserve"> 'FS Qtr'!U$22</f>
        <v>2860.528938110991</v>
      </c>
      <c r="V39" s="428">
        <f xml:space="preserve"> 'FS Qtr'!V$22</f>
        <v>3339.1542592655464</v>
      </c>
      <c r="W39" s="428">
        <f xml:space="preserve"> 'FS Qtr'!W$22</f>
        <v>160.39828515135571</v>
      </c>
      <c r="X39" s="428">
        <f xml:space="preserve"> 'FS Qtr'!X$22</f>
        <v>190.34288039640558</v>
      </c>
      <c r="Y39" s="428">
        <f xml:space="preserve"> 'FS Qtr'!Y$22</f>
        <v>2916.8247235373751</v>
      </c>
      <c r="Z39" s="428">
        <f xml:space="preserve"> 'FS Qtr'!Z$22</f>
        <v>3395.4455665051296</v>
      </c>
      <c r="AA39" s="428">
        <f xml:space="preserve"> 'FS Qtr'!AA$22</f>
        <v>233.98000368675605</v>
      </c>
      <c r="AB39" s="428">
        <f xml:space="preserve"> 'FS Qtr'!AB$22</f>
        <v>272.37990680160567</v>
      </c>
      <c r="AC39" s="428">
        <f xml:space="preserve"> 'FS Qtr'!AC$22</f>
        <v>2978.8171621909905</v>
      </c>
      <c r="AD39" s="428">
        <f xml:space="preserve"> 'FS Qtr'!AD$22</f>
        <v>3457.5951049660252</v>
      </c>
      <c r="AE39" s="428">
        <f xml:space="preserve"> 'FS Qtr'!AE$22</f>
        <v>313.43011412490284</v>
      </c>
      <c r="AF39" s="428">
        <f xml:space="preserve"> 'FS Qtr'!AF$22</f>
        <v>351.11829697126416</v>
      </c>
      <c r="AG39" s="428">
        <f xml:space="preserve"> 'FS Qtr'!AG$22</f>
        <v>3046.7205102009812</v>
      </c>
      <c r="AH39" s="428">
        <f xml:space="preserve"> 'FS Qtr'!AH$22</f>
        <v>3525.8227979663266</v>
      </c>
      <c r="AI39" s="428">
        <f xml:space="preserve"> 'FS Qtr'!AI$22</f>
        <v>398.97234984212457</v>
      </c>
      <c r="AJ39" s="428">
        <f xml:space="preserve"> 'FS Qtr'!AJ$22</f>
        <v>435.90623195300111</v>
      </c>
      <c r="AK39" s="428">
        <f xml:space="preserve"> 'FS Qtr'!AK$22</f>
        <v>3120.9009465745867</v>
      </c>
      <c r="AL39" s="428">
        <f xml:space="preserve"> 'FS Qtr'!AL$22</f>
        <v>3600.504492251117</v>
      </c>
      <c r="AM39" s="428">
        <f xml:space="preserve"> 'FS Qtr'!AM$22</f>
        <v>490.98875712636141</v>
      </c>
      <c r="AN39" s="428">
        <f xml:space="preserve"> 'FS Qtr'!AN$22</f>
        <v>522.53611739093753</v>
      </c>
      <c r="AO39" s="428">
        <f xml:space="preserve"> 'FS Qtr'!AO$22</f>
        <v>3201.6780498404232</v>
      </c>
      <c r="AP39" s="428">
        <f xml:space="preserve"> 'FS Qtr'!AP$22</f>
        <v>3681.9682090623783</v>
      </c>
      <c r="AQ39" s="428">
        <f xml:space="preserve"> 'FS Qtr'!AQ$22</f>
        <v>589.81282212035751</v>
      </c>
      <c r="AR39" s="428">
        <f xml:space="preserve"> 'FS Qtr'!AR$22</f>
        <v>625.10022594561883</v>
      </c>
      <c r="AS39" s="428">
        <f xml:space="preserve"> 'FS Qtr'!AS$22</f>
        <v>3289.600179951638</v>
      </c>
      <c r="AT39" s="428">
        <f xml:space="preserve"> 'FS Qtr'!AT$22</f>
        <v>3770.7767747667435</v>
      </c>
      <c r="AU39" s="428">
        <f xml:space="preserve"> 'FS Qtr'!AU$22</f>
        <v>696.01643514280329</v>
      </c>
      <c r="AV39" s="428">
        <f xml:space="preserve"> 'FS Qtr'!AV$22</f>
        <v>730.40547600760328</v>
      </c>
      <c r="AW39" s="428">
        <f xml:space="preserve"> 'FS Qtr'!AW$22</f>
        <v>3385.0412998703605</v>
      </c>
      <c r="AX39" s="428">
        <f xml:space="preserve"> 'FS Qtr'!AX$22</f>
        <v>3867.3140298667954</v>
      </c>
      <c r="AY39" s="428">
        <f xml:space="preserve"> 'FS Qtr'!AY$22</f>
        <v>809.98975492847615</v>
      </c>
      <c r="AZ39" s="428">
        <f xml:space="preserve"> 'FS Qtr'!AZ$22</f>
        <v>843.42637897291547</v>
      </c>
      <c r="BA39" s="428">
        <f xml:space="preserve"> 'FS Qtr'!BA$22</f>
        <v>3488.4684041472383</v>
      </c>
      <c r="BB39" s="428">
        <f xml:space="preserve"> 'FS Qtr'!BB$22</f>
        <v>3936.0366274645125</v>
      </c>
      <c r="BC39" s="428">
        <f xml:space="preserve"> 'FS Qtr'!BC$22</f>
        <v>859.62219853396402</v>
      </c>
      <c r="BD39" s="428">
        <f xml:space="preserve"> 'FS Qtr'!BD$22</f>
        <v>857.29870254233845</v>
      </c>
      <c r="BE39" s="428">
        <f xml:space="preserve"> 'FS Qtr'!BE$22</f>
        <v>3454.5777464633106</v>
      </c>
      <c r="BF39" s="428">
        <f xml:space="preserve"> 'FS Qtr'!BF$22</f>
        <v>3899.8614623563603</v>
      </c>
      <c r="BG39" s="428">
        <f xml:space="preserve"> 'FS Qtr'!BG$22</f>
        <v>838.6944890035943</v>
      </c>
      <c r="BH39" s="428">
        <f xml:space="preserve"> 'FS Qtr'!BH$22</f>
        <v>836.32417340453753</v>
      </c>
      <c r="BI39" s="428">
        <f xml:space="preserve"> 'FS Qtr'!BI$22</f>
        <v>3420.6227598519195</v>
      </c>
      <c r="BJ39" s="428">
        <f xml:space="preserve"> 'FS Qtr'!BJ$22</f>
        <v>3863.6321693335017</v>
      </c>
      <c r="BK39" s="428">
        <f xml:space="preserve"> 'FS Qtr'!BK$22</f>
        <v>817.63562305126527</v>
      </c>
      <c r="BL39" s="428">
        <f xml:space="preserve"> 'FS Qtr'!BL$22</f>
        <v>815.21754440624784</v>
      </c>
      <c r="BM39" s="428">
        <f xml:space="preserve"> 'FS Qtr'!BM$22</f>
        <v>3386.5990705166955</v>
      </c>
      <c r="BN39" s="428">
        <f xml:space="preserve"> 'FS Qtr'!BN$22</f>
        <v>3827.3443003790544</v>
      </c>
      <c r="BO39" s="428">
        <f xml:space="preserve"> 'FS Qtr'!BO$22</f>
        <v>796.44151229994918</v>
      </c>
      <c r="BP39" s="428">
        <f xml:space="preserve"> 'FS Qtr'!BP$22</f>
        <v>793.97470815968404</v>
      </c>
      <c r="BQ39" s="428">
        <f xml:space="preserve"> 'FS Qtr'!BQ$22</f>
        <v>3352.5022318382125</v>
      </c>
      <c r="BR39" s="428">
        <f xml:space="preserve"> 'FS Qtr'!BR$22</f>
        <v>3790.9933345494164</v>
      </c>
      <c r="BS39" s="428">
        <f xml:space="preserve"> 'FS Qtr'!BS$22</f>
        <v>775.1079931813681</v>
      </c>
      <c r="BT39" s="428">
        <f xml:space="preserve"> 'FS Qtr'!BT$22</f>
        <v>772.59148170273238</v>
      </c>
      <c r="BU39" s="428">
        <f xml:space="preserve"> 'FS Qtr'!BU$22</f>
        <v>3318.3277228303805</v>
      </c>
      <c r="BV39" s="428">
        <f xml:space="preserve"> 'FS Qtr'!BV$22</f>
        <v>3754.5746764216601</v>
      </c>
      <c r="BW39" s="428">
        <f xml:space="preserve"> 'FS Qtr'!BW$22</f>
        <v>753.63082538506535</v>
      </c>
      <c r="BX39" s="428">
        <f xml:space="preserve"> 'FS Qtr'!BX$22</f>
        <v>751.06360494030707</v>
      </c>
      <c r="BY39" s="428">
        <f xml:space="preserve"> 'FS Qtr'!BY$22</f>
        <v>3284.0709465661366</v>
      </c>
      <c r="BZ39" s="428">
        <f xml:space="preserve"> 'FS Qtr'!BZ$22</f>
        <v>3718.0836545100406</v>
      </c>
      <c r="CA39" s="428">
        <f xml:space="preserve"> 'FS Qtr'!CA$22</f>
        <v>732.00569027641802</v>
      </c>
      <c r="CB39" s="428">
        <f xml:space="preserve"> 'FS Qtr'!CB$22</f>
        <v>729.38673905448275</v>
      </c>
      <c r="CC39" s="428">
        <f xml:space="preserve"> 'FS Qtr'!CC$22</f>
        <v>3249.727228571774</v>
      </c>
      <c r="CD39" s="428">
        <f xml:space="preserve"> 'FS Qtr'!CD$22</f>
        <v>3681.5155196510245</v>
      </c>
      <c r="CE39" s="428">
        <f xml:space="preserve"> 'FS Qtr'!CE$22</f>
        <v>710.22818928293782</v>
      </c>
      <c r="CF39" s="428">
        <f xml:space="preserve"> 'FS Qtr'!CF$22</f>
        <v>707.55646488276807</v>
      </c>
      <c r="CG39" s="428">
        <f xml:space="preserve"> 'FS Qtr'!CG$22</f>
        <v>3215.2918151892914</v>
      </c>
      <c r="CH39" s="428">
        <f xml:space="preserve"> 'FS Qtr'!CH$22</f>
        <v>3644.8654433561746</v>
      </c>
      <c r="CI39" s="428">
        <f xml:space="preserve"> 'FS Qtr'!CI$22</f>
        <v>688.2938422482373</v>
      </c>
      <c r="CJ39" s="428">
        <f xml:space="preserve"> 'FS Qtr'!CJ$22</f>
        <v>685.56828126387177</v>
      </c>
      <c r="CK39" s="428">
        <f xml:space="preserve"> 'FS Qtr'!CK$22</f>
        <v>3180.7598719061207</v>
      </c>
      <c r="CL39" s="428">
        <f xml:space="preserve"> 'FS Qtr'!CL$22</f>
        <v>3608.1285161322548</v>
      </c>
      <c r="CM39" s="428">
        <f xml:space="preserve"> 'FS Qtr'!CM$22</f>
        <v>666.1980857529968</v>
      </c>
      <c r="CN39" s="428">
        <f xml:space="preserve"> 'FS Qtr'!CN$22</f>
        <v>663.41760335031267</v>
      </c>
      <c r="CO39" s="428">
        <f xml:space="preserve"> 'FS Qtr'!CO$22</f>
        <v>3146.1264816515713</v>
      </c>
      <c r="CP39" s="428">
        <f xml:space="preserve"> 'FS Qtr'!CP$22</f>
        <v>3571.2997457678912</v>
      </c>
      <c r="CQ39" s="428">
        <f xml:space="preserve"> 'FS Qtr'!CQ$22</f>
        <v>643.93627140228477</v>
      </c>
      <c r="CR39" s="428">
        <f xml:space="preserve"> 'FS Qtr'!CR$22</f>
        <v>641.09976088720737</v>
      </c>
      <c r="CS39" s="428">
        <f xml:space="preserve"> 'FS Qtr'!CS$22</f>
        <v>3111.3866430593139</v>
      </c>
      <c r="CT39" s="428">
        <f xml:space="preserve"> 'FS Qtr'!CT$22</f>
        <v>3534.3740555861154</v>
      </c>
      <c r="CU39" s="428">
        <f xml:space="preserve"> 'FS Qtr'!CU$22</f>
        <v>621.50366407852607</v>
      </c>
      <c r="CV39" s="428">
        <f xml:space="preserve"> 'FS Qtr'!CV$22</f>
        <v>618.60999645654147</v>
      </c>
      <c r="CW39" s="428">
        <f xml:space="preserve"> 'FS Qtr'!CW$22</f>
        <v>3076.5352686952124</v>
      </c>
      <c r="CX39" s="428">
        <f xml:space="preserve"> 'FS Qtr'!CX$22</f>
        <v>3497.3462826620776</v>
      </c>
      <c r="CY39" s="428">
        <f xml:space="preserve"> 'FS Qtr'!CY$22</f>
        <v>598.89544015944682</v>
      </c>
      <c r="CZ39" s="428">
        <f xml:space="preserve"> 'FS Qtr'!CZ$22</f>
        <v>595.94346368623735</v>
      </c>
      <c r="DA39" s="428">
        <f xml:space="preserve"> 'FS Qtr'!DA$22</f>
        <v>3041.5671832498315</v>
      </c>
      <c r="DB39" s="428">
        <f xml:space="preserve"> 'FS Qtr'!DB$22</f>
        <v>3460.211176005274</v>
      </c>
      <c r="DC39" s="428">
        <f xml:space="preserve"> 'FS Qtr'!DC$22</f>
        <v>576.10668570028372</v>
      </c>
      <c r="DD39" s="428">
        <f xml:space="preserve"> 'FS Qtr'!DD$22</f>
        <v>573.09522542330535</v>
      </c>
      <c r="DE39" s="428">
        <f xml:space="preserve"> 'FS Qtr'!DE$22</f>
        <v>3006.4771216948616</v>
      </c>
      <c r="DF39" s="428">
        <f xml:space="preserve"> 'FS Qtr'!DF$22</f>
        <v>3422.9633947055186</v>
      </c>
      <c r="DG39" s="428">
        <f xml:space="preserve"> 'FS Qtr'!DG$22</f>
        <v>553.13239457952693</v>
      </c>
      <c r="DH39" s="428">
        <f xml:space="preserve"> 'FS Qtr'!DH$22</f>
        <v>550.06025187035573</v>
      </c>
      <c r="DI39" s="428">
        <f xml:space="preserve"> 'FS Qtr'!DI$22</f>
        <v>5.0359077056295457E-12</v>
      </c>
      <c r="DJ39" s="428">
        <f xml:space="preserve"> 'FS Qtr'!DJ$22</f>
        <v>5.1684646022326742E-12</v>
      </c>
      <c r="DK39" s="428">
        <f xml:space="preserve"> 'FS Qtr'!DK$22</f>
        <v>5.2477143928002411E-12</v>
      </c>
      <c r="DL39" s="428">
        <f xml:space="preserve"> 'FS Qtr'!DL$22</f>
        <v>5.2123493610226741E-12</v>
      </c>
      <c r="DM39" s="428">
        <f xml:space="preserve"> 'FS Qtr'!DM$22</f>
        <v>5.3493183192317702E-12</v>
      </c>
      <c r="DN39" s="428">
        <f xml:space="preserve"> 'FS Qtr'!DN$22</f>
        <v>5.4901249179204128E-12</v>
      </c>
      <c r="DO39" s="428">
        <f xml:space="preserve"> 'FS Qtr'!DO$22</f>
        <v>5.5743068333285258E-12</v>
      </c>
      <c r="DP39" s="428">
        <f xml:space="preserve"> 'FS Qtr'!DP$22</f>
        <v>5.5982601953007273E-12</v>
      </c>
      <c r="DQ39" s="428">
        <f xml:space="preserve"> 'FS Qtr'!DQ$22</f>
        <v>5.6831671415961215E-12</v>
      </c>
      <c r="DR39" s="428">
        <f xml:space="preserve"> 'FS Qtr'!DR$22</f>
        <v>5.8327614239386476E-12</v>
      </c>
      <c r="DS39" s="428">
        <f xml:space="preserve"> 'FS Qtr'!DS$22</f>
        <v>5.922197099105707E-12</v>
      </c>
      <c r="DT39" s="428">
        <f xml:space="preserve"> 'FS Qtr'!DT$22</f>
        <v>5.8822866403943426E-12</v>
      </c>
      <c r="DU39" s="428">
        <f xml:space="preserve"> 'FS Qtr'!DU$22</f>
        <v>6.0368600615558168E-12</v>
      </c>
      <c r="DV39" s="428">
        <f xml:space="preserve"> 'FS Qtr'!DV$22</f>
        <v>6.1957643707218973E-12</v>
      </c>
      <c r="DW39" s="428">
        <f xml:space="preserve"> 'FS Qtr'!DW$22</f>
        <v>6.2907660910729663E-12</v>
      </c>
      <c r="DX39" s="428">
        <f xml:space="preserve"> 'FS Qtr'!DX$22</f>
        <v>6.2483717978505177E-12</v>
      </c>
      <c r="DY39" s="428">
        <f xml:space="preserve"> 'FS Qtr'!DY$22</f>
        <v>6.4125651234273677E-12</v>
      </c>
      <c r="DZ39" s="428">
        <f xml:space="preserve"> 'FS Qtr'!DZ$22</f>
        <v>6.58135887059568E-12</v>
      </c>
      <c r="EA39" s="428">
        <f xml:space="preserve"> 'FS Qtr'!EA$22</f>
        <v>6.6822730399448136E-12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198694.8599445392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1844.6291831441458</v>
      </c>
      <c r="O40" s="26">
        <f t="shared" si="25"/>
        <v>1821.2250559063114</v>
      </c>
      <c r="P40" s="26">
        <f t="shared" si="25"/>
        <v>0</v>
      </c>
      <c r="Q40" s="26">
        <f t="shared" si="25"/>
        <v>336.72430185172698</v>
      </c>
      <c r="R40" s="26">
        <f t="shared" si="25"/>
        <v>2640.0525473449852</v>
      </c>
      <c r="S40" s="26">
        <f t="shared" si="25"/>
        <v>1790.9275197710276</v>
      </c>
      <c r="T40" s="26">
        <f t="shared" si="25"/>
        <v>0</v>
      </c>
      <c r="U40" s="26">
        <f t="shared" si="25"/>
        <v>292.46677392926131</v>
      </c>
      <c r="V40" s="26">
        <f t="shared" si="25"/>
        <v>2605.5026802737302</v>
      </c>
      <c r="W40" s="26">
        <f t="shared" si="25"/>
        <v>1760.5883079169244</v>
      </c>
      <c r="X40" s="26">
        <f t="shared" si="25"/>
        <v>0</v>
      </c>
      <c r="Y40" s="26">
        <f t="shared" si="25"/>
        <v>248.04241981726886</v>
      </c>
      <c r="Z40" s="26">
        <f t="shared" si="25"/>
        <v>2570.9286952387811</v>
      </c>
      <c r="AA40" s="26">
        <f t="shared" si="25"/>
        <v>1730.2037505335156</v>
      </c>
      <c r="AB40" s="26">
        <f t="shared" si="25"/>
        <v>0</v>
      </c>
      <c r="AC40" s="26">
        <f t="shared" si="25"/>
        <v>203.44427099318909</v>
      </c>
      <c r="AD40" s="26">
        <f t="shared" si="25"/>
        <v>2536.3267625737144</v>
      </c>
      <c r="AE40" s="26">
        <f t="shared" si="25"/>
        <v>1699.7701179415126</v>
      </c>
      <c r="AF40" s="26">
        <f t="shared" si="25"/>
        <v>0</v>
      </c>
      <c r="AG40" s="26">
        <f t="shared" si="25"/>
        <v>158.66523645999132</v>
      </c>
      <c r="AH40" s="26">
        <f t="shared" si="25"/>
        <v>2501.6929920776138</v>
      </c>
      <c r="AI40" s="26">
        <f t="shared" si="25"/>
        <v>1669.2836193163989</v>
      </c>
      <c r="AJ40" s="26">
        <f t="shared" si="25"/>
        <v>0</v>
      </c>
      <c r="AK40" s="26">
        <f t="shared" si="25"/>
        <v>113.69810018895032</v>
      </c>
      <c r="AL40" s="26">
        <f t="shared" si="25"/>
        <v>2467.0234317125232</v>
      </c>
      <c r="AM40" s="26">
        <f t="shared" si="25"/>
        <v>1638.7404013866135</v>
      </c>
      <c r="AN40" s="26">
        <f t="shared" si="25"/>
        <v>0</v>
      </c>
      <c r="AO40" s="26">
        <f t="shared" si="25"/>
        <v>68.535518511374903</v>
      </c>
      <c r="AP40" s="26">
        <f t="shared" si="25"/>
        <v>2432.3140662750347</v>
      </c>
      <c r="AQ40" s="26">
        <f t="shared" si="25"/>
        <v>1608.1365471058693</v>
      </c>
      <c r="AR40" s="26">
        <f t="shared" si="25"/>
        <v>0</v>
      </c>
      <c r="AS40" s="26">
        <f t="shared" si="25"/>
        <v>23.170017458203802</v>
      </c>
      <c r="AT40" s="26">
        <f t="shared" si="25"/>
        <v>2397.5608160415477</v>
      </c>
      <c r="AU40" s="26">
        <f t="shared" si="25"/>
        <v>1577.4680742990445</v>
      </c>
      <c r="AV40" s="26">
        <f t="shared" si="25"/>
        <v>0</v>
      </c>
      <c r="AW40" s="26">
        <f t="shared" si="25"/>
        <v>0</v>
      </c>
      <c r="AX40" s="26">
        <f t="shared" si="25"/>
        <v>2340.353525433045</v>
      </c>
      <c r="AY40" s="26">
        <f t="shared" si="25"/>
        <v>1546.7309342811427</v>
      </c>
      <c r="AZ40" s="26">
        <f t="shared" si="25"/>
        <v>0</v>
      </c>
      <c r="BA40" s="26">
        <f t="shared" si="25"/>
        <v>2281.104225580571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997.16557094821565</v>
      </c>
      <c r="CG40" s="26">
        <f t="shared" si="26"/>
        <v>3215.2918151892914</v>
      </c>
      <c r="CH40" s="26">
        <f t="shared" si="26"/>
        <v>3644.8654433561746</v>
      </c>
      <c r="CI40" s="26">
        <f t="shared" si="26"/>
        <v>688.2938422482373</v>
      </c>
      <c r="CJ40" s="26">
        <f t="shared" si="26"/>
        <v>685.56828126387177</v>
      </c>
      <c r="CK40" s="26">
        <f t="shared" si="26"/>
        <v>3180.7598719061207</v>
      </c>
      <c r="CL40" s="26">
        <f t="shared" si="26"/>
        <v>3608.1285161322548</v>
      </c>
      <c r="CM40" s="26">
        <f t="shared" si="26"/>
        <v>666.1980857529968</v>
      </c>
      <c r="CN40" s="26">
        <f t="shared" si="26"/>
        <v>663.41760335031267</v>
      </c>
      <c r="CO40" s="26">
        <f t="shared" si="26"/>
        <v>3146.1264816515713</v>
      </c>
      <c r="CP40" s="26">
        <f t="shared" si="26"/>
        <v>3571.2997457678912</v>
      </c>
      <c r="CQ40" s="26">
        <f t="shared" si="26"/>
        <v>643.93627140228477</v>
      </c>
      <c r="CR40" s="26">
        <f t="shared" si="26"/>
        <v>641.09976088720737</v>
      </c>
      <c r="CS40" s="26">
        <f t="shared" si="26"/>
        <v>3111.3866430593139</v>
      </c>
      <c r="CT40" s="26">
        <f t="shared" si="26"/>
        <v>3534.3740555861154</v>
      </c>
      <c r="CU40" s="26">
        <f t="shared" si="26"/>
        <v>621.50366407852607</v>
      </c>
      <c r="CV40" s="26">
        <f t="shared" si="26"/>
        <v>618.60999645654147</v>
      </c>
      <c r="CW40" s="26">
        <f t="shared" si="26"/>
        <v>3076.5352686952124</v>
      </c>
      <c r="CX40" s="26">
        <f t="shared" si="26"/>
        <v>3497.3462826620776</v>
      </c>
      <c r="CY40" s="26">
        <f t="shared" si="26"/>
        <v>598.89544015944682</v>
      </c>
      <c r="CZ40" s="26">
        <f t="shared" si="26"/>
        <v>595.94346368623735</v>
      </c>
      <c r="DA40" s="26">
        <f t="shared" si="26"/>
        <v>3041.5671832498315</v>
      </c>
      <c r="DB40" s="26">
        <f t="shared" si="26"/>
        <v>3460.211176005274</v>
      </c>
      <c r="DC40" s="26">
        <f t="shared" si="26"/>
        <v>576.10668570028372</v>
      </c>
      <c r="DD40" s="26">
        <f t="shared" si="26"/>
        <v>573.09522542330535</v>
      </c>
      <c r="DE40" s="26">
        <f t="shared" si="26"/>
        <v>3006.4771216948616</v>
      </c>
      <c r="DF40" s="26">
        <f t="shared" si="26"/>
        <v>3422.9633947055186</v>
      </c>
      <c r="DG40" s="26">
        <f t="shared" si="26"/>
        <v>553.13239457952693</v>
      </c>
      <c r="DH40" s="26">
        <f t="shared" si="26"/>
        <v>0</v>
      </c>
      <c r="DI40" s="26">
        <f t="shared" si="26"/>
        <v>550.06025187003934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2763.083333333333</v>
      </c>
      <c r="N41" s="432">
        <f t="shared" si="27"/>
        <v>4160.6052224586938</v>
      </c>
      <c r="O41" s="432">
        <f t="shared" si="27"/>
        <v>2368.1925716300811</v>
      </c>
      <c r="P41" s="432">
        <f t="shared" si="27"/>
        <v>2437.3076657021547</v>
      </c>
      <c r="Q41" s="432">
        <f t="shared" si="27"/>
        <v>4909.920726851622</v>
      </c>
      <c r="R41" s="432">
        <f t="shared" si="27"/>
        <v>5557.9812994480199</v>
      </c>
      <c r="S41" s="432">
        <f t="shared" si="27"/>
        <v>3859.1209119871592</v>
      </c>
      <c r="T41" s="432">
        <f t="shared" si="27"/>
        <v>3990.8924929518216</v>
      </c>
      <c r="U41" s="432">
        <f t="shared" si="27"/>
        <v>6558.9546571335504</v>
      </c>
      <c r="V41" s="432">
        <f t="shared" si="27"/>
        <v>7292.6062361253662</v>
      </c>
      <c r="W41" s="432">
        <f t="shared" si="27"/>
        <v>5692.4162133597974</v>
      </c>
      <c r="X41" s="432">
        <f t="shared" si="27"/>
        <v>5882.7590937562027</v>
      </c>
      <c r="Y41" s="432">
        <f t="shared" si="27"/>
        <v>8551.5413974763087</v>
      </c>
      <c r="Z41" s="432">
        <f t="shared" si="27"/>
        <v>9376.0582687426577</v>
      </c>
      <c r="AA41" s="432">
        <f t="shared" si="27"/>
        <v>7879.8345218958984</v>
      </c>
      <c r="AB41" s="432">
        <f t="shared" si="27"/>
        <v>8152.2144286975044</v>
      </c>
      <c r="AC41" s="432">
        <f t="shared" si="27"/>
        <v>10927.587319895305</v>
      </c>
      <c r="AD41" s="432">
        <f t="shared" si="27"/>
        <v>11848.855662287617</v>
      </c>
      <c r="AE41" s="432">
        <f t="shared" si="27"/>
        <v>10462.515658471008</v>
      </c>
      <c r="AF41" s="432">
        <f t="shared" si="27"/>
        <v>10813.633955442272</v>
      </c>
      <c r="AG41" s="432">
        <f t="shared" si="27"/>
        <v>13701.689229183263</v>
      </c>
      <c r="AH41" s="432">
        <f t="shared" si="27"/>
        <v>14725.819035071978</v>
      </c>
      <c r="AI41" s="432">
        <f t="shared" si="27"/>
        <v>13455.507765597704</v>
      </c>
      <c r="AJ41" s="432">
        <f t="shared" si="27"/>
        <v>13891.413997550704</v>
      </c>
      <c r="AK41" s="432">
        <f t="shared" si="27"/>
        <v>16898.616843936339</v>
      </c>
      <c r="AL41" s="432">
        <f t="shared" si="27"/>
        <v>18032.097904474933</v>
      </c>
      <c r="AM41" s="432">
        <f t="shared" si="27"/>
        <v>16884.346260214679</v>
      </c>
      <c r="AN41" s="432">
        <f t="shared" si="27"/>
        <v>17406.882377605616</v>
      </c>
      <c r="AO41" s="432">
        <f t="shared" si="27"/>
        <v>20540.024908934662</v>
      </c>
      <c r="AP41" s="432">
        <f t="shared" si="27"/>
        <v>21789.679051722007</v>
      </c>
      <c r="AQ41" s="432">
        <f t="shared" si="27"/>
        <v>20771.355326736495</v>
      </c>
      <c r="AR41" s="432">
        <f t="shared" si="27"/>
        <v>21396.455552682113</v>
      </c>
      <c r="AS41" s="432">
        <f t="shared" si="27"/>
        <v>24662.885715175547</v>
      </c>
      <c r="AT41" s="432">
        <f t="shared" si="27"/>
        <v>26036.101673900743</v>
      </c>
      <c r="AU41" s="432">
        <f t="shared" si="27"/>
        <v>25154.6500347445</v>
      </c>
      <c r="AV41" s="432">
        <f t="shared" si="27"/>
        <v>25885.055510752103</v>
      </c>
      <c r="AW41" s="432">
        <f t="shared" si="27"/>
        <v>29270.096810622465</v>
      </c>
      <c r="AX41" s="432">
        <f t="shared" si="27"/>
        <v>30797.057315056216</v>
      </c>
      <c r="AY41" s="432">
        <f t="shared" si="27"/>
        <v>30060.31613570355</v>
      </c>
      <c r="AZ41" s="432">
        <f t="shared" si="27"/>
        <v>30903.742514676465</v>
      </c>
      <c r="BA41" s="432">
        <f t="shared" si="27"/>
        <v>32111.106693243131</v>
      </c>
      <c r="BB41" s="432">
        <f t="shared" si="27"/>
        <v>31369.932777264596</v>
      </c>
      <c r="BC41" s="432">
        <f t="shared" si="27"/>
        <v>28364.329433280571</v>
      </c>
      <c r="BD41" s="432">
        <f t="shared" si="27"/>
        <v>27378.556076725978</v>
      </c>
      <c r="BE41" s="432">
        <f t="shared" si="27"/>
        <v>28091.817571664506</v>
      </c>
      <c r="BF41" s="432">
        <f t="shared" si="27"/>
        <v>27349.378539632842</v>
      </c>
      <c r="BG41" s="432">
        <f t="shared" si="27"/>
        <v>24353.734379723697</v>
      </c>
      <c r="BH41" s="432">
        <f t="shared" si="27"/>
        <v>23383.027260740091</v>
      </c>
      <c r="BI41" s="432">
        <f t="shared" si="27"/>
        <v>24072.547622733658</v>
      </c>
      <c r="BJ41" s="432">
        <f t="shared" si="27"/>
        <v>23328.850223674417</v>
      </c>
      <c r="BK41" s="432">
        <f t="shared" si="27"/>
        <v>20343.115317969594</v>
      </c>
      <c r="BL41" s="432">
        <f t="shared" si="27"/>
        <v>19372.156298820581</v>
      </c>
      <c r="BM41" s="432">
        <f t="shared" si="27"/>
        <v>20053.295203644251</v>
      </c>
      <c r="BN41" s="432">
        <f t="shared" si="27"/>
        <v>19308.346162172518</v>
      </c>
      <c r="BO41" s="432">
        <f t="shared" si="27"/>
        <v>16332.470821517512</v>
      </c>
      <c r="BP41" s="432">
        <f t="shared" si="27"/>
        <v>15361.259016171145</v>
      </c>
      <c r="BQ41" s="432">
        <f t="shared" si="27"/>
        <v>16034.058648581806</v>
      </c>
      <c r="BR41" s="432">
        <f t="shared" si="27"/>
        <v>15287.864665208372</v>
      </c>
      <c r="BS41" s="432">
        <f t="shared" si="27"/>
        <v>12321.799439812155</v>
      </c>
      <c r="BT41" s="432">
        <f t="shared" si="27"/>
        <v>11335.495089212742</v>
      </c>
      <c r="BU41" s="432">
        <f t="shared" si="27"/>
        <v>12014.836268209885</v>
      </c>
      <c r="BV41" s="432">
        <f t="shared" ref="BV41:EA41" si="28" xml:space="preserve"> IF( BV36 = 1, $F35, BV38 + BV39 - BV40)</f>
        <v>11267.404019649599</v>
      </c>
      <c r="BW41" s="432">
        <f t="shared" si="28"/>
        <v>8311.0996977356517</v>
      </c>
      <c r="BX41" s="432">
        <f t="shared" si="28"/>
        <v>7339.3795064259684</v>
      </c>
      <c r="BY41" s="432">
        <f t="shared" si="28"/>
        <v>7995.6263491461195</v>
      </c>
      <c r="BZ41" s="432">
        <f t="shared" si="28"/>
        <v>7246.9624886285128</v>
      </c>
      <c r="CA41" s="432">
        <f t="shared" si="28"/>
        <v>4300.3700950893708</v>
      </c>
      <c r="CB41" s="432">
        <f t="shared" si="28"/>
        <v>3328.3942245729331</v>
      </c>
      <c r="CC41" s="432">
        <f t="shared" si="28"/>
        <v>3976.4271534279492</v>
      </c>
      <c r="CD41" s="432">
        <f t="shared" si="28"/>
        <v>3226.5383110101839</v>
      </c>
      <c r="CE41" s="432">
        <f t="shared" si="28"/>
        <v>289.60910606544758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550.06025187035573</v>
      </c>
      <c r="DI41" s="432">
        <f t="shared" si="28"/>
        <v>3.2139269023900852E-10</v>
      </c>
      <c r="DJ41" s="432">
        <f t="shared" si="28"/>
        <v>3.2656115484124117E-10</v>
      </c>
      <c r="DK41" s="432">
        <f t="shared" si="28"/>
        <v>3.318088692340414E-10</v>
      </c>
      <c r="DL41" s="432">
        <f t="shared" si="28"/>
        <v>3.3702121859506407E-10</v>
      </c>
      <c r="DM41" s="432">
        <f t="shared" si="28"/>
        <v>3.4237053691429584E-10</v>
      </c>
      <c r="DN41" s="432">
        <f t="shared" si="28"/>
        <v>3.4786066183221624E-10</v>
      </c>
      <c r="DO41" s="432">
        <f t="shared" si="28"/>
        <v>3.5343496866554478E-10</v>
      </c>
      <c r="DP41" s="432">
        <f t="shared" si="28"/>
        <v>3.590332288608455E-10</v>
      </c>
      <c r="DQ41" s="432">
        <f t="shared" si="28"/>
        <v>3.647163960024416E-10</v>
      </c>
      <c r="DR41" s="432">
        <f t="shared" si="28"/>
        <v>3.7054915742638025E-10</v>
      </c>
      <c r="DS41" s="432">
        <f t="shared" si="28"/>
        <v>3.7647135452548596E-10</v>
      </c>
      <c r="DT41" s="432">
        <f t="shared" si="28"/>
        <v>3.8235364116588032E-10</v>
      </c>
      <c r="DU41" s="432">
        <f t="shared" si="28"/>
        <v>3.8839050122743614E-10</v>
      </c>
      <c r="DV41" s="432">
        <f t="shared" si="28"/>
        <v>3.9458626559815802E-10</v>
      </c>
      <c r="DW41" s="432">
        <f t="shared" si="28"/>
        <v>4.0087703168923099E-10</v>
      </c>
      <c r="DX41" s="432">
        <f t="shared" si="28"/>
        <v>4.0712540348708151E-10</v>
      </c>
      <c r="DY41" s="432">
        <f t="shared" si="28"/>
        <v>4.1353796861050889E-10</v>
      </c>
      <c r="DZ41" s="432">
        <f t="shared" si="28"/>
        <v>4.2011932748110455E-10</v>
      </c>
      <c r="EA41" s="432">
        <f t="shared" si="28"/>
        <v>4.2680160052104935E-10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InpC!E$59</f>
        <v>Retained cash - initial balance</v>
      </c>
      <c r="F46" s="435">
        <f xml:space="preserve"> InpC!F$59</f>
        <v>0</v>
      </c>
      <c r="G46" s="435" t="str">
        <f xml:space="preserve"> InpC!G$59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-829.95288371758306</v>
      </c>
      <c r="O49" s="169">
        <f t="shared" si="29"/>
        <v>0</v>
      </c>
      <c r="P49" s="169">
        <f t="shared" si="29"/>
        <v>0</v>
      </c>
      <c r="Q49" s="169">
        <f t="shared" si="29"/>
        <v>-320.68920602530125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-340.30854351019161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-343.75943430441907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-379.83369612208389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-399.74636989823694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-419.76378408400706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-424.09790155127894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-460.12724158178753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-480.48065247556679</v>
      </c>
      <c r="AX49" s="169">
        <f t="shared" si="30"/>
        <v>-22.406009953556804</v>
      </c>
      <c r="AY49" s="169">
        <f t="shared" si="30"/>
        <v>0</v>
      </c>
      <c r="AZ49" s="169">
        <f t="shared" si="30"/>
        <v>0</v>
      </c>
      <c r="BA49" s="169">
        <f t="shared" si="30"/>
        <v>-500.95354165860044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682.62348859982194</v>
      </c>
      <c r="CH49" s="169">
        <f t="shared" si="31"/>
        <v>42.76308203216422</v>
      </c>
      <c r="CI49" s="169">
        <f t="shared" si="31"/>
        <v>793.87029914994537</v>
      </c>
      <c r="CJ49" s="169">
        <f t="shared" si="31"/>
        <v>3721.1848212922478</v>
      </c>
      <c r="CK49" s="169">
        <f t="shared" si="31"/>
        <v>4708.0304438287658</v>
      </c>
      <c r="CL49" s="169">
        <f t="shared" si="31"/>
        <v>4061.9461460022394</v>
      </c>
      <c r="CM49" s="169">
        <f t="shared" si="31"/>
        <v>4814.26515315911</v>
      </c>
      <c r="CN49" s="169">
        <f t="shared" si="31"/>
        <v>7732.0132656378946</v>
      </c>
      <c r="CO49" s="169">
        <f t="shared" si="31"/>
        <v>8704.7626101196329</v>
      </c>
      <c r="CP49" s="169">
        <f t="shared" si="31"/>
        <v>8081.1238534972517</v>
      </c>
      <c r="CQ49" s="169">
        <f t="shared" si="31"/>
        <v>8834.6480882511642</v>
      </c>
      <c r="CR49" s="169">
        <f t="shared" si="31"/>
        <v>11742.877832884447</v>
      </c>
      <c r="CS49" s="169">
        <f t="shared" si="31"/>
        <v>12715.887288231352</v>
      </c>
      <c r="CT49" s="169">
        <f t="shared" si="31"/>
        <v>12100.298046356758</v>
      </c>
      <c r="CU49" s="169">
        <f t="shared" si="31"/>
        <v>12855.020968161592</v>
      </c>
      <c r="CV49" s="169">
        <f t="shared" si="31"/>
        <v>15753.780156775563</v>
      </c>
      <c r="CW49" s="169">
        <f t="shared" si="31"/>
        <v>16727.050938355686</v>
      </c>
      <c r="CX49" s="169">
        <f t="shared" si="31"/>
        <v>16119.470593833934</v>
      </c>
      <c r="CY49" s="169">
        <f t="shared" si="31"/>
        <v>16875.385683713899</v>
      </c>
      <c r="CZ49" s="169">
        <f t="shared" si="31"/>
        <v>19764.72189946895</v>
      </c>
      <c r="DA49" s="169">
        <f t="shared" si="31"/>
        <v>20752.120593904827</v>
      </c>
      <c r="DB49" s="169">
        <f t="shared" ref="DB49:EA49" si="32">DA52</f>
        <v>20138.64339319622</v>
      </c>
      <c r="DC49" s="169">
        <f t="shared" si="32"/>
        <v>20895.74415341748</v>
      </c>
      <c r="DD49" s="169">
        <f t="shared" si="32"/>
        <v>23775.704752131314</v>
      </c>
      <c r="DE49" s="169">
        <f t="shared" si="32"/>
        <v>24749.502011159893</v>
      </c>
      <c r="DF49" s="169">
        <f t="shared" si="32"/>
        <v>24157.818370337864</v>
      </c>
      <c r="DG49" s="169">
        <f t="shared" si="32"/>
        <v>24916.098324077368</v>
      </c>
      <c r="DH49" s="169">
        <f t="shared" si="32"/>
        <v>27786.730435545265</v>
      </c>
      <c r="DI49" s="169">
        <f t="shared" si="32"/>
        <v>-689.14681089142687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198694.85994453903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-829.95288371758306</v>
      </c>
      <c r="N50" s="428">
        <f xml:space="preserve"> 'FS Qtr'!N$50</f>
        <v>2674.5820668617289</v>
      </c>
      <c r="O50" s="428">
        <f xml:space="preserve"> 'FS Qtr'!O$50</f>
        <v>1821.2250559063114</v>
      </c>
      <c r="P50" s="428">
        <f xml:space="preserve"> 'FS Qtr'!P$50</f>
        <v>-320.68920602530125</v>
      </c>
      <c r="Q50" s="428">
        <f xml:space="preserve"> 'FS Qtr'!Q$50</f>
        <v>657.41350787702822</v>
      </c>
      <c r="R50" s="428">
        <f xml:space="preserve"> 'FS Qtr'!R$50</f>
        <v>2640.0525473449852</v>
      </c>
      <c r="S50" s="428">
        <f xml:space="preserve"> 'FS Qtr'!S$50</f>
        <v>1790.9275197710276</v>
      </c>
      <c r="T50" s="428">
        <f xml:space="preserve"> 'FS Qtr'!T$50</f>
        <v>-340.30854351019161</v>
      </c>
      <c r="U50" s="428">
        <f xml:space="preserve"> 'FS Qtr'!U$50</f>
        <v>632.77531743945292</v>
      </c>
      <c r="V50" s="428">
        <f xml:space="preserve"> 'FS Qtr'!V$50</f>
        <v>2605.5026802737302</v>
      </c>
      <c r="W50" s="428">
        <f xml:space="preserve"> 'FS Qtr'!W$50</f>
        <v>1760.5883079169244</v>
      </c>
      <c r="X50" s="428">
        <f xml:space="preserve"> 'FS Qtr'!X$50</f>
        <v>-343.75943430441907</v>
      </c>
      <c r="Y50" s="428">
        <f xml:space="preserve"> 'FS Qtr'!Y$50</f>
        <v>591.80185412168794</v>
      </c>
      <c r="Z50" s="428">
        <f xml:space="preserve"> 'FS Qtr'!Z$50</f>
        <v>2570.9286952387811</v>
      </c>
      <c r="AA50" s="428">
        <f xml:space="preserve"> 'FS Qtr'!AA$50</f>
        <v>1730.2037505335156</v>
      </c>
      <c r="AB50" s="428">
        <f xml:space="preserve"> 'FS Qtr'!AB$50</f>
        <v>-379.83369612208389</v>
      </c>
      <c r="AC50" s="428">
        <f xml:space="preserve"> 'FS Qtr'!AC$50</f>
        <v>583.27796711527299</v>
      </c>
      <c r="AD50" s="428">
        <f xml:space="preserve"> 'FS Qtr'!AD$50</f>
        <v>2536.3267625737144</v>
      </c>
      <c r="AE50" s="428">
        <f xml:space="preserve"> 'FS Qtr'!AE$50</f>
        <v>1699.7701179415126</v>
      </c>
      <c r="AF50" s="428">
        <f xml:space="preserve"> 'FS Qtr'!AF$50</f>
        <v>-399.74636989823694</v>
      </c>
      <c r="AG50" s="428">
        <f xml:space="preserve"> 'FS Qtr'!AG$50</f>
        <v>558.41160635822825</v>
      </c>
      <c r="AH50" s="428">
        <f xml:space="preserve"> 'FS Qtr'!AH$50</f>
        <v>2501.6929920776138</v>
      </c>
      <c r="AI50" s="428">
        <f xml:space="preserve"> 'FS Qtr'!AI$50</f>
        <v>1669.2836193163989</v>
      </c>
      <c r="AJ50" s="428">
        <f xml:space="preserve"> 'FS Qtr'!AJ$50</f>
        <v>-419.76378408400706</v>
      </c>
      <c r="AK50" s="428">
        <f xml:space="preserve"> 'FS Qtr'!AK$50</f>
        <v>533.46188427295738</v>
      </c>
      <c r="AL50" s="428">
        <f xml:space="preserve"> 'FS Qtr'!AL$50</f>
        <v>2467.0234317125232</v>
      </c>
      <c r="AM50" s="428">
        <f xml:space="preserve"> 'FS Qtr'!AM$50</f>
        <v>1638.7404013866135</v>
      </c>
      <c r="AN50" s="428">
        <f xml:space="preserve"> 'FS Qtr'!AN$50</f>
        <v>-424.09790155127894</v>
      </c>
      <c r="AO50" s="428">
        <f xml:space="preserve"> 'FS Qtr'!AO$50</f>
        <v>492.63342006265384</v>
      </c>
      <c r="AP50" s="428">
        <f xml:space="preserve"> 'FS Qtr'!AP$50</f>
        <v>2432.3140662750347</v>
      </c>
      <c r="AQ50" s="428">
        <f xml:space="preserve"> 'FS Qtr'!AQ$50</f>
        <v>1608.1365471058693</v>
      </c>
      <c r="AR50" s="428">
        <f xml:space="preserve"> 'FS Qtr'!AR$50</f>
        <v>-460.12724158178753</v>
      </c>
      <c r="AS50" s="428">
        <f xml:space="preserve"> 'FS Qtr'!AS$50</f>
        <v>483.29725903999133</v>
      </c>
      <c r="AT50" s="428">
        <f xml:space="preserve"> 'FS Qtr'!AT$50</f>
        <v>2397.5608160415477</v>
      </c>
      <c r="AU50" s="428">
        <f xml:space="preserve"> 'FS Qtr'!AU$50</f>
        <v>1577.4680742990445</v>
      </c>
      <c r="AV50" s="428">
        <f xml:space="preserve"> 'FS Qtr'!AV$50</f>
        <v>-480.48065247556679</v>
      </c>
      <c r="AW50" s="428">
        <f xml:space="preserve"> 'FS Qtr'!AW$50</f>
        <v>458.07464252200998</v>
      </c>
      <c r="AX50" s="428">
        <f xml:space="preserve"> 'FS Qtr'!AX$50</f>
        <v>2362.7595353866018</v>
      </c>
      <c r="AY50" s="428">
        <f xml:space="preserve"> 'FS Qtr'!AY$50</f>
        <v>1546.7309342811427</v>
      </c>
      <c r="AZ50" s="428">
        <f xml:space="preserve"> 'FS Qtr'!AZ$50</f>
        <v>-500.95354165860044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198694.8599445392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1844.6291831441458</v>
      </c>
      <c r="O51" s="26">
        <f t="shared" si="33"/>
        <v>1821.2250559063114</v>
      </c>
      <c r="P51" s="26">
        <f t="shared" si="33"/>
        <v>0</v>
      </c>
      <c r="Q51" s="26">
        <f t="shared" si="33"/>
        <v>336.72430185172698</v>
      </c>
      <c r="R51" s="26">
        <f t="shared" si="33"/>
        <v>2640.0525473449852</v>
      </c>
      <c r="S51" s="26">
        <f t="shared" si="33"/>
        <v>1790.9275197710276</v>
      </c>
      <c r="T51" s="26">
        <f t="shared" si="33"/>
        <v>0</v>
      </c>
      <c r="U51" s="26">
        <f t="shared" si="33"/>
        <v>292.46677392926131</v>
      </c>
      <c r="V51" s="26">
        <f t="shared" si="33"/>
        <v>2605.5026802737302</v>
      </c>
      <c r="W51" s="26">
        <f t="shared" si="33"/>
        <v>1760.5883079169244</v>
      </c>
      <c r="X51" s="26">
        <f t="shared" si="33"/>
        <v>0</v>
      </c>
      <c r="Y51" s="26">
        <f t="shared" si="33"/>
        <v>248.04241981726886</v>
      </c>
      <c r="Z51" s="26">
        <f t="shared" si="33"/>
        <v>2570.9286952387811</v>
      </c>
      <c r="AA51" s="26">
        <f t="shared" si="33"/>
        <v>1730.2037505335156</v>
      </c>
      <c r="AB51" s="26">
        <f t="shared" si="33"/>
        <v>0</v>
      </c>
      <c r="AC51" s="26">
        <f t="shared" si="33"/>
        <v>203.44427099318909</v>
      </c>
      <c r="AD51" s="26">
        <f t="shared" si="33"/>
        <v>2536.3267625737144</v>
      </c>
      <c r="AE51" s="26">
        <f t="shared" si="33"/>
        <v>1699.7701179415126</v>
      </c>
      <c r="AF51" s="26">
        <f t="shared" si="33"/>
        <v>0</v>
      </c>
      <c r="AG51" s="26">
        <f t="shared" si="33"/>
        <v>158.66523645999132</v>
      </c>
      <c r="AH51" s="26">
        <f t="shared" si="33"/>
        <v>2501.6929920776138</v>
      </c>
      <c r="AI51" s="26">
        <f t="shared" si="33"/>
        <v>1669.2836193163989</v>
      </c>
      <c r="AJ51" s="26">
        <f t="shared" si="33"/>
        <v>0</v>
      </c>
      <c r="AK51" s="26">
        <f t="shared" ref="AK51:BP51" si="34" xml:space="preserve"> AK$69</f>
        <v>113.69810018895032</v>
      </c>
      <c r="AL51" s="26">
        <f t="shared" si="34"/>
        <v>2467.0234317125232</v>
      </c>
      <c r="AM51" s="26">
        <f t="shared" si="34"/>
        <v>1638.7404013866135</v>
      </c>
      <c r="AN51" s="26">
        <f t="shared" si="34"/>
        <v>0</v>
      </c>
      <c r="AO51" s="26">
        <f t="shared" si="34"/>
        <v>68.535518511374903</v>
      </c>
      <c r="AP51" s="26">
        <f t="shared" si="34"/>
        <v>2432.3140662750347</v>
      </c>
      <c r="AQ51" s="26">
        <f t="shared" si="34"/>
        <v>1608.1365471058693</v>
      </c>
      <c r="AR51" s="26">
        <f t="shared" si="34"/>
        <v>0</v>
      </c>
      <c r="AS51" s="26">
        <f t="shared" si="34"/>
        <v>23.170017458203802</v>
      </c>
      <c r="AT51" s="26">
        <f t="shared" si="34"/>
        <v>2397.5608160415477</v>
      </c>
      <c r="AU51" s="26">
        <f t="shared" si="34"/>
        <v>1577.4680742990445</v>
      </c>
      <c r="AV51" s="26">
        <f t="shared" si="34"/>
        <v>0</v>
      </c>
      <c r="AW51" s="26">
        <f t="shared" si="34"/>
        <v>0</v>
      </c>
      <c r="AX51" s="26">
        <f t="shared" si="34"/>
        <v>2340.353525433045</v>
      </c>
      <c r="AY51" s="26">
        <f t="shared" si="34"/>
        <v>1546.7309342811427</v>
      </c>
      <c r="AZ51" s="26">
        <f t="shared" si="34"/>
        <v>0</v>
      </c>
      <c r="BA51" s="26">
        <f t="shared" si="34"/>
        <v>2281.104225580571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997.16557094821565</v>
      </c>
      <c r="CG51" s="26">
        <f t="shared" si="35"/>
        <v>3215.2918151892914</v>
      </c>
      <c r="CH51" s="26">
        <f t="shared" si="35"/>
        <v>3644.8654433561746</v>
      </c>
      <c r="CI51" s="26">
        <f t="shared" si="35"/>
        <v>688.2938422482373</v>
      </c>
      <c r="CJ51" s="26">
        <f t="shared" si="35"/>
        <v>685.56828126387177</v>
      </c>
      <c r="CK51" s="26">
        <f t="shared" si="35"/>
        <v>3180.7598719061207</v>
      </c>
      <c r="CL51" s="26">
        <f t="shared" si="35"/>
        <v>3608.1285161322548</v>
      </c>
      <c r="CM51" s="26">
        <f t="shared" si="35"/>
        <v>666.1980857529968</v>
      </c>
      <c r="CN51" s="26">
        <f t="shared" si="35"/>
        <v>663.41760335031267</v>
      </c>
      <c r="CO51" s="26">
        <f t="shared" si="35"/>
        <v>3146.1264816515713</v>
      </c>
      <c r="CP51" s="26">
        <f t="shared" si="35"/>
        <v>3571.2997457678912</v>
      </c>
      <c r="CQ51" s="26">
        <f t="shared" si="35"/>
        <v>643.93627140228477</v>
      </c>
      <c r="CR51" s="26">
        <f t="shared" si="35"/>
        <v>641.09976088720737</v>
      </c>
      <c r="CS51" s="26">
        <f t="shared" si="35"/>
        <v>3111.3866430593139</v>
      </c>
      <c r="CT51" s="26">
        <f t="shared" si="35"/>
        <v>3534.3740555861154</v>
      </c>
      <c r="CU51" s="26">
        <f t="shared" si="35"/>
        <v>621.50366407852607</v>
      </c>
      <c r="CV51" s="26">
        <f t="shared" si="35"/>
        <v>618.60999645654147</v>
      </c>
      <c r="CW51" s="26">
        <f t="shared" ref="CW51:EA51" si="36" xml:space="preserve"> CW$69</f>
        <v>3076.5352686952124</v>
      </c>
      <c r="CX51" s="26">
        <f t="shared" si="36"/>
        <v>3497.3462826620776</v>
      </c>
      <c r="CY51" s="26">
        <f t="shared" si="36"/>
        <v>598.89544015944682</v>
      </c>
      <c r="CZ51" s="26">
        <f t="shared" si="36"/>
        <v>595.94346368623735</v>
      </c>
      <c r="DA51" s="26">
        <f t="shared" si="36"/>
        <v>3041.5671832498315</v>
      </c>
      <c r="DB51" s="26">
        <f t="shared" si="36"/>
        <v>3460.211176005274</v>
      </c>
      <c r="DC51" s="26">
        <f t="shared" si="36"/>
        <v>576.10668570028372</v>
      </c>
      <c r="DD51" s="26">
        <f t="shared" si="36"/>
        <v>573.09522542330535</v>
      </c>
      <c r="DE51" s="26">
        <f t="shared" si="36"/>
        <v>3006.4771216948616</v>
      </c>
      <c r="DF51" s="26">
        <f t="shared" si="36"/>
        <v>3422.9633947055186</v>
      </c>
      <c r="DG51" s="26">
        <f t="shared" si="36"/>
        <v>553.13239457952693</v>
      </c>
      <c r="DH51" s="26">
        <f t="shared" si="36"/>
        <v>0</v>
      </c>
      <c r="DI51" s="26">
        <f t="shared" si="36"/>
        <v>550.06025187003934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-829.95288371758306</v>
      </c>
      <c r="N52" s="432">
        <f t="shared" si="37"/>
        <v>0</v>
      </c>
      <c r="O52" s="432">
        <f t="shared" si="37"/>
        <v>0</v>
      </c>
      <c r="P52" s="432">
        <f t="shared" si="37"/>
        <v>-320.68920602530125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-340.30854351019161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-343.75943430441907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-379.83369612208389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-399.74636989823694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-419.76378408400706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-424.09790155127894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-460.12724158178753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-480.48065247556679</v>
      </c>
      <c r="AW52" s="432">
        <f t="shared" si="38"/>
        <v>-22.406009953556804</v>
      </c>
      <c r="AX52" s="432">
        <f t="shared" si="38"/>
        <v>0</v>
      </c>
      <c r="AY52" s="432">
        <f t="shared" si="38"/>
        <v>0</v>
      </c>
      <c r="AZ52" s="432">
        <f t="shared" si="38"/>
        <v>-500.95354165860044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682.62348859982194</v>
      </c>
      <c r="CG52" s="432">
        <f t="shared" si="39"/>
        <v>42.76308203216422</v>
      </c>
      <c r="CH52" s="432">
        <f t="shared" si="39"/>
        <v>793.87029914994537</v>
      </c>
      <c r="CI52" s="432">
        <f t="shared" si="39"/>
        <v>3721.1848212922478</v>
      </c>
      <c r="CJ52" s="432">
        <f t="shared" si="39"/>
        <v>4708.0304438287658</v>
      </c>
      <c r="CK52" s="432">
        <f t="shared" si="39"/>
        <v>4061.9461460022394</v>
      </c>
      <c r="CL52" s="432">
        <f t="shared" si="39"/>
        <v>4814.26515315911</v>
      </c>
      <c r="CM52" s="432">
        <f t="shared" si="39"/>
        <v>7732.0132656378946</v>
      </c>
      <c r="CN52" s="432">
        <f t="shared" si="39"/>
        <v>8704.7626101196329</v>
      </c>
      <c r="CO52" s="432">
        <f t="shared" si="39"/>
        <v>8081.1238534972517</v>
      </c>
      <c r="CP52" s="432">
        <f t="shared" si="39"/>
        <v>8834.6480882511642</v>
      </c>
      <c r="CQ52" s="432">
        <f t="shared" si="39"/>
        <v>11742.877832884447</v>
      </c>
      <c r="CR52" s="432">
        <f t="shared" si="39"/>
        <v>12715.887288231352</v>
      </c>
      <c r="CS52" s="432">
        <f t="shared" si="39"/>
        <v>12100.298046356758</v>
      </c>
      <c r="CT52" s="432">
        <f t="shared" si="39"/>
        <v>12855.020968161592</v>
      </c>
      <c r="CU52" s="432">
        <f t="shared" si="39"/>
        <v>15753.780156775563</v>
      </c>
      <c r="CV52" s="432">
        <f t="shared" si="39"/>
        <v>16727.050938355686</v>
      </c>
      <c r="CW52" s="432">
        <f t="shared" si="39"/>
        <v>16119.470593833934</v>
      </c>
      <c r="CX52" s="432">
        <f t="shared" si="39"/>
        <v>16875.385683713899</v>
      </c>
      <c r="CY52" s="432">
        <f t="shared" si="39"/>
        <v>19764.72189946895</v>
      </c>
      <c r="CZ52" s="432">
        <f t="shared" si="39"/>
        <v>20752.120593904827</v>
      </c>
      <c r="DA52" s="432">
        <f t="shared" si="39"/>
        <v>20138.64339319622</v>
      </c>
      <c r="DB52" s="432">
        <f t="shared" ref="DB52:EA52" si="40" xml:space="preserve"> IF( DB47 = 1, $F46, DB49 + DB50 - DB51)</f>
        <v>20895.74415341748</v>
      </c>
      <c r="DC52" s="432">
        <f t="shared" si="40"/>
        <v>23775.704752131314</v>
      </c>
      <c r="DD52" s="432">
        <f t="shared" si="40"/>
        <v>24749.502011159893</v>
      </c>
      <c r="DE52" s="432">
        <f t="shared" si="40"/>
        <v>24157.818370337864</v>
      </c>
      <c r="DF52" s="432">
        <f t="shared" si="40"/>
        <v>24916.098324077368</v>
      </c>
      <c r="DG52" s="432">
        <f t="shared" si="40"/>
        <v>27786.730435545265</v>
      </c>
      <c r="DH52" s="432">
        <f t="shared" si="40"/>
        <v>-689.14681089142687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2763.083333333333</v>
      </c>
      <c r="O57" s="7">
        <f t="shared" si="41"/>
        <v>4160.6052224586938</v>
      </c>
      <c r="P57" s="7">
        <f t="shared" si="41"/>
        <v>2368.1925716300811</v>
      </c>
      <c r="Q57" s="7">
        <f t="shared" si="41"/>
        <v>2437.3076657021547</v>
      </c>
      <c r="R57" s="7">
        <f t="shared" si="41"/>
        <v>4909.920726851622</v>
      </c>
      <c r="S57" s="7">
        <f t="shared" si="41"/>
        <v>5557.9812994480199</v>
      </c>
      <c r="T57" s="7">
        <f t="shared" si="41"/>
        <v>3859.1209119871592</v>
      </c>
      <c r="U57" s="7">
        <f t="shared" si="41"/>
        <v>3990.8924929518216</v>
      </c>
      <c r="V57" s="7">
        <f t="shared" si="41"/>
        <v>6558.9546571335504</v>
      </c>
      <c r="W57" s="7">
        <f t="shared" si="41"/>
        <v>7292.6062361253662</v>
      </c>
      <c r="X57" s="7">
        <f t="shared" si="41"/>
        <v>5692.4162133597974</v>
      </c>
      <c r="Y57" s="7">
        <f t="shared" si="41"/>
        <v>5882.7590937562027</v>
      </c>
      <c r="Z57" s="7">
        <f t="shared" si="41"/>
        <v>8551.5413974763087</v>
      </c>
      <c r="AA57" s="7">
        <f t="shared" si="41"/>
        <v>9376.0582687426577</v>
      </c>
      <c r="AB57" s="7">
        <f t="shared" si="41"/>
        <v>7879.8345218958984</v>
      </c>
      <c r="AC57" s="7">
        <f t="shared" si="41"/>
        <v>8152.2144286975044</v>
      </c>
      <c r="AD57" s="7">
        <f t="shared" si="41"/>
        <v>10927.587319895305</v>
      </c>
      <c r="AE57" s="7">
        <f t="shared" si="41"/>
        <v>11848.855662287617</v>
      </c>
      <c r="AF57" s="7">
        <f t="shared" si="41"/>
        <v>10462.515658471008</v>
      </c>
      <c r="AG57" s="7">
        <f t="shared" si="41"/>
        <v>10813.633955442272</v>
      </c>
      <c r="AH57" s="7">
        <f t="shared" si="41"/>
        <v>13701.689229183263</v>
      </c>
      <c r="AI57" s="7">
        <f t="shared" si="41"/>
        <v>14725.819035071978</v>
      </c>
      <c r="AJ57" s="7">
        <f t="shared" si="41"/>
        <v>13455.507765597704</v>
      </c>
      <c r="AK57" s="7">
        <f t="shared" ref="AK57:BP57" si="42" xml:space="preserve"> AK$38</f>
        <v>13891.413997550704</v>
      </c>
      <c r="AL57" s="7">
        <f t="shared" si="42"/>
        <v>16898.616843936339</v>
      </c>
      <c r="AM57" s="7">
        <f t="shared" si="42"/>
        <v>18032.097904474933</v>
      </c>
      <c r="AN57" s="7">
        <f t="shared" si="42"/>
        <v>16884.346260214679</v>
      </c>
      <c r="AO57" s="7">
        <f t="shared" si="42"/>
        <v>17406.882377605616</v>
      </c>
      <c r="AP57" s="7">
        <f t="shared" si="42"/>
        <v>20540.024908934662</v>
      </c>
      <c r="AQ57" s="7">
        <f t="shared" si="42"/>
        <v>21789.679051722007</v>
      </c>
      <c r="AR57" s="7">
        <f t="shared" si="42"/>
        <v>20771.355326736495</v>
      </c>
      <c r="AS57" s="7">
        <f t="shared" si="42"/>
        <v>21396.455552682113</v>
      </c>
      <c r="AT57" s="7">
        <f t="shared" si="42"/>
        <v>24662.885715175547</v>
      </c>
      <c r="AU57" s="7">
        <f t="shared" si="42"/>
        <v>26036.101673900743</v>
      </c>
      <c r="AV57" s="7">
        <f t="shared" si="42"/>
        <v>25154.6500347445</v>
      </c>
      <c r="AW57" s="7">
        <f t="shared" si="42"/>
        <v>25885.055510752103</v>
      </c>
      <c r="AX57" s="7">
        <f t="shared" si="42"/>
        <v>29270.096810622465</v>
      </c>
      <c r="AY57" s="7">
        <f t="shared" si="42"/>
        <v>30797.057315056216</v>
      </c>
      <c r="AZ57" s="7">
        <f t="shared" si="42"/>
        <v>30060.31613570355</v>
      </c>
      <c r="BA57" s="7">
        <f t="shared" si="42"/>
        <v>30903.742514676465</v>
      </c>
      <c r="BB57" s="7">
        <f t="shared" si="42"/>
        <v>32111.106693243131</v>
      </c>
      <c r="BC57" s="7">
        <f t="shared" si="42"/>
        <v>31369.932777264596</v>
      </c>
      <c r="BD57" s="7">
        <f t="shared" si="42"/>
        <v>28364.329433280571</v>
      </c>
      <c r="BE57" s="7">
        <f t="shared" si="42"/>
        <v>27378.556076725978</v>
      </c>
      <c r="BF57" s="7">
        <f t="shared" si="42"/>
        <v>28091.817571664506</v>
      </c>
      <c r="BG57" s="7">
        <f t="shared" si="42"/>
        <v>27349.378539632842</v>
      </c>
      <c r="BH57" s="7">
        <f t="shared" si="42"/>
        <v>24353.734379723697</v>
      </c>
      <c r="BI57" s="7">
        <f t="shared" si="42"/>
        <v>23383.027260740091</v>
      </c>
      <c r="BJ57" s="7">
        <f t="shared" si="42"/>
        <v>24072.547622733658</v>
      </c>
      <c r="BK57" s="7">
        <f t="shared" si="42"/>
        <v>23328.850223674417</v>
      </c>
      <c r="BL57" s="7">
        <f t="shared" si="42"/>
        <v>20343.115317969594</v>
      </c>
      <c r="BM57" s="7">
        <f t="shared" si="42"/>
        <v>19372.156298820581</v>
      </c>
      <c r="BN57" s="7">
        <f t="shared" si="42"/>
        <v>20053.295203644251</v>
      </c>
      <c r="BO57" s="7">
        <f t="shared" si="42"/>
        <v>19308.346162172518</v>
      </c>
      <c r="BP57" s="7">
        <f t="shared" si="42"/>
        <v>16332.470821517512</v>
      </c>
      <c r="BQ57" s="7">
        <f t="shared" ref="BQ57:CV57" si="43" xml:space="preserve"> BQ$38</f>
        <v>15361.259016171145</v>
      </c>
      <c r="BR57" s="7">
        <f t="shared" si="43"/>
        <v>16034.058648581806</v>
      </c>
      <c r="BS57" s="7">
        <f t="shared" si="43"/>
        <v>15287.864665208372</v>
      </c>
      <c r="BT57" s="7">
        <f t="shared" si="43"/>
        <v>12321.799439812155</v>
      </c>
      <c r="BU57" s="7">
        <f t="shared" si="43"/>
        <v>11335.495089212742</v>
      </c>
      <c r="BV57" s="7">
        <f t="shared" si="43"/>
        <v>12014.836268209885</v>
      </c>
      <c r="BW57" s="7">
        <f t="shared" si="43"/>
        <v>11267.404019649599</v>
      </c>
      <c r="BX57" s="7">
        <f t="shared" si="43"/>
        <v>8311.0996977356517</v>
      </c>
      <c r="BY57" s="7">
        <f t="shared" si="43"/>
        <v>7339.3795064259684</v>
      </c>
      <c r="BZ57" s="7">
        <f t="shared" si="43"/>
        <v>7995.6263491461195</v>
      </c>
      <c r="CA57" s="7">
        <f t="shared" si="43"/>
        <v>7246.9624886285128</v>
      </c>
      <c r="CB57" s="7">
        <f t="shared" si="43"/>
        <v>4300.3700950893708</v>
      </c>
      <c r="CC57" s="7">
        <f t="shared" si="43"/>
        <v>3328.3942245729331</v>
      </c>
      <c r="CD57" s="7">
        <f t="shared" si="43"/>
        <v>3976.4271534279492</v>
      </c>
      <c r="CE57" s="7">
        <f t="shared" si="43"/>
        <v>3226.5383110101839</v>
      </c>
      <c r="CF57" s="7">
        <f t="shared" si="43"/>
        <v>289.60910606544758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550.06025187035573</v>
      </c>
      <c r="DJ57" s="7">
        <f t="shared" si="44"/>
        <v>3.2139269023900852E-10</v>
      </c>
      <c r="DK57" s="7">
        <f t="shared" si="44"/>
        <v>3.2656115484124117E-10</v>
      </c>
      <c r="DL57" s="7">
        <f t="shared" si="44"/>
        <v>3.318088692340414E-10</v>
      </c>
      <c r="DM57" s="7">
        <f t="shared" si="44"/>
        <v>3.3702121859506407E-10</v>
      </c>
      <c r="DN57" s="7">
        <f t="shared" si="44"/>
        <v>3.4237053691429584E-10</v>
      </c>
      <c r="DO57" s="7">
        <f t="shared" si="44"/>
        <v>3.4786066183221624E-10</v>
      </c>
      <c r="DP57" s="7">
        <f t="shared" si="44"/>
        <v>3.5343496866554478E-10</v>
      </c>
      <c r="DQ57" s="7">
        <f t="shared" si="44"/>
        <v>3.590332288608455E-10</v>
      </c>
      <c r="DR57" s="7">
        <f t="shared" si="44"/>
        <v>3.647163960024416E-10</v>
      </c>
      <c r="DS57" s="7">
        <f t="shared" si="44"/>
        <v>3.7054915742638025E-10</v>
      </c>
      <c r="DT57" s="7">
        <f t="shared" si="44"/>
        <v>3.7647135452548596E-10</v>
      </c>
      <c r="DU57" s="7">
        <f t="shared" si="44"/>
        <v>3.8235364116588032E-10</v>
      </c>
      <c r="DV57" s="7">
        <f t="shared" si="44"/>
        <v>3.8839050122743614E-10</v>
      </c>
      <c r="DW57" s="7">
        <f t="shared" si="44"/>
        <v>3.9458626559815802E-10</v>
      </c>
      <c r="DX57" s="7">
        <f t="shared" si="44"/>
        <v>4.0087703168923099E-10</v>
      </c>
      <c r="DY57" s="7">
        <f t="shared" si="44"/>
        <v>4.0712540348708151E-10</v>
      </c>
      <c r="DZ57" s="7">
        <f t="shared" si="44"/>
        <v>4.1353796861050889E-10</v>
      </c>
      <c r="EA57" s="7">
        <f t="shared" si="44"/>
        <v>4.2011932748110455E-10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198694.85994453946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2763.083333333333</v>
      </c>
      <c r="N58" s="428">
        <f xml:space="preserve"> 'FS Qtr'!N$22</f>
        <v>3242.1510722695061</v>
      </c>
      <c r="O58" s="428">
        <f xml:space="preserve"> 'FS Qtr'!O$22</f>
        <v>28.812405077698486</v>
      </c>
      <c r="P58" s="428">
        <f xml:space="preserve"> 'FS Qtr'!P$22</f>
        <v>69.115094072073475</v>
      </c>
      <c r="Q58" s="428">
        <f xml:space="preserve"> 'FS Qtr'!Q$22</f>
        <v>2809.3373630011947</v>
      </c>
      <c r="R58" s="428">
        <f xml:space="preserve"> 'FS Qtr'!R$22</f>
        <v>3288.113119941383</v>
      </c>
      <c r="S58" s="428">
        <f xml:space="preserve"> 'FS Qtr'!S$22</f>
        <v>92.067132310166699</v>
      </c>
      <c r="T58" s="428">
        <f xml:space="preserve"> 'FS Qtr'!T$22</f>
        <v>131.77158096466246</v>
      </c>
      <c r="U58" s="428">
        <f xml:space="preserve"> 'FS Qtr'!U$22</f>
        <v>2860.528938110991</v>
      </c>
      <c r="V58" s="428">
        <f xml:space="preserve"> 'FS Qtr'!V$22</f>
        <v>3339.1542592655464</v>
      </c>
      <c r="W58" s="428">
        <f xml:space="preserve"> 'FS Qtr'!W$22</f>
        <v>160.39828515135571</v>
      </c>
      <c r="X58" s="428">
        <f xml:space="preserve"> 'FS Qtr'!X$22</f>
        <v>190.34288039640558</v>
      </c>
      <c r="Y58" s="428">
        <f xml:space="preserve"> 'FS Qtr'!Y$22</f>
        <v>2916.8247235373751</v>
      </c>
      <c r="Z58" s="428">
        <f xml:space="preserve"> 'FS Qtr'!Z$22</f>
        <v>3395.4455665051296</v>
      </c>
      <c r="AA58" s="428">
        <f xml:space="preserve"> 'FS Qtr'!AA$22</f>
        <v>233.98000368675605</v>
      </c>
      <c r="AB58" s="428">
        <f xml:space="preserve"> 'FS Qtr'!AB$22</f>
        <v>272.37990680160567</v>
      </c>
      <c r="AC58" s="428">
        <f xml:space="preserve"> 'FS Qtr'!AC$22</f>
        <v>2978.8171621909905</v>
      </c>
      <c r="AD58" s="428">
        <f xml:space="preserve"> 'FS Qtr'!AD$22</f>
        <v>3457.5951049660252</v>
      </c>
      <c r="AE58" s="428">
        <f xml:space="preserve"> 'FS Qtr'!AE$22</f>
        <v>313.43011412490284</v>
      </c>
      <c r="AF58" s="428">
        <f xml:space="preserve"> 'FS Qtr'!AF$22</f>
        <v>351.11829697126416</v>
      </c>
      <c r="AG58" s="428">
        <f xml:space="preserve"> 'FS Qtr'!AG$22</f>
        <v>3046.7205102009812</v>
      </c>
      <c r="AH58" s="428">
        <f xml:space="preserve"> 'FS Qtr'!AH$22</f>
        <v>3525.8227979663266</v>
      </c>
      <c r="AI58" s="428">
        <f xml:space="preserve"> 'FS Qtr'!AI$22</f>
        <v>398.97234984212457</v>
      </c>
      <c r="AJ58" s="428">
        <f xml:space="preserve"> 'FS Qtr'!AJ$22</f>
        <v>435.90623195300111</v>
      </c>
      <c r="AK58" s="428">
        <f xml:space="preserve"> 'FS Qtr'!AK$22</f>
        <v>3120.9009465745867</v>
      </c>
      <c r="AL58" s="428">
        <f xml:space="preserve"> 'FS Qtr'!AL$22</f>
        <v>3600.504492251117</v>
      </c>
      <c r="AM58" s="428">
        <f xml:space="preserve"> 'FS Qtr'!AM$22</f>
        <v>490.98875712636141</v>
      </c>
      <c r="AN58" s="428">
        <f xml:space="preserve"> 'FS Qtr'!AN$22</f>
        <v>522.53611739093753</v>
      </c>
      <c r="AO58" s="428">
        <f xml:space="preserve"> 'FS Qtr'!AO$22</f>
        <v>3201.6780498404232</v>
      </c>
      <c r="AP58" s="428">
        <f xml:space="preserve"> 'FS Qtr'!AP$22</f>
        <v>3681.9682090623783</v>
      </c>
      <c r="AQ58" s="428">
        <f xml:space="preserve"> 'FS Qtr'!AQ$22</f>
        <v>589.81282212035751</v>
      </c>
      <c r="AR58" s="428">
        <f xml:space="preserve"> 'FS Qtr'!AR$22</f>
        <v>625.10022594561883</v>
      </c>
      <c r="AS58" s="428">
        <f xml:space="preserve"> 'FS Qtr'!AS$22</f>
        <v>3289.600179951638</v>
      </c>
      <c r="AT58" s="428">
        <f xml:space="preserve"> 'FS Qtr'!AT$22</f>
        <v>3770.7767747667435</v>
      </c>
      <c r="AU58" s="428">
        <f xml:space="preserve"> 'FS Qtr'!AU$22</f>
        <v>696.01643514280329</v>
      </c>
      <c r="AV58" s="428">
        <f xml:space="preserve"> 'FS Qtr'!AV$22</f>
        <v>730.40547600760328</v>
      </c>
      <c r="AW58" s="428">
        <f xml:space="preserve"> 'FS Qtr'!AW$22</f>
        <v>3385.0412998703605</v>
      </c>
      <c r="AX58" s="428">
        <f xml:space="preserve"> 'FS Qtr'!AX$22</f>
        <v>3867.3140298667954</v>
      </c>
      <c r="AY58" s="428">
        <f xml:space="preserve"> 'FS Qtr'!AY$22</f>
        <v>809.98975492847615</v>
      </c>
      <c r="AZ58" s="428">
        <f xml:space="preserve"> 'FS Qtr'!AZ$22</f>
        <v>843.42637897291547</v>
      </c>
      <c r="BA58" s="428">
        <f xml:space="preserve"> 'FS Qtr'!BA$22</f>
        <v>3488.4684041472383</v>
      </c>
      <c r="BB58" s="428">
        <f xml:space="preserve"> 'FS Qtr'!BB$22</f>
        <v>3936.0366274645125</v>
      </c>
      <c r="BC58" s="428">
        <f xml:space="preserve"> 'FS Qtr'!BC$22</f>
        <v>859.62219853396402</v>
      </c>
      <c r="BD58" s="428">
        <f xml:space="preserve"> 'FS Qtr'!BD$22</f>
        <v>857.29870254233845</v>
      </c>
      <c r="BE58" s="428">
        <f xml:space="preserve"> 'FS Qtr'!BE$22</f>
        <v>3454.5777464633106</v>
      </c>
      <c r="BF58" s="428">
        <f xml:space="preserve"> 'FS Qtr'!BF$22</f>
        <v>3899.8614623563603</v>
      </c>
      <c r="BG58" s="428">
        <f xml:space="preserve"> 'FS Qtr'!BG$22</f>
        <v>838.6944890035943</v>
      </c>
      <c r="BH58" s="428">
        <f xml:space="preserve"> 'FS Qtr'!BH$22</f>
        <v>836.32417340453753</v>
      </c>
      <c r="BI58" s="428">
        <f xml:space="preserve"> 'FS Qtr'!BI$22</f>
        <v>3420.6227598519195</v>
      </c>
      <c r="BJ58" s="428">
        <f xml:space="preserve"> 'FS Qtr'!BJ$22</f>
        <v>3863.6321693335017</v>
      </c>
      <c r="BK58" s="428">
        <f xml:space="preserve"> 'FS Qtr'!BK$22</f>
        <v>817.63562305126527</v>
      </c>
      <c r="BL58" s="428">
        <f xml:space="preserve"> 'FS Qtr'!BL$22</f>
        <v>815.21754440624784</v>
      </c>
      <c r="BM58" s="428">
        <f xml:space="preserve"> 'FS Qtr'!BM$22</f>
        <v>3386.5990705166955</v>
      </c>
      <c r="BN58" s="428">
        <f xml:space="preserve"> 'FS Qtr'!BN$22</f>
        <v>3827.3443003790544</v>
      </c>
      <c r="BO58" s="428">
        <f xml:space="preserve"> 'FS Qtr'!BO$22</f>
        <v>796.44151229994918</v>
      </c>
      <c r="BP58" s="428">
        <f xml:space="preserve"> 'FS Qtr'!BP$22</f>
        <v>793.97470815968404</v>
      </c>
      <c r="BQ58" s="428">
        <f xml:space="preserve"> 'FS Qtr'!BQ$22</f>
        <v>3352.5022318382125</v>
      </c>
      <c r="BR58" s="428">
        <f xml:space="preserve"> 'FS Qtr'!BR$22</f>
        <v>3790.9933345494164</v>
      </c>
      <c r="BS58" s="428">
        <f xml:space="preserve"> 'FS Qtr'!BS$22</f>
        <v>775.1079931813681</v>
      </c>
      <c r="BT58" s="428">
        <f xml:space="preserve"> 'FS Qtr'!BT$22</f>
        <v>772.59148170273238</v>
      </c>
      <c r="BU58" s="428">
        <f xml:space="preserve"> 'FS Qtr'!BU$22</f>
        <v>3318.3277228303805</v>
      </c>
      <c r="BV58" s="428">
        <f xml:space="preserve"> 'FS Qtr'!BV$22</f>
        <v>3754.5746764216601</v>
      </c>
      <c r="BW58" s="428">
        <f xml:space="preserve"> 'FS Qtr'!BW$22</f>
        <v>753.63082538506535</v>
      </c>
      <c r="BX58" s="428">
        <f xml:space="preserve"> 'FS Qtr'!BX$22</f>
        <v>751.06360494030707</v>
      </c>
      <c r="BY58" s="428">
        <f xml:space="preserve"> 'FS Qtr'!BY$22</f>
        <v>3284.0709465661366</v>
      </c>
      <c r="BZ58" s="428">
        <f xml:space="preserve"> 'FS Qtr'!BZ$22</f>
        <v>3718.0836545100406</v>
      </c>
      <c r="CA58" s="428">
        <f xml:space="preserve"> 'FS Qtr'!CA$22</f>
        <v>732.00569027641802</v>
      </c>
      <c r="CB58" s="428">
        <f xml:space="preserve"> 'FS Qtr'!CB$22</f>
        <v>729.38673905448275</v>
      </c>
      <c r="CC58" s="428">
        <f xml:space="preserve"> 'FS Qtr'!CC$22</f>
        <v>3249.727228571774</v>
      </c>
      <c r="CD58" s="428">
        <f xml:space="preserve"> 'FS Qtr'!CD$22</f>
        <v>3681.5155196510245</v>
      </c>
      <c r="CE58" s="428">
        <f xml:space="preserve"> 'FS Qtr'!CE$22</f>
        <v>710.22818928293782</v>
      </c>
      <c r="CF58" s="428">
        <f xml:space="preserve"> 'FS Qtr'!CF$22</f>
        <v>707.55646488276807</v>
      </c>
      <c r="CG58" s="428">
        <f xml:space="preserve"> 'FS Qtr'!CG$22</f>
        <v>3215.2918151892914</v>
      </c>
      <c r="CH58" s="428">
        <f xml:space="preserve"> 'FS Qtr'!CH$22</f>
        <v>3644.8654433561746</v>
      </c>
      <c r="CI58" s="428">
        <f xml:space="preserve"> 'FS Qtr'!CI$22</f>
        <v>688.2938422482373</v>
      </c>
      <c r="CJ58" s="428">
        <f xml:space="preserve"> 'FS Qtr'!CJ$22</f>
        <v>685.56828126387177</v>
      </c>
      <c r="CK58" s="428">
        <f xml:space="preserve"> 'FS Qtr'!CK$22</f>
        <v>3180.7598719061207</v>
      </c>
      <c r="CL58" s="428">
        <f xml:space="preserve"> 'FS Qtr'!CL$22</f>
        <v>3608.1285161322548</v>
      </c>
      <c r="CM58" s="428">
        <f xml:space="preserve"> 'FS Qtr'!CM$22</f>
        <v>666.1980857529968</v>
      </c>
      <c r="CN58" s="428">
        <f xml:space="preserve"> 'FS Qtr'!CN$22</f>
        <v>663.41760335031267</v>
      </c>
      <c r="CO58" s="428">
        <f xml:space="preserve"> 'FS Qtr'!CO$22</f>
        <v>3146.1264816515713</v>
      </c>
      <c r="CP58" s="428">
        <f xml:space="preserve"> 'FS Qtr'!CP$22</f>
        <v>3571.2997457678912</v>
      </c>
      <c r="CQ58" s="428">
        <f xml:space="preserve"> 'FS Qtr'!CQ$22</f>
        <v>643.93627140228477</v>
      </c>
      <c r="CR58" s="428">
        <f xml:space="preserve"> 'FS Qtr'!CR$22</f>
        <v>641.09976088720737</v>
      </c>
      <c r="CS58" s="428">
        <f xml:space="preserve"> 'FS Qtr'!CS$22</f>
        <v>3111.3866430593139</v>
      </c>
      <c r="CT58" s="428">
        <f xml:space="preserve"> 'FS Qtr'!CT$22</f>
        <v>3534.3740555861154</v>
      </c>
      <c r="CU58" s="428">
        <f xml:space="preserve"> 'FS Qtr'!CU$22</f>
        <v>621.50366407852607</v>
      </c>
      <c r="CV58" s="428">
        <f xml:space="preserve"> 'FS Qtr'!CV$22</f>
        <v>618.60999645654147</v>
      </c>
      <c r="CW58" s="428">
        <f xml:space="preserve"> 'FS Qtr'!CW$22</f>
        <v>3076.5352686952124</v>
      </c>
      <c r="CX58" s="428">
        <f xml:space="preserve"> 'FS Qtr'!CX$22</f>
        <v>3497.3462826620776</v>
      </c>
      <c r="CY58" s="428">
        <f xml:space="preserve"> 'FS Qtr'!CY$22</f>
        <v>598.89544015944682</v>
      </c>
      <c r="CZ58" s="428">
        <f xml:space="preserve"> 'FS Qtr'!CZ$22</f>
        <v>595.94346368623735</v>
      </c>
      <c r="DA58" s="428">
        <f xml:space="preserve"> 'FS Qtr'!DA$22</f>
        <v>3041.5671832498315</v>
      </c>
      <c r="DB58" s="428">
        <f xml:space="preserve"> 'FS Qtr'!DB$22</f>
        <v>3460.211176005274</v>
      </c>
      <c r="DC58" s="428">
        <f xml:space="preserve"> 'FS Qtr'!DC$22</f>
        <v>576.10668570028372</v>
      </c>
      <c r="DD58" s="428">
        <f xml:space="preserve"> 'FS Qtr'!DD$22</f>
        <v>573.09522542330535</v>
      </c>
      <c r="DE58" s="428">
        <f xml:space="preserve"> 'FS Qtr'!DE$22</f>
        <v>3006.4771216948616</v>
      </c>
      <c r="DF58" s="428">
        <f xml:space="preserve"> 'FS Qtr'!DF$22</f>
        <v>3422.9633947055186</v>
      </c>
      <c r="DG58" s="428">
        <f xml:space="preserve"> 'FS Qtr'!DG$22</f>
        <v>553.13239457952693</v>
      </c>
      <c r="DH58" s="428">
        <f xml:space="preserve"> 'FS Qtr'!DH$22</f>
        <v>550.06025187035573</v>
      </c>
      <c r="DI58" s="428">
        <f xml:space="preserve"> 'FS Qtr'!DI$22</f>
        <v>5.0359077056295457E-12</v>
      </c>
      <c r="DJ58" s="428">
        <f xml:space="preserve"> 'FS Qtr'!DJ$22</f>
        <v>5.1684646022326742E-12</v>
      </c>
      <c r="DK58" s="428">
        <f xml:space="preserve"> 'FS Qtr'!DK$22</f>
        <v>5.2477143928002411E-12</v>
      </c>
      <c r="DL58" s="428">
        <f xml:space="preserve"> 'FS Qtr'!DL$22</f>
        <v>5.2123493610226741E-12</v>
      </c>
      <c r="DM58" s="428">
        <f xml:space="preserve"> 'FS Qtr'!DM$22</f>
        <v>5.3493183192317702E-12</v>
      </c>
      <c r="DN58" s="428">
        <f xml:space="preserve"> 'FS Qtr'!DN$22</f>
        <v>5.4901249179204128E-12</v>
      </c>
      <c r="DO58" s="428">
        <f xml:space="preserve"> 'FS Qtr'!DO$22</f>
        <v>5.5743068333285258E-12</v>
      </c>
      <c r="DP58" s="428">
        <f xml:space="preserve"> 'FS Qtr'!DP$22</f>
        <v>5.5982601953007273E-12</v>
      </c>
      <c r="DQ58" s="428">
        <f xml:space="preserve"> 'FS Qtr'!DQ$22</f>
        <v>5.6831671415961215E-12</v>
      </c>
      <c r="DR58" s="428">
        <f xml:space="preserve"> 'FS Qtr'!DR$22</f>
        <v>5.8327614239386476E-12</v>
      </c>
      <c r="DS58" s="428">
        <f xml:space="preserve"> 'FS Qtr'!DS$22</f>
        <v>5.922197099105707E-12</v>
      </c>
      <c r="DT58" s="428">
        <f xml:space="preserve"> 'FS Qtr'!DT$22</f>
        <v>5.8822866403943426E-12</v>
      </c>
      <c r="DU58" s="428">
        <f xml:space="preserve"> 'FS Qtr'!DU$22</f>
        <v>6.0368600615558168E-12</v>
      </c>
      <c r="DV58" s="428">
        <f xml:space="preserve"> 'FS Qtr'!DV$22</f>
        <v>6.1957643707218973E-12</v>
      </c>
      <c r="DW58" s="428">
        <f xml:space="preserve"> 'FS Qtr'!DW$22</f>
        <v>6.2907660910729663E-12</v>
      </c>
      <c r="DX58" s="428">
        <f xml:space="preserve"> 'FS Qtr'!DX$22</f>
        <v>6.2483717978505177E-12</v>
      </c>
      <c r="DY58" s="428">
        <f xml:space="preserve"> 'FS Qtr'!DY$22</f>
        <v>6.4125651234273677E-12</v>
      </c>
      <c r="DZ58" s="428">
        <f xml:space="preserve"> 'FS Qtr'!DZ$22</f>
        <v>6.58135887059568E-12</v>
      </c>
      <c r="EA58" s="428">
        <f xml:space="preserve"> 'FS Qtr'!EA$22</f>
        <v>6.6822730399448136E-12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2763.083333333333</v>
      </c>
      <c r="N59" s="7">
        <f t="shared" si="45"/>
        <v>6005.2344056028396</v>
      </c>
      <c r="O59" s="7">
        <f t="shared" si="45"/>
        <v>4189.4176275363925</v>
      </c>
      <c r="P59" s="7">
        <f t="shared" si="45"/>
        <v>2437.3076657021547</v>
      </c>
      <c r="Q59" s="7">
        <f t="shared" si="45"/>
        <v>5246.6450287033495</v>
      </c>
      <c r="R59" s="7">
        <f t="shared" si="45"/>
        <v>8198.0338467930051</v>
      </c>
      <c r="S59" s="7">
        <f t="shared" si="45"/>
        <v>5650.0484317581868</v>
      </c>
      <c r="T59" s="7">
        <f t="shared" si="45"/>
        <v>3990.8924929518216</v>
      </c>
      <c r="U59" s="7">
        <f t="shared" si="45"/>
        <v>6851.4214310628122</v>
      </c>
      <c r="V59" s="7">
        <f t="shared" si="45"/>
        <v>9898.1089163990964</v>
      </c>
      <c r="W59" s="7">
        <f t="shared" si="45"/>
        <v>7453.0045212767218</v>
      </c>
      <c r="X59" s="7">
        <f t="shared" si="45"/>
        <v>5882.7590937562027</v>
      </c>
      <c r="Y59" s="7">
        <f t="shared" si="45"/>
        <v>8799.5838172935782</v>
      </c>
      <c r="Z59" s="7">
        <f t="shared" si="45"/>
        <v>11946.986963981439</v>
      </c>
      <c r="AA59" s="7">
        <f t="shared" si="45"/>
        <v>9610.0382724294141</v>
      </c>
      <c r="AB59" s="7">
        <f t="shared" si="45"/>
        <v>8152.2144286975044</v>
      </c>
      <c r="AC59" s="7">
        <f t="shared" si="45"/>
        <v>11131.031590888495</v>
      </c>
      <c r="AD59" s="7">
        <f t="shared" si="45"/>
        <v>14385.18242486133</v>
      </c>
      <c r="AE59" s="7">
        <f t="shared" si="45"/>
        <v>12162.28577641252</v>
      </c>
      <c r="AF59" s="7">
        <f t="shared" si="45"/>
        <v>10813.633955442272</v>
      </c>
      <c r="AG59" s="7">
        <f t="shared" si="45"/>
        <v>13860.354465643253</v>
      </c>
      <c r="AH59" s="7">
        <f t="shared" si="45"/>
        <v>17227.512027149591</v>
      </c>
      <c r="AI59" s="7">
        <f t="shared" si="45"/>
        <v>15124.791384914102</v>
      </c>
      <c r="AJ59" s="7">
        <f t="shared" si="45"/>
        <v>13891.413997550704</v>
      </c>
      <c r="AK59" s="7">
        <f t="shared" si="45"/>
        <v>17012.31494412529</v>
      </c>
      <c r="AL59" s="7">
        <f t="shared" si="45"/>
        <v>20499.121336187454</v>
      </c>
      <c r="AM59" s="7">
        <f t="shared" si="45"/>
        <v>18523.086661601294</v>
      </c>
      <c r="AN59" s="7">
        <f t="shared" si="45"/>
        <v>17406.882377605616</v>
      </c>
      <c r="AO59" s="7">
        <f t="shared" si="45"/>
        <v>20608.560427446038</v>
      </c>
      <c r="AP59" s="7">
        <f t="shared" ref="AP59:BU59" si="46">SUM(AP57:AP58)</f>
        <v>24221.993117997041</v>
      </c>
      <c r="AQ59" s="7">
        <f t="shared" si="46"/>
        <v>22379.491873842366</v>
      </c>
      <c r="AR59" s="7">
        <f t="shared" si="46"/>
        <v>21396.455552682113</v>
      </c>
      <c r="AS59" s="7">
        <f t="shared" si="46"/>
        <v>24686.055732633751</v>
      </c>
      <c r="AT59" s="7">
        <f t="shared" si="46"/>
        <v>28433.66248994229</v>
      </c>
      <c r="AU59" s="7">
        <f t="shared" si="46"/>
        <v>26732.118109043546</v>
      </c>
      <c r="AV59" s="7">
        <f t="shared" si="46"/>
        <v>25885.055510752103</v>
      </c>
      <c r="AW59" s="7">
        <f t="shared" si="46"/>
        <v>29270.096810622465</v>
      </c>
      <c r="AX59" s="7">
        <f t="shared" si="46"/>
        <v>33137.410840489261</v>
      </c>
      <c r="AY59" s="7">
        <f t="shared" si="46"/>
        <v>31607.047069984692</v>
      </c>
      <c r="AZ59" s="7">
        <f t="shared" si="46"/>
        <v>30903.742514676465</v>
      </c>
      <c r="BA59" s="7">
        <f t="shared" si="46"/>
        <v>34392.210918823701</v>
      </c>
      <c r="BB59" s="7">
        <f t="shared" si="46"/>
        <v>36047.143320707641</v>
      </c>
      <c r="BC59" s="7">
        <f t="shared" si="46"/>
        <v>32229.554975798561</v>
      </c>
      <c r="BD59" s="7">
        <f t="shared" si="46"/>
        <v>29221.62813582291</v>
      </c>
      <c r="BE59" s="7">
        <f t="shared" si="46"/>
        <v>30833.133823189288</v>
      </c>
      <c r="BF59" s="7">
        <f t="shared" si="46"/>
        <v>31991.679034020864</v>
      </c>
      <c r="BG59" s="7">
        <f t="shared" si="46"/>
        <v>28188.073028636438</v>
      </c>
      <c r="BH59" s="7">
        <f t="shared" si="46"/>
        <v>25190.058553128234</v>
      </c>
      <c r="BI59" s="7">
        <f t="shared" si="46"/>
        <v>26803.650020592009</v>
      </c>
      <c r="BJ59" s="7">
        <f t="shared" si="46"/>
        <v>27936.17979206716</v>
      </c>
      <c r="BK59" s="7">
        <f t="shared" si="46"/>
        <v>24146.485846725682</v>
      </c>
      <c r="BL59" s="7">
        <f t="shared" si="46"/>
        <v>21158.332862375843</v>
      </c>
      <c r="BM59" s="7">
        <f t="shared" si="46"/>
        <v>22758.755369337276</v>
      </c>
      <c r="BN59" s="7">
        <f t="shared" si="46"/>
        <v>23880.639504023304</v>
      </c>
      <c r="BO59" s="7">
        <f t="shared" si="46"/>
        <v>20104.787674472467</v>
      </c>
      <c r="BP59" s="7">
        <f t="shared" si="46"/>
        <v>17126.445529677196</v>
      </c>
      <c r="BQ59" s="7">
        <f t="shared" si="46"/>
        <v>18713.761248009359</v>
      </c>
      <c r="BR59" s="7">
        <f t="shared" si="46"/>
        <v>19825.051983131223</v>
      </c>
      <c r="BS59" s="7">
        <f t="shared" si="46"/>
        <v>16062.972658389739</v>
      </c>
      <c r="BT59" s="7">
        <f t="shared" si="46"/>
        <v>13094.390921514889</v>
      </c>
      <c r="BU59" s="7">
        <f t="shared" si="46"/>
        <v>14653.822812043123</v>
      </c>
      <c r="BV59" s="7">
        <f t="shared" ref="BV59:DA59" si="47">SUM(BV57:BV58)</f>
        <v>15769.410944631545</v>
      </c>
      <c r="BW59" s="7">
        <f t="shared" si="47"/>
        <v>12021.034845034665</v>
      </c>
      <c r="BX59" s="7">
        <f t="shared" si="47"/>
        <v>9062.1633026759591</v>
      </c>
      <c r="BY59" s="7">
        <f t="shared" si="47"/>
        <v>10623.450452992105</v>
      </c>
      <c r="BZ59" s="7">
        <f t="shared" si="47"/>
        <v>11713.710003656161</v>
      </c>
      <c r="CA59" s="7">
        <f t="shared" si="47"/>
        <v>7978.9681789049309</v>
      </c>
      <c r="CB59" s="7">
        <f t="shared" si="47"/>
        <v>5029.7568341438537</v>
      </c>
      <c r="CC59" s="7">
        <f t="shared" si="47"/>
        <v>6578.1214531447076</v>
      </c>
      <c r="CD59" s="7">
        <f t="shared" si="47"/>
        <v>7657.9426730789737</v>
      </c>
      <c r="CE59" s="7">
        <f t="shared" si="47"/>
        <v>3936.7665002931217</v>
      </c>
      <c r="CF59" s="7">
        <f t="shared" si="47"/>
        <v>997.16557094821565</v>
      </c>
      <c r="CG59" s="7">
        <f t="shared" si="47"/>
        <v>3215.2918151892914</v>
      </c>
      <c r="CH59" s="7">
        <f t="shared" si="47"/>
        <v>3644.8654433561746</v>
      </c>
      <c r="CI59" s="7">
        <f t="shared" si="47"/>
        <v>688.2938422482373</v>
      </c>
      <c r="CJ59" s="7">
        <f t="shared" si="47"/>
        <v>685.56828126387177</v>
      </c>
      <c r="CK59" s="7">
        <f t="shared" si="47"/>
        <v>3180.7598719061207</v>
      </c>
      <c r="CL59" s="7">
        <f t="shared" si="47"/>
        <v>3608.1285161322548</v>
      </c>
      <c r="CM59" s="7">
        <f t="shared" si="47"/>
        <v>666.1980857529968</v>
      </c>
      <c r="CN59" s="7">
        <f t="shared" si="47"/>
        <v>663.41760335031267</v>
      </c>
      <c r="CO59" s="7">
        <f t="shared" si="47"/>
        <v>3146.1264816515713</v>
      </c>
      <c r="CP59" s="7">
        <f t="shared" si="47"/>
        <v>3571.2997457678912</v>
      </c>
      <c r="CQ59" s="7">
        <f t="shared" si="47"/>
        <v>643.93627140228477</v>
      </c>
      <c r="CR59" s="7">
        <f t="shared" si="47"/>
        <v>641.09976088720737</v>
      </c>
      <c r="CS59" s="7">
        <f t="shared" si="47"/>
        <v>3111.3866430593139</v>
      </c>
      <c r="CT59" s="7">
        <f t="shared" si="47"/>
        <v>3534.3740555861154</v>
      </c>
      <c r="CU59" s="7">
        <f t="shared" si="47"/>
        <v>621.50366407852607</v>
      </c>
      <c r="CV59" s="7">
        <f t="shared" si="47"/>
        <v>618.60999645654147</v>
      </c>
      <c r="CW59" s="7">
        <f t="shared" si="47"/>
        <v>3076.5352686952124</v>
      </c>
      <c r="CX59" s="7">
        <f t="shared" si="47"/>
        <v>3497.3462826620776</v>
      </c>
      <c r="CY59" s="7">
        <f t="shared" si="47"/>
        <v>598.89544015944682</v>
      </c>
      <c r="CZ59" s="7">
        <f t="shared" si="47"/>
        <v>595.94346368623735</v>
      </c>
      <c r="DA59" s="7">
        <f t="shared" si="47"/>
        <v>3041.5671832498315</v>
      </c>
      <c r="DB59" s="7">
        <f t="shared" ref="DB59:EA59" si="48">SUM(DB57:DB58)</f>
        <v>3460.211176005274</v>
      </c>
      <c r="DC59" s="7">
        <f t="shared" si="48"/>
        <v>576.10668570028372</v>
      </c>
      <c r="DD59" s="7">
        <f t="shared" si="48"/>
        <v>573.09522542330535</v>
      </c>
      <c r="DE59" s="7">
        <f t="shared" si="48"/>
        <v>3006.4771216948616</v>
      </c>
      <c r="DF59" s="7">
        <f t="shared" si="48"/>
        <v>3422.9633947055186</v>
      </c>
      <c r="DG59" s="7">
        <f t="shared" si="48"/>
        <v>553.13239457952693</v>
      </c>
      <c r="DH59" s="7">
        <f t="shared" si="48"/>
        <v>550.06025187035573</v>
      </c>
      <c r="DI59" s="7">
        <f t="shared" si="48"/>
        <v>550.06025187036073</v>
      </c>
      <c r="DJ59" s="7">
        <f t="shared" si="48"/>
        <v>3.2656115484124117E-10</v>
      </c>
      <c r="DK59" s="7">
        <f t="shared" si="48"/>
        <v>3.318088692340414E-10</v>
      </c>
      <c r="DL59" s="7">
        <f t="shared" si="48"/>
        <v>3.3702121859506407E-10</v>
      </c>
      <c r="DM59" s="7">
        <f t="shared" si="48"/>
        <v>3.4237053691429584E-10</v>
      </c>
      <c r="DN59" s="7">
        <f t="shared" si="48"/>
        <v>3.4786066183221624E-10</v>
      </c>
      <c r="DO59" s="7">
        <f t="shared" si="48"/>
        <v>3.5343496866554478E-10</v>
      </c>
      <c r="DP59" s="7">
        <f t="shared" si="48"/>
        <v>3.590332288608455E-10</v>
      </c>
      <c r="DQ59" s="7">
        <f t="shared" si="48"/>
        <v>3.647163960024416E-10</v>
      </c>
      <c r="DR59" s="7">
        <f t="shared" si="48"/>
        <v>3.7054915742638025E-10</v>
      </c>
      <c r="DS59" s="7">
        <f t="shared" si="48"/>
        <v>3.7647135452548596E-10</v>
      </c>
      <c r="DT59" s="7">
        <f t="shared" si="48"/>
        <v>3.8235364116588032E-10</v>
      </c>
      <c r="DU59" s="7">
        <f t="shared" si="48"/>
        <v>3.8839050122743614E-10</v>
      </c>
      <c r="DV59" s="7">
        <f t="shared" si="48"/>
        <v>3.9458626559815802E-10</v>
      </c>
      <c r="DW59" s="7">
        <f t="shared" si="48"/>
        <v>4.0087703168923099E-10</v>
      </c>
      <c r="DX59" s="7">
        <f t="shared" si="48"/>
        <v>4.0712540348708151E-10</v>
      </c>
      <c r="DY59" s="7">
        <f t="shared" si="48"/>
        <v>4.1353796861050889E-10</v>
      </c>
      <c r="DZ59" s="7">
        <f t="shared" si="48"/>
        <v>4.2011932748110455E-10</v>
      </c>
      <c r="EA59" s="7">
        <f t="shared" si="48"/>
        <v>4.2680160052104935E-10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-829.95288371758306</v>
      </c>
      <c r="O62" s="7">
        <f t="shared" si="49"/>
        <v>0</v>
      </c>
      <c r="P62" s="7">
        <f t="shared" si="49"/>
        <v>0</v>
      </c>
      <c r="Q62" s="7">
        <f t="shared" si="49"/>
        <v>-320.68920602530125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-340.30854351019161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-343.75943430441907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-379.83369612208389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-399.74636989823694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-419.76378408400706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-424.09790155127894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-460.12724158178753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-480.48065247556679</v>
      </c>
      <c r="AX62" s="7">
        <f t="shared" si="50"/>
        <v>-22.406009953556804</v>
      </c>
      <c r="AY62" s="7">
        <f t="shared" si="50"/>
        <v>0</v>
      </c>
      <c r="AZ62" s="7">
        <f t="shared" si="50"/>
        <v>0</v>
      </c>
      <c r="BA62" s="7">
        <f t="shared" si="50"/>
        <v>-500.95354165860044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682.62348859982194</v>
      </c>
      <c r="CH62" s="7">
        <f t="shared" si="51"/>
        <v>42.76308203216422</v>
      </c>
      <c r="CI62" s="7">
        <f t="shared" si="51"/>
        <v>793.87029914994537</v>
      </c>
      <c r="CJ62" s="7">
        <f t="shared" si="51"/>
        <v>3721.1848212922478</v>
      </c>
      <c r="CK62" s="7">
        <f t="shared" si="51"/>
        <v>4708.0304438287658</v>
      </c>
      <c r="CL62" s="7">
        <f t="shared" si="51"/>
        <v>4061.9461460022394</v>
      </c>
      <c r="CM62" s="7">
        <f t="shared" si="51"/>
        <v>4814.26515315911</v>
      </c>
      <c r="CN62" s="7">
        <f t="shared" si="51"/>
        <v>7732.0132656378946</v>
      </c>
      <c r="CO62" s="7">
        <f t="shared" si="51"/>
        <v>8704.7626101196329</v>
      </c>
      <c r="CP62" s="7">
        <f t="shared" si="51"/>
        <v>8081.1238534972517</v>
      </c>
      <c r="CQ62" s="7">
        <f t="shared" si="51"/>
        <v>8834.6480882511642</v>
      </c>
      <c r="CR62" s="7">
        <f t="shared" si="51"/>
        <v>11742.877832884447</v>
      </c>
      <c r="CS62" s="7">
        <f t="shared" si="51"/>
        <v>12715.887288231352</v>
      </c>
      <c r="CT62" s="7">
        <f t="shared" si="51"/>
        <v>12100.298046356758</v>
      </c>
      <c r="CU62" s="7">
        <f t="shared" si="51"/>
        <v>12855.020968161592</v>
      </c>
      <c r="CV62" s="7">
        <f t="shared" si="51"/>
        <v>15753.780156775563</v>
      </c>
      <c r="CW62" s="7">
        <f t="shared" ref="CW62:EA62" si="52" xml:space="preserve"> CW$49</f>
        <v>16727.050938355686</v>
      </c>
      <c r="CX62" s="7">
        <f t="shared" si="52"/>
        <v>16119.470593833934</v>
      </c>
      <c r="CY62" s="7">
        <f t="shared" si="52"/>
        <v>16875.385683713899</v>
      </c>
      <c r="CZ62" s="7">
        <f t="shared" si="52"/>
        <v>19764.72189946895</v>
      </c>
      <c r="DA62" s="7">
        <f t="shared" si="52"/>
        <v>20752.120593904827</v>
      </c>
      <c r="DB62" s="7">
        <f t="shared" si="52"/>
        <v>20138.64339319622</v>
      </c>
      <c r="DC62" s="7">
        <f t="shared" si="52"/>
        <v>20895.74415341748</v>
      </c>
      <c r="DD62" s="7">
        <f t="shared" si="52"/>
        <v>23775.704752131314</v>
      </c>
      <c r="DE62" s="7">
        <f t="shared" si="52"/>
        <v>24749.502011159893</v>
      </c>
      <c r="DF62" s="7">
        <f t="shared" si="52"/>
        <v>24157.818370337864</v>
      </c>
      <c r="DG62" s="7">
        <f t="shared" si="52"/>
        <v>24916.098324077368</v>
      </c>
      <c r="DH62" s="7">
        <f t="shared" si="52"/>
        <v>27786.730435545265</v>
      </c>
      <c r="DI62" s="7">
        <f t="shared" si="52"/>
        <v>-689.14681089142687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198694.85994453903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-829.95288371758306</v>
      </c>
      <c r="N63" s="428">
        <f xml:space="preserve"> 'FS Qtr'!N$50</f>
        <v>2674.5820668617289</v>
      </c>
      <c r="O63" s="428">
        <f xml:space="preserve"> 'FS Qtr'!O$50</f>
        <v>1821.2250559063114</v>
      </c>
      <c r="P63" s="428">
        <f xml:space="preserve"> 'FS Qtr'!P$50</f>
        <v>-320.68920602530125</v>
      </c>
      <c r="Q63" s="428">
        <f xml:space="preserve"> 'FS Qtr'!Q$50</f>
        <v>657.41350787702822</v>
      </c>
      <c r="R63" s="428">
        <f xml:space="preserve"> 'FS Qtr'!R$50</f>
        <v>2640.0525473449852</v>
      </c>
      <c r="S63" s="428">
        <f xml:space="preserve"> 'FS Qtr'!S$50</f>
        <v>1790.9275197710276</v>
      </c>
      <c r="T63" s="428">
        <f xml:space="preserve"> 'FS Qtr'!T$50</f>
        <v>-340.30854351019161</v>
      </c>
      <c r="U63" s="428">
        <f xml:space="preserve"> 'FS Qtr'!U$50</f>
        <v>632.77531743945292</v>
      </c>
      <c r="V63" s="428">
        <f xml:space="preserve"> 'FS Qtr'!V$50</f>
        <v>2605.5026802737302</v>
      </c>
      <c r="W63" s="428">
        <f xml:space="preserve"> 'FS Qtr'!W$50</f>
        <v>1760.5883079169244</v>
      </c>
      <c r="X63" s="428">
        <f xml:space="preserve"> 'FS Qtr'!X$50</f>
        <v>-343.75943430441907</v>
      </c>
      <c r="Y63" s="428">
        <f xml:space="preserve"> 'FS Qtr'!Y$50</f>
        <v>591.80185412168794</v>
      </c>
      <c r="Z63" s="428">
        <f xml:space="preserve"> 'FS Qtr'!Z$50</f>
        <v>2570.9286952387811</v>
      </c>
      <c r="AA63" s="428">
        <f xml:space="preserve"> 'FS Qtr'!AA$50</f>
        <v>1730.2037505335156</v>
      </c>
      <c r="AB63" s="428">
        <f xml:space="preserve"> 'FS Qtr'!AB$50</f>
        <v>-379.83369612208389</v>
      </c>
      <c r="AC63" s="428">
        <f xml:space="preserve"> 'FS Qtr'!AC$50</f>
        <v>583.27796711527299</v>
      </c>
      <c r="AD63" s="428">
        <f xml:space="preserve"> 'FS Qtr'!AD$50</f>
        <v>2536.3267625737144</v>
      </c>
      <c r="AE63" s="428">
        <f xml:space="preserve"> 'FS Qtr'!AE$50</f>
        <v>1699.7701179415126</v>
      </c>
      <c r="AF63" s="428">
        <f xml:space="preserve"> 'FS Qtr'!AF$50</f>
        <v>-399.74636989823694</v>
      </c>
      <c r="AG63" s="428">
        <f xml:space="preserve"> 'FS Qtr'!AG$50</f>
        <v>558.41160635822825</v>
      </c>
      <c r="AH63" s="428">
        <f xml:space="preserve"> 'FS Qtr'!AH$50</f>
        <v>2501.6929920776138</v>
      </c>
      <c r="AI63" s="428">
        <f xml:space="preserve"> 'FS Qtr'!AI$50</f>
        <v>1669.2836193163989</v>
      </c>
      <c r="AJ63" s="428">
        <f xml:space="preserve"> 'FS Qtr'!AJ$50</f>
        <v>-419.76378408400706</v>
      </c>
      <c r="AK63" s="428">
        <f xml:space="preserve"> 'FS Qtr'!AK$50</f>
        <v>533.46188427295738</v>
      </c>
      <c r="AL63" s="428">
        <f xml:space="preserve"> 'FS Qtr'!AL$50</f>
        <v>2467.0234317125232</v>
      </c>
      <c r="AM63" s="428">
        <f xml:space="preserve"> 'FS Qtr'!AM$50</f>
        <v>1638.7404013866135</v>
      </c>
      <c r="AN63" s="428">
        <f xml:space="preserve"> 'FS Qtr'!AN$50</f>
        <v>-424.09790155127894</v>
      </c>
      <c r="AO63" s="428">
        <f xml:space="preserve"> 'FS Qtr'!AO$50</f>
        <v>492.63342006265384</v>
      </c>
      <c r="AP63" s="428">
        <f xml:space="preserve"> 'FS Qtr'!AP$50</f>
        <v>2432.3140662750347</v>
      </c>
      <c r="AQ63" s="428">
        <f xml:space="preserve"> 'FS Qtr'!AQ$50</f>
        <v>1608.1365471058693</v>
      </c>
      <c r="AR63" s="428">
        <f xml:space="preserve"> 'FS Qtr'!AR$50</f>
        <v>-460.12724158178753</v>
      </c>
      <c r="AS63" s="428">
        <f xml:space="preserve"> 'FS Qtr'!AS$50</f>
        <v>483.29725903999133</v>
      </c>
      <c r="AT63" s="428">
        <f xml:space="preserve"> 'FS Qtr'!AT$50</f>
        <v>2397.5608160415477</v>
      </c>
      <c r="AU63" s="428">
        <f xml:space="preserve"> 'FS Qtr'!AU$50</f>
        <v>1577.4680742990445</v>
      </c>
      <c r="AV63" s="428">
        <f xml:space="preserve"> 'FS Qtr'!AV$50</f>
        <v>-480.48065247556679</v>
      </c>
      <c r="AW63" s="428">
        <f xml:space="preserve"> 'FS Qtr'!AW$50</f>
        <v>458.07464252200998</v>
      </c>
      <c r="AX63" s="428">
        <f xml:space="preserve"> 'FS Qtr'!AX$50</f>
        <v>2362.7595353866018</v>
      </c>
      <c r="AY63" s="428">
        <f xml:space="preserve"> 'FS Qtr'!AY$50</f>
        <v>1546.7309342811427</v>
      </c>
      <c r="AZ63" s="428">
        <f xml:space="preserve"> 'FS Qtr'!AZ$50</f>
        <v>-500.95354165860044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-829.95288371758306</v>
      </c>
      <c r="N64" s="7">
        <f t="shared" si="53"/>
        <v>1844.6291831441458</v>
      </c>
      <c r="O64" s="7">
        <f t="shared" si="53"/>
        <v>1821.2250559063114</v>
      </c>
      <c r="P64" s="7">
        <f t="shared" si="53"/>
        <v>-320.68920602530125</v>
      </c>
      <c r="Q64" s="7">
        <f t="shared" si="53"/>
        <v>336.72430185172698</v>
      </c>
      <c r="R64" s="7">
        <f t="shared" si="53"/>
        <v>2640.0525473449852</v>
      </c>
      <c r="S64" s="7">
        <f t="shared" si="53"/>
        <v>1790.9275197710276</v>
      </c>
      <c r="T64" s="7">
        <f t="shared" si="53"/>
        <v>-340.30854351019161</v>
      </c>
      <c r="U64" s="7">
        <f t="shared" si="53"/>
        <v>292.46677392926131</v>
      </c>
      <c r="V64" s="7">
        <f t="shared" si="53"/>
        <v>2605.5026802737302</v>
      </c>
      <c r="W64" s="7">
        <f t="shared" si="53"/>
        <v>1760.5883079169244</v>
      </c>
      <c r="X64" s="7">
        <f t="shared" si="53"/>
        <v>-343.75943430441907</v>
      </c>
      <c r="Y64" s="7">
        <f t="shared" si="53"/>
        <v>248.04241981726886</v>
      </c>
      <c r="Z64" s="7">
        <f t="shared" si="53"/>
        <v>2570.9286952387811</v>
      </c>
      <c r="AA64" s="7">
        <f t="shared" si="53"/>
        <v>1730.2037505335156</v>
      </c>
      <c r="AB64" s="7">
        <f t="shared" si="53"/>
        <v>-379.83369612208389</v>
      </c>
      <c r="AC64" s="7">
        <f t="shared" si="53"/>
        <v>203.44427099318909</v>
      </c>
      <c r="AD64" s="7">
        <f t="shared" si="53"/>
        <v>2536.3267625737144</v>
      </c>
      <c r="AE64" s="7">
        <f t="shared" si="53"/>
        <v>1699.7701179415126</v>
      </c>
      <c r="AF64" s="7">
        <f t="shared" si="53"/>
        <v>-399.74636989823694</v>
      </c>
      <c r="AG64" s="7">
        <f t="shared" si="53"/>
        <v>158.66523645999132</v>
      </c>
      <c r="AH64" s="7">
        <f t="shared" si="53"/>
        <v>2501.6929920776138</v>
      </c>
      <c r="AI64" s="7">
        <f t="shared" si="53"/>
        <v>1669.2836193163989</v>
      </c>
      <c r="AJ64" s="7">
        <f t="shared" si="53"/>
        <v>-419.76378408400706</v>
      </c>
      <c r="AK64" s="7">
        <f t="shared" si="53"/>
        <v>113.69810018895032</v>
      </c>
      <c r="AL64" s="7">
        <f t="shared" si="53"/>
        <v>2467.0234317125232</v>
      </c>
      <c r="AM64" s="7">
        <f t="shared" si="53"/>
        <v>1638.7404013866135</v>
      </c>
      <c r="AN64" s="7">
        <f t="shared" si="53"/>
        <v>-424.09790155127894</v>
      </c>
      <c r="AO64" s="7">
        <f t="shared" si="53"/>
        <v>68.535518511374903</v>
      </c>
      <c r="AP64" s="7">
        <f t="shared" ref="AP64:BU64" si="54">SUM(AP62:AP63)</f>
        <v>2432.3140662750347</v>
      </c>
      <c r="AQ64" s="7">
        <f t="shared" si="54"/>
        <v>1608.1365471058693</v>
      </c>
      <c r="AR64" s="7">
        <f t="shared" si="54"/>
        <v>-460.12724158178753</v>
      </c>
      <c r="AS64" s="7">
        <f t="shared" si="54"/>
        <v>23.170017458203802</v>
      </c>
      <c r="AT64" s="7">
        <f t="shared" si="54"/>
        <v>2397.5608160415477</v>
      </c>
      <c r="AU64" s="7">
        <f t="shared" si="54"/>
        <v>1577.4680742990445</v>
      </c>
      <c r="AV64" s="7">
        <f t="shared" si="54"/>
        <v>-480.48065247556679</v>
      </c>
      <c r="AW64" s="7">
        <f t="shared" si="54"/>
        <v>-22.406009953556804</v>
      </c>
      <c r="AX64" s="7">
        <f t="shared" si="54"/>
        <v>2340.353525433045</v>
      </c>
      <c r="AY64" s="7">
        <f t="shared" si="54"/>
        <v>1546.7309342811427</v>
      </c>
      <c r="AZ64" s="7">
        <f t="shared" si="54"/>
        <v>-500.95354165860044</v>
      </c>
      <c r="BA64" s="7">
        <f t="shared" si="54"/>
        <v>2281.104225580571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3258.0548972214556</v>
      </c>
      <c r="CH64" s="7">
        <f t="shared" si="55"/>
        <v>4438.73574250612</v>
      </c>
      <c r="CI64" s="7">
        <f t="shared" si="55"/>
        <v>4409.4786635404853</v>
      </c>
      <c r="CJ64" s="7">
        <f t="shared" si="55"/>
        <v>5393.5987250926373</v>
      </c>
      <c r="CK64" s="7">
        <f t="shared" si="55"/>
        <v>7242.7060179083601</v>
      </c>
      <c r="CL64" s="7">
        <f t="shared" si="55"/>
        <v>8422.3936692913649</v>
      </c>
      <c r="CM64" s="7">
        <f t="shared" si="55"/>
        <v>8398.2113513908917</v>
      </c>
      <c r="CN64" s="7">
        <f t="shared" si="55"/>
        <v>9368.1802134699465</v>
      </c>
      <c r="CO64" s="7">
        <f t="shared" si="55"/>
        <v>11227.250335148823</v>
      </c>
      <c r="CP64" s="7">
        <f t="shared" si="55"/>
        <v>12405.947834019054</v>
      </c>
      <c r="CQ64" s="7">
        <f t="shared" si="55"/>
        <v>12386.814104286732</v>
      </c>
      <c r="CR64" s="7">
        <f t="shared" si="55"/>
        <v>13356.987049118559</v>
      </c>
      <c r="CS64" s="7">
        <f t="shared" si="55"/>
        <v>15211.684689416072</v>
      </c>
      <c r="CT64" s="7">
        <f t="shared" si="55"/>
        <v>16389.395023747707</v>
      </c>
      <c r="CU64" s="7">
        <f t="shared" si="55"/>
        <v>16375.283820854089</v>
      </c>
      <c r="CV64" s="7">
        <f t="shared" si="55"/>
        <v>17345.660934812226</v>
      </c>
      <c r="CW64" s="7">
        <f t="shared" si="55"/>
        <v>19196.005862529146</v>
      </c>
      <c r="CX64" s="7">
        <f t="shared" si="55"/>
        <v>20372.731966375977</v>
      </c>
      <c r="CY64" s="7">
        <f t="shared" si="55"/>
        <v>20363.617339628396</v>
      </c>
      <c r="CZ64" s="7">
        <f t="shared" si="55"/>
        <v>21348.064057591066</v>
      </c>
      <c r="DA64" s="7">
        <f t="shared" si="55"/>
        <v>23180.21057644605</v>
      </c>
      <c r="DB64" s="7">
        <f t="shared" ref="DB64:EA64" si="56">SUM(DB62:DB63)</f>
        <v>24355.955329422752</v>
      </c>
      <c r="DC64" s="7">
        <f t="shared" si="56"/>
        <v>24351.811437831599</v>
      </c>
      <c r="DD64" s="7">
        <f t="shared" si="56"/>
        <v>25322.597236583199</v>
      </c>
      <c r="DE64" s="7">
        <f t="shared" si="56"/>
        <v>27164.295492032725</v>
      </c>
      <c r="DF64" s="7">
        <f t="shared" si="56"/>
        <v>28339.061718782887</v>
      </c>
      <c r="DG64" s="7">
        <f t="shared" si="56"/>
        <v>28339.862830124792</v>
      </c>
      <c r="DH64" s="7">
        <f t="shared" si="56"/>
        <v>-689.14681089142687</v>
      </c>
      <c r="DI64" s="7">
        <f t="shared" si="56"/>
        <v>550.06025187003934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2763.083333333333</v>
      </c>
      <c r="N67" s="7">
        <f t="shared" si="57"/>
        <v>6005.2344056028396</v>
      </c>
      <c r="O67" s="7">
        <f t="shared" si="57"/>
        <v>4189.4176275363925</v>
      </c>
      <c r="P67" s="7">
        <f t="shared" si="57"/>
        <v>2437.3076657021547</v>
      </c>
      <c r="Q67" s="7">
        <f t="shared" si="57"/>
        <v>5246.6450287033495</v>
      </c>
      <c r="R67" s="7">
        <f t="shared" si="57"/>
        <v>8198.0338467930051</v>
      </c>
      <c r="S67" s="7">
        <f t="shared" si="57"/>
        <v>5650.0484317581868</v>
      </c>
      <c r="T67" s="7">
        <f t="shared" si="57"/>
        <v>3990.8924929518216</v>
      </c>
      <c r="U67" s="7">
        <f t="shared" si="57"/>
        <v>6851.4214310628122</v>
      </c>
      <c r="V67" s="7">
        <f t="shared" si="57"/>
        <v>9898.1089163990964</v>
      </c>
      <c r="W67" s="7">
        <f t="shared" si="57"/>
        <v>7453.0045212767218</v>
      </c>
      <c r="X67" s="7">
        <f t="shared" si="57"/>
        <v>5882.7590937562027</v>
      </c>
      <c r="Y67" s="7">
        <f t="shared" si="57"/>
        <v>8799.5838172935782</v>
      </c>
      <c r="Z67" s="7">
        <f t="shared" si="57"/>
        <v>11946.986963981439</v>
      </c>
      <c r="AA67" s="7">
        <f t="shared" si="57"/>
        <v>9610.0382724294141</v>
      </c>
      <c r="AB67" s="7">
        <f t="shared" si="57"/>
        <v>8152.2144286975044</v>
      </c>
      <c r="AC67" s="7">
        <f t="shared" si="57"/>
        <v>11131.031590888495</v>
      </c>
      <c r="AD67" s="7">
        <f t="shared" si="57"/>
        <v>14385.18242486133</v>
      </c>
      <c r="AE67" s="7">
        <f t="shared" si="57"/>
        <v>12162.28577641252</v>
      </c>
      <c r="AF67" s="7">
        <f t="shared" si="57"/>
        <v>10813.633955442272</v>
      </c>
      <c r="AG67" s="7">
        <f t="shared" si="57"/>
        <v>13860.354465643253</v>
      </c>
      <c r="AH67" s="7">
        <f t="shared" si="57"/>
        <v>17227.512027149591</v>
      </c>
      <c r="AI67" s="7">
        <f t="shared" si="57"/>
        <v>15124.791384914102</v>
      </c>
      <c r="AJ67" s="7">
        <f t="shared" si="57"/>
        <v>13891.413997550704</v>
      </c>
      <c r="AK67" s="7">
        <f t="shared" ref="AK67:BP67" si="58" xml:space="preserve"> AK$59</f>
        <v>17012.31494412529</v>
      </c>
      <c r="AL67" s="7">
        <f t="shared" si="58"/>
        <v>20499.121336187454</v>
      </c>
      <c r="AM67" s="7">
        <f t="shared" si="58"/>
        <v>18523.086661601294</v>
      </c>
      <c r="AN67" s="7">
        <f t="shared" si="58"/>
        <v>17406.882377605616</v>
      </c>
      <c r="AO67" s="7">
        <f t="shared" si="58"/>
        <v>20608.560427446038</v>
      </c>
      <c r="AP67" s="7">
        <f t="shared" si="58"/>
        <v>24221.993117997041</v>
      </c>
      <c r="AQ67" s="7">
        <f t="shared" si="58"/>
        <v>22379.491873842366</v>
      </c>
      <c r="AR67" s="7">
        <f t="shared" si="58"/>
        <v>21396.455552682113</v>
      </c>
      <c r="AS67" s="7">
        <f t="shared" si="58"/>
        <v>24686.055732633751</v>
      </c>
      <c r="AT67" s="7">
        <f t="shared" si="58"/>
        <v>28433.66248994229</v>
      </c>
      <c r="AU67" s="7">
        <f t="shared" si="58"/>
        <v>26732.118109043546</v>
      </c>
      <c r="AV67" s="7">
        <f t="shared" si="58"/>
        <v>25885.055510752103</v>
      </c>
      <c r="AW67" s="7">
        <f t="shared" si="58"/>
        <v>29270.096810622465</v>
      </c>
      <c r="AX67" s="7">
        <f t="shared" si="58"/>
        <v>33137.410840489261</v>
      </c>
      <c r="AY67" s="7">
        <f t="shared" si="58"/>
        <v>31607.047069984692</v>
      </c>
      <c r="AZ67" s="7">
        <f t="shared" si="58"/>
        <v>30903.742514676465</v>
      </c>
      <c r="BA67" s="7">
        <f t="shared" si="58"/>
        <v>34392.210918823701</v>
      </c>
      <c r="BB67" s="7">
        <f t="shared" si="58"/>
        <v>36047.143320707641</v>
      </c>
      <c r="BC67" s="7">
        <f t="shared" si="58"/>
        <v>32229.554975798561</v>
      </c>
      <c r="BD67" s="7">
        <f t="shared" si="58"/>
        <v>29221.62813582291</v>
      </c>
      <c r="BE67" s="7">
        <f t="shared" si="58"/>
        <v>30833.133823189288</v>
      </c>
      <c r="BF67" s="7">
        <f t="shared" si="58"/>
        <v>31991.679034020864</v>
      </c>
      <c r="BG67" s="7">
        <f t="shared" si="58"/>
        <v>28188.073028636438</v>
      </c>
      <c r="BH67" s="7">
        <f t="shared" si="58"/>
        <v>25190.058553128234</v>
      </c>
      <c r="BI67" s="7">
        <f t="shared" si="58"/>
        <v>26803.650020592009</v>
      </c>
      <c r="BJ67" s="7">
        <f t="shared" si="58"/>
        <v>27936.17979206716</v>
      </c>
      <c r="BK67" s="7">
        <f t="shared" si="58"/>
        <v>24146.485846725682</v>
      </c>
      <c r="BL67" s="7">
        <f t="shared" si="58"/>
        <v>21158.332862375843</v>
      </c>
      <c r="BM67" s="7">
        <f t="shared" si="58"/>
        <v>22758.755369337276</v>
      </c>
      <c r="BN67" s="7">
        <f t="shared" si="58"/>
        <v>23880.639504023304</v>
      </c>
      <c r="BO67" s="7">
        <f t="shared" si="58"/>
        <v>20104.787674472467</v>
      </c>
      <c r="BP67" s="7">
        <f t="shared" si="58"/>
        <v>17126.445529677196</v>
      </c>
      <c r="BQ67" s="7">
        <f t="shared" ref="BQ67:CV67" si="59" xml:space="preserve"> BQ$59</f>
        <v>18713.761248009359</v>
      </c>
      <c r="BR67" s="7">
        <f t="shared" si="59"/>
        <v>19825.051983131223</v>
      </c>
      <c r="BS67" s="7">
        <f t="shared" si="59"/>
        <v>16062.972658389739</v>
      </c>
      <c r="BT67" s="7">
        <f t="shared" si="59"/>
        <v>13094.390921514889</v>
      </c>
      <c r="BU67" s="7">
        <f t="shared" si="59"/>
        <v>14653.822812043123</v>
      </c>
      <c r="BV67" s="7">
        <f t="shared" si="59"/>
        <v>15769.410944631545</v>
      </c>
      <c r="BW67" s="7">
        <f t="shared" si="59"/>
        <v>12021.034845034665</v>
      </c>
      <c r="BX67" s="7">
        <f t="shared" si="59"/>
        <v>9062.1633026759591</v>
      </c>
      <c r="BY67" s="7">
        <f t="shared" si="59"/>
        <v>10623.450452992105</v>
      </c>
      <c r="BZ67" s="7">
        <f t="shared" si="59"/>
        <v>11713.710003656161</v>
      </c>
      <c r="CA67" s="7">
        <f t="shared" si="59"/>
        <v>7978.9681789049309</v>
      </c>
      <c r="CB67" s="7">
        <f t="shared" si="59"/>
        <v>5029.7568341438537</v>
      </c>
      <c r="CC67" s="7">
        <f t="shared" si="59"/>
        <v>6578.1214531447076</v>
      </c>
      <c r="CD67" s="7">
        <f t="shared" si="59"/>
        <v>7657.9426730789737</v>
      </c>
      <c r="CE67" s="7">
        <f t="shared" si="59"/>
        <v>3936.7665002931217</v>
      </c>
      <c r="CF67" s="7">
        <f t="shared" si="59"/>
        <v>997.16557094821565</v>
      </c>
      <c r="CG67" s="7">
        <f t="shared" si="59"/>
        <v>3215.2918151892914</v>
      </c>
      <c r="CH67" s="7">
        <f t="shared" si="59"/>
        <v>3644.8654433561746</v>
      </c>
      <c r="CI67" s="7">
        <f t="shared" si="59"/>
        <v>688.2938422482373</v>
      </c>
      <c r="CJ67" s="7">
        <f t="shared" si="59"/>
        <v>685.56828126387177</v>
      </c>
      <c r="CK67" s="7">
        <f t="shared" si="59"/>
        <v>3180.7598719061207</v>
      </c>
      <c r="CL67" s="7">
        <f t="shared" si="59"/>
        <v>3608.1285161322548</v>
      </c>
      <c r="CM67" s="7">
        <f t="shared" si="59"/>
        <v>666.1980857529968</v>
      </c>
      <c r="CN67" s="7">
        <f t="shared" si="59"/>
        <v>663.41760335031267</v>
      </c>
      <c r="CO67" s="7">
        <f t="shared" si="59"/>
        <v>3146.1264816515713</v>
      </c>
      <c r="CP67" s="7">
        <f t="shared" si="59"/>
        <v>3571.2997457678912</v>
      </c>
      <c r="CQ67" s="7">
        <f t="shared" si="59"/>
        <v>643.93627140228477</v>
      </c>
      <c r="CR67" s="7">
        <f t="shared" si="59"/>
        <v>641.09976088720737</v>
      </c>
      <c r="CS67" s="7">
        <f t="shared" si="59"/>
        <v>3111.3866430593139</v>
      </c>
      <c r="CT67" s="7">
        <f t="shared" si="59"/>
        <v>3534.3740555861154</v>
      </c>
      <c r="CU67" s="7">
        <f t="shared" si="59"/>
        <v>621.50366407852607</v>
      </c>
      <c r="CV67" s="7">
        <f t="shared" si="59"/>
        <v>618.60999645654147</v>
      </c>
      <c r="CW67" s="7">
        <f t="shared" ref="CW67:EA67" si="60" xml:space="preserve"> CW$59</f>
        <v>3076.5352686952124</v>
      </c>
      <c r="CX67" s="7">
        <f t="shared" si="60"/>
        <v>3497.3462826620776</v>
      </c>
      <c r="CY67" s="7">
        <f t="shared" si="60"/>
        <v>598.89544015944682</v>
      </c>
      <c r="CZ67" s="7">
        <f t="shared" si="60"/>
        <v>595.94346368623735</v>
      </c>
      <c r="DA67" s="7">
        <f t="shared" si="60"/>
        <v>3041.5671832498315</v>
      </c>
      <c r="DB67" s="7">
        <f t="shared" si="60"/>
        <v>3460.211176005274</v>
      </c>
      <c r="DC67" s="7">
        <f t="shared" si="60"/>
        <v>576.10668570028372</v>
      </c>
      <c r="DD67" s="7">
        <f t="shared" si="60"/>
        <v>573.09522542330535</v>
      </c>
      <c r="DE67" s="7">
        <f t="shared" si="60"/>
        <v>3006.4771216948616</v>
      </c>
      <c r="DF67" s="7">
        <f t="shared" si="60"/>
        <v>3422.9633947055186</v>
      </c>
      <c r="DG67" s="7">
        <f t="shared" si="60"/>
        <v>553.13239457952693</v>
      </c>
      <c r="DH67" s="7">
        <f t="shared" si="60"/>
        <v>550.06025187035573</v>
      </c>
      <c r="DI67" s="7">
        <f t="shared" si="60"/>
        <v>550.06025187036073</v>
      </c>
      <c r="DJ67" s="7">
        <f t="shared" si="60"/>
        <v>3.2656115484124117E-10</v>
      </c>
      <c r="DK67" s="7">
        <f t="shared" si="60"/>
        <v>3.318088692340414E-10</v>
      </c>
      <c r="DL67" s="7">
        <f t="shared" si="60"/>
        <v>3.3702121859506407E-10</v>
      </c>
      <c r="DM67" s="7">
        <f t="shared" si="60"/>
        <v>3.4237053691429584E-10</v>
      </c>
      <c r="DN67" s="7">
        <f t="shared" si="60"/>
        <v>3.4786066183221624E-10</v>
      </c>
      <c r="DO67" s="7">
        <f t="shared" si="60"/>
        <v>3.5343496866554478E-10</v>
      </c>
      <c r="DP67" s="7">
        <f t="shared" si="60"/>
        <v>3.590332288608455E-10</v>
      </c>
      <c r="DQ67" s="7">
        <f t="shared" si="60"/>
        <v>3.647163960024416E-10</v>
      </c>
      <c r="DR67" s="7">
        <f t="shared" si="60"/>
        <v>3.7054915742638025E-10</v>
      </c>
      <c r="DS67" s="7">
        <f t="shared" si="60"/>
        <v>3.7647135452548596E-10</v>
      </c>
      <c r="DT67" s="7">
        <f t="shared" si="60"/>
        <v>3.8235364116588032E-10</v>
      </c>
      <c r="DU67" s="7">
        <f t="shared" si="60"/>
        <v>3.8839050122743614E-10</v>
      </c>
      <c r="DV67" s="7">
        <f t="shared" si="60"/>
        <v>3.9458626559815802E-10</v>
      </c>
      <c r="DW67" s="7">
        <f t="shared" si="60"/>
        <v>4.0087703168923099E-10</v>
      </c>
      <c r="DX67" s="7">
        <f t="shared" si="60"/>
        <v>4.0712540348708151E-10</v>
      </c>
      <c r="DY67" s="7">
        <f t="shared" si="60"/>
        <v>4.1353796861050889E-10</v>
      </c>
      <c r="DZ67" s="7">
        <f t="shared" si="60"/>
        <v>4.2011932748110455E-10</v>
      </c>
      <c r="EA67" s="7">
        <f t="shared" si="60"/>
        <v>4.2680160052104935E-10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-829.95288371758306</v>
      </c>
      <c r="N68" s="7">
        <f t="shared" si="61"/>
        <v>1844.6291831441458</v>
      </c>
      <c r="O68" s="7">
        <f t="shared" si="61"/>
        <v>1821.2250559063114</v>
      </c>
      <c r="P68" s="7">
        <f t="shared" si="61"/>
        <v>-320.68920602530125</v>
      </c>
      <c r="Q68" s="7">
        <f t="shared" si="61"/>
        <v>336.72430185172698</v>
      </c>
      <c r="R68" s="7">
        <f t="shared" si="61"/>
        <v>2640.0525473449852</v>
      </c>
      <c r="S68" s="7">
        <f t="shared" si="61"/>
        <v>1790.9275197710276</v>
      </c>
      <c r="T68" s="7">
        <f t="shared" si="61"/>
        <v>-340.30854351019161</v>
      </c>
      <c r="U68" s="7">
        <f t="shared" si="61"/>
        <v>292.46677392926131</v>
      </c>
      <c r="V68" s="7">
        <f t="shared" si="61"/>
        <v>2605.5026802737302</v>
      </c>
      <c r="W68" s="7">
        <f t="shared" si="61"/>
        <v>1760.5883079169244</v>
      </c>
      <c r="X68" s="7">
        <f t="shared" si="61"/>
        <v>-343.75943430441907</v>
      </c>
      <c r="Y68" s="7">
        <f t="shared" si="61"/>
        <v>248.04241981726886</v>
      </c>
      <c r="Z68" s="7">
        <f t="shared" si="61"/>
        <v>2570.9286952387811</v>
      </c>
      <c r="AA68" s="7">
        <f t="shared" si="61"/>
        <v>1730.2037505335156</v>
      </c>
      <c r="AB68" s="7">
        <f t="shared" si="61"/>
        <v>-379.83369612208389</v>
      </c>
      <c r="AC68" s="7">
        <f t="shared" si="61"/>
        <v>203.44427099318909</v>
      </c>
      <c r="AD68" s="7">
        <f t="shared" si="61"/>
        <v>2536.3267625737144</v>
      </c>
      <c r="AE68" s="7">
        <f t="shared" si="61"/>
        <v>1699.7701179415126</v>
      </c>
      <c r="AF68" s="7">
        <f t="shared" si="61"/>
        <v>-399.74636989823694</v>
      </c>
      <c r="AG68" s="7">
        <f t="shared" si="61"/>
        <v>158.66523645999132</v>
      </c>
      <c r="AH68" s="7">
        <f t="shared" si="61"/>
        <v>2501.6929920776138</v>
      </c>
      <c r="AI68" s="7">
        <f t="shared" si="61"/>
        <v>1669.2836193163989</v>
      </c>
      <c r="AJ68" s="7">
        <f t="shared" si="61"/>
        <v>-419.76378408400706</v>
      </c>
      <c r="AK68" s="7">
        <f t="shared" ref="AK68:BP68" si="62" xml:space="preserve"> AK$64</f>
        <v>113.69810018895032</v>
      </c>
      <c r="AL68" s="7">
        <f t="shared" si="62"/>
        <v>2467.0234317125232</v>
      </c>
      <c r="AM68" s="7">
        <f t="shared" si="62"/>
        <v>1638.7404013866135</v>
      </c>
      <c r="AN68" s="7">
        <f t="shared" si="62"/>
        <v>-424.09790155127894</v>
      </c>
      <c r="AO68" s="7">
        <f t="shared" si="62"/>
        <v>68.535518511374903</v>
      </c>
      <c r="AP68" s="7">
        <f t="shared" si="62"/>
        <v>2432.3140662750347</v>
      </c>
      <c r="AQ68" s="7">
        <f t="shared" si="62"/>
        <v>1608.1365471058693</v>
      </c>
      <c r="AR68" s="7">
        <f t="shared" si="62"/>
        <v>-460.12724158178753</v>
      </c>
      <c r="AS68" s="7">
        <f t="shared" si="62"/>
        <v>23.170017458203802</v>
      </c>
      <c r="AT68" s="7">
        <f t="shared" si="62"/>
        <v>2397.5608160415477</v>
      </c>
      <c r="AU68" s="7">
        <f t="shared" si="62"/>
        <v>1577.4680742990445</v>
      </c>
      <c r="AV68" s="7">
        <f t="shared" si="62"/>
        <v>-480.48065247556679</v>
      </c>
      <c r="AW68" s="7">
        <f t="shared" si="62"/>
        <v>-22.406009953556804</v>
      </c>
      <c r="AX68" s="7">
        <f t="shared" si="62"/>
        <v>2340.353525433045</v>
      </c>
      <c r="AY68" s="7">
        <f t="shared" si="62"/>
        <v>1546.7309342811427</v>
      </c>
      <c r="AZ68" s="7">
        <f t="shared" si="62"/>
        <v>-500.95354165860044</v>
      </c>
      <c r="BA68" s="7">
        <f t="shared" si="62"/>
        <v>2281.104225580571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3258.0548972214556</v>
      </c>
      <c r="CH68" s="7">
        <f t="shared" si="63"/>
        <v>4438.73574250612</v>
      </c>
      <c r="CI68" s="7">
        <f t="shared" si="63"/>
        <v>4409.4786635404853</v>
      </c>
      <c r="CJ68" s="7">
        <f t="shared" si="63"/>
        <v>5393.5987250926373</v>
      </c>
      <c r="CK68" s="7">
        <f t="shared" si="63"/>
        <v>7242.7060179083601</v>
      </c>
      <c r="CL68" s="7">
        <f t="shared" si="63"/>
        <v>8422.3936692913649</v>
      </c>
      <c r="CM68" s="7">
        <f t="shared" si="63"/>
        <v>8398.2113513908917</v>
      </c>
      <c r="CN68" s="7">
        <f t="shared" si="63"/>
        <v>9368.1802134699465</v>
      </c>
      <c r="CO68" s="7">
        <f t="shared" si="63"/>
        <v>11227.250335148823</v>
      </c>
      <c r="CP68" s="7">
        <f t="shared" si="63"/>
        <v>12405.947834019054</v>
      </c>
      <c r="CQ68" s="7">
        <f t="shared" si="63"/>
        <v>12386.814104286732</v>
      </c>
      <c r="CR68" s="7">
        <f t="shared" si="63"/>
        <v>13356.987049118559</v>
      </c>
      <c r="CS68" s="7">
        <f t="shared" si="63"/>
        <v>15211.684689416072</v>
      </c>
      <c r="CT68" s="7">
        <f t="shared" si="63"/>
        <v>16389.395023747707</v>
      </c>
      <c r="CU68" s="7">
        <f t="shared" si="63"/>
        <v>16375.283820854089</v>
      </c>
      <c r="CV68" s="7">
        <f t="shared" si="63"/>
        <v>17345.660934812226</v>
      </c>
      <c r="CW68" s="7">
        <f t="shared" ref="CW68:EA68" si="64" xml:space="preserve"> CW$64</f>
        <v>19196.005862529146</v>
      </c>
      <c r="CX68" s="7">
        <f t="shared" si="64"/>
        <v>20372.731966375977</v>
      </c>
      <c r="CY68" s="7">
        <f t="shared" si="64"/>
        <v>20363.617339628396</v>
      </c>
      <c r="CZ68" s="7">
        <f t="shared" si="64"/>
        <v>21348.064057591066</v>
      </c>
      <c r="DA68" s="7">
        <f t="shared" si="64"/>
        <v>23180.21057644605</v>
      </c>
      <c r="DB68" s="7">
        <f t="shared" si="64"/>
        <v>24355.955329422752</v>
      </c>
      <c r="DC68" s="7">
        <f t="shared" si="64"/>
        <v>24351.811437831599</v>
      </c>
      <c r="DD68" s="7">
        <f t="shared" si="64"/>
        <v>25322.597236583199</v>
      </c>
      <c r="DE68" s="7">
        <f t="shared" si="64"/>
        <v>27164.295492032725</v>
      </c>
      <c r="DF68" s="7">
        <f t="shared" si="64"/>
        <v>28339.061718782887</v>
      </c>
      <c r="DG68" s="7">
        <f t="shared" si="64"/>
        <v>28339.862830124792</v>
      </c>
      <c r="DH68" s="7">
        <f t="shared" si="64"/>
        <v>-689.14681089142687</v>
      </c>
      <c r="DI68" s="7">
        <f t="shared" si="64"/>
        <v>550.06025187003934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198694.8599445392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1844.6291831441458</v>
      </c>
      <c r="O69" s="147">
        <f t="shared" si="65"/>
        <v>1821.2250559063114</v>
      </c>
      <c r="P69" s="147">
        <f t="shared" si="65"/>
        <v>0</v>
      </c>
      <c r="Q69" s="147">
        <f t="shared" si="65"/>
        <v>336.72430185172698</v>
      </c>
      <c r="R69" s="147">
        <f t="shared" si="65"/>
        <v>2640.0525473449852</v>
      </c>
      <c r="S69" s="147">
        <f t="shared" si="65"/>
        <v>1790.9275197710276</v>
      </c>
      <c r="T69" s="147">
        <f t="shared" si="65"/>
        <v>0</v>
      </c>
      <c r="U69" s="147">
        <f t="shared" si="65"/>
        <v>292.46677392926131</v>
      </c>
      <c r="V69" s="147">
        <f t="shared" si="65"/>
        <v>2605.5026802737302</v>
      </c>
      <c r="W69" s="147">
        <f t="shared" si="65"/>
        <v>1760.5883079169244</v>
      </c>
      <c r="X69" s="147">
        <f t="shared" si="65"/>
        <v>0</v>
      </c>
      <c r="Y69" s="147">
        <f t="shared" si="65"/>
        <v>248.04241981726886</v>
      </c>
      <c r="Z69" s="147">
        <f t="shared" si="65"/>
        <v>2570.9286952387811</v>
      </c>
      <c r="AA69" s="147">
        <f t="shared" si="65"/>
        <v>1730.2037505335156</v>
      </c>
      <c r="AB69" s="147">
        <f t="shared" si="65"/>
        <v>0</v>
      </c>
      <c r="AC69" s="147">
        <f t="shared" si="65"/>
        <v>203.44427099318909</v>
      </c>
      <c r="AD69" s="147">
        <f t="shared" si="65"/>
        <v>2536.3267625737144</v>
      </c>
      <c r="AE69" s="147">
        <f t="shared" si="65"/>
        <v>1699.7701179415126</v>
      </c>
      <c r="AF69" s="147">
        <f t="shared" si="65"/>
        <v>0</v>
      </c>
      <c r="AG69" s="147">
        <f t="shared" si="65"/>
        <v>158.66523645999132</v>
      </c>
      <c r="AH69" s="147">
        <f t="shared" si="65"/>
        <v>2501.6929920776138</v>
      </c>
      <c r="AI69" s="147">
        <f t="shared" si="65"/>
        <v>1669.2836193163989</v>
      </c>
      <c r="AJ69" s="147">
        <f t="shared" si="65"/>
        <v>0</v>
      </c>
      <c r="AK69" s="147">
        <f t="shared" si="65"/>
        <v>113.69810018895032</v>
      </c>
      <c r="AL69" s="147">
        <f t="shared" si="65"/>
        <v>2467.0234317125232</v>
      </c>
      <c r="AM69" s="147">
        <f t="shared" si="65"/>
        <v>1638.7404013866135</v>
      </c>
      <c r="AN69" s="147">
        <f t="shared" si="65"/>
        <v>0</v>
      </c>
      <c r="AO69" s="147">
        <f t="shared" si="65"/>
        <v>68.535518511374903</v>
      </c>
      <c r="AP69" s="147">
        <f t="shared" ref="AP69:BU69" si="66" xml:space="preserve"> MAX(0, MIN(AP67:AP68))</f>
        <v>2432.3140662750347</v>
      </c>
      <c r="AQ69" s="147">
        <f t="shared" si="66"/>
        <v>1608.1365471058693</v>
      </c>
      <c r="AR69" s="147">
        <f t="shared" si="66"/>
        <v>0</v>
      </c>
      <c r="AS69" s="147">
        <f t="shared" si="66"/>
        <v>23.170017458203802</v>
      </c>
      <c r="AT69" s="147">
        <f t="shared" si="66"/>
        <v>2397.5608160415477</v>
      </c>
      <c r="AU69" s="147">
        <f t="shared" si="66"/>
        <v>1577.4680742990445</v>
      </c>
      <c r="AV69" s="147">
        <f t="shared" si="66"/>
        <v>0</v>
      </c>
      <c r="AW69" s="147">
        <f t="shared" si="66"/>
        <v>0</v>
      </c>
      <c r="AX69" s="147">
        <f t="shared" si="66"/>
        <v>2340.353525433045</v>
      </c>
      <c r="AY69" s="147">
        <f t="shared" si="66"/>
        <v>1546.7309342811427</v>
      </c>
      <c r="AZ69" s="147">
        <f t="shared" si="66"/>
        <v>0</v>
      </c>
      <c r="BA69" s="147">
        <f t="shared" si="66"/>
        <v>2281.104225580571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997.16557094821565</v>
      </c>
      <c r="CG69" s="147">
        <f t="shared" si="67"/>
        <v>3215.2918151892914</v>
      </c>
      <c r="CH69" s="147">
        <f t="shared" si="67"/>
        <v>3644.8654433561746</v>
      </c>
      <c r="CI69" s="147">
        <f t="shared" si="67"/>
        <v>688.2938422482373</v>
      </c>
      <c r="CJ69" s="147">
        <f t="shared" si="67"/>
        <v>685.56828126387177</v>
      </c>
      <c r="CK69" s="147">
        <f t="shared" si="67"/>
        <v>3180.7598719061207</v>
      </c>
      <c r="CL69" s="147">
        <f t="shared" si="67"/>
        <v>3608.1285161322548</v>
      </c>
      <c r="CM69" s="147">
        <f t="shared" si="67"/>
        <v>666.1980857529968</v>
      </c>
      <c r="CN69" s="147">
        <f t="shared" si="67"/>
        <v>663.41760335031267</v>
      </c>
      <c r="CO69" s="147">
        <f t="shared" si="67"/>
        <v>3146.1264816515713</v>
      </c>
      <c r="CP69" s="147">
        <f t="shared" si="67"/>
        <v>3571.2997457678912</v>
      </c>
      <c r="CQ69" s="147">
        <f t="shared" si="67"/>
        <v>643.93627140228477</v>
      </c>
      <c r="CR69" s="147">
        <f t="shared" si="67"/>
        <v>641.09976088720737</v>
      </c>
      <c r="CS69" s="147">
        <f t="shared" si="67"/>
        <v>3111.3866430593139</v>
      </c>
      <c r="CT69" s="147">
        <f t="shared" si="67"/>
        <v>3534.3740555861154</v>
      </c>
      <c r="CU69" s="147">
        <f t="shared" si="67"/>
        <v>621.50366407852607</v>
      </c>
      <c r="CV69" s="147">
        <f t="shared" si="67"/>
        <v>618.60999645654147</v>
      </c>
      <c r="CW69" s="147">
        <f t="shared" si="67"/>
        <v>3076.5352686952124</v>
      </c>
      <c r="CX69" s="147">
        <f t="shared" si="67"/>
        <v>3497.3462826620776</v>
      </c>
      <c r="CY69" s="147">
        <f t="shared" si="67"/>
        <v>598.89544015944682</v>
      </c>
      <c r="CZ69" s="147">
        <f t="shared" si="67"/>
        <v>595.94346368623735</v>
      </c>
      <c r="DA69" s="147">
        <f t="shared" si="67"/>
        <v>3041.5671832498315</v>
      </c>
      <c r="DB69" s="147">
        <f t="shared" ref="DB69:EA69" si="68" xml:space="preserve"> MAX(0, MIN(DB67:DB68))</f>
        <v>3460.211176005274</v>
      </c>
      <c r="DC69" s="147">
        <f t="shared" si="68"/>
        <v>576.10668570028372</v>
      </c>
      <c r="DD69" s="147">
        <f t="shared" si="68"/>
        <v>573.09522542330535</v>
      </c>
      <c r="DE69" s="147">
        <f t="shared" si="68"/>
        <v>3006.4771216948616</v>
      </c>
      <c r="DF69" s="147">
        <f t="shared" si="68"/>
        <v>3422.9633947055186</v>
      </c>
      <c r="DG69" s="147">
        <f t="shared" si="68"/>
        <v>553.13239457952693</v>
      </c>
      <c r="DH69" s="147">
        <f t="shared" si="68"/>
        <v>0</v>
      </c>
      <c r="DI69" s="147">
        <f t="shared" si="68"/>
        <v>550.06025187003934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-198694.8599445392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-1844.6291831441458</v>
      </c>
      <c r="O70" s="147">
        <f t="shared" si="69"/>
        <v>-1821.2250559063114</v>
      </c>
      <c r="P70" s="147">
        <f t="shared" si="69"/>
        <v>0</v>
      </c>
      <c r="Q70" s="147">
        <f t="shared" si="69"/>
        <v>-336.72430185172698</v>
      </c>
      <c r="R70" s="147">
        <f t="shared" si="69"/>
        <v>-2640.0525473449852</v>
      </c>
      <c r="S70" s="147">
        <f t="shared" si="69"/>
        <v>-1790.9275197710276</v>
      </c>
      <c r="T70" s="147">
        <f t="shared" si="69"/>
        <v>0</v>
      </c>
      <c r="U70" s="147">
        <f t="shared" si="69"/>
        <v>-292.46677392926131</v>
      </c>
      <c r="V70" s="147">
        <f t="shared" si="69"/>
        <v>-2605.5026802737302</v>
      </c>
      <c r="W70" s="147">
        <f t="shared" si="69"/>
        <v>-1760.5883079169244</v>
      </c>
      <c r="X70" s="147">
        <f t="shared" si="69"/>
        <v>0</v>
      </c>
      <c r="Y70" s="147">
        <f t="shared" si="69"/>
        <v>-248.04241981726886</v>
      </c>
      <c r="Z70" s="147">
        <f t="shared" si="69"/>
        <v>-2570.9286952387811</v>
      </c>
      <c r="AA70" s="147">
        <f t="shared" si="69"/>
        <v>-1730.2037505335156</v>
      </c>
      <c r="AB70" s="147">
        <f t="shared" si="69"/>
        <v>0</v>
      </c>
      <c r="AC70" s="147">
        <f t="shared" si="69"/>
        <v>-203.44427099318909</v>
      </c>
      <c r="AD70" s="147">
        <f t="shared" si="69"/>
        <v>-2536.3267625737144</v>
      </c>
      <c r="AE70" s="147">
        <f t="shared" si="69"/>
        <v>-1699.7701179415126</v>
      </c>
      <c r="AF70" s="147">
        <f t="shared" si="69"/>
        <v>0</v>
      </c>
      <c r="AG70" s="147">
        <f t="shared" si="69"/>
        <v>-158.66523645999132</v>
      </c>
      <c r="AH70" s="147">
        <f t="shared" si="69"/>
        <v>-2501.6929920776138</v>
      </c>
      <c r="AI70" s="147">
        <f t="shared" si="69"/>
        <v>-1669.2836193163989</v>
      </c>
      <c r="AJ70" s="147">
        <f t="shared" si="69"/>
        <v>0</v>
      </c>
      <c r="AK70" s="147">
        <f t="shared" si="69"/>
        <v>-113.69810018895032</v>
      </c>
      <c r="AL70" s="147">
        <f t="shared" si="69"/>
        <v>-2467.0234317125232</v>
      </c>
      <c r="AM70" s="147">
        <f t="shared" si="69"/>
        <v>-1638.7404013866135</v>
      </c>
      <c r="AN70" s="147">
        <f t="shared" si="69"/>
        <v>0</v>
      </c>
      <c r="AO70" s="147">
        <f t="shared" si="69"/>
        <v>-68.535518511374903</v>
      </c>
      <c r="AP70" s="147">
        <f t="shared" si="69"/>
        <v>-2432.3140662750347</v>
      </c>
      <c r="AQ70" s="147">
        <f t="shared" si="69"/>
        <v>-1608.1365471058693</v>
      </c>
      <c r="AR70" s="147">
        <f t="shared" si="69"/>
        <v>0</v>
      </c>
      <c r="AS70" s="147">
        <f t="shared" si="69"/>
        <v>-23.170017458203802</v>
      </c>
      <c r="AT70" s="147">
        <f t="shared" si="69"/>
        <v>-2397.5608160415477</v>
      </c>
      <c r="AU70" s="147">
        <f t="shared" si="69"/>
        <v>-1577.4680742990445</v>
      </c>
      <c r="AV70" s="147">
        <f t="shared" si="69"/>
        <v>0</v>
      </c>
      <c r="AW70" s="147">
        <f t="shared" si="69"/>
        <v>0</v>
      </c>
      <c r="AX70" s="147">
        <f t="shared" si="69"/>
        <v>-2340.353525433045</v>
      </c>
      <c r="AY70" s="147">
        <f t="shared" si="69"/>
        <v>-1546.7309342811427</v>
      </c>
      <c r="AZ70" s="147">
        <f t="shared" si="69"/>
        <v>0</v>
      </c>
      <c r="BA70" s="147">
        <f t="shared" si="69"/>
        <v>-2281.104225580571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-997.16557094821565</v>
      </c>
      <c r="CG70" s="147">
        <f t="shared" si="70"/>
        <v>-3215.2918151892914</v>
      </c>
      <c r="CH70" s="147">
        <f t="shared" si="70"/>
        <v>-3644.8654433561746</v>
      </c>
      <c r="CI70" s="147">
        <f t="shared" si="70"/>
        <v>-688.2938422482373</v>
      </c>
      <c r="CJ70" s="147">
        <f t="shared" si="70"/>
        <v>-685.56828126387177</v>
      </c>
      <c r="CK70" s="147">
        <f t="shared" si="70"/>
        <v>-3180.7598719061207</v>
      </c>
      <c r="CL70" s="147">
        <f t="shared" si="70"/>
        <v>-3608.1285161322548</v>
      </c>
      <c r="CM70" s="147">
        <f t="shared" si="70"/>
        <v>-666.1980857529968</v>
      </c>
      <c r="CN70" s="147">
        <f t="shared" si="70"/>
        <v>-663.41760335031267</v>
      </c>
      <c r="CO70" s="147">
        <f t="shared" si="70"/>
        <v>-3146.1264816515713</v>
      </c>
      <c r="CP70" s="147">
        <f t="shared" si="70"/>
        <v>-3571.2997457678912</v>
      </c>
      <c r="CQ70" s="147">
        <f t="shared" si="70"/>
        <v>-643.93627140228477</v>
      </c>
      <c r="CR70" s="147">
        <f t="shared" si="70"/>
        <v>-641.09976088720737</v>
      </c>
      <c r="CS70" s="147">
        <f t="shared" si="70"/>
        <v>-3111.3866430593139</v>
      </c>
      <c r="CT70" s="147">
        <f t="shared" si="70"/>
        <v>-3534.3740555861154</v>
      </c>
      <c r="CU70" s="147">
        <f t="shared" si="70"/>
        <v>-621.50366407852607</v>
      </c>
      <c r="CV70" s="147">
        <f t="shared" si="70"/>
        <v>-618.60999645654147</v>
      </c>
      <c r="CW70" s="147">
        <f t="shared" si="70"/>
        <v>-3076.5352686952124</v>
      </c>
      <c r="CX70" s="147">
        <f t="shared" si="70"/>
        <v>-3497.3462826620776</v>
      </c>
      <c r="CY70" s="147">
        <f t="shared" si="70"/>
        <v>-598.89544015944682</v>
      </c>
      <c r="CZ70" s="147">
        <f t="shared" si="70"/>
        <v>-595.94346368623735</v>
      </c>
      <c r="DA70" s="147">
        <f t="shared" si="70"/>
        <v>-3041.5671832498315</v>
      </c>
      <c r="DB70" s="147">
        <f t="shared" si="70"/>
        <v>-3460.211176005274</v>
      </c>
      <c r="DC70" s="147">
        <f t="shared" si="70"/>
        <v>-576.10668570028372</v>
      </c>
      <c r="DD70" s="147">
        <f t="shared" si="70"/>
        <v>-573.09522542330535</v>
      </c>
      <c r="DE70" s="147">
        <f t="shared" si="70"/>
        <v>-3006.4771216948616</v>
      </c>
      <c r="DF70" s="147">
        <f t="shared" si="70"/>
        <v>-3422.9633947055186</v>
      </c>
      <c r="DG70" s="147">
        <f t="shared" si="70"/>
        <v>-553.13239457952693</v>
      </c>
      <c r="DH70" s="147">
        <f t="shared" si="70"/>
        <v>0</v>
      </c>
      <c r="DI70" s="147">
        <f t="shared" si="70"/>
        <v>-550.06025187003934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DQ21" activePane="bottomRight" state="frozen"/>
      <selection activeCell="E45" sqref="E45"/>
      <selection pane="topRight" activeCell="E45" sqref="E45"/>
      <selection pane="bottomLeft" activeCell="E45" sqref="E45"/>
      <selection pane="bottomRight" activeCell="I30" sqref="I30:EA3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InpC!E$76</f>
        <v>Small negative value for XIRR</v>
      </c>
      <c r="F11" s="428">
        <f xml:space="preserve"> InpC!F$76</f>
        <v>-9.9999999999999995E-8</v>
      </c>
      <c r="G11" s="428" t="str">
        <f xml:space="preserve"> InpC!G$76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198694.8599445392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1844.6291831441458</v>
      </c>
      <c r="O14" s="146">
        <f xml:space="preserve"> Equity!O$69</f>
        <v>1821.2250559063114</v>
      </c>
      <c r="P14" s="146">
        <f xml:space="preserve"> Equity!P$69</f>
        <v>0</v>
      </c>
      <c r="Q14" s="146">
        <f xml:space="preserve"> Equity!Q$69</f>
        <v>336.72430185172698</v>
      </c>
      <c r="R14" s="146">
        <f xml:space="preserve"> Equity!R$69</f>
        <v>2640.0525473449852</v>
      </c>
      <c r="S14" s="146">
        <f xml:space="preserve"> Equity!S$69</f>
        <v>1790.9275197710276</v>
      </c>
      <c r="T14" s="146">
        <f xml:space="preserve"> Equity!T$69</f>
        <v>0</v>
      </c>
      <c r="U14" s="146">
        <f xml:space="preserve"> Equity!U$69</f>
        <v>292.46677392926131</v>
      </c>
      <c r="V14" s="146">
        <f xml:space="preserve"> Equity!V$69</f>
        <v>2605.5026802737302</v>
      </c>
      <c r="W14" s="146">
        <f xml:space="preserve"> Equity!W$69</f>
        <v>1760.5883079169244</v>
      </c>
      <c r="X14" s="146">
        <f xml:space="preserve"> Equity!X$69</f>
        <v>0</v>
      </c>
      <c r="Y14" s="146">
        <f xml:space="preserve"> Equity!Y$69</f>
        <v>248.04241981726886</v>
      </c>
      <c r="Z14" s="146">
        <f xml:space="preserve"> Equity!Z$69</f>
        <v>2570.9286952387811</v>
      </c>
      <c r="AA14" s="146">
        <f xml:space="preserve"> Equity!AA$69</f>
        <v>1730.2037505335156</v>
      </c>
      <c r="AB14" s="146">
        <f xml:space="preserve"> Equity!AB$69</f>
        <v>0</v>
      </c>
      <c r="AC14" s="146">
        <f xml:space="preserve"> Equity!AC$69</f>
        <v>203.44427099318909</v>
      </c>
      <c r="AD14" s="146">
        <f xml:space="preserve"> Equity!AD$69</f>
        <v>2536.3267625737144</v>
      </c>
      <c r="AE14" s="146">
        <f xml:space="preserve"> Equity!AE$69</f>
        <v>1699.7701179415126</v>
      </c>
      <c r="AF14" s="146">
        <f xml:space="preserve"> Equity!AF$69</f>
        <v>0</v>
      </c>
      <c r="AG14" s="146">
        <f xml:space="preserve"> Equity!AG$69</f>
        <v>158.66523645999132</v>
      </c>
      <c r="AH14" s="146">
        <f xml:space="preserve"> Equity!AH$69</f>
        <v>2501.6929920776138</v>
      </c>
      <c r="AI14" s="146">
        <f xml:space="preserve"> Equity!AI$69</f>
        <v>1669.2836193163989</v>
      </c>
      <c r="AJ14" s="146">
        <f xml:space="preserve"> Equity!AJ$69</f>
        <v>0</v>
      </c>
      <c r="AK14" s="146">
        <f xml:space="preserve"> Equity!AK$69</f>
        <v>113.69810018895032</v>
      </c>
      <c r="AL14" s="146">
        <f xml:space="preserve"> Equity!AL$69</f>
        <v>2467.0234317125232</v>
      </c>
      <c r="AM14" s="146">
        <f xml:space="preserve"> Equity!AM$69</f>
        <v>1638.7404013866135</v>
      </c>
      <c r="AN14" s="146">
        <f xml:space="preserve"> Equity!AN$69</f>
        <v>0</v>
      </c>
      <c r="AO14" s="146">
        <f xml:space="preserve"> Equity!AO$69</f>
        <v>68.535518511374903</v>
      </c>
      <c r="AP14" s="146">
        <f xml:space="preserve"> Equity!AP$69</f>
        <v>2432.3140662750347</v>
      </c>
      <c r="AQ14" s="146">
        <f xml:space="preserve"> Equity!AQ$69</f>
        <v>1608.1365471058693</v>
      </c>
      <c r="AR14" s="146">
        <f xml:space="preserve"> Equity!AR$69</f>
        <v>0</v>
      </c>
      <c r="AS14" s="146">
        <f xml:space="preserve"> Equity!AS$69</f>
        <v>23.170017458203802</v>
      </c>
      <c r="AT14" s="146">
        <f xml:space="preserve"> Equity!AT$69</f>
        <v>2397.5608160415477</v>
      </c>
      <c r="AU14" s="146">
        <f xml:space="preserve"> Equity!AU$69</f>
        <v>1577.4680742990445</v>
      </c>
      <c r="AV14" s="146">
        <f xml:space="preserve"> Equity!AV$69</f>
        <v>0</v>
      </c>
      <c r="AW14" s="146">
        <f xml:space="preserve"> Equity!AW$69</f>
        <v>0</v>
      </c>
      <c r="AX14" s="146">
        <f xml:space="preserve"> Equity!AX$69</f>
        <v>2340.353525433045</v>
      </c>
      <c r="AY14" s="146">
        <f xml:space="preserve"> Equity!AY$69</f>
        <v>1546.7309342811427</v>
      </c>
      <c r="AZ14" s="146">
        <f xml:space="preserve"> Equity!AZ$69</f>
        <v>0</v>
      </c>
      <c r="BA14" s="146">
        <f xml:space="preserve"> Equity!BA$69</f>
        <v>2281.104225580571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997.16557094821565</v>
      </c>
      <c r="CG14" s="146">
        <f xml:space="preserve"> Equity!CG$69</f>
        <v>3215.2918151892914</v>
      </c>
      <c r="CH14" s="146">
        <f xml:space="preserve"> Equity!CH$69</f>
        <v>3644.8654433561746</v>
      </c>
      <c r="CI14" s="146">
        <f xml:space="preserve"> Equity!CI$69</f>
        <v>688.2938422482373</v>
      </c>
      <c r="CJ14" s="146">
        <f xml:space="preserve"> Equity!CJ$69</f>
        <v>685.56828126387177</v>
      </c>
      <c r="CK14" s="146">
        <f xml:space="preserve"> Equity!CK$69</f>
        <v>3180.7598719061207</v>
      </c>
      <c r="CL14" s="146">
        <f xml:space="preserve"> Equity!CL$69</f>
        <v>3608.1285161322548</v>
      </c>
      <c r="CM14" s="146">
        <f xml:space="preserve"> Equity!CM$69</f>
        <v>666.1980857529968</v>
      </c>
      <c r="CN14" s="146">
        <f xml:space="preserve"> Equity!CN$69</f>
        <v>663.41760335031267</v>
      </c>
      <c r="CO14" s="146">
        <f xml:space="preserve"> Equity!CO$69</f>
        <v>3146.1264816515713</v>
      </c>
      <c r="CP14" s="146">
        <f xml:space="preserve"> Equity!CP$69</f>
        <v>3571.2997457678912</v>
      </c>
      <c r="CQ14" s="146">
        <f xml:space="preserve"> Equity!CQ$69</f>
        <v>643.93627140228477</v>
      </c>
      <c r="CR14" s="146">
        <f xml:space="preserve"> Equity!CR$69</f>
        <v>641.09976088720737</v>
      </c>
      <c r="CS14" s="146">
        <f xml:space="preserve"> Equity!CS$69</f>
        <v>3111.3866430593139</v>
      </c>
      <c r="CT14" s="146">
        <f xml:space="preserve"> Equity!CT$69</f>
        <v>3534.3740555861154</v>
      </c>
      <c r="CU14" s="146">
        <f xml:space="preserve"> Equity!CU$69</f>
        <v>621.50366407852607</v>
      </c>
      <c r="CV14" s="146">
        <f xml:space="preserve"> Equity!CV$69</f>
        <v>618.60999645654147</v>
      </c>
      <c r="CW14" s="146">
        <f xml:space="preserve"> Equity!CW$69</f>
        <v>3076.5352686952124</v>
      </c>
      <c r="CX14" s="146">
        <f xml:space="preserve"> Equity!CX$69</f>
        <v>3497.3462826620776</v>
      </c>
      <c r="CY14" s="146">
        <f xml:space="preserve"> Equity!CY$69</f>
        <v>598.89544015944682</v>
      </c>
      <c r="CZ14" s="146">
        <f xml:space="preserve"> Equity!CZ$69</f>
        <v>595.94346368623735</v>
      </c>
      <c r="DA14" s="146">
        <f xml:space="preserve"> Equity!DA$69</f>
        <v>3041.5671832498315</v>
      </c>
      <c r="DB14" s="146">
        <f xml:space="preserve"> Equity!DB$69</f>
        <v>3460.211176005274</v>
      </c>
      <c r="DC14" s="146">
        <f xml:space="preserve"> Equity!DC$69</f>
        <v>576.10668570028372</v>
      </c>
      <c r="DD14" s="146">
        <f xml:space="preserve"> Equity!DD$69</f>
        <v>573.09522542330535</v>
      </c>
      <c r="DE14" s="146">
        <f xml:space="preserve"> Equity!DE$69</f>
        <v>3006.4771216948616</v>
      </c>
      <c r="DF14" s="146">
        <f xml:space="preserve"> Equity!DF$69</f>
        <v>3422.9633947055186</v>
      </c>
      <c r="DG14" s="146">
        <f xml:space="preserve"> Equity!DG$69</f>
        <v>553.13239457952693</v>
      </c>
      <c r="DH14" s="146">
        <f xml:space="preserve"> Equity!DH$69</f>
        <v>0</v>
      </c>
      <c r="DI14" s="146">
        <f xml:space="preserve"> Equity!DI$69</f>
        <v>550.06025187003934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198694.8599444392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1844.6291831441458</v>
      </c>
      <c r="O16" s="6">
        <f t="shared" si="0"/>
        <v>1821.2250559063114</v>
      </c>
      <c r="P16" s="6">
        <f t="shared" si="0"/>
        <v>0</v>
      </c>
      <c r="Q16" s="6">
        <f t="shared" si="0"/>
        <v>336.72430185172698</v>
      </c>
      <c r="R16" s="6">
        <f t="shared" si="0"/>
        <v>2640.0525473449852</v>
      </c>
      <c r="S16" s="6">
        <f t="shared" si="0"/>
        <v>1790.9275197710276</v>
      </c>
      <c r="T16" s="6">
        <f t="shared" si="0"/>
        <v>0</v>
      </c>
      <c r="U16" s="6">
        <f t="shared" si="0"/>
        <v>292.46677392926131</v>
      </c>
      <c r="V16" s="6">
        <f t="shared" si="0"/>
        <v>2605.5026802737302</v>
      </c>
      <c r="W16" s="6">
        <f t="shared" si="0"/>
        <v>1760.5883079169244</v>
      </c>
      <c r="X16" s="6">
        <f t="shared" si="0"/>
        <v>0</v>
      </c>
      <c r="Y16" s="6">
        <f t="shared" si="0"/>
        <v>248.04241981726886</v>
      </c>
      <c r="Z16" s="6">
        <f t="shared" si="0"/>
        <v>2570.9286952387811</v>
      </c>
      <c r="AA16" s="6">
        <f t="shared" si="0"/>
        <v>1730.2037505335156</v>
      </c>
      <c r="AB16" s="6">
        <f t="shared" si="0"/>
        <v>0</v>
      </c>
      <c r="AC16" s="6">
        <f t="shared" si="0"/>
        <v>203.44427099318909</v>
      </c>
      <c r="AD16" s="6">
        <f t="shared" si="0"/>
        <v>2536.3267625737144</v>
      </c>
      <c r="AE16" s="6">
        <f t="shared" si="0"/>
        <v>1699.7701179415126</v>
      </c>
      <c r="AF16" s="6">
        <f t="shared" si="0"/>
        <v>0</v>
      </c>
      <c r="AG16" s="6">
        <f t="shared" si="0"/>
        <v>158.66523645999132</v>
      </c>
      <c r="AH16" s="6">
        <f t="shared" si="0"/>
        <v>2501.6929920776138</v>
      </c>
      <c r="AI16" s="6">
        <f t="shared" si="0"/>
        <v>1669.2836193163989</v>
      </c>
      <c r="AJ16" s="6">
        <f t="shared" si="0"/>
        <v>0</v>
      </c>
      <c r="AK16" s="6">
        <f t="shared" si="0"/>
        <v>113.69810018895032</v>
      </c>
      <c r="AL16" s="6">
        <f t="shared" si="0"/>
        <v>2467.0234317125232</v>
      </c>
      <c r="AM16" s="6">
        <f t="shared" si="0"/>
        <v>1638.7404013866135</v>
      </c>
      <c r="AN16" s="6">
        <f t="shared" si="0"/>
        <v>0</v>
      </c>
      <c r="AO16" s="6">
        <f t="shared" si="0"/>
        <v>68.535518511374903</v>
      </c>
      <c r="AP16" s="6">
        <f t="shared" ref="AP16:BU16" si="1" xml:space="preserve"> $F11 * AP13 + -1 * $F10 * AP12 + AP14 + AP15</f>
        <v>2432.3140662750347</v>
      </c>
      <c r="AQ16" s="6">
        <f t="shared" si="1"/>
        <v>1608.1365471058693</v>
      </c>
      <c r="AR16" s="6">
        <f t="shared" si="1"/>
        <v>0</v>
      </c>
      <c r="AS16" s="6">
        <f t="shared" si="1"/>
        <v>23.170017458203802</v>
      </c>
      <c r="AT16" s="6">
        <f t="shared" si="1"/>
        <v>2397.5608160415477</v>
      </c>
      <c r="AU16" s="6">
        <f t="shared" si="1"/>
        <v>1577.4680742990445</v>
      </c>
      <c r="AV16" s="6">
        <f t="shared" si="1"/>
        <v>0</v>
      </c>
      <c r="AW16" s="6">
        <f t="shared" si="1"/>
        <v>0</v>
      </c>
      <c r="AX16" s="6">
        <f t="shared" si="1"/>
        <v>2340.353525433045</v>
      </c>
      <c r="AY16" s="6">
        <f t="shared" si="1"/>
        <v>1546.7309342811427</v>
      </c>
      <c r="AZ16" s="6">
        <f t="shared" si="1"/>
        <v>0</v>
      </c>
      <c r="BA16" s="6">
        <f t="shared" si="1"/>
        <v>2281.104225580571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997.16557094821565</v>
      </c>
      <c r="CG16" s="6">
        <f t="shared" si="2"/>
        <v>3215.2918151892914</v>
      </c>
      <c r="CH16" s="6">
        <f t="shared" si="2"/>
        <v>3644.8654433561746</v>
      </c>
      <c r="CI16" s="6">
        <f t="shared" si="2"/>
        <v>688.2938422482373</v>
      </c>
      <c r="CJ16" s="6">
        <f t="shared" si="2"/>
        <v>685.56828126387177</v>
      </c>
      <c r="CK16" s="6">
        <f t="shared" si="2"/>
        <v>3180.7598719061207</v>
      </c>
      <c r="CL16" s="6">
        <f t="shared" si="2"/>
        <v>3608.1285161322548</v>
      </c>
      <c r="CM16" s="6">
        <f t="shared" si="2"/>
        <v>666.1980857529968</v>
      </c>
      <c r="CN16" s="6">
        <f t="shared" si="2"/>
        <v>663.41760335031267</v>
      </c>
      <c r="CO16" s="6">
        <f t="shared" si="2"/>
        <v>3146.1264816515713</v>
      </c>
      <c r="CP16" s="6">
        <f t="shared" si="2"/>
        <v>3571.2997457678912</v>
      </c>
      <c r="CQ16" s="6">
        <f t="shared" si="2"/>
        <v>643.93627140228477</v>
      </c>
      <c r="CR16" s="6">
        <f t="shared" si="2"/>
        <v>641.09976088720737</v>
      </c>
      <c r="CS16" s="6">
        <f t="shared" si="2"/>
        <v>3111.3866430593139</v>
      </c>
      <c r="CT16" s="6">
        <f t="shared" si="2"/>
        <v>3534.3740555861154</v>
      </c>
      <c r="CU16" s="6">
        <f t="shared" si="2"/>
        <v>621.50366407852607</v>
      </c>
      <c r="CV16" s="6">
        <f t="shared" si="2"/>
        <v>618.60999645654147</v>
      </c>
      <c r="CW16" s="6">
        <f t="shared" si="2"/>
        <v>3076.5352686952124</v>
      </c>
      <c r="CX16" s="6">
        <f t="shared" si="2"/>
        <v>3497.3462826620776</v>
      </c>
      <c r="CY16" s="6">
        <f t="shared" si="2"/>
        <v>598.89544015944682</v>
      </c>
      <c r="CZ16" s="6">
        <f t="shared" si="2"/>
        <v>595.94346368623735</v>
      </c>
      <c r="DA16" s="6">
        <f t="shared" si="2"/>
        <v>3041.5671832498315</v>
      </c>
      <c r="DB16" s="6">
        <f t="shared" ref="DB16:EA16" si="3" xml:space="preserve"> $F11 * DB13 + -1 * $F10 * DB12 + DB14 + DB15</f>
        <v>3460.211176005274</v>
      </c>
      <c r="DC16" s="6">
        <f t="shared" si="3"/>
        <v>576.10668570028372</v>
      </c>
      <c r="DD16" s="6">
        <f t="shared" si="3"/>
        <v>573.09522542330535</v>
      </c>
      <c r="DE16" s="6">
        <f t="shared" si="3"/>
        <v>3006.4771216948616</v>
      </c>
      <c r="DF16" s="6">
        <f t="shared" si="3"/>
        <v>3422.9633947055186</v>
      </c>
      <c r="DG16" s="6">
        <f t="shared" si="3"/>
        <v>553.13239457952693</v>
      </c>
      <c r="DH16" s="6">
        <f t="shared" si="3"/>
        <v>30000</v>
      </c>
      <c r="DI16" s="6">
        <f t="shared" si="3"/>
        <v>550.06025187003934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198694.8599444392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1844.6291831441458</v>
      </c>
      <c r="O18" s="7">
        <f t="shared" si="4"/>
        <v>1821.2250559063114</v>
      </c>
      <c r="P18" s="7">
        <f t="shared" si="4"/>
        <v>0</v>
      </c>
      <c r="Q18" s="7">
        <f t="shared" si="4"/>
        <v>336.72430185172698</v>
      </c>
      <c r="R18" s="7">
        <f t="shared" si="4"/>
        <v>2640.0525473449852</v>
      </c>
      <c r="S18" s="7">
        <f t="shared" si="4"/>
        <v>1790.9275197710276</v>
      </c>
      <c r="T18" s="7">
        <f t="shared" si="4"/>
        <v>0</v>
      </c>
      <c r="U18" s="7">
        <f t="shared" si="4"/>
        <v>292.46677392926131</v>
      </c>
      <c r="V18" s="7">
        <f t="shared" si="4"/>
        <v>2605.5026802737302</v>
      </c>
      <c r="W18" s="7">
        <f t="shared" si="4"/>
        <v>1760.5883079169244</v>
      </c>
      <c r="X18" s="7">
        <f t="shared" si="4"/>
        <v>0</v>
      </c>
      <c r="Y18" s="7">
        <f t="shared" si="4"/>
        <v>248.04241981726886</v>
      </c>
      <c r="Z18" s="7">
        <f t="shared" si="4"/>
        <v>2570.9286952387811</v>
      </c>
      <c r="AA18" s="7">
        <f t="shared" si="4"/>
        <v>1730.2037505335156</v>
      </c>
      <c r="AB18" s="7">
        <f t="shared" si="4"/>
        <v>0</v>
      </c>
      <c r="AC18" s="7">
        <f t="shared" si="4"/>
        <v>203.44427099318909</v>
      </c>
      <c r="AD18" s="7">
        <f t="shared" si="4"/>
        <v>2536.3267625737144</v>
      </c>
      <c r="AE18" s="7">
        <f t="shared" si="4"/>
        <v>1699.7701179415126</v>
      </c>
      <c r="AF18" s="7">
        <f t="shared" si="4"/>
        <v>0</v>
      </c>
      <c r="AG18" s="7">
        <f t="shared" si="4"/>
        <v>158.66523645999132</v>
      </c>
      <c r="AH18" s="7">
        <f t="shared" si="4"/>
        <v>2501.6929920776138</v>
      </c>
      <c r="AI18" s="7">
        <f t="shared" si="4"/>
        <v>1669.2836193163989</v>
      </c>
      <c r="AJ18" s="7">
        <f t="shared" si="4"/>
        <v>0</v>
      </c>
      <c r="AK18" s="7">
        <f t="shared" ref="AK18:BP18" si="5" xml:space="preserve"> AK$16</f>
        <v>113.69810018895032</v>
      </c>
      <c r="AL18" s="7">
        <f t="shared" si="5"/>
        <v>2467.0234317125232</v>
      </c>
      <c r="AM18" s="7">
        <f t="shared" si="5"/>
        <v>1638.7404013866135</v>
      </c>
      <c r="AN18" s="7">
        <f t="shared" si="5"/>
        <v>0</v>
      </c>
      <c r="AO18" s="7">
        <f t="shared" si="5"/>
        <v>68.535518511374903</v>
      </c>
      <c r="AP18" s="7">
        <f t="shared" si="5"/>
        <v>2432.3140662750347</v>
      </c>
      <c r="AQ18" s="7">
        <f t="shared" si="5"/>
        <v>1608.1365471058693</v>
      </c>
      <c r="AR18" s="7">
        <f t="shared" si="5"/>
        <v>0</v>
      </c>
      <c r="AS18" s="7">
        <f t="shared" si="5"/>
        <v>23.170017458203802</v>
      </c>
      <c r="AT18" s="7">
        <f t="shared" si="5"/>
        <v>2397.5608160415477</v>
      </c>
      <c r="AU18" s="7">
        <f t="shared" si="5"/>
        <v>1577.4680742990445</v>
      </c>
      <c r="AV18" s="7">
        <f t="shared" si="5"/>
        <v>0</v>
      </c>
      <c r="AW18" s="7">
        <f t="shared" si="5"/>
        <v>0</v>
      </c>
      <c r="AX18" s="7">
        <f t="shared" si="5"/>
        <v>2340.353525433045</v>
      </c>
      <c r="AY18" s="7">
        <f t="shared" si="5"/>
        <v>1546.7309342811427</v>
      </c>
      <c r="AZ18" s="7">
        <f t="shared" si="5"/>
        <v>0</v>
      </c>
      <c r="BA18" s="7">
        <f t="shared" si="5"/>
        <v>2281.104225580571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997.16557094821565</v>
      </c>
      <c r="CG18" s="7">
        <f t="shared" si="6"/>
        <v>3215.2918151892914</v>
      </c>
      <c r="CH18" s="7">
        <f t="shared" si="6"/>
        <v>3644.8654433561746</v>
      </c>
      <c r="CI18" s="7">
        <f t="shared" si="6"/>
        <v>688.2938422482373</v>
      </c>
      <c r="CJ18" s="7">
        <f t="shared" si="6"/>
        <v>685.56828126387177</v>
      </c>
      <c r="CK18" s="7">
        <f t="shared" si="6"/>
        <v>3180.7598719061207</v>
      </c>
      <c r="CL18" s="7">
        <f t="shared" si="6"/>
        <v>3608.1285161322548</v>
      </c>
      <c r="CM18" s="7">
        <f t="shared" si="6"/>
        <v>666.1980857529968</v>
      </c>
      <c r="CN18" s="7">
        <f t="shared" si="6"/>
        <v>663.41760335031267</v>
      </c>
      <c r="CO18" s="7">
        <f t="shared" si="6"/>
        <v>3146.1264816515713</v>
      </c>
      <c r="CP18" s="7">
        <f t="shared" si="6"/>
        <v>3571.2997457678912</v>
      </c>
      <c r="CQ18" s="7">
        <f t="shared" si="6"/>
        <v>643.93627140228477</v>
      </c>
      <c r="CR18" s="7">
        <f t="shared" si="6"/>
        <v>641.09976088720737</v>
      </c>
      <c r="CS18" s="7">
        <f t="shared" si="6"/>
        <v>3111.3866430593139</v>
      </c>
      <c r="CT18" s="7">
        <f t="shared" si="6"/>
        <v>3534.3740555861154</v>
      </c>
      <c r="CU18" s="7">
        <f t="shared" si="6"/>
        <v>621.50366407852607</v>
      </c>
      <c r="CV18" s="7">
        <f t="shared" si="6"/>
        <v>618.60999645654147</v>
      </c>
      <c r="CW18" s="7">
        <f t="shared" ref="CW18:EA18" si="7" xml:space="preserve"> CW$16</f>
        <v>3076.5352686952124</v>
      </c>
      <c r="CX18" s="7">
        <f t="shared" si="7"/>
        <v>3497.3462826620776</v>
      </c>
      <c r="CY18" s="7">
        <f t="shared" si="7"/>
        <v>598.89544015944682</v>
      </c>
      <c r="CZ18" s="7">
        <f t="shared" si="7"/>
        <v>595.94346368623735</v>
      </c>
      <c r="DA18" s="7">
        <f t="shared" si="7"/>
        <v>3041.5671832498315</v>
      </c>
      <c r="DB18" s="7">
        <f t="shared" si="7"/>
        <v>3460.211176005274</v>
      </c>
      <c r="DC18" s="7">
        <f t="shared" si="7"/>
        <v>576.10668570028372</v>
      </c>
      <c r="DD18" s="7">
        <f t="shared" si="7"/>
        <v>573.09522542330535</v>
      </c>
      <c r="DE18" s="7">
        <f t="shared" si="7"/>
        <v>3006.4771216948616</v>
      </c>
      <c r="DF18" s="7">
        <f t="shared" si="7"/>
        <v>3422.9633947055186</v>
      </c>
      <c r="DG18" s="7">
        <f t="shared" si="7"/>
        <v>553.13239457952693</v>
      </c>
      <c r="DH18" s="7">
        <f t="shared" si="7"/>
        <v>30000</v>
      </c>
      <c r="DI18" s="7">
        <f t="shared" si="7"/>
        <v>550.06025187003934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0.19669247269630433</v>
      </c>
      <c r="G20" s="147" t="s">
        <v>162</v>
      </c>
    </row>
    <row r="23" spans="1:204" x14ac:dyDescent="0.35">
      <c r="A23" s="8" t="s">
        <v>288</v>
      </c>
    </row>
    <row r="25" spans="1:204" x14ac:dyDescent="0.35">
      <c r="B25" s="8" t="s">
        <v>289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322667.04122730857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1519.3516483516487</v>
      </c>
      <c r="N27" s="146">
        <f xml:space="preserve"> 'FS Qtr'!N$33</f>
        <v>5023.8865989309606</v>
      </c>
      <c r="O27" s="146">
        <f xml:space="preserve"> 'FS Qtr'!O$33</f>
        <v>4170.5295879755431</v>
      </c>
      <c r="P27" s="146">
        <f xml:space="preserve"> 'FS Qtr'!P$33</f>
        <v>2028.6153260439305</v>
      </c>
      <c r="Q27" s="146">
        <f xml:space="preserve"> 'FS Qtr'!Q$33</f>
        <v>3006.71803994626</v>
      </c>
      <c r="R27" s="146">
        <f xml:space="preserve"> 'FS Qtr'!R$33</f>
        <v>4989.357079414217</v>
      </c>
      <c r="S27" s="146">
        <f xml:space="preserve"> 'FS Qtr'!S$33</f>
        <v>4140.2320518402594</v>
      </c>
      <c r="T27" s="146">
        <f xml:space="preserve"> 'FS Qtr'!T$33</f>
        <v>2008.9959885590401</v>
      </c>
      <c r="U27" s="146">
        <f xml:space="preserve"> 'FS Qtr'!U$33</f>
        <v>2982.0798495086847</v>
      </c>
      <c r="V27" s="146">
        <f xml:space="preserve"> 'FS Qtr'!V$33</f>
        <v>4954.807212342962</v>
      </c>
      <c r="W27" s="146">
        <f xml:space="preserve"> 'FS Qtr'!W$33</f>
        <v>4109.8928399861561</v>
      </c>
      <c r="X27" s="146">
        <f xml:space="preserve"> 'FS Qtr'!X$33</f>
        <v>2005.5450977648127</v>
      </c>
      <c r="Y27" s="146">
        <f xml:space="preserve"> 'FS Qtr'!Y$33</f>
        <v>2941.1063861909197</v>
      </c>
      <c r="Z27" s="146">
        <f xml:space="preserve"> 'FS Qtr'!Z$33</f>
        <v>4920.2332273080128</v>
      </c>
      <c r="AA27" s="146">
        <f xml:space="preserve"> 'FS Qtr'!AA$33</f>
        <v>4079.5082826027474</v>
      </c>
      <c r="AB27" s="146">
        <f xml:space="preserve"> 'FS Qtr'!AB$33</f>
        <v>1969.4708359471479</v>
      </c>
      <c r="AC27" s="146">
        <f xml:space="preserve"> 'FS Qtr'!AC$33</f>
        <v>2932.5824991845047</v>
      </c>
      <c r="AD27" s="146">
        <f xml:space="preserve"> 'FS Qtr'!AD$33</f>
        <v>4885.6312946429462</v>
      </c>
      <c r="AE27" s="146">
        <f xml:space="preserve"> 'FS Qtr'!AE$33</f>
        <v>4049.0746500107443</v>
      </c>
      <c r="AF27" s="146">
        <f xml:space="preserve"> 'FS Qtr'!AF$33</f>
        <v>1949.5581621709948</v>
      </c>
      <c r="AG27" s="146">
        <f xml:space="preserve"> 'FS Qtr'!AG$33</f>
        <v>2907.71613842746</v>
      </c>
      <c r="AH27" s="146">
        <f xml:space="preserve"> 'FS Qtr'!AH$33</f>
        <v>4850.9975241468455</v>
      </c>
      <c r="AI27" s="146">
        <f xml:space="preserve"> 'FS Qtr'!AI$33</f>
        <v>4018.5881513856307</v>
      </c>
      <c r="AJ27" s="146">
        <f xml:space="preserve"> 'FS Qtr'!AJ$33</f>
        <v>1929.5407479852247</v>
      </c>
      <c r="AK27" s="146">
        <f xml:space="preserve"> 'FS Qtr'!AK$33</f>
        <v>2882.7664163421891</v>
      </c>
      <c r="AL27" s="146">
        <f xml:space="preserve"> 'FS Qtr'!AL$33</f>
        <v>4816.327963781755</v>
      </c>
      <c r="AM27" s="146">
        <f xml:space="preserve"> 'FS Qtr'!AM$33</f>
        <v>3988.0449334558452</v>
      </c>
      <c r="AN27" s="146">
        <f xml:space="preserve"> 'FS Qtr'!AN$33</f>
        <v>1925.2066305179528</v>
      </c>
      <c r="AO27" s="146">
        <f xml:space="preserve"> 'FS Qtr'!AO$33</f>
        <v>2841.9379521318856</v>
      </c>
      <c r="AP27" s="146">
        <f xml:space="preserve"> 'FS Qtr'!AP$33</f>
        <v>4781.6185983442665</v>
      </c>
      <c r="AQ27" s="146">
        <f xml:space="preserve"> 'FS Qtr'!AQ$33</f>
        <v>3957.4410791751011</v>
      </c>
      <c r="AR27" s="146">
        <f xml:space="preserve"> 'FS Qtr'!AR$33</f>
        <v>1889.1772904874442</v>
      </c>
      <c r="AS27" s="146">
        <f xml:space="preserve"> 'FS Qtr'!AS$33</f>
        <v>2832.6017911092231</v>
      </c>
      <c r="AT27" s="146">
        <f xml:space="preserve"> 'FS Qtr'!AT$33</f>
        <v>4746.8653481107795</v>
      </c>
      <c r="AU27" s="146">
        <f xml:space="preserve"> 'FS Qtr'!AU$33</f>
        <v>3926.7726063682762</v>
      </c>
      <c r="AV27" s="146">
        <f xml:space="preserve"> 'FS Qtr'!AV$33</f>
        <v>1868.823879593665</v>
      </c>
      <c r="AW27" s="146">
        <f xml:space="preserve"> 'FS Qtr'!AW$33</f>
        <v>2807.3791745912417</v>
      </c>
      <c r="AX27" s="146">
        <f xml:space="preserve"> 'FS Qtr'!AX$33</f>
        <v>4712.0640674558335</v>
      </c>
      <c r="AY27" s="146">
        <f xml:space="preserve"> 'FS Qtr'!AY$33</f>
        <v>3896.0354663503745</v>
      </c>
      <c r="AZ27" s="146">
        <f xml:space="preserve"> 'FS Qtr'!AZ$33</f>
        <v>1848.3509904106313</v>
      </c>
      <c r="BA27" s="146">
        <f xml:space="preserve"> 'FS Qtr'!BA$33</f>
        <v>2782.0577672391714</v>
      </c>
      <c r="BB27" s="146">
        <f xml:space="preserve"> 'FS Qtr'!BB$33</f>
        <v>4677.2105434430441</v>
      </c>
      <c r="BC27" s="146">
        <f xml:space="preserve"> 'FS Qtr'!BC$33</f>
        <v>3865.225542517991</v>
      </c>
      <c r="BD27" s="146">
        <f xml:space="preserve"> 'FS Qtr'!BD$33</f>
        <v>1843.0720590969331</v>
      </c>
      <c r="BE27" s="146">
        <f xml:space="preserve"> 'FS Qtr'!BE$33</f>
        <v>2741.3162515247823</v>
      </c>
      <c r="BF27" s="146">
        <f xml:space="preserve"> 'FS Qtr'!BF$33</f>
        <v>4642.3004943880223</v>
      </c>
      <c r="BG27" s="146">
        <f xml:space="preserve"> 'FS Qtr'!BG$33</f>
        <v>3834.3386489127424</v>
      </c>
      <c r="BH27" s="146">
        <f xml:space="preserve"> 'FS Qtr'!BH$33</f>
        <v>1807.0312923881415</v>
      </c>
      <c r="BI27" s="146">
        <f xml:space="preserve"> 'FS Qtr'!BI$33</f>
        <v>2731.1023978583507</v>
      </c>
      <c r="BJ27" s="146">
        <f xml:space="preserve"> 'FS Qtr'!BJ$33</f>
        <v>4607.3295683927436</v>
      </c>
      <c r="BK27" s="146">
        <f xml:space="preserve"> 'FS Qtr'!BK$33</f>
        <v>3803.3705287560883</v>
      </c>
      <c r="BL27" s="146">
        <f xml:space="preserve"> 'FS Qtr'!BL$33</f>
        <v>1786.1765635552633</v>
      </c>
      <c r="BM27" s="146">
        <f xml:space="preserve"> 'FS Qtr'!BM$33</f>
        <v>2705.4601656930258</v>
      </c>
      <c r="BN27" s="146">
        <f xml:space="preserve"> 'FS Qtr'!BN$33</f>
        <v>4572.2933418507855</v>
      </c>
      <c r="BO27" s="146">
        <f xml:space="preserve"> 'FS Qtr'!BO$33</f>
        <v>3772.3168529549539</v>
      </c>
      <c r="BP27" s="146">
        <f xml:space="preserve"> 'FS Qtr'!BP$33</f>
        <v>1765.1865135060509</v>
      </c>
      <c r="BQ27" s="146">
        <f xml:space="preserve"> 'FS Qtr'!BQ$33</f>
        <v>2679.7025994275532</v>
      </c>
      <c r="BR27" s="146">
        <f xml:space="preserve"> 'FS Qtr'!BR$33</f>
        <v>4537.1873179228514</v>
      </c>
      <c r="BS27" s="146">
        <f xml:space="preserve"> 'FS Qtr'!BS$33</f>
        <v>3741.1732185775827</v>
      </c>
      <c r="BT27" s="146">
        <f xml:space="preserve"> 'FS Qtr'!BT$33</f>
        <v>1758.8958323021477</v>
      </c>
      <c r="BU27" s="146">
        <f xml:space="preserve"> 'FS Qtr'!BU$33</f>
        <v>2638.9865438332372</v>
      </c>
      <c r="BV27" s="146">
        <f xml:space="preserve"> 'FS Qtr'!BV$33</f>
        <v>4502.0069249819471</v>
      </c>
      <c r="BW27" s="146">
        <f xml:space="preserve"> 'FS Qtr'!BW$33</f>
        <v>3709.9351472990134</v>
      </c>
      <c r="BX27" s="146">
        <f xml:space="preserve"> 'FS Qtr'!BX$33</f>
        <v>1722.7837962499902</v>
      </c>
      <c r="BY27" s="146">
        <f xml:space="preserve"> 'FS Qtr'!BY$33</f>
        <v>2627.8241038459855</v>
      </c>
      <c r="BZ27" s="146">
        <f xml:space="preserve"> 'FS Qtr'!BZ$33</f>
        <v>4466.7475150276478</v>
      </c>
      <c r="CA27" s="146">
        <f xml:space="preserve"> 'FS Qtr'!CA$33</f>
        <v>3678.5980838155601</v>
      </c>
      <c r="CB27" s="146">
        <f xml:space="preserve"> 'FS Qtr'!CB$33</f>
        <v>1701.3626095709205</v>
      </c>
      <c r="CC27" s="146">
        <f xml:space="preserve"> 'FS Qtr'!CC$33</f>
        <v>2601.6942997167585</v>
      </c>
      <c r="CD27" s="146">
        <f xml:space="preserve"> 'FS Qtr'!CD$33</f>
        <v>4431.4043620687899</v>
      </c>
      <c r="CE27" s="146">
        <f xml:space="preserve"> 'FS Qtr'!CE$33</f>
        <v>3647.1573942276741</v>
      </c>
      <c r="CF27" s="146">
        <f xml:space="preserve"> 'FS Qtr'!CF$33</f>
        <v>1679.7890595480376</v>
      </c>
      <c r="CG27" s="146">
        <f xml:space="preserve"> 'FS Qtr'!CG$33</f>
        <v>2575.4314086216336</v>
      </c>
      <c r="CH27" s="146">
        <f xml:space="preserve"> 'FS Qtr'!CH$33</f>
        <v>4395.9726604739562</v>
      </c>
      <c r="CI27" s="146">
        <f xml:space="preserve"> 'FS Qtr'!CI$33</f>
        <v>3615.6083643905404</v>
      </c>
      <c r="CJ27" s="146">
        <f xml:space="preserve"> 'FS Qtr'!CJ$33</f>
        <v>1672.4139038003891</v>
      </c>
      <c r="CK27" s="146">
        <f xml:space="preserve"> 'FS Qtr'!CK$33</f>
        <v>2534.6755740795943</v>
      </c>
      <c r="CL27" s="146">
        <f xml:space="preserve"> 'FS Qtr'!CL$33</f>
        <v>4360.4475232891255</v>
      </c>
      <c r="CM27" s="146">
        <f xml:space="preserve"> 'FS Qtr'!CM$33</f>
        <v>3583.9461982317816</v>
      </c>
      <c r="CN27" s="146">
        <f xml:space="preserve"> 'FS Qtr'!CN$33</f>
        <v>1636.1669478320509</v>
      </c>
      <c r="CO27" s="146">
        <f xml:space="preserve"> 'FS Qtr'!CO$33</f>
        <v>2522.4877250291902</v>
      </c>
      <c r="CP27" s="146">
        <f xml:space="preserve"> 'FS Qtr'!CP$33</f>
        <v>4324.8239805218018</v>
      </c>
      <c r="CQ27" s="146">
        <f xml:space="preserve"> 'FS Qtr'!CQ$33</f>
        <v>3552.1660160355682</v>
      </c>
      <c r="CR27" s="146">
        <f xml:space="preserve"> 'FS Qtr'!CR$33</f>
        <v>1614.109216234112</v>
      </c>
      <c r="CS27" s="146">
        <f xml:space="preserve"> 'FS Qtr'!CS$33</f>
        <v>2495.79740118472</v>
      </c>
      <c r="CT27" s="146">
        <f xml:space="preserve"> 'FS Qtr'!CT$33</f>
        <v>4289.0969773909501</v>
      </c>
      <c r="CU27" s="146">
        <f xml:space="preserve"> 'FS Qtr'!CU$33</f>
        <v>3520.2628526924959</v>
      </c>
      <c r="CV27" s="146">
        <f xml:space="preserve"> 'FS Qtr'!CV$33</f>
        <v>1591.8807780366615</v>
      </c>
      <c r="CW27" s="146">
        <f xml:space="preserve"> 'FS Qtr'!CW$33</f>
        <v>2468.9549241734603</v>
      </c>
      <c r="CX27" s="146">
        <f xml:space="preserve"> 'FS Qtr'!CX$33</f>
        <v>4253.2613725420415</v>
      </c>
      <c r="CY27" s="146">
        <f xml:space="preserve"> 'FS Qtr'!CY$33</f>
        <v>3488.2316559144965</v>
      </c>
      <c r="CZ27" s="146">
        <f xml:space="preserve"> 'FS Qtr'!CZ$33</f>
        <v>1583.3421581221173</v>
      </c>
      <c r="DA27" s="146">
        <f xml:space="preserve"> 'FS Qtr'!DA$33</f>
        <v>2428.0899825412234</v>
      </c>
      <c r="DB27" s="146">
        <f xml:space="preserve"> 'FS Qtr'!DB$33</f>
        <v>4217.3119362265334</v>
      </c>
      <c r="DC27" s="146">
        <f xml:space="preserve"> 'FS Qtr'!DC$33</f>
        <v>3456.0672844141181</v>
      </c>
      <c r="DD27" s="146">
        <f xml:space="preserve"> 'FS Qtr'!DD$33</f>
        <v>1546.8924844518847</v>
      </c>
      <c r="DE27" s="146">
        <f xml:space="preserve"> 'FS Qtr'!DE$33</f>
        <v>2414.7934808728296</v>
      </c>
      <c r="DF27" s="146">
        <f xml:space="preserve"> 'FS Qtr'!DF$33</f>
        <v>4181.2433484450221</v>
      </c>
      <c r="DG27" s="146">
        <f xml:space="preserve"> 'FS Qtr'!DG$33</f>
        <v>3423.7645060474233</v>
      </c>
      <c r="DH27" s="146">
        <f xml:space="preserve"> 'FS Qtr'!DH$33</f>
        <v>1524.1227535633093</v>
      </c>
      <c r="DI27" s="146">
        <f xml:space="preserve"> 'FS Qtr'!DI$33</f>
        <v>1239.2070627614662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1"/>
      <c r="EC27" s="511"/>
      <c r="ED27" s="511"/>
      <c r="EE27" s="511"/>
      <c r="EF27" s="511"/>
      <c r="EG27" s="511"/>
      <c r="EH27" s="511"/>
      <c r="EI27" s="511"/>
      <c r="EJ27" s="511"/>
      <c r="EK27" s="511"/>
      <c r="EL27" s="511"/>
      <c r="EM27" s="511"/>
      <c r="EN27" s="511"/>
      <c r="EO27" s="511"/>
      <c r="EP27" s="511"/>
      <c r="EQ27" s="511"/>
      <c r="ER27" s="511"/>
      <c r="ES27" s="511"/>
      <c r="ET27" s="511"/>
      <c r="EU27" s="511"/>
      <c r="EV27" s="511"/>
      <c r="EW27" s="511"/>
      <c r="EX27" s="511"/>
      <c r="EY27" s="511"/>
      <c r="EZ27" s="511"/>
      <c r="FA27" s="511"/>
      <c r="FB27" s="511"/>
      <c r="FC27" s="511"/>
      <c r="FD27" s="511"/>
      <c r="FE27" s="511"/>
      <c r="FF27" s="511"/>
      <c r="FG27" s="511"/>
      <c r="FH27" s="511"/>
      <c r="FI27" s="511"/>
      <c r="FJ27" s="511"/>
      <c r="FK27" s="511"/>
      <c r="FL27" s="511"/>
      <c r="FM27" s="511"/>
      <c r="FN27" s="511"/>
      <c r="FO27" s="511"/>
      <c r="FP27" s="511"/>
      <c r="FQ27" s="511"/>
      <c r="FR27" s="511"/>
      <c r="FS27" s="511"/>
      <c r="FT27" s="511"/>
      <c r="FU27" s="511"/>
      <c r="FV27" s="511"/>
      <c r="FW27" s="511"/>
      <c r="FX27" s="511"/>
      <c r="FY27" s="511"/>
      <c r="FZ27" s="511"/>
      <c r="GA27" s="511"/>
      <c r="GB27" s="511"/>
      <c r="GC27" s="511"/>
      <c r="GD27" s="511"/>
      <c r="GE27" s="511"/>
      <c r="GF27" s="511"/>
      <c r="GG27" s="511"/>
      <c r="GH27" s="511"/>
      <c r="GI27" s="511"/>
      <c r="GJ27" s="511"/>
      <c r="GK27" s="511"/>
      <c r="GL27" s="511"/>
      <c r="GM27" s="511"/>
      <c r="GN27" s="511"/>
      <c r="GO27" s="511"/>
      <c r="GP27" s="511"/>
      <c r="GQ27" s="511"/>
      <c r="GR27" s="511"/>
      <c r="GS27" s="511"/>
      <c r="GT27" s="511"/>
      <c r="GU27" s="511"/>
      <c r="GV27" s="511"/>
    </row>
    <row r="28" spans="1:204" x14ac:dyDescent="0.35">
      <c r="E28" s="146" t="str">
        <f xml:space="preserve"> Debt!E$78</f>
        <v>Senior debt service</v>
      </c>
      <c r="F28" s="146">
        <f xml:space="preserve"> Debt!F$78</f>
        <v>0</v>
      </c>
      <c r="G28" s="146" t="str">
        <f xml:space="preserve"> Debt!G$78</f>
        <v>$ 000s</v>
      </c>
      <c r="H28" s="146">
        <f xml:space="preserve"> Debt!H$78</f>
        <v>93972.181282769292</v>
      </c>
      <c r="I28" s="146">
        <f xml:space="preserve"> Debt!I$78</f>
        <v>0</v>
      </c>
      <c r="J28" s="146">
        <f xml:space="preserve"> Debt!J$78</f>
        <v>0</v>
      </c>
      <c r="K28" s="146">
        <f xml:space="preserve"> Debt!K$78</f>
        <v>0</v>
      </c>
      <c r="L28" s="146">
        <f xml:space="preserve"> Debt!L$78</f>
        <v>0</v>
      </c>
      <c r="M28" s="146">
        <f xml:space="preserve"> Debt!M$78</f>
        <v>2349.3045320692318</v>
      </c>
      <c r="N28" s="146">
        <f xml:space="preserve"> Debt!N$78</f>
        <v>2349.3045320692318</v>
      </c>
      <c r="O28" s="146">
        <f xml:space="preserve"> Debt!O$78</f>
        <v>2349.3045320692318</v>
      </c>
      <c r="P28" s="146">
        <f xml:space="preserve"> Debt!P$78</f>
        <v>2349.3045320692318</v>
      </c>
      <c r="Q28" s="146">
        <f xml:space="preserve"> Debt!Q$78</f>
        <v>2349.3045320692318</v>
      </c>
      <c r="R28" s="146">
        <f xml:space="preserve"> Debt!R$78</f>
        <v>2349.3045320692318</v>
      </c>
      <c r="S28" s="146">
        <f xml:space="preserve"> Debt!S$78</f>
        <v>2349.3045320692318</v>
      </c>
      <c r="T28" s="146">
        <f xml:space="preserve"> Debt!T$78</f>
        <v>2349.3045320692318</v>
      </c>
      <c r="U28" s="146">
        <f xml:space="preserve"> Debt!U$78</f>
        <v>2349.3045320692318</v>
      </c>
      <c r="V28" s="146">
        <f xml:space="preserve"> Debt!V$78</f>
        <v>2349.3045320692318</v>
      </c>
      <c r="W28" s="146">
        <f xml:space="preserve"> Debt!W$78</f>
        <v>2349.3045320692318</v>
      </c>
      <c r="X28" s="146">
        <f xml:space="preserve"> Debt!X$78</f>
        <v>2349.3045320692318</v>
      </c>
      <c r="Y28" s="146">
        <f xml:space="preserve"> Debt!Y$78</f>
        <v>2349.3045320692318</v>
      </c>
      <c r="Z28" s="146">
        <f xml:space="preserve"> Debt!Z$78</f>
        <v>2349.3045320692318</v>
      </c>
      <c r="AA28" s="146">
        <f xml:space="preserve"> Debt!AA$78</f>
        <v>2349.3045320692318</v>
      </c>
      <c r="AB28" s="146">
        <f xml:space="preserve"> Debt!AB$78</f>
        <v>2349.3045320692318</v>
      </c>
      <c r="AC28" s="146">
        <f xml:space="preserve"> Debt!AC$78</f>
        <v>2349.3045320692318</v>
      </c>
      <c r="AD28" s="146">
        <f xml:space="preserve"> Debt!AD$78</f>
        <v>2349.3045320692318</v>
      </c>
      <c r="AE28" s="146">
        <f xml:space="preserve"> Debt!AE$78</f>
        <v>2349.3045320692318</v>
      </c>
      <c r="AF28" s="146">
        <f xml:space="preserve"> Debt!AF$78</f>
        <v>2349.3045320692318</v>
      </c>
      <c r="AG28" s="146">
        <f xml:space="preserve"> Debt!AG$78</f>
        <v>2349.3045320692318</v>
      </c>
      <c r="AH28" s="146">
        <f xml:space="preserve"> Debt!AH$78</f>
        <v>2349.3045320692318</v>
      </c>
      <c r="AI28" s="146">
        <f xml:space="preserve"> Debt!AI$78</f>
        <v>2349.3045320692318</v>
      </c>
      <c r="AJ28" s="146">
        <f xml:space="preserve"> Debt!AJ$78</f>
        <v>2349.3045320692318</v>
      </c>
      <c r="AK28" s="146">
        <f xml:space="preserve"> Debt!AK$78</f>
        <v>2349.3045320692318</v>
      </c>
      <c r="AL28" s="146">
        <f xml:space="preserve"> Debt!AL$78</f>
        <v>2349.3045320692318</v>
      </c>
      <c r="AM28" s="146">
        <f xml:space="preserve"> Debt!AM$78</f>
        <v>2349.3045320692318</v>
      </c>
      <c r="AN28" s="146">
        <f xml:space="preserve"> Debt!AN$78</f>
        <v>2349.3045320692318</v>
      </c>
      <c r="AO28" s="146">
        <f xml:space="preserve"> Debt!AO$78</f>
        <v>2349.3045320692318</v>
      </c>
      <c r="AP28" s="146">
        <f xml:space="preserve"> Debt!AP$78</f>
        <v>2349.3045320692318</v>
      </c>
      <c r="AQ28" s="146">
        <f xml:space="preserve"> Debt!AQ$78</f>
        <v>2349.3045320692318</v>
      </c>
      <c r="AR28" s="146">
        <f xml:space="preserve"> Debt!AR$78</f>
        <v>2349.3045320692318</v>
      </c>
      <c r="AS28" s="146">
        <f xml:space="preserve"> Debt!AS$78</f>
        <v>2349.3045320692318</v>
      </c>
      <c r="AT28" s="146">
        <f xml:space="preserve"> Debt!AT$78</f>
        <v>2349.3045320692318</v>
      </c>
      <c r="AU28" s="146">
        <f xml:space="preserve"> Debt!AU$78</f>
        <v>2349.3045320692318</v>
      </c>
      <c r="AV28" s="146">
        <f xml:space="preserve"> Debt!AV$78</f>
        <v>2349.3045320692318</v>
      </c>
      <c r="AW28" s="146">
        <f xml:space="preserve"> Debt!AW$78</f>
        <v>2349.3045320692318</v>
      </c>
      <c r="AX28" s="146">
        <f xml:space="preserve"> Debt!AX$78</f>
        <v>2349.3045320692318</v>
      </c>
      <c r="AY28" s="146">
        <f xml:space="preserve"> Debt!AY$78</f>
        <v>2349.3045320692318</v>
      </c>
      <c r="AZ28" s="146">
        <f xml:space="preserve"> Debt!AZ$78</f>
        <v>2349.3045320692318</v>
      </c>
      <c r="BA28" s="146">
        <f xml:space="preserve"> Debt!BA$78</f>
        <v>0</v>
      </c>
      <c r="BB28" s="146">
        <f xml:space="preserve"> Debt!BB$78</f>
        <v>0</v>
      </c>
      <c r="BC28" s="146">
        <f xml:space="preserve"> Debt!BC$78</f>
        <v>0</v>
      </c>
      <c r="BD28" s="146">
        <f xml:space="preserve"> Debt!BD$78</f>
        <v>0</v>
      </c>
      <c r="BE28" s="146">
        <f xml:space="preserve"> Debt!BE$78</f>
        <v>0</v>
      </c>
      <c r="BF28" s="146">
        <f xml:space="preserve"> Debt!BF$78</f>
        <v>0</v>
      </c>
      <c r="BG28" s="146">
        <f xml:space="preserve"> Debt!BG$78</f>
        <v>0</v>
      </c>
      <c r="BH28" s="146">
        <f xml:space="preserve"> Debt!BH$78</f>
        <v>0</v>
      </c>
      <c r="BI28" s="146">
        <f xml:space="preserve"> Debt!BI$78</f>
        <v>0</v>
      </c>
      <c r="BJ28" s="146">
        <f xml:space="preserve"> Debt!BJ$78</f>
        <v>0</v>
      </c>
      <c r="BK28" s="146">
        <f xml:space="preserve"> Debt!BK$78</f>
        <v>0</v>
      </c>
      <c r="BL28" s="146">
        <f xml:space="preserve"> Debt!BL$78</f>
        <v>0</v>
      </c>
      <c r="BM28" s="146">
        <f xml:space="preserve"> Debt!BM$78</f>
        <v>0</v>
      </c>
      <c r="BN28" s="146">
        <f xml:space="preserve"> Debt!BN$78</f>
        <v>0</v>
      </c>
      <c r="BO28" s="146">
        <f xml:space="preserve"> Debt!BO$78</f>
        <v>0</v>
      </c>
      <c r="BP28" s="146">
        <f xml:space="preserve"> Debt!BP$78</f>
        <v>0</v>
      </c>
      <c r="BQ28" s="146">
        <f xml:space="preserve"> Debt!BQ$78</f>
        <v>0</v>
      </c>
      <c r="BR28" s="146">
        <f xml:space="preserve"> Debt!BR$78</f>
        <v>0</v>
      </c>
      <c r="BS28" s="146">
        <f xml:space="preserve"> Debt!BS$78</f>
        <v>0</v>
      </c>
      <c r="BT28" s="146">
        <f xml:space="preserve"> Debt!BT$78</f>
        <v>0</v>
      </c>
      <c r="BU28" s="146">
        <f xml:space="preserve"> Debt!BU$78</f>
        <v>0</v>
      </c>
      <c r="BV28" s="146">
        <f xml:space="preserve"> Debt!BV$78</f>
        <v>0</v>
      </c>
      <c r="BW28" s="146">
        <f xml:space="preserve"> Debt!BW$78</f>
        <v>0</v>
      </c>
      <c r="BX28" s="146">
        <f xml:space="preserve"> Debt!BX$78</f>
        <v>0</v>
      </c>
      <c r="BY28" s="146">
        <f xml:space="preserve"> Debt!BY$78</f>
        <v>0</v>
      </c>
      <c r="BZ28" s="146">
        <f xml:space="preserve"> Debt!BZ$78</f>
        <v>0</v>
      </c>
      <c r="CA28" s="146">
        <f xml:space="preserve"> Debt!CA$78</f>
        <v>0</v>
      </c>
      <c r="CB28" s="146">
        <f xml:space="preserve"> Debt!CB$78</f>
        <v>0</v>
      </c>
      <c r="CC28" s="146">
        <f xml:space="preserve"> Debt!CC$78</f>
        <v>0</v>
      </c>
      <c r="CD28" s="146">
        <f xml:space="preserve"> Debt!CD$78</f>
        <v>0</v>
      </c>
      <c r="CE28" s="146">
        <f xml:space="preserve"> Debt!CE$78</f>
        <v>0</v>
      </c>
      <c r="CF28" s="146">
        <f xml:space="preserve"> Debt!CF$78</f>
        <v>0</v>
      </c>
      <c r="CG28" s="146">
        <f xml:space="preserve"> Debt!CG$78</f>
        <v>0</v>
      </c>
      <c r="CH28" s="146">
        <f xml:space="preserve"> Debt!CH$78</f>
        <v>0</v>
      </c>
      <c r="CI28" s="146">
        <f xml:space="preserve"> Debt!CI$78</f>
        <v>0</v>
      </c>
      <c r="CJ28" s="146">
        <f xml:space="preserve"> Debt!CJ$78</f>
        <v>0</v>
      </c>
      <c r="CK28" s="146">
        <f xml:space="preserve"> Debt!CK$78</f>
        <v>0</v>
      </c>
      <c r="CL28" s="146">
        <f xml:space="preserve"> Debt!CL$78</f>
        <v>0</v>
      </c>
      <c r="CM28" s="146">
        <f xml:space="preserve"> Debt!CM$78</f>
        <v>0</v>
      </c>
      <c r="CN28" s="146">
        <f xml:space="preserve"> Debt!CN$78</f>
        <v>0</v>
      </c>
      <c r="CO28" s="146">
        <f xml:space="preserve"> Debt!CO$78</f>
        <v>0</v>
      </c>
      <c r="CP28" s="146">
        <f xml:space="preserve"> Debt!CP$78</f>
        <v>0</v>
      </c>
      <c r="CQ28" s="146">
        <f xml:space="preserve"> Debt!CQ$78</f>
        <v>0</v>
      </c>
      <c r="CR28" s="146">
        <f xml:space="preserve"> Debt!CR$78</f>
        <v>0</v>
      </c>
      <c r="CS28" s="146">
        <f xml:space="preserve"> Debt!CS$78</f>
        <v>0</v>
      </c>
      <c r="CT28" s="146">
        <f xml:space="preserve"> Debt!CT$78</f>
        <v>0</v>
      </c>
      <c r="CU28" s="146">
        <f xml:space="preserve"> Debt!CU$78</f>
        <v>0</v>
      </c>
      <c r="CV28" s="146">
        <f xml:space="preserve"> Debt!CV$78</f>
        <v>0</v>
      </c>
      <c r="CW28" s="146">
        <f xml:space="preserve"> Debt!CW$78</f>
        <v>0</v>
      </c>
      <c r="CX28" s="146">
        <f xml:space="preserve"> Debt!CX$78</f>
        <v>0</v>
      </c>
      <c r="CY28" s="146">
        <f xml:space="preserve"> Debt!CY$78</f>
        <v>0</v>
      </c>
      <c r="CZ28" s="146">
        <f xml:space="preserve"> Debt!CZ$78</f>
        <v>0</v>
      </c>
      <c r="DA28" s="146">
        <f xml:space="preserve"> Debt!DA$78</f>
        <v>0</v>
      </c>
      <c r="DB28" s="146">
        <f xml:space="preserve"> Debt!DB$78</f>
        <v>0</v>
      </c>
      <c r="DC28" s="146">
        <f xml:space="preserve"> Debt!DC$78</f>
        <v>0</v>
      </c>
      <c r="DD28" s="146">
        <f xml:space="preserve"> Debt!DD$78</f>
        <v>0</v>
      </c>
      <c r="DE28" s="146">
        <f xml:space="preserve"> Debt!DE$78</f>
        <v>0</v>
      </c>
      <c r="DF28" s="146">
        <f xml:space="preserve"> Debt!DF$78</f>
        <v>0</v>
      </c>
      <c r="DG28" s="146">
        <f xml:space="preserve"> Debt!DG$78</f>
        <v>0</v>
      </c>
      <c r="DH28" s="146">
        <f xml:space="preserve"> Debt!DH$78</f>
        <v>0</v>
      </c>
      <c r="DI28" s="146">
        <f xml:space="preserve"> Debt!DI$78</f>
        <v>0</v>
      </c>
      <c r="DJ28" s="146">
        <f xml:space="preserve"> Debt!DJ$78</f>
        <v>0</v>
      </c>
      <c r="DK28" s="146">
        <f xml:space="preserve"> Debt!DK$78</f>
        <v>0</v>
      </c>
      <c r="DL28" s="146">
        <f xml:space="preserve"> Debt!DL$78</f>
        <v>0</v>
      </c>
      <c r="DM28" s="146">
        <f xml:space="preserve"> Debt!DM$78</f>
        <v>0</v>
      </c>
      <c r="DN28" s="146">
        <f xml:space="preserve"> Debt!DN$78</f>
        <v>0</v>
      </c>
      <c r="DO28" s="146">
        <f xml:space="preserve"> Debt!DO$78</f>
        <v>0</v>
      </c>
      <c r="DP28" s="146">
        <f xml:space="preserve"> Debt!DP$78</f>
        <v>0</v>
      </c>
      <c r="DQ28" s="146">
        <f xml:space="preserve"> Debt!DQ$78</f>
        <v>0</v>
      </c>
      <c r="DR28" s="146">
        <f xml:space="preserve"> Debt!DR$78</f>
        <v>0</v>
      </c>
      <c r="DS28" s="146">
        <f xml:space="preserve"> Debt!DS$78</f>
        <v>0</v>
      </c>
      <c r="DT28" s="146">
        <f xml:space="preserve"> Debt!DT$78</f>
        <v>0</v>
      </c>
      <c r="DU28" s="146">
        <f xml:space="preserve"> Debt!DU$78</f>
        <v>0</v>
      </c>
      <c r="DV28" s="146">
        <f xml:space="preserve"> Debt!DV$78</f>
        <v>0</v>
      </c>
      <c r="DW28" s="146">
        <f xml:space="preserve"> Debt!DW$78</f>
        <v>0</v>
      </c>
      <c r="DX28" s="146">
        <f xml:space="preserve"> Debt!DX$78</f>
        <v>0</v>
      </c>
      <c r="DY28" s="146">
        <f xml:space="preserve"> Debt!DY$78</f>
        <v>0</v>
      </c>
      <c r="DZ28" s="146">
        <f xml:space="preserve"> Debt!DZ$78</f>
        <v>0</v>
      </c>
      <c r="EA28" s="146">
        <f xml:space="preserve"> Debt!EA$78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289</v>
      </c>
      <c r="G30" s="7" t="s">
        <v>283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0.64672401028121584</v>
      </c>
      <c r="N30" s="48">
        <f t="shared" si="8"/>
        <v>2.1384569477274185</v>
      </c>
      <c r="O30" s="48">
        <f t="shared" si="8"/>
        <v>1.7752188066917847</v>
      </c>
      <c r="P30" s="48">
        <f t="shared" si="8"/>
        <v>0.86349611059454989</v>
      </c>
      <c r="Q30" s="48">
        <f t="shared" si="8"/>
        <v>1.2798332437974691</v>
      </c>
      <c r="R30" s="48">
        <f t="shared" si="8"/>
        <v>2.1237591854554791</v>
      </c>
      <c r="S30" s="48">
        <f t="shared" si="8"/>
        <v>1.7623224215183402</v>
      </c>
      <c r="T30" s="48">
        <f t="shared" si="8"/>
        <v>0.85514498488177992</v>
      </c>
      <c r="U30" s="48">
        <f t="shared" si="8"/>
        <v>1.2693458037481902</v>
      </c>
      <c r="V30" s="48">
        <f t="shared" si="8"/>
        <v>2.1090527620865069</v>
      </c>
      <c r="W30" s="48">
        <f t="shared" si="8"/>
        <v>1.7494082967465376</v>
      </c>
      <c r="X30" s="48">
        <f t="shared" si="8"/>
        <v>0.85367608600250688</v>
      </c>
      <c r="Y30" s="48">
        <f t="shared" si="8"/>
        <v>1.2519051259823</v>
      </c>
      <c r="Z30" s="48">
        <f t="shared" si="8"/>
        <v>2.0943360727161013</v>
      </c>
      <c r="AA30" s="48">
        <f t="shared" si="8"/>
        <v>1.7364748702926047</v>
      </c>
      <c r="AB30" s="48">
        <f t="shared" si="8"/>
        <v>0.83832079198879672</v>
      </c>
      <c r="AC30" s="48">
        <f t="shared" si="8"/>
        <v>1.248276866261153</v>
      </c>
      <c r="AD30" s="48">
        <f t="shared" si="8"/>
        <v>2.0796074872165491</v>
      </c>
      <c r="AE30" s="48">
        <f t="shared" si="8"/>
        <v>1.7235205545891408</v>
      </c>
      <c r="AF30" s="48">
        <f t="shared" si="8"/>
        <v>0.8298448053704871</v>
      </c>
      <c r="AG30" s="48">
        <f t="shared" si="8"/>
        <v>1.2376923037161078</v>
      </c>
      <c r="AH30" s="48">
        <f t="shared" si="8"/>
        <v>2.0648653496931537</v>
      </c>
      <c r="AI30" s="48">
        <f t="shared" si="8"/>
        <v>1.7105437360417977</v>
      </c>
      <c r="AJ30" s="48">
        <f t="shared" si="8"/>
        <v>0.82132423517087183</v>
      </c>
      <c r="AK30" s="48">
        <f t="shared" si="8"/>
        <v>1.2270722577643403</v>
      </c>
      <c r="AL30" s="48">
        <f t="shared" si="8"/>
        <v>2.0501079779297946</v>
      </c>
      <c r="AM30" s="48">
        <f t="shared" si="8"/>
        <v>1.697542774475149</v>
      </c>
      <c r="AN30" s="48">
        <f t="shared" si="8"/>
        <v>0.81947938389335162</v>
      </c>
      <c r="AO30" s="48">
        <f t="shared" si="8"/>
        <v>1.2096933000119614</v>
      </c>
      <c r="AP30" s="48">
        <f t="shared" ref="AP30:BU30" si="9" xml:space="preserve"> IF( AP29 = 1, AP27 / AP28, "na")</f>
        <v>2.0353336628234779</v>
      </c>
      <c r="AQ30" s="48">
        <f t="shared" si="9"/>
        <v>1.6845160025675543</v>
      </c>
      <c r="AR30" s="48">
        <f t="shared" si="9"/>
        <v>0.80414321119258458</v>
      </c>
      <c r="AS30" s="48">
        <f t="shared" si="9"/>
        <v>1.2057192894504445</v>
      </c>
      <c r="AT30" s="48">
        <f t="shared" si="9"/>
        <v>2.020540667807682</v>
      </c>
      <c r="AU30" s="48">
        <f t="shared" si="9"/>
        <v>1.6714617252747708</v>
      </c>
      <c r="AV30" s="48">
        <f t="shared" si="9"/>
        <v>0.79547962134463401</v>
      </c>
      <c r="AW30" s="48">
        <f t="shared" si="9"/>
        <v>1.1949830838314286</v>
      </c>
      <c r="AX30" s="48">
        <f t="shared" si="9"/>
        <v>2.0057272282642384</v>
      </c>
      <c r="AY30" s="48">
        <f t="shared" si="9"/>
        <v>1.6583782192421028</v>
      </c>
      <c r="AZ30" s="48">
        <f t="shared" si="9"/>
        <v>0.78676517462069162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7" t="s">
        <v>290</v>
      </c>
      <c r="F31" s="517">
        <f xml:space="preserve"> MIN(J30:EA30)</f>
        <v>0.64672401028121584</v>
      </c>
      <c r="G31" s="517" t="s">
        <v>283</v>
      </c>
      <c r="H31" s="48"/>
      <c r="I31" s="509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291</v>
      </c>
      <c r="F32" s="517">
        <f xml:space="preserve"> AVERAGE(J30:EA30)</f>
        <v>1.448252360976626</v>
      </c>
      <c r="G32" s="147" t="s">
        <v>283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DR24" activePane="bottomRight" state="frozen"/>
      <selection activeCell="E45" sqref="E45"/>
      <selection pane="topRight" activeCell="E45" sqref="E45"/>
      <selection pane="bottomLeft" activeCell="E45" sqref="E45"/>
      <selection pane="bottomRight" activeCell="E33" sqref="E3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Debt!E$62</f>
        <v>Senior debt interest</v>
      </c>
      <c r="F16" s="191">
        <f xml:space="preserve"> Debt!F$62</f>
        <v>0</v>
      </c>
      <c r="G16" s="191" t="str">
        <f xml:space="preserve"> Debt!G$62</f>
        <v>$ 000s</v>
      </c>
      <c r="H16" s="191">
        <f xml:space="preserve"> Debt!H$62</f>
        <v>-23972.181282768801</v>
      </c>
      <c r="I16" s="191">
        <f xml:space="preserve"> Debt!I$62</f>
        <v>0</v>
      </c>
      <c r="J16" s="191">
        <f xml:space="preserve"> Debt!J$62</f>
        <v>0</v>
      </c>
      <c r="K16" s="191">
        <f xml:space="preserve"> Debt!K$62</f>
        <v>0</v>
      </c>
      <c r="L16" s="191">
        <f xml:space="preserve"> Debt!L$62</f>
        <v>0</v>
      </c>
      <c r="M16" s="191">
        <f xml:space="preserve"> Debt!M$62</f>
        <v>-1061.6666666666667</v>
      </c>
      <c r="N16" s="191">
        <f xml:space="preserve"> Debt!N$62</f>
        <v>-1053.5895527304942</v>
      </c>
      <c r="O16" s="191">
        <f xml:space="preserve"> Debt!O$62</f>
        <v>-1033.7219230473004</v>
      </c>
      <c r="P16" s="191">
        <f xml:space="preserve"> Debt!P$62</f>
        <v>-991.51596819355166</v>
      </c>
      <c r="Q16" s="191">
        <f xml:space="preserve"> Debt!Q$62</f>
        <v>-981.93968573247662</v>
      </c>
      <c r="R16" s="191">
        <f xml:space="preserve"> Debt!R$62</f>
        <v>-971.76397075237333</v>
      </c>
      <c r="S16" s="191">
        <f xml:space="preserve"> Debt!S$62</f>
        <v>-950.64168214551478</v>
      </c>
      <c r="T16" s="191">
        <f xml:space="preserve"> Debt!T$62</f>
        <v>-908.9956158717564</v>
      </c>
      <c r="U16" s="191">
        <f xml:space="preserve"> Debt!U$62</f>
        <v>-897.25088193022532</v>
      </c>
      <c r="V16" s="191">
        <f xml:space="preserve"> Debt!V$62</f>
        <v>-884.84595909619168</v>
      </c>
      <c r="W16" s="191">
        <f xml:space="preserve"> Debt!W$62</f>
        <v>-862.39092764393843</v>
      </c>
      <c r="X16" s="191">
        <f xml:space="preserve"> Debt!X$62</f>
        <v>-830.46559021257565</v>
      </c>
      <c r="Y16" s="191">
        <f xml:space="preserve"> Debt!Y$62</f>
        <v>-807.42986626108302</v>
      </c>
      <c r="Z16" s="191">
        <f xml:space="preserve"> Debt!Z$62</f>
        <v>-792.66064372522339</v>
      </c>
      <c r="AA16" s="191">
        <f xml:space="preserve"> Debt!AA$62</f>
        <v>-768.79210410394865</v>
      </c>
      <c r="AB16" s="191">
        <f xml:space="preserve"> Debt!AB$62</f>
        <v>-728.37154585612268</v>
      </c>
      <c r="AC16" s="191">
        <f xml:space="preserve"> Debt!AC$62</f>
        <v>-711.88041274140301</v>
      </c>
      <c r="AD16" s="191">
        <f xml:space="preserve"> Debt!AD$62</f>
        <v>-694.59610459018654</v>
      </c>
      <c r="AE16" s="191">
        <f xml:space="preserve"> Debt!AE$62</f>
        <v>-669.22390870217453</v>
      </c>
      <c r="AF16" s="191">
        <f xml:space="preserve"> Debt!AF$62</f>
        <v>-629.47435351031697</v>
      </c>
      <c r="AG16" s="191">
        <f xml:space="preserve"> Debt!AG$62</f>
        <v>-610.38442195228811</v>
      </c>
      <c r="AH16" s="191">
        <f xml:space="preserve"> Debt!AH$62</f>
        <v>-590.42850138418305</v>
      </c>
      <c r="AI16" s="191">
        <f xml:space="preserve"> Debt!AI$62</f>
        <v>-563.45906891367906</v>
      </c>
      <c r="AJ16" s="191">
        <f xml:space="preserve"> Debt!AJ$62</f>
        <v>-524.42227677257017</v>
      </c>
      <c r="AK16" s="191">
        <f xml:space="preserve"> Debt!AK$62</f>
        <v>-502.57181008693271</v>
      </c>
      <c r="AL16" s="191">
        <f xml:space="preserve"> Debt!AL$62</f>
        <v>-479.77800882701661</v>
      </c>
      <c r="AM16" s="191">
        <f xml:space="preserve"> Debt!AM$62</f>
        <v>-451.1119354706359</v>
      </c>
      <c r="AN16" s="191">
        <f xml:space="preserve"> Debt!AN$62</f>
        <v>-417.41929048594881</v>
      </c>
      <c r="AO16" s="191">
        <f xml:space="preserve"> Debt!AO$62</f>
        <v>-388.11903098860233</v>
      </c>
      <c r="AP16" s="191">
        <f xml:space="preserve"> Debt!AP$62</f>
        <v>-362.31256426861074</v>
      </c>
      <c r="AQ16" s="191">
        <f xml:space="preserve"> Debt!AQ$62</f>
        <v>-331.84535409566786</v>
      </c>
      <c r="AR16" s="191">
        <f xml:space="preserve"> Debt!AR$62</f>
        <v>-294.36943698920203</v>
      </c>
      <c r="AS16" s="191">
        <f xml:space="preserve"> Debt!AS$62</f>
        <v>-266.47369290259053</v>
      </c>
      <c r="AT16" s="191">
        <f xml:space="preserve"> Debt!AT$62</f>
        <v>-237.46523570829092</v>
      </c>
      <c r="AU16" s="191">
        <f xml:space="preserve"> Debt!AU$62</f>
        <v>-205.0836998307565</v>
      </c>
      <c r="AV16" s="191">
        <f xml:space="preserve"> Debt!AV$62</f>
        <v>-168.46204604651072</v>
      </c>
      <c r="AW16" s="191">
        <f xml:space="preserve"> Debt!AW$62</f>
        <v>-137.25773552012737</v>
      </c>
      <c r="AX16" s="191">
        <f xml:space="preserve"> Debt!AX$62</f>
        <v>-104.8480114036652</v>
      </c>
      <c r="AY16" s="191">
        <f xml:space="preserve"> Debt!AY$62</f>
        <v>-70.433011420126519</v>
      </c>
      <c r="AZ16" s="191">
        <f xml:space="preserve"> Debt!AZ$62</f>
        <v>-34.718786188213265</v>
      </c>
      <c r="BA16" s="191">
        <f xml:space="preserve"> Debt!BA$62</f>
        <v>2.0346154390911884E-12</v>
      </c>
      <c r="BB16" s="191">
        <f xml:space="preserve"> Debt!BB$62</f>
        <v>2.0881712872425048E-12</v>
      </c>
      <c r="BC16" s="191">
        <f xml:space="preserve"> Debt!BC$62</f>
        <v>2.12018991364689E-12</v>
      </c>
      <c r="BD16" s="191">
        <f xml:space="preserve"> Debt!BD$62</f>
        <v>2.1293005847975611E-12</v>
      </c>
      <c r="BE16" s="191">
        <f xml:space="preserve"> Debt!BE$62</f>
        <v>2.1615949770003242E-12</v>
      </c>
      <c r="BF16" s="191">
        <f xml:space="preserve"> Debt!BF$62</f>
        <v>2.2184932242703766E-12</v>
      </c>
      <c r="BG16" s="191">
        <f xml:space="preserve"> Debt!BG$62</f>
        <v>2.2525101203758557E-12</v>
      </c>
      <c r="BH16" s="191">
        <f xml:space="preserve"> Debt!BH$62</f>
        <v>2.2373301608689745E-12</v>
      </c>
      <c r="BI16" s="191">
        <f xml:space="preserve"> Debt!BI$62</f>
        <v>2.2961222256518096E-12</v>
      </c>
      <c r="BJ16" s="191">
        <f xml:space="preserve"> Debt!BJ$62</f>
        <v>2.3565615454816042E-12</v>
      </c>
      <c r="BK16" s="191">
        <f xml:space="preserve"> Debt!BK$62</f>
        <v>2.3926954891789883E-12</v>
      </c>
      <c r="BL16" s="191">
        <f xml:space="preserve"> Debt!BL$62</f>
        <v>2.3765708021866951E-12</v>
      </c>
      <c r="BM16" s="191">
        <f xml:space="preserve"> Debt!BM$62</f>
        <v>2.4390218015997124E-12</v>
      </c>
      <c r="BN16" s="191">
        <f xml:space="preserve"> Debt!BN$62</f>
        <v>2.5032225732711244E-12</v>
      </c>
      <c r="BO16" s="191">
        <f xml:space="preserve"> Debt!BO$62</f>
        <v>2.5416053193946149E-12</v>
      </c>
      <c r="BP16" s="191">
        <f xml:space="preserve"> Debt!BP$62</f>
        <v>2.5244771096334772E-12</v>
      </c>
      <c r="BQ16" s="191">
        <f xml:space="preserve"> Debt!BQ$62</f>
        <v>2.5908147581255125E-12</v>
      </c>
      <c r="BR16" s="191">
        <f xml:space="preserve"> Debt!BR$62</f>
        <v>2.6590110762643038E-12</v>
      </c>
      <c r="BS16" s="191">
        <f xml:space="preserve"> Debt!BS$62</f>
        <v>2.6997825794336896E-12</v>
      </c>
      <c r="BT16" s="191">
        <f xml:space="preserve"> Debt!BT$62</f>
        <v>2.7113838190685022E-12</v>
      </c>
      <c r="BU16" s="191">
        <f xml:space="preserve"> Debt!BU$62</f>
        <v>2.7525064736577075E-12</v>
      </c>
      <c r="BV16" s="191">
        <f xml:space="preserve"> Debt!BV$62</f>
        <v>2.8249588968068077E-12</v>
      </c>
      <c r="BW16" s="191">
        <f xml:space="preserve"> Debt!BW$62</f>
        <v>2.8682749332245121E-12</v>
      </c>
      <c r="BX16" s="191">
        <f xml:space="preserve"> Debt!BX$62</f>
        <v>2.8489452543266942E-12</v>
      </c>
      <c r="BY16" s="191">
        <f xml:space="preserve"> Debt!BY$62</f>
        <v>2.9238092046209457E-12</v>
      </c>
      <c r="BZ16" s="191">
        <f xml:space="preserve"> Debt!BZ$62</f>
        <v>3.0007707172378183E-12</v>
      </c>
      <c r="CA16" s="191">
        <f xml:space="preserve"> Debt!CA$62</f>
        <v>3.0467825349021318E-12</v>
      </c>
      <c r="CB16" s="191">
        <f xml:space="preserve"> Debt!CB$62</f>
        <v>3.0262498699930082E-12</v>
      </c>
      <c r="CC16" s="191">
        <f xml:space="preserve"> Debt!CC$62</f>
        <v>3.1057729915767137E-12</v>
      </c>
      <c r="CD16" s="191">
        <f xml:space="preserve"> Debt!CD$62</f>
        <v>3.1875242176480334E-12</v>
      </c>
      <c r="CE16" s="191">
        <f xml:space="preserve"> Debt!CE$62</f>
        <v>3.2363995889853029E-12</v>
      </c>
      <c r="CF16" s="191">
        <f xml:space="preserve"> Debt!CF$62</f>
        <v>3.2145890700160541E-12</v>
      </c>
      <c r="CG16" s="191">
        <f xml:space="preserve"> Debt!CG$62</f>
        <v>3.2990613272448093E-12</v>
      </c>
      <c r="CH16" s="191">
        <f xml:space="preserve"> Debt!CH$62</f>
        <v>3.3859003554410771E-12</v>
      </c>
      <c r="CI16" s="191">
        <f xml:space="preserve"> Debt!CI$62</f>
        <v>3.4378174942245072E-12</v>
      </c>
      <c r="CJ16" s="191">
        <f xml:space="preserve"> Debt!CJ$62</f>
        <v>3.452590144761283E-12</v>
      </c>
      <c r="CK16" s="191">
        <f xml:space="preserve"> Debt!CK$62</f>
        <v>3.5049544286234962E-12</v>
      </c>
      <c r="CL16" s="191">
        <f xml:space="preserve"> Debt!CL$62</f>
        <v>3.5972130459278499E-12</v>
      </c>
      <c r="CM16" s="191">
        <f xml:space="preserve"> Debt!CM$62</f>
        <v>3.652370312632077E-12</v>
      </c>
      <c r="CN16" s="191">
        <f xml:space="preserve"> Debt!CN$62</f>
        <v>3.627756512699121E-12</v>
      </c>
      <c r="CO16" s="191">
        <f xml:space="preserve"> Debt!CO$62</f>
        <v>3.7230858921717142E-12</v>
      </c>
      <c r="CP16" s="191">
        <f xml:space="preserve"> Debt!CP$62</f>
        <v>3.8210862409671212E-12</v>
      </c>
      <c r="CQ16" s="191">
        <f xml:space="preserve"> Debt!CQ$62</f>
        <v>3.8796762299952841E-12</v>
      </c>
      <c r="CR16" s="191">
        <f xml:space="preserve"> Debt!CR$62</f>
        <v>3.8535305858366193E-12</v>
      </c>
      <c r="CS16" s="191">
        <f xml:space="preserve"> Debt!CS$62</f>
        <v>3.9547928062311038E-12</v>
      </c>
      <c r="CT16" s="191">
        <f xml:space="preserve"> Debt!CT$62</f>
        <v>4.05889222420025E-12</v>
      </c>
      <c r="CU16" s="191">
        <f xml:space="preserve"> Debt!CU$62</f>
        <v>4.1211285716379872E-12</v>
      </c>
      <c r="CV16" s="191">
        <f xml:space="preserve"> Debt!CV$62</f>
        <v>4.0933557486552101E-12</v>
      </c>
      <c r="CW16" s="191">
        <f xml:space="preserve"> Debt!CW$62</f>
        <v>4.2009200413837607E-12</v>
      </c>
      <c r="CX16" s="191">
        <f xml:space="preserve"> Debt!CX$62</f>
        <v>4.3114981051837015E-12</v>
      </c>
      <c r="CY16" s="191">
        <f xml:space="preserve"> Debt!CY$62</f>
        <v>4.3776077427965177E-12</v>
      </c>
      <c r="CZ16" s="191">
        <f xml:space="preserve"> Debt!CZ$62</f>
        <v>4.3964187673724477E-12</v>
      </c>
      <c r="DA16" s="191">
        <f xml:space="preserve"> Debt!DA$62</f>
        <v>4.4630977853442633E-12</v>
      </c>
      <c r="DB16" s="191">
        <f xml:space="preserve"> Debt!DB$62</f>
        <v>4.5805769819943878E-12</v>
      </c>
      <c r="DC16" s="191">
        <f xml:space="preserve"> Debt!DC$62</f>
        <v>4.6508124957183018E-12</v>
      </c>
      <c r="DD16" s="191">
        <f xml:space="preserve"> Debt!DD$62</f>
        <v>4.6194700636819384E-12</v>
      </c>
      <c r="DE16" s="191">
        <f xml:space="preserve"> Debt!DE$62</f>
        <v>4.74085947146647E-12</v>
      </c>
      <c r="DF16" s="191">
        <f xml:space="preserve"> Debt!DF$62</f>
        <v>4.8656500068582582E-12</v>
      </c>
      <c r="DG16" s="191">
        <f xml:space="preserve"> Debt!DG$62</f>
        <v>4.9402566402967512E-12</v>
      </c>
      <c r="DH16" s="191">
        <f xml:space="preserve"> Debt!DH$62</f>
        <v>4.9069636064164901E-12</v>
      </c>
      <c r="DI16" s="191">
        <f xml:space="preserve"> Debt!DI$62</f>
        <v>5.0359077056295457E-12</v>
      </c>
      <c r="DJ16" s="191">
        <f xml:space="preserve"> Debt!DJ$62</f>
        <v>5.1684646022326742E-12</v>
      </c>
      <c r="DK16" s="191">
        <f xml:space="preserve"> Debt!DK$62</f>
        <v>5.2477143928002411E-12</v>
      </c>
      <c r="DL16" s="191">
        <f xml:space="preserve"> Debt!DL$62</f>
        <v>5.2123493610226741E-12</v>
      </c>
      <c r="DM16" s="191">
        <f xml:space="preserve"> Debt!DM$62</f>
        <v>5.3493183192317702E-12</v>
      </c>
      <c r="DN16" s="191">
        <f xml:space="preserve"> Debt!DN$62</f>
        <v>5.4901249179204128E-12</v>
      </c>
      <c r="DO16" s="191">
        <f xml:space="preserve"> Debt!DO$62</f>
        <v>5.5743068333285258E-12</v>
      </c>
      <c r="DP16" s="191">
        <f xml:space="preserve"> Debt!DP$62</f>
        <v>5.5982601953007273E-12</v>
      </c>
      <c r="DQ16" s="191">
        <f xml:space="preserve"> Debt!DQ$62</f>
        <v>5.6831671415961215E-12</v>
      </c>
      <c r="DR16" s="191">
        <f xml:space="preserve"> Debt!DR$62</f>
        <v>5.8327614239386476E-12</v>
      </c>
      <c r="DS16" s="191">
        <f xml:space="preserve"> Debt!DS$62</f>
        <v>5.922197099105707E-12</v>
      </c>
      <c r="DT16" s="191">
        <f xml:space="preserve"> Debt!DT$62</f>
        <v>5.8822866403943426E-12</v>
      </c>
      <c r="DU16" s="191">
        <f xml:space="preserve"> Debt!DU$62</f>
        <v>6.0368600615558168E-12</v>
      </c>
      <c r="DV16" s="191">
        <f xml:space="preserve"> Debt!DV$62</f>
        <v>6.1957643707218973E-12</v>
      </c>
      <c r="DW16" s="191">
        <f xml:space="preserve"> Debt!DW$62</f>
        <v>6.2907660910729663E-12</v>
      </c>
      <c r="DX16" s="191">
        <f xml:space="preserve"> Debt!DX$62</f>
        <v>6.2483717978505177E-12</v>
      </c>
      <c r="DY16" s="191">
        <f xml:space="preserve"> Debt!DY$62</f>
        <v>6.4125651234273677E-12</v>
      </c>
      <c r="DZ16" s="191">
        <f xml:space="preserve"> Debt!DZ$62</f>
        <v>6.58135887059568E-12</v>
      </c>
      <c r="EA16" s="191">
        <f xml:space="preserve"> Debt!EA$62</f>
        <v>6.6822730399448136E-12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198694.85994453946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2763.083333333333</v>
      </c>
      <c r="N19" s="163">
        <f t="shared" si="8"/>
        <v>3242.1510722695061</v>
      </c>
      <c r="O19" s="163">
        <f t="shared" si="8"/>
        <v>28.812405077698486</v>
      </c>
      <c r="P19" s="163">
        <f t="shared" si="8"/>
        <v>69.115094072073475</v>
      </c>
      <c r="Q19" s="163">
        <f t="shared" si="8"/>
        <v>2809.3373630011947</v>
      </c>
      <c r="R19" s="163">
        <f t="shared" si="8"/>
        <v>3288.113119941383</v>
      </c>
      <c r="S19" s="163">
        <f t="shared" si="8"/>
        <v>92.067132310166699</v>
      </c>
      <c r="T19" s="163">
        <f t="shared" si="8"/>
        <v>131.77158096466246</v>
      </c>
      <c r="U19" s="163">
        <f t="shared" si="8"/>
        <v>2860.528938110991</v>
      </c>
      <c r="V19" s="163">
        <f t="shared" si="8"/>
        <v>3339.1542592655464</v>
      </c>
      <c r="W19" s="163">
        <f t="shared" si="8"/>
        <v>160.39828515135571</v>
      </c>
      <c r="X19" s="163">
        <f t="shared" si="8"/>
        <v>190.34288039640558</v>
      </c>
      <c r="Y19" s="163">
        <f t="shared" si="8"/>
        <v>2916.8247235373751</v>
      </c>
      <c r="Z19" s="163">
        <f t="shared" si="8"/>
        <v>3395.4455665051296</v>
      </c>
      <c r="AA19" s="163">
        <f t="shared" si="8"/>
        <v>233.98000368675605</v>
      </c>
      <c r="AB19" s="163">
        <f t="shared" si="8"/>
        <v>272.37990680160567</v>
      </c>
      <c r="AC19" s="163">
        <f t="shared" si="8"/>
        <v>2978.8171621909905</v>
      </c>
      <c r="AD19" s="163">
        <f t="shared" si="8"/>
        <v>3457.5951049660252</v>
      </c>
      <c r="AE19" s="163">
        <f t="shared" si="8"/>
        <v>313.43011412490284</v>
      </c>
      <c r="AF19" s="163">
        <f t="shared" si="8"/>
        <v>351.11829697126416</v>
      </c>
      <c r="AG19" s="163">
        <f t="shared" si="8"/>
        <v>3046.7205102009812</v>
      </c>
      <c r="AH19" s="163">
        <f t="shared" si="8"/>
        <v>3525.8227979663266</v>
      </c>
      <c r="AI19" s="163">
        <f t="shared" si="8"/>
        <v>398.97234984212457</v>
      </c>
      <c r="AJ19" s="163">
        <f t="shared" si="8"/>
        <v>435.90623195300111</v>
      </c>
      <c r="AK19" s="163">
        <f t="shared" si="8"/>
        <v>3120.9009465745867</v>
      </c>
      <c r="AL19" s="163">
        <f t="shared" si="8"/>
        <v>3600.504492251117</v>
      </c>
      <c r="AM19" s="163">
        <f t="shared" si="8"/>
        <v>490.98875712636141</v>
      </c>
      <c r="AN19" s="163">
        <f t="shared" si="8"/>
        <v>522.53611739093753</v>
      </c>
      <c r="AO19" s="163">
        <f t="shared" si="8"/>
        <v>3201.6780498404232</v>
      </c>
      <c r="AP19" s="163">
        <f t="shared" ref="AP19:BU19" si="9" xml:space="preserve"> AP14 + SUM(AP16:AP18)</f>
        <v>3681.9682090623783</v>
      </c>
      <c r="AQ19" s="163">
        <f t="shared" si="9"/>
        <v>589.81282212035751</v>
      </c>
      <c r="AR19" s="163">
        <f t="shared" si="9"/>
        <v>625.10022594561883</v>
      </c>
      <c r="AS19" s="163">
        <f t="shared" si="9"/>
        <v>3289.600179951638</v>
      </c>
      <c r="AT19" s="163">
        <f t="shared" si="9"/>
        <v>3770.7767747667435</v>
      </c>
      <c r="AU19" s="163">
        <f t="shared" si="9"/>
        <v>696.01643514280329</v>
      </c>
      <c r="AV19" s="163">
        <f t="shared" si="9"/>
        <v>730.40547600760328</v>
      </c>
      <c r="AW19" s="163">
        <f t="shared" si="9"/>
        <v>3385.0412998703605</v>
      </c>
      <c r="AX19" s="163">
        <f t="shared" si="9"/>
        <v>3867.3140298667954</v>
      </c>
      <c r="AY19" s="163">
        <f t="shared" si="9"/>
        <v>809.98975492847615</v>
      </c>
      <c r="AZ19" s="163">
        <f t="shared" si="9"/>
        <v>843.42637897291547</v>
      </c>
      <c r="BA19" s="163">
        <f t="shared" si="9"/>
        <v>3488.4684041472383</v>
      </c>
      <c r="BB19" s="163">
        <f t="shared" si="9"/>
        <v>3936.0366274645125</v>
      </c>
      <c r="BC19" s="163">
        <f t="shared" si="9"/>
        <v>859.62219853396402</v>
      </c>
      <c r="BD19" s="163">
        <f t="shared" si="9"/>
        <v>857.29870254233845</v>
      </c>
      <c r="BE19" s="163">
        <f t="shared" si="9"/>
        <v>3454.5777464633106</v>
      </c>
      <c r="BF19" s="163">
        <f t="shared" si="9"/>
        <v>3899.8614623563603</v>
      </c>
      <c r="BG19" s="163">
        <f t="shared" si="9"/>
        <v>838.6944890035943</v>
      </c>
      <c r="BH19" s="163">
        <f t="shared" si="9"/>
        <v>836.32417340453753</v>
      </c>
      <c r="BI19" s="163">
        <f t="shared" si="9"/>
        <v>3420.6227598519195</v>
      </c>
      <c r="BJ19" s="163">
        <f t="shared" si="9"/>
        <v>3863.6321693335017</v>
      </c>
      <c r="BK19" s="163">
        <f t="shared" si="9"/>
        <v>817.63562305126527</v>
      </c>
      <c r="BL19" s="163">
        <f t="shared" si="9"/>
        <v>815.21754440624784</v>
      </c>
      <c r="BM19" s="163">
        <f t="shared" si="9"/>
        <v>3386.5990705166955</v>
      </c>
      <c r="BN19" s="163">
        <f t="shared" si="9"/>
        <v>3827.3443003790544</v>
      </c>
      <c r="BO19" s="163">
        <f t="shared" si="9"/>
        <v>796.44151229994918</v>
      </c>
      <c r="BP19" s="163">
        <f t="shared" si="9"/>
        <v>793.97470815968404</v>
      </c>
      <c r="BQ19" s="163">
        <f t="shared" si="9"/>
        <v>3352.5022318382125</v>
      </c>
      <c r="BR19" s="163">
        <f t="shared" si="9"/>
        <v>3790.9933345494164</v>
      </c>
      <c r="BS19" s="163">
        <f t="shared" si="9"/>
        <v>775.1079931813681</v>
      </c>
      <c r="BT19" s="163">
        <f t="shared" si="9"/>
        <v>772.59148170273238</v>
      </c>
      <c r="BU19" s="163">
        <f t="shared" si="9"/>
        <v>3318.3277228303805</v>
      </c>
      <c r="BV19" s="163">
        <f t="shared" ref="BV19:DA19" si="10" xml:space="preserve"> BV14 + SUM(BV16:BV18)</f>
        <v>3754.5746764216601</v>
      </c>
      <c r="BW19" s="163">
        <f t="shared" si="10"/>
        <v>753.63082538506535</v>
      </c>
      <c r="BX19" s="163">
        <f t="shared" si="10"/>
        <v>751.06360494030707</v>
      </c>
      <c r="BY19" s="163">
        <f t="shared" si="10"/>
        <v>3284.0709465661366</v>
      </c>
      <c r="BZ19" s="163">
        <f t="shared" si="10"/>
        <v>3718.0836545100406</v>
      </c>
      <c r="CA19" s="163">
        <f t="shared" si="10"/>
        <v>732.00569027641802</v>
      </c>
      <c r="CB19" s="163">
        <f t="shared" si="10"/>
        <v>729.38673905448275</v>
      </c>
      <c r="CC19" s="163">
        <f t="shared" si="10"/>
        <v>3249.727228571774</v>
      </c>
      <c r="CD19" s="163">
        <f t="shared" si="10"/>
        <v>3681.5155196510245</v>
      </c>
      <c r="CE19" s="163">
        <f t="shared" si="10"/>
        <v>710.22818928293782</v>
      </c>
      <c r="CF19" s="163">
        <f t="shared" si="10"/>
        <v>707.55646488276807</v>
      </c>
      <c r="CG19" s="163">
        <f t="shared" si="10"/>
        <v>3215.2918151892914</v>
      </c>
      <c r="CH19" s="163">
        <f t="shared" si="10"/>
        <v>3644.8654433561746</v>
      </c>
      <c r="CI19" s="163">
        <f t="shared" si="10"/>
        <v>688.2938422482373</v>
      </c>
      <c r="CJ19" s="163">
        <f t="shared" si="10"/>
        <v>685.56828126387177</v>
      </c>
      <c r="CK19" s="163">
        <f t="shared" si="10"/>
        <v>3180.7598719061207</v>
      </c>
      <c r="CL19" s="163">
        <f t="shared" si="10"/>
        <v>3608.1285161322548</v>
      </c>
      <c r="CM19" s="163">
        <f t="shared" si="10"/>
        <v>666.1980857529968</v>
      </c>
      <c r="CN19" s="163">
        <f t="shared" si="10"/>
        <v>663.41760335031267</v>
      </c>
      <c r="CO19" s="163">
        <f t="shared" si="10"/>
        <v>3146.1264816515713</v>
      </c>
      <c r="CP19" s="163">
        <f t="shared" si="10"/>
        <v>3571.2997457678912</v>
      </c>
      <c r="CQ19" s="163">
        <f t="shared" si="10"/>
        <v>643.93627140228477</v>
      </c>
      <c r="CR19" s="163">
        <f t="shared" si="10"/>
        <v>641.09976088720737</v>
      </c>
      <c r="CS19" s="163">
        <f t="shared" si="10"/>
        <v>3111.3866430593139</v>
      </c>
      <c r="CT19" s="163">
        <f t="shared" si="10"/>
        <v>3534.3740555861154</v>
      </c>
      <c r="CU19" s="163">
        <f t="shared" si="10"/>
        <v>621.50366407852607</v>
      </c>
      <c r="CV19" s="163">
        <f t="shared" si="10"/>
        <v>618.60999645654147</v>
      </c>
      <c r="CW19" s="163">
        <f t="shared" si="10"/>
        <v>3076.5352686952124</v>
      </c>
      <c r="CX19" s="163">
        <f t="shared" si="10"/>
        <v>3497.3462826620776</v>
      </c>
      <c r="CY19" s="163">
        <f t="shared" si="10"/>
        <v>598.89544015944682</v>
      </c>
      <c r="CZ19" s="163">
        <f t="shared" si="10"/>
        <v>595.94346368623735</v>
      </c>
      <c r="DA19" s="163">
        <f t="shared" si="10"/>
        <v>3041.5671832498315</v>
      </c>
      <c r="DB19" s="163">
        <f t="shared" ref="DB19:EA19" si="11" xml:space="preserve"> DB14 + SUM(DB16:DB18)</f>
        <v>3460.211176005274</v>
      </c>
      <c r="DC19" s="163">
        <f t="shared" si="11"/>
        <v>576.10668570028372</v>
      </c>
      <c r="DD19" s="163">
        <f t="shared" si="11"/>
        <v>573.09522542330535</v>
      </c>
      <c r="DE19" s="163">
        <f t="shared" si="11"/>
        <v>3006.4771216948616</v>
      </c>
      <c r="DF19" s="163">
        <f t="shared" si="11"/>
        <v>3422.9633947055186</v>
      </c>
      <c r="DG19" s="163">
        <f t="shared" si="11"/>
        <v>553.13239457952693</v>
      </c>
      <c r="DH19" s="163">
        <f t="shared" si="11"/>
        <v>550.06025187035573</v>
      </c>
      <c r="DI19" s="163">
        <f t="shared" si="11"/>
        <v>5.0359077056295457E-12</v>
      </c>
      <c r="DJ19" s="163">
        <f t="shared" si="11"/>
        <v>5.1684646022326742E-12</v>
      </c>
      <c r="DK19" s="163">
        <f t="shared" si="11"/>
        <v>5.2477143928002411E-12</v>
      </c>
      <c r="DL19" s="163">
        <f t="shared" si="11"/>
        <v>5.2123493610226741E-12</v>
      </c>
      <c r="DM19" s="163">
        <f t="shared" si="11"/>
        <v>5.3493183192317702E-12</v>
      </c>
      <c r="DN19" s="163">
        <f t="shared" si="11"/>
        <v>5.4901249179204128E-12</v>
      </c>
      <c r="DO19" s="163">
        <f t="shared" si="11"/>
        <v>5.5743068333285258E-12</v>
      </c>
      <c r="DP19" s="163">
        <f t="shared" si="11"/>
        <v>5.5982601953007273E-12</v>
      </c>
      <c r="DQ19" s="163">
        <f t="shared" si="11"/>
        <v>5.6831671415961215E-12</v>
      </c>
      <c r="DR19" s="163">
        <f t="shared" si="11"/>
        <v>5.8327614239386476E-12</v>
      </c>
      <c r="DS19" s="163">
        <f t="shared" si="11"/>
        <v>5.922197099105707E-12</v>
      </c>
      <c r="DT19" s="163">
        <f t="shared" si="11"/>
        <v>5.8822866403943426E-12</v>
      </c>
      <c r="DU19" s="163">
        <f t="shared" si="11"/>
        <v>6.0368600615558168E-12</v>
      </c>
      <c r="DV19" s="163">
        <f t="shared" si="11"/>
        <v>6.1957643707218973E-12</v>
      </c>
      <c r="DW19" s="163">
        <f t="shared" si="11"/>
        <v>6.2907660910729663E-12</v>
      </c>
      <c r="DX19" s="163">
        <f t="shared" si="11"/>
        <v>6.2483717978505177E-12</v>
      </c>
      <c r="DY19" s="163">
        <f t="shared" si="11"/>
        <v>6.4125651234273677E-12</v>
      </c>
      <c r="DZ19" s="163">
        <f t="shared" si="11"/>
        <v>6.58135887059568E-12</v>
      </c>
      <c r="EA19" s="163">
        <f t="shared" si="11"/>
        <v>6.6822730399448136E-12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198694.85994453946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2763.083333333333</v>
      </c>
      <c r="N22" s="163">
        <f t="shared" si="12"/>
        <v>3242.1510722695061</v>
      </c>
      <c r="O22" s="163">
        <f t="shared" si="12"/>
        <v>28.812405077698486</v>
      </c>
      <c r="P22" s="163">
        <f t="shared" si="12"/>
        <v>69.115094072073475</v>
      </c>
      <c r="Q22" s="163">
        <f t="shared" si="12"/>
        <v>2809.3373630011947</v>
      </c>
      <c r="R22" s="163">
        <f t="shared" si="12"/>
        <v>3288.113119941383</v>
      </c>
      <c r="S22" s="163">
        <f t="shared" si="12"/>
        <v>92.067132310166699</v>
      </c>
      <c r="T22" s="163">
        <f t="shared" si="12"/>
        <v>131.77158096466246</v>
      </c>
      <c r="U22" s="163">
        <f t="shared" si="12"/>
        <v>2860.528938110991</v>
      </c>
      <c r="V22" s="163">
        <f t="shared" si="12"/>
        <v>3339.1542592655464</v>
      </c>
      <c r="W22" s="163">
        <f t="shared" si="12"/>
        <v>160.39828515135571</v>
      </c>
      <c r="X22" s="163">
        <f t="shared" si="12"/>
        <v>190.34288039640558</v>
      </c>
      <c r="Y22" s="163">
        <f t="shared" si="12"/>
        <v>2916.8247235373751</v>
      </c>
      <c r="Z22" s="163">
        <f t="shared" si="12"/>
        <v>3395.4455665051296</v>
      </c>
      <c r="AA22" s="163">
        <f t="shared" si="12"/>
        <v>233.98000368675605</v>
      </c>
      <c r="AB22" s="163">
        <f t="shared" si="12"/>
        <v>272.37990680160567</v>
      </c>
      <c r="AC22" s="163">
        <f t="shared" si="12"/>
        <v>2978.8171621909905</v>
      </c>
      <c r="AD22" s="163">
        <f t="shared" si="12"/>
        <v>3457.5951049660252</v>
      </c>
      <c r="AE22" s="163">
        <f t="shared" si="12"/>
        <v>313.43011412490284</v>
      </c>
      <c r="AF22" s="163">
        <f t="shared" si="12"/>
        <v>351.11829697126416</v>
      </c>
      <c r="AG22" s="163">
        <f t="shared" si="12"/>
        <v>3046.7205102009812</v>
      </c>
      <c r="AH22" s="163">
        <f t="shared" si="12"/>
        <v>3525.8227979663266</v>
      </c>
      <c r="AI22" s="163">
        <f t="shared" si="12"/>
        <v>398.97234984212457</v>
      </c>
      <c r="AJ22" s="163">
        <f t="shared" si="12"/>
        <v>435.90623195300111</v>
      </c>
      <c r="AK22" s="163">
        <f t="shared" si="12"/>
        <v>3120.9009465745867</v>
      </c>
      <c r="AL22" s="163">
        <f t="shared" si="12"/>
        <v>3600.504492251117</v>
      </c>
      <c r="AM22" s="163">
        <f t="shared" si="12"/>
        <v>490.98875712636141</v>
      </c>
      <c r="AN22" s="163">
        <f t="shared" si="12"/>
        <v>522.53611739093753</v>
      </c>
      <c r="AO22" s="163">
        <f t="shared" si="12"/>
        <v>3201.6780498404232</v>
      </c>
      <c r="AP22" s="163">
        <f t="shared" si="12"/>
        <v>3681.9682090623783</v>
      </c>
      <c r="AQ22" s="163">
        <f t="shared" si="12"/>
        <v>589.81282212035751</v>
      </c>
      <c r="AR22" s="163">
        <f t="shared" si="12"/>
        <v>625.10022594561883</v>
      </c>
      <c r="AS22" s="163">
        <f t="shared" si="12"/>
        <v>3289.600179951638</v>
      </c>
      <c r="AT22" s="163">
        <f t="shared" si="12"/>
        <v>3770.7767747667435</v>
      </c>
      <c r="AU22" s="163">
        <f t="shared" si="12"/>
        <v>696.01643514280329</v>
      </c>
      <c r="AV22" s="163">
        <f t="shared" si="12"/>
        <v>730.40547600760328</v>
      </c>
      <c r="AW22" s="163">
        <f t="shared" si="12"/>
        <v>3385.0412998703605</v>
      </c>
      <c r="AX22" s="163">
        <f t="shared" si="12"/>
        <v>3867.3140298667954</v>
      </c>
      <c r="AY22" s="163">
        <f t="shared" si="12"/>
        <v>809.98975492847615</v>
      </c>
      <c r="AZ22" s="163">
        <f t="shared" si="12"/>
        <v>843.42637897291547</v>
      </c>
      <c r="BA22" s="163">
        <f t="shared" si="12"/>
        <v>3488.4684041472383</v>
      </c>
      <c r="BB22" s="163">
        <f t="shared" si="12"/>
        <v>3936.0366274645125</v>
      </c>
      <c r="BC22" s="163">
        <f t="shared" si="12"/>
        <v>859.62219853396402</v>
      </c>
      <c r="BD22" s="163">
        <f t="shared" si="12"/>
        <v>857.29870254233845</v>
      </c>
      <c r="BE22" s="163">
        <f t="shared" si="12"/>
        <v>3454.5777464633106</v>
      </c>
      <c r="BF22" s="163">
        <f t="shared" si="12"/>
        <v>3899.8614623563603</v>
      </c>
      <c r="BG22" s="163">
        <f t="shared" si="12"/>
        <v>838.6944890035943</v>
      </c>
      <c r="BH22" s="163">
        <f t="shared" si="12"/>
        <v>836.32417340453753</v>
      </c>
      <c r="BI22" s="163">
        <f t="shared" si="12"/>
        <v>3420.6227598519195</v>
      </c>
      <c r="BJ22" s="163">
        <f t="shared" si="12"/>
        <v>3863.6321693335017</v>
      </c>
      <c r="BK22" s="163">
        <f t="shared" si="12"/>
        <v>817.63562305126527</v>
      </c>
      <c r="BL22" s="163">
        <f t="shared" si="12"/>
        <v>815.21754440624784</v>
      </c>
      <c r="BM22" s="163">
        <f t="shared" si="12"/>
        <v>3386.5990705166955</v>
      </c>
      <c r="BN22" s="163">
        <f t="shared" si="12"/>
        <v>3827.3443003790544</v>
      </c>
      <c r="BO22" s="163">
        <f t="shared" si="12"/>
        <v>796.44151229994918</v>
      </c>
      <c r="BP22" s="163">
        <f t="shared" si="12"/>
        <v>793.97470815968404</v>
      </c>
      <c r="BQ22" s="163">
        <f t="shared" si="12"/>
        <v>3352.5022318382125</v>
      </c>
      <c r="BR22" s="163">
        <f t="shared" si="12"/>
        <v>3790.9933345494164</v>
      </c>
      <c r="BS22" s="163">
        <f t="shared" si="12"/>
        <v>775.1079931813681</v>
      </c>
      <c r="BT22" s="163">
        <f t="shared" si="12"/>
        <v>772.59148170273238</v>
      </c>
      <c r="BU22" s="163">
        <f t="shared" si="12"/>
        <v>3318.3277228303805</v>
      </c>
      <c r="BV22" s="163">
        <f t="shared" si="12"/>
        <v>3754.5746764216601</v>
      </c>
      <c r="BW22" s="163">
        <f t="shared" ref="BW22:EA22" si="13" xml:space="preserve"> BW19 + BW21</f>
        <v>753.63082538506535</v>
      </c>
      <c r="BX22" s="163">
        <f t="shared" si="13"/>
        <v>751.06360494030707</v>
      </c>
      <c r="BY22" s="163">
        <f t="shared" si="13"/>
        <v>3284.0709465661366</v>
      </c>
      <c r="BZ22" s="163">
        <f t="shared" si="13"/>
        <v>3718.0836545100406</v>
      </c>
      <c r="CA22" s="163">
        <f t="shared" si="13"/>
        <v>732.00569027641802</v>
      </c>
      <c r="CB22" s="163">
        <f t="shared" si="13"/>
        <v>729.38673905448275</v>
      </c>
      <c r="CC22" s="163">
        <f t="shared" si="13"/>
        <v>3249.727228571774</v>
      </c>
      <c r="CD22" s="163">
        <f t="shared" si="13"/>
        <v>3681.5155196510245</v>
      </c>
      <c r="CE22" s="163">
        <f t="shared" si="13"/>
        <v>710.22818928293782</v>
      </c>
      <c r="CF22" s="163">
        <f t="shared" si="13"/>
        <v>707.55646488276807</v>
      </c>
      <c r="CG22" s="163">
        <f t="shared" si="13"/>
        <v>3215.2918151892914</v>
      </c>
      <c r="CH22" s="163">
        <f t="shared" si="13"/>
        <v>3644.8654433561746</v>
      </c>
      <c r="CI22" s="163">
        <f t="shared" si="13"/>
        <v>688.2938422482373</v>
      </c>
      <c r="CJ22" s="163">
        <f t="shared" si="13"/>
        <v>685.56828126387177</v>
      </c>
      <c r="CK22" s="163">
        <f t="shared" si="13"/>
        <v>3180.7598719061207</v>
      </c>
      <c r="CL22" s="163">
        <f t="shared" si="13"/>
        <v>3608.1285161322548</v>
      </c>
      <c r="CM22" s="163">
        <f t="shared" si="13"/>
        <v>666.1980857529968</v>
      </c>
      <c r="CN22" s="163">
        <f t="shared" si="13"/>
        <v>663.41760335031267</v>
      </c>
      <c r="CO22" s="163">
        <f t="shared" si="13"/>
        <v>3146.1264816515713</v>
      </c>
      <c r="CP22" s="163">
        <f t="shared" si="13"/>
        <v>3571.2997457678912</v>
      </c>
      <c r="CQ22" s="163">
        <f t="shared" si="13"/>
        <v>643.93627140228477</v>
      </c>
      <c r="CR22" s="163">
        <f t="shared" si="13"/>
        <v>641.09976088720737</v>
      </c>
      <c r="CS22" s="163">
        <f t="shared" si="13"/>
        <v>3111.3866430593139</v>
      </c>
      <c r="CT22" s="163">
        <f t="shared" si="13"/>
        <v>3534.3740555861154</v>
      </c>
      <c r="CU22" s="163">
        <f t="shared" si="13"/>
        <v>621.50366407852607</v>
      </c>
      <c r="CV22" s="163">
        <f t="shared" si="13"/>
        <v>618.60999645654147</v>
      </c>
      <c r="CW22" s="163">
        <f t="shared" si="13"/>
        <v>3076.5352686952124</v>
      </c>
      <c r="CX22" s="163">
        <f t="shared" si="13"/>
        <v>3497.3462826620776</v>
      </c>
      <c r="CY22" s="163">
        <f t="shared" si="13"/>
        <v>598.89544015944682</v>
      </c>
      <c r="CZ22" s="163">
        <f t="shared" si="13"/>
        <v>595.94346368623735</v>
      </c>
      <c r="DA22" s="163">
        <f t="shared" si="13"/>
        <v>3041.5671832498315</v>
      </c>
      <c r="DB22" s="163">
        <f t="shared" si="13"/>
        <v>3460.211176005274</v>
      </c>
      <c r="DC22" s="163">
        <f t="shared" si="13"/>
        <v>576.10668570028372</v>
      </c>
      <c r="DD22" s="163">
        <f t="shared" si="13"/>
        <v>573.09522542330535</v>
      </c>
      <c r="DE22" s="163">
        <f t="shared" si="13"/>
        <v>3006.4771216948616</v>
      </c>
      <c r="DF22" s="163">
        <f t="shared" si="13"/>
        <v>3422.9633947055186</v>
      </c>
      <c r="DG22" s="163">
        <f t="shared" si="13"/>
        <v>553.13239457952693</v>
      </c>
      <c r="DH22" s="163">
        <f t="shared" si="13"/>
        <v>550.06025187035573</v>
      </c>
      <c r="DI22" s="163">
        <f t="shared" si="13"/>
        <v>5.0359077056295457E-12</v>
      </c>
      <c r="DJ22" s="163">
        <f t="shared" si="13"/>
        <v>5.1684646022326742E-12</v>
      </c>
      <c r="DK22" s="163">
        <f t="shared" si="13"/>
        <v>5.2477143928002411E-12</v>
      </c>
      <c r="DL22" s="163">
        <f t="shared" si="13"/>
        <v>5.2123493610226741E-12</v>
      </c>
      <c r="DM22" s="163">
        <f t="shared" si="13"/>
        <v>5.3493183192317702E-12</v>
      </c>
      <c r="DN22" s="163">
        <f t="shared" si="13"/>
        <v>5.4901249179204128E-12</v>
      </c>
      <c r="DO22" s="163">
        <f t="shared" si="13"/>
        <v>5.5743068333285258E-12</v>
      </c>
      <c r="DP22" s="163">
        <f t="shared" si="13"/>
        <v>5.5982601953007273E-12</v>
      </c>
      <c r="DQ22" s="163">
        <f t="shared" si="13"/>
        <v>5.6831671415961215E-12</v>
      </c>
      <c r="DR22" s="163">
        <f t="shared" si="13"/>
        <v>5.8327614239386476E-12</v>
      </c>
      <c r="DS22" s="163">
        <f t="shared" si="13"/>
        <v>5.922197099105707E-12</v>
      </c>
      <c r="DT22" s="163">
        <f t="shared" si="13"/>
        <v>5.8822866403943426E-12</v>
      </c>
      <c r="DU22" s="163">
        <f t="shared" si="13"/>
        <v>6.0368600615558168E-12</v>
      </c>
      <c r="DV22" s="163">
        <f t="shared" si="13"/>
        <v>6.1957643707218973E-12</v>
      </c>
      <c r="DW22" s="163">
        <f t="shared" si="13"/>
        <v>6.2907660910729663E-12</v>
      </c>
      <c r="DX22" s="163">
        <f t="shared" si="13"/>
        <v>6.2483717978505177E-12</v>
      </c>
      <c r="DY22" s="163">
        <f t="shared" si="13"/>
        <v>6.4125651234273677E-12</v>
      </c>
      <c r="DZ22" s="163">
        <f t="shared" si="13"/>
        <v>6.58135887059568E-12</v>
      </c>
      <c r="EA22" s="163">
        <f t="shared" si="13"/>
        <v>6.6822730399448136E-12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-198694.8599445392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-1844.6291831441458</v>
      </c>
      <c r="O24" s="191">
        <f xml:space="preserve"> Equity!O$70</f>
        <v>-1821.2250559063114</v>
      </c>
      <c r="P24" s="191">
        <f xml:space="preserve"> Equity!P$70</f>
        <v>0</v>
      </c>
      <c r="Q24" s="191">
        <f xml:space="preserve"> Equity!Q$70</f>
        <v>-336.72430185172698</v>
      </c>
      <c r="R24" s="191">
        <f xml:space="preserve"> Equity!R$70</f>
        <v>-2640.0525473449852</v>
      </c>
      <c r="S24" s="191">
        <f xml:space="preserve"> Equity!S$70</f>
        <v>-1790.9275197710276</v>
      </c>
      <c r="T24" s="191">
        <f xml:space="preserve"> Equity!T$70</f>
        <v>0</v>
      </c>
      <c r="U24" s="191">
        <f xml:space="preserve"> Equity!U$70</f>
        <v>-292.46677392926131</v>
      </c>
      <c r="V24" s="191">
        <f xml:space="preserve"> Equity!V$70</f>
        <v>-2605.5026802737302</v>
      </c>
      <c r="W24" s="191">
        <f xml:space="preserve"> Equity!W$70</f>
        <v>-1760.5883079169244</v>
      </c>
      <c r="X24" s="191">
        <f xml:space="preserve"> Equity!X$70</f>
        <v>0</v>
      </c>
      <c r="Y24" s="191">
        <f xml:space="preserve"> Equity!Y$70</f>
        <v>-248.04241981726886</v>
      </c>
      <c r="Z24" s="191">
        <f xml:space="preserve"> Equity!Z$70</f>
        <v>-2570.9286952387811</v>
      </c>
      <c r="AA24" s="191">
        <f xml:space="preserve"> Equity!AA$70</f>
        <v>-1730.2037505335156</v>
      </c>
      <c r="AB24" s="191">
        <f xml:space="preserve"> Equity!AB$70</f>
        <v>0</v>
      </c>
      <c r="AC24" s="191">
        <f xml:space="preserve"> Equity!AC$70</f>
        <v>-203.44427099318909</v>
      </c>
      <c r="AD24" s="191">
        <f xml:space="preserve"> Equity!AD$70</f>
        <v>-2536.3267625737144</v>
      </c>
      <c r="AE24" s="191">
        <f xml:space="preserve"> Equity!AE$70</f>
        <v>-1699.7701179415126</v>
      </c>
      <c r="AF24" s="191">
        <f xml:space="preserve"> Equity!AF$70</f>
        <v>0</v>
      </c>
      <c r="AG24" s="191">
        <f xml:space="preserve"> Equity!AG$70</f>
        <v>-158.66523645999132</v>
      </c>
      <c r="AH24" s="191">
        <f xml:space="preserve"> Equity!AH$70</f>
        <v>-2501.6929920776138</v>
      </c>
      <c r="AI24" s="191">
        <f xml:space="preserve"> Equity!AI$70</f>
        <v>-1669.2836193163989</v>
      </c>
      <c r="AJ24" s="191">
        <f xml:space="preserve"> Equity!AJ$70</f>
        <v>0</v>
      </c>
      <c r="AK24" s="191">
        <f xml:space="preserve"> Equity!AK$70</f>
        <v>-113.69810018895032</v>
      </c>
      <c r="AL24" s="191">
        <f xml:space="preserve"> Equity!AL$70</f>
        <v>-2467.0234317125232</v>
      </c>
      <c r="AM24" s="191">
        <f xml:space="preserve"> Equity!AM$70</f>
        <v>-1638.7404013866135</v>
      </c>
      <c r="AN24" s="191">
        <f xml:space="preserve"> Equity!AN$70</f>
        <v>0</v>
      </c>
      <c r="AO24" s="191">
        <f xml:space="preserve"> Equity!AO$70</f>
        <v>-68.535518511374903</v>
      </c>
      <c r="AP24" s="191">
        <f xml:space="preserve"> Equity!AP$70</f>
        <v>-2432.3140662750347</v>
      </c>
      <c r="AQ24" s="191">
        <f xml:space="preserve"> Equity!AQ$70</f>
        <v>-1608.1365471058693</v>
      </c>
      <c r="AR24" s="191">
        <f xml:space="preserve"> Equity!AR$70</f>
        <v>0</v>
      </c>
      <c r="AS24" s="191">
        <f xml:space="preserve"> Equity!AS$70</f>
        <v>-23.170017458203802</v>
      </c>
      <c r="AT24" s="191">
        <f xml:space="preserve"> Equity!AT$70</f>
        <v>-2397.5608160415477</v>
      </c>
      <c r="AU24" s="191">
        <f xml:space="preserve"> Equity!AU$70</f>
        <v>-1577.4680742990445</v>
      </c>
      <c r="AV24" s="191">
        <f xml:space="preserve"> Equity!AV$70</f>
        <v>0</v>
      </c>
      <c r="AW24" s="191">
        <f xml:space="preserve"> Equity!AW$70</f>
        <v>0</v>
      </c>
      <c r="AX24" s="191">
        <f xml:space="preserve"> Equity!AX$70</f>
        <v>-2340.353525433045</v>
      </c>
      <c r="AY24" s="191">
        <f xml:space="preserve"> Equity!AY$70</f>
        <v>-1546.7309342811427</v>
      </c>
      <c r="AZ24" s="191">
        <f xml:space="preserve"> Equity!AZ$70</f>
        <v>0</v>
      </c>
      <c r="BA24" s="191">
        <f xml:space="preserve"> Equity!BA$70</f>
        <v>-2281.104225580571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-997.16557094821565</v>
      </c>
      <c r="CG24" s="191">
        <f xml:space="preserve"> Equity!CG$70</f>
        <v>-3215.2918151892914</v>
      </c>
      <c r="CH24" s="191">
        <f xml:space="preserve"> Equity!CH$70</f>
        <v>-3644.8654433561746</v>
      </c>
      <c r="CI24" s="191">
        <f xml:space="preserve"> Equity!CI$70</f>
        <v>-688.2938422482373</v>
      </c>
      <c r="CJ24" s="191">
        <f xml:space="preserve"> Equity!CJ$70</f>
        <v>-685.56828126387177</v>
      </c>
      <c r="CK24" s="191">
        <f xml:space="preserve"> Equity!CK$70</f>
        <v>-3180.7598719061207</v>
      </c>
      <c r="CL24" s="191">
        <f xml:space="preserve"> Equity!CL$70</f>
        <v>-3608.1285161322548</v>
      </c>
      <c r="CM24" s="191">
        <f xml:space="preserve"> Equity!CM$70</f>
        <v>-666.1980857529968</v>
      </c>
      <c r="CN24" s="191">
        <f xml:space="preserve"> Equity!CN$70</f>
        <v>-663.41760335031267</v>
      </c>
      <c r="CO24" s="191">
        <f xml:space="preserve"> Equity!CO$70</f>
        <v>-3146.1264816515713</v>
      </c>
      <c r="CP24" s="191">
        <f xml:space="preserve"> Equity!CP$70</f>
        <v>-3571.2997457678912</v>
      </c>
      <c r="CQ24" s="191">
        <f xml:space="preserve"> Equity!CQ$70</f>
        <v>-643.93627140228477</v>
      </c>
      <c r="CR24" s="191">
        <f xml:space="preserve"> Equity!CR$70</f>
        <v>-641.09976088720737</v>
      </c>
      <c r="CS24" s="191">
        <f xml:space="preserve"> Equity!CS$70</f>
        <v>-3111.3866430593139</v>
      </c>
      <c r="CT24" s="191">
        <f xml:space="preserve"> Equity!CT$70</f>
        <v>-3534.3740555861154</v>
      </c>
      <c r="CU24" s="191">
        <f xml:space="preserve"> Equity!CU$70</f>
        <v>-621.50366407852607</v>
      </c>
      <c r="CV24" s="191">
        <f xml:space="preserve"> Equity!CV$70</f>
        <v>-618.60999645654147</v>
      </c>
      <c r="CW24" s="191">
        <f xml:space="preserve"> Equity!CW$70</f>
        <v>-3076.5352686952124</v>
      </c>
      <c r="CX24" s="191">
        <f xml:space="preserve"> Equity!CX$70</f>
        <v>-3497.3462826620776</v>
      </c>
      <c r="CY24" s="191">
        <f xml:space="preserve"> Equity!CY$70</f>
        <v>-598.89544015944682</v>
      </c>
      <c r="CZ24" s="191">
        <f xml:space="preserve"> Equity!CZ$70</f>
        <v>-595.94346368623735</v>
      </c>
      <c r="DA24" s="191">
        <f xml:space="preserve"> Equity!DA$70</f>
        <v>-3041.5671832498315</v>
      </c>
      <c r="DB24" s="191">
        <f xml:space="preserve"> Equity!DB$70</f>
        <v>-3460.211176005274</v>
      </c>
      <c r="DC24" s="191">
        <f xml:space="preserve"> Equity!DC$70</f>
        <v>-576.10668570028372</v>
      </c>
      <c r="DD24" s="191">
        <f xml:space="preserve"> Equity!DD$70</f>
        <v>-573.09522542330535</v>
      </c>
      <c r="DE24" s="191">
        <f xml:space="preserve"> Equity!DE$70</f>
        <v>-3006.4771216948616</v>
      </c>
      <c r="DF24" s="191">
        <f xml:space="preserve"> Equity!DF$70</f>
        <v>-3422.9633947055186</v>
      </c>
      <c r="DG24" s="191">
        <f xml:space="preserve"> Equity!DG$70</f>
        <v>-553.13239457952693</v>
      </c>
      <c r="DH24" s="191">
        <f xml:space="preserve"> Equity!DH$70</f>
        <v>0</v>
      </c>
      <c r="DI24" s="191">
        <f xml:space="preserve"> Equity!DI$70</f>
        <v>-550.06025187003934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4.2634685317016288E-10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2763.083333333333</v>
      </c>
      <c r="N25" s="163">
        <f t="shared" si="14"/>
        <v>1397.5218891253603</v>
      </c>
      <c r="O25" s="163">
        <f t="shared" si="14"/>
        <v>-1792.4126508286129</v>
      </c>
      <c r="P25" s="163">
        <f t="shared" si="14"/>
        <v>69.115094072073475</v>
      </c>
      <c r="Q25" s="163">
        <f t="shared" si="14"/>
        <v>2472.6130611494677</v>
      </c>
      <c r="R25" s="163">
        <f t="shared" si="14"/>
        <v>648.06057259639783</v>
      </c>
      <c r="S25" s="163">
        <f t="shared" si="14"/>
        <v>-1698.8603874608609</v>
      </c>
      <c r="T25" s="163">
        <f t="shared" si="14"/>
        <v>131.77158096466246</v>
      </c>
      <c r="U25" s="163">
        <f t="shared" si="14"/>
        <v>2568.0621641817297</v>
      </c>
      <c r="V25" s="163">
        <f t="shared" si="14"/>
        <v>733.65157899181622</v>
      </c>
      <c r="W25" s="163">
        <f t="shared" si="14"/>
        <v>-1600.1900227655688</v>
      </c>
      <c r="X25" s="163">
        <f t="shared" si="14"/>
        <v>190.34288039640558</v>
      </c>
      <c r="Y25" s="163">
        <f t="shared" si="14"/>
        <v>2668.782303720106</v>
      </c>
      <c r="Z25" s="163">
        <f t="shared" si="14"/>
        <v>824.51687126634852</v>
      </c>
      <c r="AA25" s="163">
        <f t="shared" si="14"/>
        <v>-1496.2237468467597</v>
      </c>
      <c r="AB25" s="163">
        <f t="shared" si="14"/>
        <v>272.37990680160567</v>
      </c>
      <c r="AC25" s="163">
        <f t="shared" si="14"/>
        <v>2775.3728911978014</v>
      </c>
      <c r="AD25" s="163">
        <f t="shared" si="14"/>
        <v>921.26834239231084</v>
      </c>
      <c r="AE25" s="163">
        <f t="shared" si="14"/>
        <v>-1386.3400038166096</v>
      </c>
      <c r="AF25" s="163">
        <f t="shared" si="14"/>
        <v>351.11829697126416</v>
      </c>
      <c r="AG25" s="163">
        <f t="shared" si="14"/>
        <v>2888.0552737409898</v>
      </c>
      <c r="AH25" s="163">
        <f t="shared" si="14"/>
        <v>1024.1298058887128</v>
      </c>
      <c r="AI25" s="163">
        <f t="shared" si="14"/>
        <v>-1270.3112694742745</v>
      </c>
      <c r="AJ25" s="163">
        <f t="shared" si="14"/>
        <v>435.90623195300111</v>
      </c>
      <c r="AK25" s="163">
        <f t="shared" si="14"/>
        <v>3007.2028463856363</v>
      </c>
      <c r="AL25" s="163">
        <f t="shared" si="14"/>
        <v>1133.4810605385937</v>
      </c>
      <c r="AM25" s="163">
        <f t="shared" si="14"/>
        <v>-1147.7516442602521</v>
      </c>
      <c r="AN25" s="163">
        <f t="shared" si="14"/>
        <v>522.53611739093753</v>
      </c>
      <c r="AO25" s="163">
        <f t="shared" si="14"/>
        <v>3133.1425313290483</v>
      </c>
      <c r="AP25" s="163">
        <f t="shared" si="14"/>
        <v>1249.6541427873435</v>
      </c>
      <c r="AQ25" s="163">
        <f t="shared" si="14"/>
        <v>-1018.3237249855118</v>
      </c>
      <c r="AR25" s="163">
        <f t="shared" si="14"/>
        <v>625.10022594561883</v>
      </c>
      <c r="AS25" s="163">
        <f t="shared" si="14"/>
        <v>3266.4301624934342</v>
      </c>
      <c r="AT25" s="163">
        <f t="shared" si="14"/>
        <v>1373.2159587251958</v>
      </c>
      <c r="AU25" s="163">
        <f t="shared" si="14"/>
        <v>-881.45163915624119</v>
      </c>
      <c r="AV25" s="163">
        <f t="shared" si="14"/>
        <v>730.40547600760328</v>
      </c>
      <c r="AW25" s="163">
        <f t="shared" si="14"/>
        <v>3385.0412998703605</v>
      </c>
      <c r="AX25" s="163">
        <f t="shared" si="14"/>
        <v>1526.9605044337504</v>
      </c>
      <c r="AY25" s="163">
        <f t="shared" si="14"/>
        <v>-736.74117935266656</v>
      </c>
      <c r="AZ25" s="163">
        <f t="shared" si="14"/>
        <v>843.42637897291547</v>
      </c>
      <c r="BA25" s="163">
        <f t="shared" si="14"/>
        <v>1207.3641785666673</v>
      </c>
      <c r="BB25" s="163">
        <f t="shared" si="14"/>
        <v>-741.17391597853157</v>
      </c>
      <c r="BC25" s="163">
        <f t="shared" si="14"/>
        <v>-3005.6033439840271</v>
      </c>
      <c r="BD25" s="163">
        <f t="shared" si="14"/>
        <v>-985.77335655459467</v>
      </c>
      <c r="BE25" s="163">
        <f t="shared" si="14"/>
        <v>713.26149493852836</v>
      </c>
      <c r="BF25" s="163">
        <f t="shared" si="14"/>
        <v>-742.43903203166201</v>
      </c>
      <c r="BG25" s="163">
        <f t="shared" si="14"/>
        <v>-2995.6441599091481</v>
      </c>
      <c r="BH25" s="163">
        <f t="shared" si="14"/>
        <v>-970.707118983604</v>
      </c>
      <c r="BI25" s="163">
        <f t="shared" si="14"/>
        <v>689.52036199356871</v>
      </c>
      <c r="BJ25" s="163">
        <f t="shared" si="14"/>
        <v>-743.69739905924189</v>
      </c>
      <c r="BK25" s="163">
        <f t="shared" si="14"/>
        <v>-2985.7349057048232</v>
      </c>
      <c r="BL25" s="163">
        <f t="shared" si="14"/>
        <v>-970.95901914901549</v>
      </c>
      <c r="BM25" s="163">
        <f t="shared" si="14"/>
        <v>681.13890482366969</v>
      </c>
      <c r="BN25" s="163">
        <f t="shared" si="14"/>
        <v>-744.94904147173111</v>
      </c>
      <c r="BO25" s="163">
        <f t="shared" si="14"/>
        <v>-2975.8753406550049</v>
      </c>
      <c r="BP25" s="163">
        <f t="shared" si="14"/>
        <v>-971.21180534636687</v>
      </c>
      <c r="BQ25" s="163">
        <f t="shared" si="14"/>
        <v>672.79963241065934</v>
      </c>
      <c r="BR25" s="163">
        <f t="shared" si="14"/>
        <v>-746.193983373435</v>
      </c>
      <c r="BS25" s="163">
        <f t="shared" si="14"/>
        <v>-2966.0652253962144</v>
      </c>
      <c r="BT25" s="163">
        <f t="shared" si="14"/>
        <v>-986.30435059941533</v>
      </c>
      <c r="BU25" s="163">
        <f t="shared" si="14"/>
        <v>679.34117899714329</v>
      </c>
      <c r="BV25" s="163">
        <f t="shared" si="14"/>
        <v>-747.43224856028701</v>
      </c>
      <c r="BW25" s="163">
        <f t="shared" ref="BW25:EA25" si="15" xml:space="preserve"> BW22 + BW24</f>
        <v>-2956.3043219139481</v>
      </c>
      <c r="BX25" s="163">
        <f t="shared" si="15"/>
        <v>-971.72019130968317</v>
      </c>
      <c r="BY25" s="163">
        <f t="shared" si="15"/>
        <v>656.24684272015111</v>
      </c>
      <c r="BZ25" s="163">
        <f t="shared" si="15"/>
        <v>-748.66386051760719</v>
      </c>
      <c r="CA25" s="163">
        <f t="shared" si="15"/>
        <v>-2946.592393539142</v>
      </c>
      <c r="CB25" s="163">
        <f t="shared" si="15"/>
        <v>-971.97587051643779</v>
      </c>
      <c r="CC25" s="163">
        <f t="shared" si="15"/>
        <v>648.0329288550156</v>
      </c>
      <c r="CD25" s="163">
        <f t="shared" si="15"/>
        <v>-749.88884241776532</v>
      </c>
      <c r="CE25" s="163">
        <f t="shared" si="15"/>
        <v>-2936.9292049447363</v>
      </c>
      <c r="CF25" s="163">
        <f t="shared" si="15"/>
        <v>-289.60910606544758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550.06025187035573</v>
      </c>
      <c r="DI25" s="163">
        <f t="shared" si="15"/>
        <v>-550.06025187003434</v>
      </c>
      <c r="DJ25" s="163">
        <f t="shared" si="15"/>
        <v>5.1684646022326742E-12</v>
      </c>
      <c r="DK25" s="163">
        <f t="shared" si="15"/>
        <v>5.2477143928002411E-12</v>
      </c>
      <c r="DL25" s="163">
        <f t="shared" si="15"/>
        <v>5.2123493610226741E-12</v>
      </c>
      <c r="DM25" s="163">
        <f t="shared" si="15"/>
        <v>5.3493183192317702E-12</v>
      </c>
      <c r="DN25" s="163">
        <f t="shared" si="15"/>
        <v>5.4901249179204128E-12</v>
      </c>
      <c r="DO25" s="163">
        <f t="shared" si="15"/>
        <v>5.5743068333285258E-12</v>
      </c>
      <c r="DP25" s="163">
        <f t="shared" si="15"/>
        <v>5.5982601953007273E-12</v>
      </c>
      <c r="DQ25" s="163">
        <f t="shared" si="15"/>
        <v>5.6831671415961215E-12</v>
      </c>
      <c r="DR25" s="163">
        <f t="shared" si="15"/>
        <v>5.8327614239386476E-12</v>
      </c>
      <c r="DS25" s="163">
        <f t="shared" si="15"/>
        <v>5.922197099105707E-12</v>
      </c>
      <c r="DT25" s="163">
        <f t="shared" si="15"/>
        <v>5.8822866403943426E-12</v>
      </c>
      <c r="DU25" s="163">
        <f t="shared" si="15"/>
        <v>6.0368600615558168E-12</v>
      </c>
      <c r="DV25" s="163">
        <f t="shared" si="15"/>
        <v>6.1957643707218973E-12</v>
      </c>
      <c r="DW25" s="163">
        <f t="shared" si="15"/>
        <v>6.2907660910729663E-12</v>
      </c>
      <c r="DX25" s="163">
        <f t="shared" si="15"/>
        <v>6.2483717978505177E-12</v>
      </c>
      <c r="DY25" s="163">
        <f t="shared" si="15"/>
        <v>6.4125651234273677E-12</v>
      </c>
      <c r="DZ25" s="163">
        <f t="shared" si="15"/>
        <v>6.58135887059568E-12</v>
      </c>
      <c r="EA25" s="163">
        <f t="shared" si="15"/>
        <v>6.6822730399448136E-12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Debt!E$62</f>
        <v>Senior debt interest</v>
      </c>
      <c r="F35" s="191">
        <f xml:space="preserve"> Debt!F$62</f>
        <v>0</v>
      </c>
      <c r="G35" s="191" t="str">
        <f xml:space="preserve"> Debt!G$62</f>
        <v>$ 000s</v>
      </c>
      <c r="H35" s="191">
        <f xml:space="preserve"> Debt!H$62</f>
        <v>-23972.181282768801</v>
      </c>
      <c r="I35" s="191">
        <f xml:space="preserve"> Debt!I$62</f>
        <v>0</v>
      </c>
      <c r="J35" s="191">
        <f xml:space="preserve"> Debt!J$62</f>
        <v>0</v>
      </c>
      <c r="K35" s="191">
        <f xml:space="preserve"> Debt!K$62</f>
        <v>0</v>
      </c>
      <c r="L35" s="191">
        <f xml:space="preserve"> Debt!L$62</f>
        <v>0</v>
      </c>
      <c r="M35" s="191">
        <f xml:space="preserve"> Debt!M$62</f>
        <v>-1061.6666666666667</v>
      </c>
      <c r="N35" s="191">
        <f xml:space="preserve"> Debt!N$62</f>
        <v>-1053.5895527304942</v>
      </c>
      <c r="O35" s="191">
        <f xml:space="preserve"> Debt!O$62</f>
        <v>-1033.7219230473004</v>
      </c>
      <c r="P35" s="191">
        <f xml:space="preserve"> Debt!P$62</f>
        <v>-991.51596819355166</v>
      </c>
      <c r="Q35" s="191">
        <f xml:space="preserve"> Debt!Q$62</f>
        <v>-981.93968573247662</v>
      </c>
      <c r="R35" s="191">
        <f xml:space="preserve"> Debt!R$62</f>
        <v>-971.76397075237333</v>
      </c>
      <c r="S35" s="191">
        <f xml:space="preserve"> Debt!S$62</f>
        <v>-950.64168214551478</v>
      </c>
      <c r="T35" s="191">
        <f xml:space="preserve"> Debt!T$62</f>
        <v>-908.9956158717564</v>
      </c>
      <c r="U35" s="191">
        <f xml:space="preserve"> Debt!U$62</f>
        <v>-897.25088193022532</v>
      </c>
      <c r="V35" s="191">
        <f xml:space="preserve"> Debt!V$62</f>
        <v>-884.84595909619168</v>
      </c>
      <c r="W35" s="191">
        <f xml:space="preserve"> Debt!W$62</f>
        <v>-862.39092764393843</v>
      </c>
      <c r="X35" s="191">
        <f xml:space="preserve"> Debt!X$62</f>
        <v>-830.46559021257565</v>
      </c>
      <c r="Y35" s="191">
        <f xml:space="preserve"> Debt!Y$62</f>
        <v>-807.42986626108302</v>
      </c>
      <c r="Z35" s="191">
        <f xml:space="preserve"> Debt!Z$62</f>
        <v>-792.66064372522339</v>
      </c>
      <c r="AA35" s="191">
        <f xml:space="preserve"> Debt!AA$62</f>
        <v>-768.79210410394865</v>
      </c>
      <c r="AB35" s="191">
        <f xml:space="preserve"> Debt!AB$62</f>
        <v>-728.37154585612268</v>
      </c>
      <c r="AC35" s="191">
        <f xml:space="preserve"> Debt!AC$62</f>
        <v>-711.88041274140301</v>
      </c>
      <c r="AD35" s="191">
        <f xml:space="preserve"> Debt!AD$62</f>
        <v>-694.59610459018654</v>
      </c>
      <c r="AE35" s="191">
        <f xml:space="preserve"> Debt!AE$62</f>
        <v>-669.22390870217453</v>
      </c>
      <c r="AF35" s="191">
        <f xml:space="preserve"> Debt!AF$62</f>
        <v>-629.47435351031697</v>
      </c>
      <c r="AG35" s="191">
        <f xml:space="preserve"> Debt!AG$62</f>
        <v>-610.38442195228811</v>
      </c>
      <c r="AH35" s="191">
        <f xml:space="preserve"> Debt!AH$62</f>
        <v>-590.42850138418305</v>
      </c>
      <c r="AI35" s="191">
        <f xml:space="preserve"> Debt!AI$62</f>
        <v>-563.45906891367906</v>
      </c>
      <c r="AJ35" s="191">
        <f xml:space="preserve"> Debt!AJ$62</f>
        <v>-524.42227677257017</v>
      </c>
      <c r="AK35" s="191">
        <f xml:space="preserve"> Debt!AK$62</f>
        <v>-502.57181008693271</v>
      </c>
      <c r="AL35" s="191">
        <f xml:space="preserve"> Debt!AL$62</f>
        <v>-479.77800882701661</v>
      </c>
      <c r="AM35" s="191">
        <f xml:space="preserve"> Debt!AM$62</f>
        <v>-451.1119354706359</v>
      </c>
      <c r="AN35" s="191">
        <f xml:space="preserve"> Debt!AN$62</f>
        <v>-417.41929048594881</v>
      </c>
      <c r="AO35" s="191">
        <f xml:space="preserve"> Debt!AO$62</f>
        <v>-388.11903098860233</v>
      </c>
      <c r="AP35" s="191">
        <f xml:space="preserve"> Debt!AP$62</f>
        <v>-362.31256426861074</v>
      </c>
      <c r="AQ35" s="191">
        <f xml:space="preserve"> Debt!AQ$62</f>
        <v>-331.84535409566786</v>
      </c>
      <c r="AR35" s="191">
        <f xml:space="preserve"> Debt!AR$62</f>
        <v>-294.36943698920203</v>
      </c>
      <c r="AS35" s="191">
        <f xml:space="preserve"> Debt!AS$62</f>
        <v>-266.47369290259053</v>
      </c>
      <c r="AT35" s="191">
        <f xml:space="preserve"> Debt!AT$62</f>
        <v>-237.46523570829092</v>
      </c>
      <c r="AU35" s="191">
        <f xml:space="preserve"> Debt!AU$62</f>
        <v>-205.0836998307565</v>
      </c>
      <c r="AV35" s="191">
        <f xml:space="preserve"> Debt!AV$62</f>
        <v>-168.46204604651072</v>
      </c>
      <c r="AW35" s="191">
        <f xml:space="preserve"> Debt!AW$62</f>
        <v>-137.25773552012737</v>
      </c>
      <c r="AX35" s="191">
        <f xml:space="preserve"> Debt!AX$62</f>
        <v>-104.8480114036652</v>
      </c>
      <c r="AY35" s="191">
        <f xml:space="preserve"> Debt!AY$62</f>
        <v>-70.433011420126519</v>
      </c>
      <c r="AZ35" s="191">
        <f xml:space="preserve"> Debt!AZ$62</f>
        <v>-34.718786188213265</v>
      </c>
      <c r="BA35" s="191">
        <f xml:space="preserve"> Debt!BA$62</f>
        <v>2.0346154390911884E-12</v>
      </c>
      <c r="BB35" s="191">
        <f xml:space="preserve"> Debt!BB$62</f>
        <v>2.0881712872425048E-12</v>
      </c>
      <c r="BC35" s="191">
        <f xml:space="preserve"> Debt!BC$62</f>
        <v>2.12018991364689E-12</v>
      </c>
      <c r="BD35" s="191">
        <f xml:space="preserve"> Debt!BD$62</f>
        <v>2.1293005847975611E-12</v>
      </c>
      <c r="BE35" s="191">
        <f xml:space="preserve"> Debt!BE$62</f>
        <v>2.1615949770003242E-12</v>
      </c>
      <c r="BF35" s="191">
        <f xml:space="preserve"> Debt!BF$62</f>
        <v>2.2184932242703766E-12</v>
      </c>
      <c r="BG35" s="191">
        <f xml:space="preserve"> Debt!BG$62</f>
        <v>2.2525101203758557E-12</v>
      </c>
      <c r="BH35" s="191">
        <f xml:space="preserve"> Debt!BH$62</f>
        <v>2.2373301608689745E-12</v>
      </c>
      <c r="BI35" s="191">
        <f xml:space="preserve"> Debt!BI$62</f>
        <v>2.2961222256518096E-12</v>
      </c>
      <c r="BJ35" s="191">
        <f xml:space="preserve"> Debt!BJ$62</f>
        <v>2.3565615454816042E-12</v>
      </c>
      <c r="BK35" s="191">
        <f xml:space="preserve"> Debt!BK$62</f>
        <v>2.3926954891789883E-12</v>
      </c>
      <c r="BL35" s="191">
        <f xml:space="preserve"> Debt!BL$62</f>
        <v>2.3765708021866951E-12</v>
      </c>
      <c r="BM35" s="191">
        <f xml:space="preserve"> Debt!BM$62</f>
        <v>2.4390218015997124E-12</v>
      </c>
      <c r="BN35" s="191">
        <f xml:space="preserve"> Debt!BN$62</f>
        <v>2.5032225732711244E-12</v>
      </c>
      <c r="BO35" s="191">
        <f xml:space="preserve"> Debt!BO$62</f>
        <v>2.5416053193946149E-12</v>
      </c>
      <c r="BP35" s="191">
        <f xml:space="preserve"> Debt!BP$62</f>
        <v>2.5244771096334772E-12</v>
      </c>
      <c r="BQ35" s="191">
        <f xml:space="preserve"> Debt!BQ$62</f>
        <v>2.5908147581255125E-12</v>
      </c>
      <c r="BR35" s="191">
        <f xml:space="preserve"> Debt!BR$62</f>
        <v>2.6590110762643038E-12</v>
      </c>
      <c r="BS35" s="191">
        <f xml:space="preserve"> Debt!BS$62</f>
        <v>2.6997825794336896E-12</v>
      </c>
      <c r="BT35" s="191">
        <f xml:space="preserve"> Debt!BT$62</f>
        <v>2.7113838190685022E-12</v>
      </c>
      <c r="BU35" s="191">
        <f xml:space="preserve"> Debt!BU$62</f>
        <v>2.7525064736577075E-12</v>
      </c>
      <c r="BV35" s="191">
        <f xml:space="preserve"> Debt!BV$62</f>
        <v>2.8249588968068077E-12</v>
      </c>
      <c r="BW35" s="191">
        <f xml:space="preserve"> Debt!BW$62</f>
        <v>2.8682749332245121E-12</v>
      </c>
      <c r="BX35" s="191">
        <f xml:space="preserve"> Debt!BX$62</f>
        <v>2.8489452543266942E-12</v>
      </c>
      <c r="BY35" s="191">
        <f xml:space="preserve"> Debt!BY$62</f>
        <v>2.9238092046209457E-12</v>
      </c>
      <c r="BZ35" s="191">
        <f xml:space="preserve"> Debt!BZ$62</f>
        <v>3.0007707172378183E-12</v>
      </c>
      <c r="CA35" s="191">
        <f xml:space="preserve"> Debt!CA$62</f>
        <v>3.0467825349021318E-12</v>
      </c>
      <c r="CB35" s="191">
        <f xml:space="preserve"> Debt!CB$62</f>
        <v>3.0262498699930082E-12</v>
      </c>
      <c r="CC35" s="191">
        <f xml:space="preserve"> Debt!CC$62</f>
        <v>3.1057729915767137E-12</v>
      </c>
      <c r="CD35" s="191">
        <f xml:space="preserve"> Debt!CD$62</f>
        <v>3.1875242176480334E-12</v>
      </c>
      <c r="CE35" s="191">
        <f xml:space="preserve"> Debt!CE$62</f>
        <v>3.2363995889853029E-12</v>
      </c>
      <c r="CF35" s="191">
        <f xml:space="preserve"> Debt!CF$62</f>
        <v>3.2145890700160541E-12</v>
      </c>
      <c r="CG35" s="191">
        <f xml:space="preserve"> Debt!CG$62</f>
        <v>3.2990613272448093E-12</v>
      </c>
      <c r="CH35" s="191">
        <f xml:space="preserve"> Debt!CH$62</f>
        <v>3.3859003554410771E-12</v>
      </c>
      <c r="CI35" s="191">
        <f xml:space="preserve"> Debt!CI$62</f>
        <v>3.4378174942245072E-12</v>
      </c>
      <c r="CJ35" s="191">
        <f xml:space="preserve"> Debt!CJ$62</f>
        <v>3.452590144761283E-12</v>
      </c>
      <c r="CK35" s="191">
        <f xml:space="preserve"> Debt!CK$62</f>
        <v>3.5049544286234962E-12</v>
      </c>
      <c r="CL35" s="191">
        <f xml:space="preserve"> Debt!CL$62</f>
        <v>3.5972130459278499E-12</v>
      </c>
      <c r="CM35" s="191">
        <f xml:space="preserve"> Debt!CM$62</f>
        <v>3.652370312632077E-12</v>
      </c>
      <c r="CN35" s="191">
        <f xml:space="preserve"> Debt!CN$62</f>
        <v>3.627756512699121E-12</v>
      </c>
      <c r="CO35" s="191">
        <f xml:space="preserve"> Debt!CO$62</f>
        <v>3.7230858921717142E-12</v>
      </c>
      <c r="CP35" s="191">
        <f xml:space="preserve"> Debt!CP$62</f>
        <v>3.8210862409671212E-12</v>
      </c>
      <c r="CQ35" s="191">
        <f xml:space="preserve"> Debt!CQ$62</f>
        <v>3.8796762299952841E-12</v>
      </c>
      <c r="CR35" s="191">
        <f xml:space="preserve"> Debt!CR$62</f>
        <v>3.8535305858366193E-12</v>
      </c>
      <c r="CS35" s="191">
        <f xml:space="preserve"> Debt!CS$62</f>
        <v>3.9547928062311038E-12</v>
      </c>
      <c r="CT35" s="191">
        <f xml:space="preserve"> Debt!CT$62</f>
        <v>4.05889222420025E-12</v>
      </c>
      <c r="CU35" s="191">
        <f xml:space="preserve"> Debt!CU$62</f>
        <v>4.1211285716379872E-12</v>
      </c>
      <c r="CV35" s="191">
        <f xml:space="preserve"> Debt!CV$62</f>
        <v>4.0933557486552101E-12</v>
      </c>
      <c r="CW35" s="191">
        <f xml:space="preserve"> Debt!CW$62</f>
        <v>4.2009200413837607E-12</v>
      </c>
      <c r="CX35" s="191">
        <f xml:space="preserve"> Debt!CX$62</f>
        <v>4.3114981051837015E-12</v>
      </c>
      <c r="CY35" s="191">
        <f xml:space="preserve"> Debt!CY$62</f>
        <v>4.3776077427965177E-12</v>
      </c>
      <c r="CZ35" s="191">
        <f xml:space="preserve"> Debt!CZ$62</f>
        <v>4.3964187673724477E-12</v>
      </c>
      <c r="DA35" s="191">
        <f xml:space="preserve"> Debt!DA$62</f>
        <v>4.4630977853442633E-12</v>
      </c>
      <c r="DB35" s="191">
        <f xml:space="preserve"> Debt!DB$62</f>
        <v>4.5805769819943878E-12</v>
      </c>
      <c r="DC35" s="191">
        <f xml:space="preserve"> Debt!DC$62</f>
        <v>4.6508124957183018E-12</v>
      </c>
      <c r="DD35" s="191">
        <f xml:space="preserve"> Debt!DD$62</f>
        <v>4.6194700636819384E-12</v>
      </c>
      <c r="DE35" s="191">
        <f xml:space="preserve"> Debt!DE$62</f>
        <v>4.74085947146647E-12</v>
      </c>
      <c r="DF35" s="191">
        <f xml:space="preserve"> Debt!DF$62</f>
        <v>4.8656500068582582E-12</v>
      </c>
      <c r="DG35" s="191">
        <f xml:space="preserve"> Debt!DG$62</f>
        <v>4.9402566402967512E-12</v>
      </c>
      <c r="DH35" s="191">
        <f xml:space="preserve"> Debt!DH$62</f>
        <v>4.9069636064164901E-12</v>
      </c>
      <c r="DI35" s="191">
        <f xml:space="preserve"> Debt!DI$62</f>
        <v>5.0359077056295457E-12</v>
      </c>
      <c r="DJ35" s="191">
        <f xml:space="preserve"> Debt!DJ$62</f>
        <v>5.1684646022326742E-12</v>
      </c>
      <c r="DK35" s="191">
        <f xml:space="preserve"> Debt!DK$62</f>
        <v>5.2477143928002411E-12</v>
      </c>
      <c r="DL35" s="191">
        <f xml:space="preserve"> Debt!DL$62</f>
        <v>5.2123493610226741E-12</v>
      </c>
      <c r="DM35" s="191">
        <f xml:space="preserve"> Debt!DM$62</f>
        <v>5.3493183192317702E-12</v>
      </c>
      <c r="DN35" s="191">
        <f xml:space="preserve"> Debt!DN$62</f>
        <v>5.4901249179204128E-12</v>
      </c>
      <c r="DO35" s="191">
        <f xml:space="preserve"> Debt!DO$62</f>
        <v>5.5743068333285258E-12</v>
      </c>
      <c r="DP35" s="191">
        <f xml:space="preserve"> Debt!DP$62</f>
        <v>5.5982601953007273E-12</v>
      </c>
      <c r="DQ35" s="191">
        <f xml:space="preserve"> Debt!DQ$62</f>
        <v>5.6831671415961215E-12</v>
      </c>
      <c r="DR35" s="191">
        <f xml:space="preserve"> Debt!DR$62</f>
        <v>5.8327614239386476E-12</v>
      </c>
      <c r="DS35" s="191">
        <f xml:space="preserve"> Debt!DS$62</f>
        <v>5.922197099105707E-12</v>
      </c>
      <c r="DT35" s="191">
        <f xml:space="preserve"> Debt!DT$62</f>
        <v>5.8822866403943426E-12</v>
      </c>
      <c r="DU35" s="191">
        <f xml:space="preserve"> Debt!DU$62</f>
        <v>6.0368600615558168E-12</v>
      </c>
      <c r="DV35" s="191">
        <f xml:space="preserve"> Debt!DV$62</f>
        <v>6.1957643707218973E-12</v>
      </c>
      <c r="DW35" s="191">
        <f xml:space="preserve"> Debt!DW$62</f>
        <v>6.2907660910729663E-12</v>
      </c>
      <c r="DX35" s="191">
        <f xml:space="preserve"> Debt!DX$62</f>
        <v>6.2483717978505177E-12</v>
      </c>
      <c r="DY35" s="191">
        <f xml:space="preserve"> Debt!DY$62</f>
        <v>6.4125651234273677E-12</v>
      </c>
      <c r="DZ35" s="191">
        <f xml:space="preserve"> Debt!DZ$62</f>
        <v>6.58135887059568E-12</v>
      </c>
      <c r="EA35" s="191">
        <f xml:space="preserve"> Debt!EA$62</f>
        <v>6.6822730399448136E-12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Debt!E$49</f>
        <v xml:space="preserve">Senior debt principal repayment </v>
      </c>
      <c r="F36" s="191">
        <f xml:space="preserve"> Debt!F$49</f>
        <v>0</v>
      </c>
      <c r="G36" s="191" t="str">
        <f xml:space="preserve"> Debt!G$49</f>
        <v>$ 000s</v>
      </c>
      <c r="H36" s="191">
        <f xml:space="preserve"> Debt!H$49</f>
        <v>-70000.000000000131</v>
      </c>
      <c r="I36" s="191">
        <f xml:space="preserve"> Debt!I$49</f>
        <v>0</v>
      </c>
      <c r="J36" s="191">
        <f xml:space="preserve"> Debt!J$49</f>
        <v>0</v>
      </c>
      <c r="K36" s="191">
        <f xml:space="preserve"> Debt!K$49</f>
        <v>0</v>
      </c>
      <c r="L36" s="191">
        <f xml:space="preserve"> Debt!L$49</f>
        <v>0</v>
      </c>
      <c r="M36" s="191">
        <f xml:space="preserve"> Debt!M$49</f>
        <v>-1287.637865402565</v>
      </c>
      <c r="N36" s="191">
        <f xml:space="preserve"> Debt!N$49</f>
        <v>-1295.7149793387375</v>
      </c>
      <c r="O36" s="191">
        <f xml:space="preserve"> Debt!O$49</f>
        <v>-1315.5826090219314</v>
      </c>
      <c r="P36" s="191">
        <f xml:space="preserve"> Debt!P$49</f>
        <v>-1357.7885638756802</v>
      </c>
      <c r="Q36" s="191">
        <f xml:space="preserve"> Debt!Q$49</f>
        <v>-1367.3648463367551</v>
      </c>
      <c r="R36" s="191">
        <f xml:space="preserve"> Debt!R$49</f>
        <v>-1377.5405613168584</v>
      </c>
      <c r="S36" s="191">
        <f xml:space="preserve"> Debt!S$49</f>
        <v>-1398.662849923717</v>
      </c>
      <c r="T36" s="191">
        <f xml:space="preserve"> Debt!T$49</f>
        <v>-1440.3089161974754</v>
      </c>
      <c r="U36" s="191">
        <f xml:space="preserve"> Debt!U$49</f>
        <v>-1452.0536501390065</v>
      </c>
      <c r="V36" s="191">
        <f xml:space="preserve"> Debt!V$49</f>
        <v>-1464.4585729730402</v>
      </c>
      <c r="W36" s="191">
        <f xml:space="preserve"> Debt!W$49</f>
        <v>-1486.9136044252932</v>
      </c>
      <c r="X36" s="191">
        <f xml:space="preserve"> Debt!X$49</f>
        <v>-1518.8389418566562</v>
      </c>
      <c r="Y36" s="191">
        <f xml:space="preserve"> Debt!Y$49</f>
        <v>-1541.8746658081486</v>
      </c>
      <c r="Z36" s="191">
        <f xml:space="preserve"> Debt!Z$49</f>
        <v>-1556.6438883440082</v>
      </c>
      <c r="AA36" s="191">
        <f xml:space="preserve"> Debt!AA$49</f>
        <v>-1580.5124279652832</v>
      </c>
      <c r="AB36" s="191">
        <f xml:space="preserve"> Debt!AB$49</f>
        <v>-1620.932986213109</v>
      </c>
      <c r="AC36" s="191">
        <f xml:space="preserve"> Debt!AC$49</f>
        <v>-1637.4241193278287</v>
      </c>
      <c r="AD36" s="191">
        <f xml:space="preserve"> Debt!AD$49</f>
        <v>-1654.7084274790452</v>
      </c>
      <c r="AE36" s="191">
        <f xml:space="preserve"> Debt!AE$49</f>
        <v>-1680.0806233670573</v>
      </c>
      <c r="AF36" s="191">
        <f xml:space="preserve"> Debt!AF$49</f>
        <v>-1719.8301785589147</v>
      </c>
      <c r="AG36" s="191">
        <f xml:space="preserve"> Debt!AG$49</f>
        <v>-1738.9201101169438</v>
      </c>
      <c r="AH36" s="191">
        <f xml:space="preserve"> Debt!AH$49</f>
        <v>-1758.8760306850486</v>
      </c>
      <c r="AI36" s="191">
        <f xml:space="preserve"> Debt!AI$49</f>
        <v>-1785.8454631555528</v>
      </c>
      <c r="AJ36" s="191">
        <f xml:space="preserve"> Debt!AJ$49</f>
        <v>-1824.8822552966617</v>
      </c>
      <c r="AK36" s="191">
        <f xml:space="preserve"> Debt!AK$49</f>
        <v>-1846.7327219822992</v>
      </c>
      <c r="AL36" s="191">
        <f xml:space="preserve"> Debt!AL$49</f>
        <v>-1869.5265232422153</v>
      </c>
      <c r="AM36" s="191">
        <f xml:space="preserve"> Debt!AM$49</f>
        <v>-1898.1925965985959</v>
      </c>
      <c r="AN36" s="191">
        <f xml:space="preserve"> Debt!AN$49</f>
        <v>-1931.885241583283</v>
      </c>
      <c r="AO36" s="191">
        <f xml:space="preserve"> Debt!AO$49</f>
        <v>-1961.1855010806294</v>
      </c>
      <c r="AP36" s="191">
        <f xml:space="preserve"> Debt!AP$49</f>
        <v>-1986.9919678006211</v>
      </c>
      <c r="AQ36" s="191">
        <f xml:space="preserve"> Debt!AQ$49</f>
        <v>-2017.4591779735638</v>
      </c>
      <c r="AR36" s="191">
        <f xml:space="preserve"> Debt!AR$49</f>
        <v>-2054.9350950800299</v>
      </c>
      <c r="AS36" s="191">
        <f xml:space="preserve"> Debt!AS$49</f>
        <v>-2082.8308391666415</v>
      </c>
      <c r="AT36" s="191">
        <f xml:space="preserve"> Debt!AT$49</f>
        <v>-2111.8392963609408</v>
      </c>
      <c r="AU36" s="191">
        <f xml:space="preserve"> Debt!AU$49</f>
        <v>-2144.2208322384754</v>
      </c>
      <c r="AV36" s="191">
        <f xml:space="preserve"> Debt!AV$49</f>
        <v>-2180.842486022721</v>
      </c>
      <c r="AW36" s="191">
        <f xml:space="preserve"> Debt!AW$49</f>
        <v>-2212.0467965491043</v>
      </c>
      <c r="AX36" s="191">
        <f xml:space="preserve"> Debt!AX$49</f>
        <v>-2244.4565206655666</v>
      </c>
      <c r="AY36" s="191">
        <f xml:space="preserve"> Debt!AY$49</f>
        <v>-2278.8715206491052</v>
      </c>
      <c r="AZ36" s="191">
        <f xml:space="preserve"> Debt!AZ$49</f>
        <v>-2314.5857458810183</v>
      </c>
      <c r="BA36" s="191">
        <f xml:space="preserve"> Debt!BA$49</f>
        <v>-2.0346154390911884E-12</v>
      </c>
      <c r="BB36" s="191">
        <f xml:space="preserve"> Debt!BB$49</f>
        <v>-2.0881712872425048E-12</v>
      </c>
      <c r="BC36" s="191">
        <f xml:space="preserve"> Debt!BC$49</f>
        <v>-2.12018991364689E-12</v>
      </c>
      <c r="BD36" s="191">
        <f xml:space="preserve"> Debt!BD$49</f>
        <v>-2.1293005847975611E-12</v>
      </c>
      <c r="BE36" s="191">
        <f xml:space="preserve"> Debt!BE$49</f>
        <v>-2.1615949770003242E-12</v>
      </c>
      <c r="BF36" s="191">
        <f xml:space="preserve"> Debt!BF$49</f>
        <v>-2.2184932242703766E-12</v>
      </c>
      <c r="BG36" s="191">
        <f xml:space="preserve"> Debt!BG$49</f>
        <v>-2.2525101203758557E-12</v>
      </c>
      <c r="BH36" s="191">
        <f xml:space="preserve"> Debt!BH$49</f>
        <v>-2.2373301608689745E-12</v>
      </c>
      <c r="BI36" s="191">
        <f xml:space="preserve"> Debt!BI$49</f>
        <v>-2.2961222256518096E-12</v>
      </c>
      <c r="BJ36" s="191">
        <f xml:space="preserve"> Debt!BJ$49</f>
        <v>-2.3565615454816042E-12</v>
      </c>
      <c r="BK36" s="191">
        <f xml:space="preserve"> Debt!BK$49</f>
        <v>-2.3926954891789883E-12</v>
      </c>
      <c r="BL36" s="191">
        <f xml:space="preserve"> Debt!BL$49</f>
        <v>-2.3765708021866951E-12</v>
      </c>
      <c r="BM36" s="191">
        <f xml:space="preserve"> Debt!BM$49</f>
        <v>-2.4390218015997124E-12</v>
      </c>
      <c r="BN36" s="191">
        <f xml:space="preserve"> Debt!BN$49</f>
        <v>-2.5032225732711244E-12</v>
      </c>
      <c r="BO36" s="191">
        <f xml:space="preserve"> Debt!BO$49</f>
        <v>-2.5416053193946149E-12</v>
      </c>
      <c r="BP36" s="191">
        <f xml:space="preserve"> Debt!BP$49</f>
        <v>-2.5244771096334772E-12</v>
      </c>
      <c r="BQ36" s="191">
        <f xml:space="preserve"> Debt!BQ$49</f>
        <v>-2.5908147581255125E-12</v>
      </c>
      <c r="BR36" s="191">
        <f xml:space="preserve"> Debt!BR$49</f>
        <v>-2.6590110762643038E-12</v>
      </c>
      <c r="BS36" s="191">
        <f xml:space="preserve"> Debt!BS$49</f>
        <v>-2.6997825794336896E-12</v>
      </c>
      <c r="BT36" s="191">
        <f xml:space="preserve"> Debt!BT$49</f>
        <v>-2.7113838190685022E-12</v>
      </c>
      <c r="BU36" s="191">
        <f xml:space="preserve"> Debt!BU$49</f>
        <v>-2.7525064736577075E-12</v>
      </c>
      <c r="BV36" s="191">
        <f xml:space="preserve"> Debt!BV$49</f>
        <v>-2.8249588968068077E-12</v>
      </c>
      <c r="BW36" s="191">
        <f xml:space="preserve"> Debt!BW$49</f>
        <v>-2.8682749332245121E-12</v>
      </c>
      <c r="BX36" s="191">
        <f xml:space="preserve"> Debt!BX$49</f>
        <v>-2.8489452543266942E-12</v>
      </c>
      <c r="BY36" s="191">
        <f xml:space="preserve"> Debt!BY$49</f>
        <v>-2.9238092046209457E-12</v>
      </c>
      <c r="BZ36" s="191">
        <f xml:space="preserve"> Debt!BZ$49</f>
        <v>-3.0007707172378183E-12</v>
      </c>
      <c r="CA36" s="191">
        <f xml:space="preserve"> Debt!CA$49</f>
        <v>-3.0467825349021318E-12</v>
      </c>
      <c r="CB36" s="191">
        <f xml:space="preserve"> Debt!CB$49</f>
        <v>-3.0262498699930082E-12</v>
      </c>
      <c r="CC36" s="191">
        <f xml:space="preserve"> Debt!CC$49</f>
        <v>-3.1057729915767137E-12</v>
      </c>
      <c r="CD36" s="191">
        <f xml:space="preserve"> Debt!CD$49</f>
        <v>-3.1875242176480334E-12</v>
      </c>
      <c r="CE36" s="191">
        <f xml:space="preserve"> Debt!CE$49</f>
        <v>-3.2363995889853029E-12</v>
      </c>
      <c r="CF36" s="191">
        <f xml:space="preserve"> Debt!CF$49</f>
        <v>-3.2145890700160541E-12</v>
      </c>
      <c r="CG36" s="191">
        <f xml:space="preserve"> Debt!CG$49</f>
        <v>-3.2990613272448093E-12</v>
      </c>
      <c r="CH36" s="191">
        <f xml:space="preserve"> Debt!CH$49</f>
        <v>-3.3859003554410771E-12</v>
      </c>
      <c r="CI36" s="191">
        <f xml:space="preserve"> Debt!CI$49</f>
        <v>-3.4378174942245072E-12</v>
      </c>
      <c r="CJ36" s="191">
        <f xml:space="preserve"> Debt!CJ$49</f>
        <v>-3.452590144761283E-12</v>
      </c>
      <c r="CK36" s="191">
        <f xml:space="preserve"> Debt!CK$49</f>
        <v>-3.5049544286234962E-12</v>
      </c>
      <c r="CL36" s="191">
        <f xml:space="preserve"> Debt!CL$49</f>
        <v>-3.5972130459278499E-12</v>
      </c>
      <c r="CM36" s="191">
        <f xml:space="preserve"> Debt!CM$49</f>
        <v>-3.652370312632077E-12</v>
      </c>
      <c r="CN36" s="191">
        <f xml:space="preserve"> Debt!CN$49</f>
        <v>-3.627756512699121E-12</v>
      </c>
      <c r="CO36" s="191">
        <f xml:space="preserve"> Debt!CO$49</f>
        <v>-3.7230858921717142E-12</v>
      </c>
      <c r="CP36" s="191">
        <f xml:space="preserve"> Debt!CP$49</f>
        <v>-3.8210862409671212E-12</v>
      </c>
      <c r="CQ36" s="191">
        <f xml:space="preserve"> Debt!CQ$49</f>
        <v>-3.8796762299952841E-12</v>
      </c>
      <c r="CR36" s="191">
        <f xml:space="preserve"> Debt!CR$49</f>
        <v>-3.8535305858366193E-12</v>
      </c>
      <c r="CS36" s="191">
        <f xml:space="preserve"> Debt!CS$49</f>
        <v>-3.9547928062311038E-12</v>
      </c>
      <c r="CT36" s="191">
        <f xml:space="preserve"> Debt!CT$49</f>
        <v>-4.05889222420025E-12</v>
      </c>
      <c r="CU36" s="191">
        <f xml:space="preserve"> Debt!CU$49</f>
        <v>-4.1211285716379872E-12</v>
      </c>
      <c r="CV36" s="191">
        <f xml:space="preserve"> Debt!CV$49</f>
        <v>-4.0933557486552101E-12</v>
      </c>
      <c r="CW36" s="191">
        <f xml:space="preserve"> Debt!CW$49</f>
        <v>-4.2009200413837607E-12</v>
      </c>
      <c r="CX36" s="191">
        <f xml:space="preserve"> Debt!CX$49</f>
        <v>-4.3114981051837015E-12</v>
      </c>
      <c r="CY36" s="191">
        <f xml:space="preserve"> Debt!CY$49</f>
        <v>-4.3776077427965177E-12</v>
      </c>
      <c r="CZ36" s="191">
        <f xml:space="preserve"> Debt!CZ$49</f>
        <v>-4.3964187673724477E-12</v>
      </c>
      <c r="DA36" s="191">
        <f xml:space="preserve"> Debt!DA$49</f>
        <v>-4.4630977853442633E-12</v>
      </c>
      <c r="DB36" s="191">
        <f xml:space="preserve"> Debt!DB$49</f>
        <v>-4.5805769819943878E-12</v>
      </c>
      <c r="DC36" s="191">
        <f xml:space="preserve"> Debt!DC$49</f>
        <v>-4.6508124957183018E-12</v>
      </c>
      <c r="DD36" s="191">
        <f xml:space="preserve"> Debt!DD$49</f>
        <v>-4.6194700636819384E-12</v>
      </c>
      <c r="DE36" s="191">
        <f xml:space="preserve"> Debt!DE$49</f>
        <v>-4.74085947146647E-12</v>
      </c>
      <c r="DF36" s="191">
        <f xml:space="preserve"> Debt!DF$49</f>
        <v>-4.8656500068582582E-12</v>
      </c>
      <c r="DG36" s="191">
        <f xml:space="preserve"> Debt!DG$49</f>
        <v>-4.9402566402967512E-12</v>
      </c>
      <c r="DH36" s="191">
        <f xml:space="preserve"> Debt!DH$49</f>
        <v>-4.9069636064164901E-12</v>
      </c>
      <c r="DI36" s="191">
        <f xml:space="preserve"> Debt!DI$49</f>
        <v>-5.0359077056295457E-12</v>
      </c>
      <c r="DJ36" s="191">
        <f xml:space="preserve"> Debt!DJ$49</f>
        <v>-5.1684646022326742E-12</v>
      </c>
      <c r="DK36" s="191">
        <f xml:space="preserve"> Debt!DK$49</f>
        <v>-5.2477143928002411E-12</v>
      </c>
      <c r="DL36" s="191">
        <f xml:space="preserve"> Debt!DL$49</f>
        <v>-5.2123493610226741E-12</v>
      </c>
      <c r="DM36" s="191">
        <f xml:space="preserve"> Debt!DM$49</f>
        <v>-5.3493183192317702E-12</v>
      </c>
      <c r="DN36" s="191">
        <f xml:space="preserve"> Debt!DN$49</f>
        <v>-5.4901249179204128E-12</v>
      </c>
      <c r="DO36" s="191">
        <f xml:space="preserve"> Debt!DO$49</f>
        <v>-5.5743068333285258E-12</v>
      </c>
      <c r="DP36" s="191">
        <f xml:space="preserve"> Debt!DP$49</f>
        <v>-5.5982601953007273E-12</v>
      </c>
      <c r="DQ36" s="191">
        <f xml:space="preserve"> Debt!DQ$49</f>
        <v>-5.6831671415961215E-12</v>
      </c>
      <c r="DR36" s="191">
        <f xml:space="preserve"> Debt!DR$49</f>
        <v>-5.8327614239386476E-12</v>
      </c>
      <c r="DS36" s="191">
        <f xml:space="preserve"> Debt!DS$49</f>
        <v>-5.922197099105707E-12</v>
      </c>
      <c r="DT36" s="191">
        <f xml:space="preserve"> Debt!DT$49</f>
        <v>-5.8822866403943426E-12</v>
      </c>
      <c r="DU36" s="191">
        <f xml:space="preserve"> Debt!DU$49</f>
        <v>-6.0368600615558168E-12</v>
      </c>
      <c r="DV36" s="191">
        <f xml:space="preserve"> Debt!DV$49</f>
        <v>-6.1957643707218973E-12</v>
      </c>
      <c r="DW36" s="191">
        <f xml:space="preserve"> Debt!DW$49</f>
        <v>-6.2907660910729663E-12</v>
      </c>
      <c r="DX36" s="191">
        <f xml:space="preserve"> Debt!DX$49</f>
        <v>-6.2483717978505177E-12</v>
      </c>
      <c r="DY36" s="191">
        <f xml:space="preserve"> Debt!DY$49</f>
        <v>-6.4125651234273677E-12</v>
      </c>
      <c r="DZ36" s="191">
        <f xml:space="preserve"> Debt!DZ$49</f>
        <v>-6.58135887059568E-12</v>
      </c>
      <c r="EA36" s="191">
        <f xml:space="preserve"> Debt!EA$49</f>
        <v>-6.6822730399448136E-12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228694.85994453903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-829.95288371758306</v>
      </c>
      <c r="N37" s="163">
        <f t="shared" si="20"/>
        <v>2674.5820668617289</v>
      </c>
      <c r="O37" s="163">
        <f t="shared" si="20"/>
        <v>1821.2250559063114</v>
      </c>
      <c r="P37" s="163">
        <f t="shared" si="20"/>
        <v>-320.68920602530125</v>
      </c>
      <c r="Q37" s="163">
        <f t="shared" si="20"/>
        <v>657.41350787702822</v>
      </c>
      <c r="R37" s="163">
        <f t="shared" si="20"/>
        <v>2640.0525473449852</v>
      </c>
      <c r="S37" s="163">
        <f t="shared" si="20"/>
        <v>1790.9275197710276</v>
      </c>
      <c r="T37" s="163">
        <f t="shared" si="20"/>
        <v>-340.30854351019161</v>
      </c>
      <c r="U37" s="163">
        <f t="shared" si="20"/>
        <v>632.77531743945292</v>
      </c>
      <c r="V37" s="163">
        <f t="shared" si="20"/>
        <v>2605.5026802737302</v>
      </c>
      <c r="W37" s="163">
        <f t="shared" si="20"/>
        <v>1760.5883079169244</v>
      </c>
      <c r="X37" s="163">
        <f t="shared" si="20"/>
        <v>-343.75943430441907</v>
      </c>
      <c r="Y37" s="163">
        <f t="shared" si="20"/>
        <v>591.80185412168794</v>
      </c>
      <c r="Z37" s="163">
        <f t="shared" si="20"/>
        <v>2570.9286952387811</v>
      </c>
      <c r="AA37" s="163">
        <f t="shared" si="20"/>
        <v>1730.2037505335156</v>
      </c>
      <c r="AB37" s="163">
        <f t="shared" si="20"/>
        <v>-379.83369612208389</v>
      </c>
      <c r="AC37" s="163">
        <f t="shared" si="20"/>
        <v>583.27796711527299</v>
      </c>
      <c r="AD37" s="163">
        <f t="shared" si="20"/>
        <v>2536.3267625737144</v>
      </c>
      <c r="AE37" s="163">
        <f t="shared" si="20"/>
        <v>1699.7701179415126</v>
      </c>
      <c r="AF37" s="163">
        <f t="shared" si="20"/>
        <v>-399.74636989823694</v>
      </c>
      <c r="AG37" s="163">
        <f t="shared" si="20"/>
        <v>558.41160635822825</v>
      </c>
      <c r="AH37" s="163">
        <f t="shared" si="20"/>
        <v>2501.6929920776138</v>
      </c>
      <c r="AI37" s="163">
        <f t="shared" si="20"/>
        <v>1669.2836193163989</v>
      </c>
      <c r="AJ37" s="163">
        <f t="shared" si="20"/>
        <v>-419.76378408400706</v>
      </c>
      <c r="AK37" s="163">
        <f t="shared" si="20"/>
        <v>533.46188427295738</v>
      </c>
      <c r="AL37" s="163">
        <f t="shared" si="20"/>
        <v>2467.0234317125232</v>
      </c>
      <c r="AM37" s="163">
        <f t="shared" si="20"/>
        <v>1638.7404013866135</v>
      </c>
      <c r="AN37" s="163">
        <f t="shared" si="20"/>
        <v>-424.09790155127894</v>
      </c>
      <c r="AO37" s="163">
        <f t="shared" si="20"/>
        <v>492.63342006265384</v>
      </c>
      <c r="AP37" s="163">
        <f t="shared" ref="AP37:BU37" si="21" xml:space="preserve"> AP33 + SUM(AP35:AP36)</f>
        <v>2432.3140662750347</v>
      </c>
      <c r="AQ37" s="163">
        <f t="shared" si="21"/>
        <v>1608.1365471058693</v>
      </c>
      <c r="AR37" s="163">
        <f t="shared" si="21"/>
        <v>-460.12724158178753</v>
      </c>
      <c r="AS37" s="163">
        <f t="shared" si="21"/>
        <v>483.29725903999133</v>
      </c>
      <c r="AT37" s="163">
        <f t="shared" si="21"/>
        <v>2397.5608160415477</v>
      </c>
      <c r="AU37" s="163">
        <f t="shared" si="21"/>
        <v>1577.4680742990445</v>
      </c>
      <c r="AV37" s="163">
        <f t="shared" si="21"/>
        <v>-480.48065247556679</v>
      </c>
      <c r="AW37" s="163">
        <f t="shared" si="21"/>
        <v>458.07464252200998</v>
      </c>
      <c r="AX37" s="163">
        <f t="shared" si="21"/>
        <v>2362.7595353866018</v>
      </c>
      <c r="AY37" s="163">
        <f t="shared" si="21"/>
        <v>1546.7309342811427</v>
      </c>
      <c r="AZ37" s="163">
        <f t="shared" si="21"/>
        <v>-500.95354165860044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228694.85994453903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-829.95288371758306</v>
      </c>
      <c r="N42" s="163">
        <f t="shared" si="24"/>
        <v>2674.5820668617289</v>
      </c>
      <c r="O42" s="163">
        <f t="shared" si="24"/>
        <v>1821.2250559063114</v>
      </c>
      <c r="P42" s="163">
        <f t="shared" si="24"/>
        <v>-320.68920602530125</v>
      </c>
      <c r="Q42" s="163">
        <f t="shared" si="24"/>
        <v>657.41350787702822</v>
      </c>
      <c r="R42" s="163">
        <f t="shared" si="24"/>
        <v>2640.0525473449852</v>
      </c>
      <c r="S42" s="163">
        <f t="shared" si="24"/>
        <v>1790.9275197710276</v>
      </c>
      <c r="T42" s="163">
        <f t="shared" si="24"/>
        <v>-340.30854351019161</v>
      </c>
      <c r="U42" s="163">
        <f t="shared" si="24"/>
        <v>632.77531743945292</v>
      </c>
      <c r="V42" s="163">
        <f t="shared" si="24"/>
        <v>2605.5026802737302</v>
      </c>
      <c r="W42" s="163">
        <f t="shared" si="24"/>
        <v>1760.5883079169244</v>
      </c>
      <c r="X42" s="163">
        <f t="shared" si="24"/>
        <v>-343.75943430441907</v>
      </c>
      <c r="Y42" s="163">
        <f t="shared" si="24"/>
        <v>591.80185412168794</v>
      </c>
      <c r="Z42" s="163">
        <f t="shared" si="24"/>
        <v>2570.9286952387811</v>
      </c>
      <c r="AA42" s="163">
        <f t="shared" si="24"/>
        <v>1730.2037505335156</v>
      </c>
      <c r="AB42" s="163">
        <f t="shared" si="24"/>
        <v>-379.83369612208389</v>
      </c>
      <c r="AC42" s="163">
        <f t="shared" si="24"/>
        <v>583.27796711527299</v>
      </c>
      <c r="AD42" s="163">
        <f t="shared" si="24"/>
        <v>2536.3267625737144</v>
      </c>
      <c r="AE42" s="163">
        <f t="shared" si="24"/>
        <v>1699.7701179415126</v>
      </c>
      <c r="AF42" s="163">
        <f t="shared" si="24"/>
        <v>-399.74636989823694</v>
      </c>
      <c r="AG42" s="163">
        <f t="shared" si="24"/>
        <v>558.41160635822825</v>
      </c>
      <c r="AH42" s="163">
        <f t="shared" si="24"/>
        <v>2501.6929920776138</v>
      </c>
      <c r="AI42" s="163">
        <f t="shared" si="24"/>
        <v>1669.2836193163989</v>
      </c>
      <c r="AJ42" s="163">
        <f t="shared" si="24"/>
        <v>-419.76378408400706</v>
      </c>
      <c r="AK42" s="163">
        <f t="shared" si="24"/>
        <v>533.46188427295738</v>
      </c>
      <c r="AL42" s="163">
        <f t="shared" si="24"/>
        <v>2467.0234317125232</v>
      </c>
      <c r="AM42" s="163">
        <f t="shared" si="24"/>
        <v>1638.7404013866135</v>
      </c>
      <c r="AN42" s="163">
        <f t="shared" si="24"/>
        <v>-424.09790155127894</v>
      </c>
      <c r="AO42" s="163">
        <f t="shared" si="24"/>
        <v>492.63342006265384</v>
      </c>
      <c r="AP42" s="163">
        <f t="shared" ref="AP42:BU42" si="25" xml:space="preserve"> AP37 + SUM(AP39:AP41)</f>
        <v>2432.3140662750347</v>
      </c>
      <c r="AQ42" s="163">
        <f t="shared" si="25"/>
        <v>1608.1365471058693</v>
      </c>
      <c r="AR42" s="163">
        <f t="shared" si="25"/>
        <v>-460.12724158178753</v>
      </c>
      <c r="AS42" s="163">
        <f t="shared" si="25"/>
        <v>483.29725903999133</v>
      </c>
      <c r="AT42" s="163">
        <f t="shared" si="25"/>
        <v>2397.5608160415477</v>
      </c>
      <c r="AU42" s="163">
        <f t="shared" si="25"/>
        <v>1577.4680742990445</v>
      </c>
      <c r="AV42" s="163">
        <f t="shared" si="25"/>
        <v>-480.48065247556679</v>
      </c>
      <c r="AW42" s="163">
        <f t="shared" si="25"/>
        <v>458.07464252200998</v>
      </c>
      <c r="AX42" s="163">
        <f t="shared" si="25"/>
        <v>2362.7595353866018</v>
      </c>
      <c r="AY42" s="163">
        <f t="shared" si="25"/>
        <v>1546.7309342811427</v>
      </c>
      <c r="AZ42" s="163">
        <f t="shared" si="25"/>
        <v>-500.95354165860044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228694.85994453903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-829.95288371758306</v>
      </c>
      <c r="N47" s="163">
        <f t="shared" si="28"/>
        <v>2674.5820668617289</v>
      </c>
      <c r="O47" s="163">
        <f t="shared" si="28"/>
        <v>1821.2250559063114</v>
      </c>
      <c r="P47" s="163">
        <f t="shared" si="28"/>
        <v>-320.68920602530125</v>
      </c>
      <c r="Q47" s="163">
        <f t="shared" si="28"/>
        <v>657.41350787702822</v>
      </c>
      <c r="R47" s="163">
        <f t="shared" si="28"/>
        <v>2640.0525473449852</v>
      </c>
      <c r="S47" s="163">
        <f t="shared" si="28"/>
        <v>1790.9275197710276</v>
      </c>
      <c r="T47" s="163">
        <f t="shared" si="28"/>
        <v>-340.30854351019161</v>
      </c>
      <c r="U47" s="163">
        <f t="shared" si="28"/>
        <v>632.77531743945292</v>
      </c>
      <c r="V47" s="163">
        <f t="shared" si="28"/>
        <v>2605.5026802737302</v>
      </c>
      <c r="W47" s="163">
        <f t="shared" si="28"/>
        <v>1760.5883079169244</v>
      </c>
      <c r="X47" s="163">
        <f t="shared" si="28"/>
        <v>-343.75943430441907</v>
      </c>
      <c r="Y47" s="163">
        <f t="shared" si="28"/>
        <v>591.80185412168794</v>
      </c>
      <c r="Z47" s="163">
        <f t="shared" si="28"/>
        <v>2570.9286952387811</v>
      </c>
      <c r="AA47" s="163">
        <f t="shared" si="28"/>
        <v>1730.2037505335156</v>
      </c>
      <c r="AB47" s="163">
        <f t="shared" si="28"/>
        <v>-379.83369612208389</v>
      </c>
      <c r="AC47" s="163">
        <f t="shared" si="28"/>
        <v>583.27796711527299</v>
      </c>
      <c r="AD47" s="163">
        <f t="shared" si="28"/>
        <v>2536.3267625737144</v>
      </c>
      <c r="AE47" s="163">
        <f t="shared" si="28"/>
        <v>1699.7701179415126</v>
      </c>
      <c r="AF47" s="163">
        <f t="shared" si="28"/>
        <v>-399.74636989823694</v>
      </c>
      <c r="AG47" s="163">
        <f t="shared" si="28"/>
        <v>558.41160635822825</v>
      </c>
      <c r="AH47" s="163">
        <f t="shared" si="28"/>
        <v>2501.6929920776138</v>
      </c>
      <c r="AI47" s="163">
        <f t="shared" si="28"/>
        <v>1669.2836193163989</v>
      </c>
      <c r="AJ47" s="163">
        <f t="shared" si="28"/>
        <v>-419.76378408400706</v>
      </c>
      <c r="AK47" s="163">
        <f t="shared" si="28"/>
        <v>533.46188427295738</v>
      </c>
      <c r="AL47" s="163">
        <f t="shared" si="28"/>
        <v>2467.0234317125232</v>
      </c>
      <c r="AM47" s="163">
        <f t="shared" si="28"/>
        <v>1638.7404013866135</v>
      </c>
      <c r="AN47" s="163">
        <f t="shared" si="28"/>
        <v>-424.09790155127894</v>
      </c>
      <c r="AO47" s="163">
        <f t="shared" si="28"/>
        <v>492.63342006265384</v>
      </c>
      <c r="AP47" s="163">
        <f t="shared" ref="AP47:BU47" si="29" xml:space="preserve"> AP42 + SUM(AP44:AP46)</f>
        <v>2432.3140662750347</v>
      </c>
      <c r="AQ47" s="163">
        <f t="shared" si="29"/>
        <v>1608.1365471058693</v>
      </c>
      <c r="AR47" s="163">
        <f t="shared" si="29"/>
        <v>-460.12724158178753</v>
      </c>
      <c r="AS47" s="163">
        <f t="shared" si="29"/>
        <v>483.29725903999133</v>
      </c>
      <c r="AT47" s="163">
        <f t="shared" si="29"/>
        <v>2397.5608160415477</v>
      </c>
      <c r="AU47" s="163">
        <f t="shared" si="29"/>
        <v>1577.4680742990445</v>
      </c>
      <c r="AV47" s="163">
        <f t="shared" si="29"/>
        <v>-480.48065247556679</v>
      </c>
      <c r="AW47" s="163">
        <f t="shared" si="29"/>
        <v>458.07464252200998</v>
      </c>
      <c r="AX47" s="163">
        <f t="shared" si="29"/>
        <v>2362.7595353866018</v>
      </c>
      <c r="AY47" s="163">
        <f t="shared" si="29"/>
        <v>1546.7309342811427</v>
      </c>
      <c r="AZ47" s="163">
        <f t="shared" si="29"/>
        <v>-500.95354165860044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198694.85994453903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-829.95288371758306</v>
      </c>
      <c r="N50" s="163">
        <f t="shared" si="32"/>
        <v>2674.5820668617289</v>
      </c>
      <c r="O50" s="163">
        <f t="shared" si="32"/>
        <v>1821.2250559063114</v>
      </c>
      <c r="P50" s="163">
        <f t="shared" si="32"/>
        <v>-320.68920602530125</v>
      </c>
      <c r="Q50" s="163">
        <f t="shared" si="32"/>
        <v>657.41350787702822</v>
      </c>
      <c r="R50" s="163">
        <f t="shared" si="32"/>
        <v>2640.0525473449852</v>
      </c>
      <c r="S50" s="163">
        <f t="shared" si="32"/>
        <v>1790.9275197710276</v>
      </c>
      <c r="T50" s="163">
        <f t="shared" si="32"/>
        <v>-340.30854351019161</v>
      </c>
      <c r="U50" s="163">
        <f t="shared" si="32"/>
        <v>632.77531743945292</v>
      </c>
      <c r="V50" s="163">
        <f t="shared" si="32"/>
        <v>2605.5026802737302</v>
      </c>
      <c r="W50" s="163">
        <f t="shared" si="32"/>
        <v>1760.5883079169244</v>
      </c>
      <c r="X50" s="163">
        <f t="shared" si="32"/>
        <v>-343.75943430441907</v>
      </c>
      <c r="Y50" s="163">
        <f t="shared" si="32"/>
        <v>591.80185412168794</v>
      </c>
      <c r="Z50" s="163">
        <f t="shared" si="32"/>
        <v>2570.9286952387811</v>
      </c>
      <c r="AA50" s="163">
        <f t="shared" si="32"/>
        <v>1730.2037505335156</v>
      </c>
      <c r="AB50" s="163">
        <f t="shared" si="32"/>
        <v>-379.83369612208389</v>
      </c>
      <c r="AC50" s="163">
        <f t="shared" si="32"/>
        <v>583.27796711527299</v>
      </c>
      <c r="AD50" s="163">
        <f t="shared" si="32"/>
        <v>2536.3267625737144</v>
      </c>
      <c r="AE50" s="163">
        <f t="shared" si="32"/>
        <v>1699.7701179415126</v>
      </c>
      <c r="AF50" s="163">
        <f t="shared" si="32"/>
        <v>-399.74636989823694</v>
      </c>
      <c r="AG50" s="163">
        <f t="shared" si="32"/>
        <v>558.41160635822825</v>
      </c>
      <c r="AH50" s="163">
        <f t="shared" si="32"/>
        <v>2501.6929920776138</v>
      </c>
      <c r="AI50" s="163">
        <f t="shared" si="32"/>
        <v>1669.2836193163989</v>
      </c>
      <c r="AJ50" s="163">
        <f t="shared" si="32"/>
        <v>-419.76378408400706</v>
      </c>
      <c r="AK50" s="163">
        <f t="shared" si="32"/>
        <v>533.46188427295738</v>
      </c>
      <c r="AL50" s="163">
        <f t="shared" si="32"/>
        <v>2467.0234317125232</v>
      </c>
      <c r="AM50" s="163">
        <f t="shared" si="32"/>
        <v>1638.7404013866135</v>
      </c>
      <c r="AN50" s="163">
        <f t="shared" si="32"/>
        <v>-424.09790155127894</v>
      </c>
      <c r="AO50" s="163">
        <f t="shared" si="32"/>
        <v>492.63342006265384</v>
      </c>
      <c r="AP50" s="163">
        <f t="shared" ref="AP50:BU50" si="33" xml:space="preserve"> AP47 + AP49</f>
        <v>2432.3140662750347</v>
      </c>
      <c r="AQ50" s="163">
        <f t="shared" si="33"/>
        <v>1608.1365471058693</v>
      </c>
      <c r="AR50" s="163">
        <f t="shared" si="33"/>
        <v>-460.12724158178753</v>
      </c>
      <c r="AS50" s="163">
        <f t="shared" si="33"/>
        <v>483.29725903999133</v>
      </c>
      <c r="AT50" s="163">
        <f t="shared" si="33"/>
        <v>2397.5608160415477</v>
      </c>
      <c r="AU50" s="163">
        <f t="shared" si="33"/>
        <v>1577.4680742990445</v>
      </c>
      <c r="AV50" s="163">
        <f t="shared" si="33"/>
        <v>-480.48065247556679</v>
      </c>
      <c r="AW50" s="163">
        <f t="shared" si="33"/>
        <v>458.07464252200998</v>
      </c>
      <c r="AX50" s="163">
        <f t="shared" si="33"/>
        <v>2362.7595353866018</v>
      </c>
      <c r="AY50" s="163">
        <f t="shared" si="33"/>
        <v>1546.7309342811427</v>
      </c>
      <c r="AZ50" s="163">
        <f t="shared" si="33"/>
        <v>-500.95354165860044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-198694.8599445392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-1844.6291831441458</v>
      </c>
      <c r="O52" s="191">
        <f xml:space="preserve"> Equity!O$70</f>
        <v>-1821.2250559063114</v>
      </c>
      <c r="P52" s="191">
        <f xml:space="preserve"> Equity!P$70</f>
        <v>0</v>
      </c>
      <c r="Q52" s="191">
        <f xml:space="preserve"> Equity!Q$70</f>
        <v>-336.72430185172698</v>
      </c>
      <c r="R52" s="191">
        <f xml:space="preserve"> Equity!R$70</f>
        <v>-2640.0525473449852</v>
      </c>
      <c r="S52" s="191">
        <f xml:space="preserve"> Equity!S$70</f>
        <v>-1790.9275197710276</v>
      </c>
      <c r="T52" s="191">
        <f xml:space="preserve"> Equity!T$70</f>
        <v>0</v>
      </c>
      <c r="U52" s="191">
        <f xml:space="preserve"> Equity!U$70</f>
        <v>-292.46677392926131</v>
      </c>
      <c r="V52" s="191">
        <f xml:space="preserve"> Equity!V$70</f>
        <v>-2605.5026802737302</v>
      </c>
      <c r="W52" s="191">
        <f xml:space="preserve"> Equity!W$70</f>
        <v>-1760.5883079169244</v>
      </c>
      <c r="X52" s="191">
        <f xml:space="preserve"> Equity!X$70</f>
        <v>0</v>
      </c>
      <c r="Y52" s="191">
        <f xml:space="preserve"> Equity!Y$70</f>
        <v>-248.04241981726886</v>
      </c>
      <c r="Z52" s="191">
        <f xml:space="preserve"> Equity!Z$70</f>
        <v>-2570.9286952387811</v>
      </c>
      <c r="AA52" s="191">
        <f xml:space="preserve"> Equity!AA$70</f>
        <v>-1730.2037505335156</v>
      </c>
      <c r="AB52" s="191">
        <f xml:space="preserve"> Equity!AB$70</f>
        <v>0</v>
      </c>
      <c r="AC52" s="191">
        <f xml:space="preserve"> Equity!AC$70</f>
        <v>-203.44427099318909</v>
      </c>
      <c r="AD52" s="191">
        <f xml:space="preserve"> Equity!AD$70</f>
        <v>-2536.3267625737144</v>
      </c>
      <c r="AE52" s="191">
        <f xml:space="preserve"> Equity!AE$70</f>
        <v>-1699.7701179415126</v>
      </c>
      <c r="AF52" s="191">
        <f xml:space="preserve"> Equity!AF$70</f>
        <v>0</v>
      </c>
      <c r="AG52" s="191">
        <f xml:space="preserve"> Equity!AG$70</f>
        <v>-158.66523645999132</v>
      </c>
      <c r="AH52" s="191">
        <f xml:space="preserve"> Equity!AH$70</f>
        <v>-2501.6929920776138</v>
      </c>
      <c r="AI52" s="191">
        <f xml:space="preserve"> Equity!AI$70</f>
        <v>-1669.2836193163989</v>
      </c>
      <c r="AJ52" s="191">
        <f xml:space="preserve"> Equity!AJ$70</f>
        <v>0</v>
      </c>
      <c r="AK52" s="191">
        <f xml:space="preserve"> Equity!AK$70</f>
        <v>-113.69810018895032</v>
      </c>
      <c r="AL52" s="191">
        <f xml:space="preserve"> Equity!AL$70</f>
        <v>-2467.0234317125232</v>
      </c>
      <c r="AM52" s="191">
        <f xml:space="preserve"> Equity!AM$70</f>
        <v>-1638.7404013866135</v>
      </c>
      <c r="AN52" s="191">
        <f xml:space="preserve"> Equity!AN$70</f>
        <v>0</v>
      </c>
      <c r="AO52" s="191">
        <f xml:space="preserve"> Equity!AO$70</f>
        <v>-68.535518511374903</v>
      </c>
      <c r="AP52" s="191">
        <f xml:space="preserve"> Equity!AP$70</f>
        <v>-2432.3140662750347</v>
      </c>
      <c r="AQ52" s="191">
        <f xml:space="preserve"> Equity!AQ$70</f>
        <v>-1608.1365471058693</v>
      </c>
      <c r="AR52" s="191">
        <f xml:space="preserve"> Equity!AR$70</f>
        <v>0</v>
      </c>
      <c r="AS52" s="191">
        <f xml:space="preserve"> Equity!AS$70</f>
        <v>-23.170017458203802</v>
      </c>
      <c r="AT52" s="191">
        <f xml:space="preserve"> Equity!AT$70</f>
        <v>-2397.5608160415477</v>
      </c>
      <c r="AU52" s="191">
        <f xml:space="preserve"> Equity!AU$70</f>
        <v>-1577.4680742990445</v>
      </c>
      <c r="AV52" s="191">
        <f xml:space="preserve"> Equity!AV$70</f>
        <v>0</v>
      </c>
      <c r="AW52" s="191">
        <f xml:space="preserve"> Equity!AW$70</f>
        <v>0</v>
      </c>
      <c r="AX52" s="191">
        <f xml:space="preserve"> Equity!AX$70</f>
        <v>-2340.353525433045</v>
      </c>
      <c r="AY52" s="191">
        <f xml:space="preserve"> Equity!AY$70</f>
        <v>-1546.7309342811427</v>
      </c>
      <c r="AZ52" s="191">
        <f xml:space="preserve"> Equity!AZ$70</f>
        <v>0</v>
      </c>
      <c r="BA52" s="191">
        <f xml:space="preserve"> Equity!BA$70</f>
        <v>-2281.104225580571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-997.16557094821565</v>
      </c>
      <c r="CG52" s="191">
        <f xml:space="preserve"> Equity!CG$70</f>
        <v>-3215.2918151892914</v>
      </c>
      <c r="CH52" s="191">
        <f xml:space="preserve"> Equity!CH$70</f>
        <v>-3644.8654433561746</v>
      </c>
      <c r="CI52" s="191">
        <f xml:space="preserve"> Equity!CI$70</f>
        <v>-688.2938422482373</v>
      </c>
      <c r="CJ52" s="191">
        <f xml:space="preserve"> Equity!CJ$70</f>
        <v>-685.56828126387177</v>
      </c>
      <c r="CK52" s="191">
        <f xml:space="preserve"> Equity!CK$70</f>
        <v>-3180.7598719061207</v>
      </c>
      <c r="CL52" s="191">
        <f xml:space="preserve"> Equity!CL$70</f>
        <v>-3608.1285161322548</v>
      </c>
      <c r="CM52" s="191">
        <f xml:space="preserve"> Equity!CM$70</f>
        <v>-666.1980857529968</v>
      </c>
      <c r="CN52" s="191">
        <f xml:space="preserve"> Equity!CN$70</f>
        <v>-663.41760335031267</v>
      </c>
      <c r="CO52" s="191">
        <f xml:space="preserve"> Equity!CO$70</f>
        <v>-3146.1264816515713</v>
      </c>
      <c r="CP52" s="191">
        <f xml:space="preserve"> Equity!CP$70</f>
        <v>-3571.2997457678912</v>
      </c>
      <c r="CQ52" s="191">
        <f xml:space="preserve"> Equity!CQ$70</f>
        <v>-643.93627140228477</v>
      </c>
      <c r="CR52" s="191">
        <f xml:space="preserve"> Equity!CR$70</f>
        <v>-641.09976088720737</v>
      </c>
      <c r="CS52" s="191">
        <f xml:space="preserve"> Equity!CS$70</f>
        <v>-3111.3866430593139</v>
      </c>
      <c r="CT52" s="191">
        <f xml:space="preserve"> Equity!CT$70</f>
        <v>-3534.3740555861154</v>
      </c>
      <c r="CU52" s="191">
        <f xml:space="preserve"> Equity!CU$70</f>
        <v>-621.50366407852607</v>
      </c>
      <c r="CV52" s="191">
        <f xml:space="preserve"> Equity!CV$70</f>
        <v>-618.60999645654147</v>
      </c>
      <c r="CW52" s="191">
        <f xml:space="preserve"> Equity!CW$70</f>
        <v>-3076.5352686952124</v>
      </c>
      <c r="CX52" s="191">
        <f xml:space="preserve"> Equity!CX$70</f>
        <v>-3497.3462826620776</v>
      </c>
      <c r="CY52" s="191">
        <f xml:space="preserve"> Equity!CY$70</f>
        <v>-598.89544015944682</v>
      </c>
      <c r="CZ52" s="191">
        <f xml:space="preserve"> Equity!CZ$70</f>
        <v>-595.94346368623735</v>
      </c>
      <c r="DA52" s="191">
        <f xml:space="preserve"> Equity!DA$70</f>
        <v>-3041.5671832498315</v>
      </c>
      <c r="DB52" s="191">
        <f xml:space="preserve"> Equity!DB$70</f>
        <v>-3460.211176005274</v>
      </c>
      <c r="DC52" s="191">
        <f xml:space="preserve"> Equity!DC$70</f>
        <v>-576.10668570028372</v>
      </c>
      <c r="DD52" s="191">
        <f xml:space="preserve"> Equity!DD$70</f>
        <v>-573.09522542330535</v>
      </c>
      <c r="DE52" s="191">
        <f xml:space="preserve"> Equity!DE$70</f>
        <v>-3006.4771216948616</v>
      </c>
      <c r="DF52" s="191">
        <f xml:space="preserve"> Equity!DF$70</f>
        <v>-3422.9633947055186</v>
      </c>
      <c r="DG52" s="191">
        <f xml:space="preserve"> Equity!DG$70</f>
        <v>-553.13239457952693</v>
      </c>
      <c r="DH52" s="191">
        <f xml:space="preserve"> Equity!DH$70</f>
        <v>0</v>
      </c>
      <c r="DI52" s="191">
        <f xml:space="preserve"> Equity!DI$70</f>
        <v>-550.06025187003934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-829.95288371758306</v>
      </c>
      <c r="N53" s="163">
        <f t="shared" si="36"/>
        <v>829.95288371758306</v>
      </c>
      <c r="O53" s="163">
        <f t="shared" si="36"/>
        <v>0</v>
      </c>
      <c r="P53" s="163">
        <f t="shared" si="36"/>
        <v>-320.68920602530125</v>
      </c>
      <c r="Q53" s="163">
        <f t="shared" si="36"/>
        <v>320.68920602530125</v>
      </c>
      <c r="R53" s="163">
        <f t="shared" si="36"/>
        <v>0</v>
      </c>
      <c r="S53" s="163">
        <f t="shared" si="36"/>
        <v>0</v>
      </c>
      <c r="T53" s="163">
        <f t="shared" si="36"/>
        <v>-340.30854351019161</v>
      </c>
      <c r="U53" s="163">
        <f t="shared" si="36"/>
        <v>340.30854351019161</v>
      </c>
      <c r="V53" s="163">
        <f t="shared" si="36"/>
        <v>0</v>
      </c>
      <c r="W53" s="163">
        <f t="shared" si="36"/>
        <v>0</v>
      </c>
      <c r="X53" s="163">
        <f t="shared" si="36"/>
        <v>-343.75943430441907</v>
      </c>
      <c r="Y53" s="163">
        <f t="shared" si="36"/>
        <v>343.75943430441907</v>
      </c>
      <c r="Z53" s="163">
        <f t="shared" si="36"/>
        <v>0</v>
      </c>
      <c r="AA53" s="163">
        <f t="shared" si="36"/>
        <v>0</v>
      </c>
      <c r="AB53" s="163">
        <f t="shared" si="36"/>
        <v>-379.83369612208389</v>
      </c>
      <c r="AC53" s="163">
        <f t="shared" si="36"/>
        <v>379.83369612208389</v>
      </c>
      <c r="AD53" s="163">
        <f t="shared" si="36"/>
        <v>0</v>
      </c>
      <c r="AE53" s="163">
        <f t="shared" si="36"/>
        <v>0</v>
      </c>
      <c r="AF53" s="163">
        <f t="shared" si="36"/>
        <v>-399.74636989823694</v>
      </c>
      <c r="AG53" s="163">
        <f t="shared" si="36"/>
        <v>399.74636989823694</v>
      </c>
      <c r="AH53" s="163">
        <f t="shared" si="36"/>
        <v>0</v>
      </c>
      <c r="AI53" s="163">
        <f t="shared" si="36"/>
        <v>0</v>
      </c>
      <c r="AJ53" s="163">
        <f t="shared" si="36"/>
        <v>-419.76378408400706</v>
      </c>
      <c r="AK53" s="163">
        <f t="shared" si="36"/>
        <v>419.76378408400706</v>
      </c>
      <c r="AL53" s="163">
        <f t="shared" si="36"/>
        <v>0</v>
      </c>
      <c r="AM53" s="163">
        <f t="shared" si="36"/>
        <v>0</v>
      </c>
      <c r="AN53" s="163">
        <f t="shared" si="36"/>
        <v>-424.09790155127894</v>
      </c>
      <c r="AO53" s="163">
        <f t="shared" si="36"/>
        <v>424.09790155127894</v>
      </c>
      <c r="AP53" s="163">
        <f t="shared" si="36"/>
        <v>0</v>
      </c>
      <c r="AQ53" s="163">
        <f t="shared" si="36"/>
        <v>0</v>
      </c>
      <c r="AR53" s="163">
        <f t="shared" si="36"/>
        <v>-460.12724158178753</v>
      </c>
      <c r="AS53" s="163">
        <f t="shared" si="36"/>
        <v>460.12724158178753</v>
      </c>
      <c r="AT53" s="163">
        <f t="shared" si="36"/>
        <v>0</v>
      </c>
      <c r="AU53" s="163">
        <f t="shared" si="36"/>
        <v>0</v>
      </c>
      <c r="AV53" s="163">
        <f t="shared" si="36"/>
        <v>-480.48065247556679</v>
      </c>
      <c r="AW53" s="163">
        <f t="shared" si="36"/>
        <v>458.07464252200998</v>
      </c>
      <c r="AX53" s="163">
        <f t="shared" si="36"/>
        <v>22.406009953556804</v>
      </c>
      <c r="AY53" s="163">
        <f t="shared" si="36"/>
        <v>0</v>
      </c>
      <c r="AZ53" s="163">
        <f t="shared" si="36"/>
        <v>-500.95354165860044</v>
      </c>
      <c r="BA53" s="163">
        <f t="shared" si="36"/>
        <v>500.95354165860044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682.62348859982194</v>
      </c>
      <c r="CG53" s="163">
        <f t="shared" si="37"/>
        <v>-639.86040656765772</v>
      </c>
      <c r="CH53" s="163">
        <f t="shared" si="37"/>
        <v>751.1072171177816</v>
      </c>
      <c r="CI53" s="163">
        <f t="shared" si="37"/>
        <v>2927.3145221423028</v>
      </c>
      <c r="CJ53" s="163">
        <f t="shared" si="37"/>
        <v>986.84562253651734</v>
      </c>
      <c r="CK53" s="163">
        <f t="shared" si="37"/>
        <v>-646.08429782652638</v>
      </c>
      <c r="CL53" s="163">
        <f t="shared" si="37"/>
        <v>752.31900715687061</v>
      </c>
      <c r="CM53" s="163">
        <f t="shared" si="37"/>
        <v>2917.7481124787846</v>
      </c>
      <c r="CN53" s="163">
        <f t="shared" si="37"/>
        <v>972.74934448173826</v>
      </c>
      <c r="CO53" s="163">
        <f t="shared" si="37"/>
        <v>-623.63875662238115</v>
      </c>
      <c r="CP53" s="163">
        <f t="shared" si="37"/>
        <v>753.5242347539106</v>
      </c>
      <c r="CQ53" s="163">
        <f t="shared" si="37"/>
        <v>2908.2297446332832</v>
      </c>
      <c r="CR53" s="163">
        <f t="shared" si="37"/>
        <v>973.00945534690459</v>
      </c>
      <c r="CS53" s="163">
        <f t="shared" si="37"/>
        <v>-615.58924187459388</v>
      </c>
      <c r="CT53" s="163">
        <f t="shared" si="37"/>
        <v>754.72292180483464</v>
      </c>
      <c r="CU53" s="163">
        <f t="shared" si="37"/>
        <v>2898.7591886139699</v>
      </c>
      <c r="CV53" s="163">
        <f t="shared" si="37"/>
        <v>973.27078158012</v>
      </c>
      <c r="CW53" s="163">
        <f t="shared" si="37"/>
        <v>-607.58034452175207</v>
      </c>
      <c r="CX53" s="163">
        <f t="shared" si="37"/>
        <v>755.91508987996394</v>
      </c>
      <c r="CY53" s="163">
        <f t="shared" si="37"/>
        <v>2889.3362157550496</v>
      </c>
      <c r="CZ53" s="163">
        <f t="shared" si="37"/>
        <v>987.39869443587997</v>
      </c>
      <c r="DA53" s="163">
        <f t="shared" si="37"/>
        <v>-613.47720070860805</v>
      </c>
      <c r="DB53" s="163">
        <f t="shared" si="37"/>
        <v>757.10076022125941</v>
      </c>
      <c r="DC53" s="163">
        <f t="shared" si="37"/>
        <v>2879.9605987138343</v>
      </c>
      <c r="DD53" s="163">
        <f t="shared" si="37"/>
        <v>973.79725902857933</v>
      </c>
      <c r="DE53" s="163">
        <f t="shared" si="37"/>
        <v>-591.68364082203198</v>
      </c>
      <c r="DF53" s="163">
        <f t="shared" si="37"/>
        <v>758.27995373950353</v>
      </c>
      <c r="DG53" s="163">
        <f t="shared" si="37"/>
        <v>2870.6321114678963</v>
      </c>
      <c r="DH53" s="163">
        <f t="shared" si="37"/>
        <v>-28475.877246436692</v>
      </c>
      <c r="DI53" s="163">
        <f t="shared" si="37"/>
        <v>689.14681089142687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-829.95288371758306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-320.68920602530125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-340.30854351019161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-343.75943430441907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-379.83369612208389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-399.74636989823694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-419.76378408400706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-424.09790155127894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-460.12724158178753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-480.48065247556679</v>
      </c>
      <c r="AW63" s="191">
        <f xml:space="preserve"> Equity!AW$52</f>
        <v>-22.406009953556804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-500.95354165860044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682.62348859982194</v>
      </c>
      <c r="CG63" s="191">
        <f xml:space="preserve"> Equity!CG$52</f>
        <v>42.76308203216422</v>
      </c>
      <c r="CH63" s="191">
        <f xml:space="preserve"> Equity!CH$52</f>
        <v>793.87029914994537</v>
      </c>
      <c r="CI63" s="191">
        <f xml:space="preserve"> Equity!CI$52</f>
        <v>3721.1848212922478</v>
      </c>
      <c r="CJ63" s="191">
        <f xml:space="preserve"> Equity!CJ$52</f>
        <v>4708.0304438287658</v>
      </c>
      <c r="CK63" s="191">
        <f xml:space="preserve"> Equity!CK$52</f>
        <v>4061.9461460022394</v>
      </c>
      <c r="CL63" s="191">
        <f xml:space="preserve"> Equity!CL$52</f>
        <v>4814.26515315911</v>
      </c>
      <c r="CM63" s="191">
        <f xml:space="preserve"> Equity!CM$52</f>
        <v>7732.0132656378946</v>
      </c>
      <c r="CN63" s="191">
        <f xml:space="preserve"> Equity!CN$52</f>
        <v>8704.7626101196329</v>
      </c>
      <c r="CO63" s="191">
        <f xml:space="preserve"> Equity!CO$52</f>
        <v>8081.1238534972517</v>
      </c>
      <c r="CP63" s="191">
        <f xml:space="preserve"> Equity!CP$52</f>
        <v>8834.6480882511642</v>
      </c>
      <c r="CQ63" s="191">
        <f xml:space="preserve"> Equity!CQ$52</f>
        <v>11742.877832884447</v>
      </c>
      <c r="CR63" s="191">
        <f xml:space="preserve"> Equity!CR$52</f>
        <v>12715.887288231352</v>
      </c>
      <c r="CS63" s="191">
        <f xml:space="preserve"> Equity!CS$52</f>
        <v>12100.298046356758</v>
      </c>
      <c r="CT63" s="191">
        <f xml:space="preserve"> Equity!CT$52</f>
        <v>12855.020968161592</v>
      </c>
      <c r="CU63" s="191">
        <f xml:space="preserve"> Equity!CU$52</f>
        <v>15753.780156775563</v>
      </c>
      <c r="CV63" s="191">
        <f xml:space="preserve"> Equity!CV$52</f>
        <v>16727.050938355686</v>
      </c>
      <c r="CW63" s="191">
        <f xml:space="preserve"> Equity!CW$52</f>
        <v>16119.470593833934</v>
      </c>
      <c r="CX63" s="191">
        <f xml:space="preserve"> Equity!CX$52</f>
        <v>16875.385683713899</v>
      </c>
      <c r="CY63" s="191">
        <f xml:space="preserve"> Equity!CY$52</f>
        <v>19764.72189946895</v>
      </c>
      <c r="CZ63" s="191">
        <f xml:space="preserve"> Equity!CZ$52</f>
        <v>20752.120593904827</v>
      </c>
      <c r="DA63" s="191">
        <f xml:space="preserve"> Equity!DA$52</f>
        <v>20138.64339319622</v>
      </c>
      <c r="DB63" s="191">
        <f xml:space="preserve"> Equity!DB$52</f>
        <v>20895.74415341748</v>
      </c>
      <c r="DC63" s="191">
        <f xml:space="preserve"> Equity!DC$52</f>
        <v>23775.704752131314</v>
      </c>
      <c r="DD63" s="191">
        <f xml:space="preserve"> Equity!DD$52</f>
        <v>24749.502011159893</v>
      </c>
      <c r="DE63" s="191">
        <f xml:space="preserve"> Equity!DE$52</f>
        <v>24157.818370337864</v>
      </c>
      <c r="DF63" s="191">
        <f xml:space="preserve"> Equity!DF$52</f>
        <v>24916.098324077368</v>
      </c>
      <c r="DG63" s="191">
        <f xml:space="preserve"> Equity!DG$52</f>
        <v>27786.730435545265</v>
      </c>
      <c r="DH63" s="191">
        <f xml:space="preserve"> Equity!DH$52</f>
        <v>-689.14681089142687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2599.6899734252738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1308.1024606413653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1280.3796820287803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1251.1445107888783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1224.7683934687407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1196.8726247194991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1168.9118324510541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1139.3027379780583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1112.7799800563516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1084.6011600996962</v>
      </c>
      <c r="AW65" s="188">
        <f t="shared" si="43"/>
        <v>3256.6915778596158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1056.3417942371839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2179.0055348112428</v>
      </c>
      <c r="CG65" s="188">
        <f t="shared" si="44"/>
        <v>3177.9236332272144</v>
      </c>
      <c r="CH65" s="188">
        <f t="shared" si="44"/>
        <v>4176.8696290955922</v>
      </c>
      <c r="CI65" s="188">
        <f t="shared" si="44"/>
        <v>5177.7539772410673</v>
      </c>
      <c r="CJ65" s="188">
        <f t="shared" si="44"/>
        <v>6180.6058542385617</v>
      </c>
      <c r="CK65" s="188">
        <f t="shared" si="44"/>
        <v>7181.5088835097522</v>
      </c>
      <c r="CL65" s="188">
        <f t="shared" si="44"/>
        <v>8180.4336406672173</v>
      </c>
      <c r="CM65" s="188">
        <f t="shared" si="44"/>
        <v>9181.33580887055</v>
      </c>
      <c r="CN65" s="188">
        <f t="shared" si="44"/>
        <v>10186.292320979683</v>
      </c>
      <c r="CO65" s="188">
        <f t="shared" si="44"/>
        <v>11185.166378380349</v>
      </c>
      <c r="CP65" s="188">
        <f t="shared" si="44"/>
        <v>12184.069468856245</v>
      </c>
      <c r="CQ65" s="188">
        <f t="shared" si="44"/>
        <v>13184.989816200523</v>
      </c>
      <c r="CR65" s="188">
        <f t="shared" si="44"/>
        <v>14190.046204510007</v>
      </c>
      <c r="CS65" s="188">
        <f t="shared" si="44"/>
        <v>15188.897573603623</v>
      </c>
      <c r="CT65" s="188">
        <f t="shared" si="44"/>
        <v>16187.778560803465</v>
      </c>
      <c r="CU65" s="188">
        <f t="shared" si="44"/>
        <v>17188.717453607482</v>
      </c>
      <c r="CV65" s="188">
        <f t="shared" si="44"/>
        <v>18193.875730672757</v>
      </c>
      <c r="CW65" s="188">
        <f t="shared" si="44"/>
        <v>19192.703954278575</v>
      </c>
      <c r="CX65" s="188">
        <f t="shared" si="44"/>
        <v>20191.56239281029</v>
      </c>
      <c r="CY65" s="188">
        <f t="shared" si="44"/>
        <v>21192.520204774341</v>
      </c>
      <c r="CZ65" s="188">
        <f t="shared" si="44"/>
        <v>22195.608990477311</v>
      </c>
      <c r="DA65" s="188">
        <f t="shared" si="44"/>
        <v>23196.587035429693</v>
      </c>
      <c r="DB65" s="188">
        <f t="shared" ref="DB65:EA65" si="45">SUM(DB63:DB64)</f>
        <v>24195.422470926329</v>
      </c>
      <c r="DC65" s="188">
        <f t="shared" si="45"/>
        <v>25196.399583280956</v>
      </c>
      <c r="DD65" s="188">
        <f t="shared" si="45"/>
        <v>26201.767838557305</v>
      </c>
      <c r="DE65" s="188">
        <f t="shared" si="45"/>
        <v>27200.548362609978</v>
      </c>
      <c r="DF65" s="188">
        <f t="shared" si="45"/>
        <v>28199.360331548858</v>
      </c>
      <c r="DG65" s="188">
        <f t="shared" si="45"/>
        <v>29200.357133206599</v>
      </c>
      <c r="DH65" s="188">
        <f t="shared" si="45"/>
        <v>755.89381338460544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101599.68997342528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97308.10246064137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93280.379682028783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89251.144510788872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85224.768393468737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81196.872624719501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77168.911832451049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73139.302737978054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69112.779980056352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65084.601160099694</v>
      </c>
      <c r="AW67" s="163">
        <f t="shared" si="47"/>
        <v>66256.691577859616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61056.341794237182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30179.005534811244</v>
      </c>
      <c r="CG67" s="163">
        <f t="shared" si="48"/>
        <v>30177.923633227216</v>
      </c>
      <c r="CH67" s="163">
        <f t="shared" si="48"/>
        <v>30176.869629095592</v>
      </c>
      <c r="CI67" s="163">
        <f t="shared" si="48"/>
        <v>30177.753977241067</v>
      </c>
      <c r="CJ67" s="163">
        <f t="shared" si="48"/>
        <v>30180.605854238562</v>
      </c>
      <c r="CK67" s="163">
        <f t="shared" si="48"/>
        <v>30181.508883509752</v>
      </c>
      <c r="CL67" s="163">
        <f t="shared" si="48"/>
        <v>30180.433640667216</v>
      </c>
      <c r="CM67" s="163">
        <f t="shared" si="48"/>
        <v>30181.33580887055</v>
      </c>
      <c r="CN67" s="163">
        <f t="shared" si="48"/>
        <v>30186.292320979683</v>
      </c>
      <c r="CO67" s="163">
        <f t="shared" si="48"/>
        <v>30185.166378380349</v>
      </c>
      <c r="CP67" s="163">
        <f t="shared" si="48"/>
        <v>30184.069468856243</v>
      </c>
      <c r="CQ67" s="163">
        <f t="shared" si="48"/>
        <v>30184.989816200523</v>
      </c>
      <c r="CR67" s="163">
        <f t="shared" si="48"/>
        <v>30190.046204510007</v>
      </c>
      <c r="CS67" s="163">
        <f t="shared" si="48"/>
        <v>30188.897573603623</v>
      </c>
      <c r="CT67" s="163">
        <f t="shared" si="48"/>
        <v>30187.778560803465</v>
      </c>
      <c r="CU67" s="163">
        <f t="shared" si="48"/>
        <v>30188.717453607482</v>
      </c>
      <c r="CV67" s="163">
        <f t="shared" si="48"/>
        <v>30193.875730672757</v>
      </c>
      <c r="CW67" s="163">
        <f t="shared" si="48"/>
        <v>30192.703954278575</v>
      </c>
      <c r="CX67" s="163">
        <f t="shared" si="48"/>
        <v>30191.56239281029</v>
      </c>
      <c r="CY67" s="163">
        <f t="shared" si="48"/>
        <v>30192.520204774341</v>
      </c>
      <c r="CZ67" s="163">
        <f t="shared" si="48"/>
        <v>30195.608990477311</v>
      </c>
      <c r="DA67" s="163">
        <f t="shared" si="48"/>
        <v>30196.587035429693</v>
      </c>
      <c r="DB67" s="163">
        <f t="shared" ref="DB67:EA67" si="49" xml:space="preserve"> DB65 + DB60</f>
        <v>30195.422470926329</v>
      </c>
      <c r="DC67" s="163">
        <f t="shared" si="49"/>
        <v>30196.399583280956</v>
      </c>
      <c r="DD67" s="163">
        <f t="shared" si="49"/>
        <v>30201.767838557305</v>
      </c>
      <c r="DE67" s="163">
        <f t="shared" si="49"/>
        <v>30200.548362609978</v>
      </c>
      <c r="DF67" s="163">
        <f t="shared" si="49"/>
        <v>30199.360331548858</v>
      </c>
      <c r="DG67" s="163">
        <f t="shared" si="49"/>
        <v>30200.357133206599</v>
      </c>
      <c r="DH67" s="163">
        <f t="shared" si="49"/>
        <v>755.89381338460544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Debt!E$72</f>
        <v>Senior debt balance</v>
      </c>
      <c r="F70" s="191">
        <f xml:space="preserve"> Debt!F$72</f>
        <v>0</v>
      </c>
      <c r="G70" s="191" t="str">
        <f xml:space="preserve"> Debt!G$72</f>
        <v>$ 000s</v>
      </c>
      <c r="H70" s="191">
        <f xml:space="preserve"> Debt!H$72</f>
        <v>0</v>
      </c>
      <c r="I70" s="191">
        <f xml:space="preserve"> Debt!I$72</f>
        <v>0</v>
      </c>
      <c r="J70" s="191">
        <f xml:space="preserve"> Debt!J$72</f>
        <v>0</v>
      </c>
      <c r="K70" s="191">
        <f xml:space="preserve"> Debt!K$72</f>
        <v>0</v>
      </c>
      <c r="L70" s="191">
        <f xml:space="preserve"> Debt!L$72</f>
        <v>70000</v>
      </c>
      <c r="M70" s="191">
        <f xml:space="preserve"> Debt!M$72</f>
        <v>68712.362134597439</v>
      </c>
      <c r="N70" s="191">
        <f xml:space="preserve"> Debt!N$72</f>
        <v>67416.647155258703</v>
      </c>
      <c r="O70" s="191">
        <f xml:space="preserve"> Debt!O$72</f>
        <v>66101.064546236768</v>
      </c>
      <c r="P70" s="191">
        <f xml:space="preserve"> Debt!P$72</f>
        <v>64743.27598236109</v>
      </c>
      <c r="Q70" s="191">
        <f xml:space="preserve"> Debt!Q$72</f>
        <v>63375.911136024333</v>
      </c>
      <c r="R70" s="191">
        <f xml:space="preserve"> Debt!R$72</f>
        <v>61998.370574707478</v>
      </c>
      <c r="S70" s="191">
        <f xml:space="preserve"> Debt!S$72</f>
        <v>60599.707724783759</v>
      </c>
      <c r="T70" s="191">
        <f xml:space="preserve"> Debt!T$72</f>
        <v>59159.39880858628</v>
      </c>
      <c r="U70" s="191">
        <f xml:space="preserve"> Debt!U$72</f>
        <v>57707.345158447271</v>
      </c>
      <c r="V70" s="191">
        <f xml:space="preserve"> Debt!V$72</f>
        <v>56242.886585474233</v>
      </c>
      <c r="W70" s="191">
        <f xml:space="preserve"> Debt!W$72</f>
        <v>54755.972981048937</v>
      </c>
      <c r="X70" s="191">
        <f xml:space="preserve"> Debt!X$72</f>
        <v>53237.134039192279</v>
      </c>
      <c r="Y70" s="191">
        <f xml:space="preserve"> Debt!Y$72</f>
        <v>51695.259373384128</v>
      </c>
      <c r="Z70" s="191">
        <f xml:space="preserve"> Debt!Z$72</f>
        <v>50138.615485040122</v>
      </c>
      <c r="AA70" s="191">
        <f xml:space="preserve"> Debt!AA$72</f>
        <v>48558.103057074841</v>
      </c>
      <c r="AB70" s="191">
        <f xml:space="preserve"> Debt!AB$72</f>
        <v>46937.170070861728</v>
      </c>
      <c r="AC70" s="191">
        <f xml:space="preserve"> Debt!AC$72</f>
        <v>45299.7459515339</v>
      </c>
      <c r="AD70" s="191">
        <f xml:space="preserve"> Debt!AD$72</f>
        <v>43645.037524054853</v>
      </c>
      <c r="AE70" s="191">
        <f xml:space="preserve"> Debt!AE$72</f>
        <v>41964.956900687794</v>
      </c>
      <c r="AF70" s="191">
        <f xml:space="preserve"> Debt!AF$72</f>
        <v>40245.12672212888</v>
      </c>
      <c r="AG70" s="191">
        <f xml:space="preserve"> Debt!AG$72</f>
        <v>38506.206612011934</v>
      </c>
      <c r="AH70" s="191">
        <f xml:space="preserve"> Debt!AH$72</f>
        <v>36747.330581326889</v>
      </c>
      <c r="AI70" s="191">
        <f xml:space="preserve"> Debt!AI$72</f>
        <v>34961.485118171338</v>
      </c>
      <c r="AJ70" s="191">
        <f xml:space="preserve"> Debt!AJ$72</f>
        <v>33136.602862874679</v>
      </c>
      <c r="AK70" s="191">
        <f xml:space="preserve"> Debt!AK$72</f>
        <v>31289.870140892381</v>
      </c>
      <c r="AL70" s="191">
        <f xml:space="preserve"> Debt!AL$72</f>
        <v>29420.343617650164</v>
      </c>
      <c r="AM70" s="191">
        <f xml:space="preserve"> Debt!AM$72</f>
        <v>27522.151021051566</v>
      </c>
      <c r="AN70" s="191">
        <f xml:space="preserve"> Debt!AN$72</f>
        <v>25590.265779468282</v>
      </c>
      <c r="AO70" s="191">
        <f xml:space="preserve"> Debt!AO$72</f>
        <v>23629.080278387653</v>
      </c>
      <c r="AP70" s="191">
        <f xml:space="preserve"> Debt!AP$72</f>
        <v>21642.088310587031</v>
      </c>
      <c r="AQ70" s="191">
        <f xml:space="preserve"> Debt!AQ$72</f>
        <v>19624.629132613467</v>
      </c>
      <c r="AR70" s="191">
        <f xml:space="preserve"> Debt!AR$72</f>
        <v>17569.694037533438</v>
      </c>
      <c r="AS70" s="191">
        <f xml:space="preserve"> Debt!AS$72</f>
        <v>15486.863198366796</v>
      </c>
      <c r="AT70" s="191">
        <f xml:space="preserve"> Debt!AT$72</f>
        <v>13375.023902005856</v>
      </c>
      <c r="AU70" s="191">
        <f xml:space="preserve"> Debt!AU$72</f>
        <v>11230.80306976738</v>
      </c>
      <c r="AV70" s="191">
        <f xml:space="preserve"> Debt!AV$72</f>
        <v>9049.9605837446597</v>
      </c>
      <c r="AW70" s="191">
        <f xml:space="preserve"> Debt!AW$72</f>
        <v>6837.9137871955554</v>
      </c>
      <c r="AX70" s="191">
        <f xml:space="preserve"> Debt!AX$72</f>
        <v>4593.4572665299893</v>
      </c>
      <c r="AY70" s="191">
        <f xml:space="preserve"> Debt!AY$72</f>
        <v>2314.5857458808841</v>
      </c>
      <c r="AZ70" s="191">
        <f xml:space="preserve"> Debt!AZ$72</f>
        <v>-1.3415046851150692E-10</v>
      </c>
      <c r="BA70" s="191">
        <f xml:space="preserve"> Debt!BA$72</f>
        <v>-1.3618508395059811E-10</v>
      </c>
      <c r="BB70" s="191">
        <f xml:space="preserve"> Debt!BB$72</f>
        <v>-1.3827325523784061E-10</v>
      </c>
      <c r="BC70" s="191">
        <f xml:space="preserve"> Debt!BC$72</f>
        <v>-1.4039344515148752E-10</v>
      </c>
      <c r="BD70" s="191">
        <f xml:space="preserve"> Debt!BD$72</f>
        <v>-1.4252274573628509E-10</v>
      </c>
      <c r="BE70" s="191">
        <f xml:space="preserve"> Debt!BE$72</f>
        <v>-1.446843407132854E-10</v>
      </c>
      <c r="BF70" s="191">
        <f xml:space="preserve"> Debt!BF$72</f>
        <v>-1.4690283393755577E-10</v>
      </c>
      <c r="BG70" s="191">
        <f xml:space="preserve"> Debt!BG$72</f>
        <v>-1.4915534405793163E-10</v>
      </c>
      <c r="BH70" s="191">
        <f xml:space="preserve"> Debt!BH$72</f>
        <v>-1.5139267421880061E-10</v>
      </c>
      <c r="BI70" s="191">
        <f xml:space="preserve"> Debt!BI$72</f>
        <v>-1.5368879644445241E-10</v>
      </c>
      <c r="BJ70" s="191">
        <f xml:space="preserve"> Debt!BJ$72</f>
        <v>-1.56045357989934E-10</v>
      </c>
      <c r="BK70" s="191">
        <f xml:space="preserve"> Debt!BK$72</f>
        <v>-1.5843805347911299E-10</v>
      </c>
      <c r="BL70" s="191">
        <f xml:space="preserve"> Debt!BL$72</f>
        <v>-1.6081462428129969E-10</v>
      </c>
      <c r="BM70" s="191">
        <f xml:space="preserve"> Debt!BM$72</f>
        <v>-1.632536460828994E-10</v>
      </c>
      <c r="BN70" s="191">
        <f xml:space="preserve"> Debt!BN$72</f>
        <v>-1.6575686865617051E-10</v>
      </c>
      <c r="BO70" s="191">
        <f xml:space="preserve"> Debt!BO$72</f>
        <v>-1.6829847397556512E-10</v>
      </c>
      <c r="BP70" s="191">
        <f xml:space="preserve"> Debt!BP$72</f>
        <v>-1.7082295108519861E-10</v>
      </c>
      <c r="BQ70" s="191">
        <f xml:space="preserve"> Debt!BQ$72</f>
        <v>-1.7341376584332412E-10</v>
      </c>
      <c r="BR70" s="191">
        <f xml:space="preserve"> Debt!BR$72</f>
        <v>-1.7607277691958842E-10</v>
      </c>
      <c r="BS70" s="191">
        <f xml:space="preserve"> Debt!BS$72</f>
        <v>-1.7877255949902209E-10</v>
      </c>
      <c r="BT70" s="191">
        <f xml:space="preserve"> Debt!BT$72</f>
        <v>-1.8148394331809058E-10</v>
      </c>
      <c r="BU70" s="191">
        <f xml:space="preserve"> Debt!BU$72</f>
        <v>-1.8423644979174829E-10</v>
      </c>
      <c r="BV70" s="191">
        <f xml:space="preserve"> Debt!BV$72</f>
        <v>-1.870614086885551E-10</v>
      </c>
      <c r="BW70" s="191">
        <f xml:space="preserve"> Debt!BW$72</f>
        <v>-1.8992968362177961E-10</v>
      </c>
      <c r="BX70" s="191">
        <f xml:space="preserve"> Debt!BX$72</f>
        <v>-1.9277862887610629E-10</v>
      </c>
      <c r="BY70" s="191">
        <f xml:space="preserve"> Debt!BY$72</f>
        <v>-1.9570243808072725E-10</v>
      </c>
      <c r="BZ70" s="191">
        <f xml:space="preserve"> Debt!BZ$72</f>
        <v>-1.9870320879796507E-10</v>
      </c>
      <c r="CA70" s="191">
        <f xml:space="preserve"> Debt!CA$72</f>
        <v>-2.017499913328672E-10</v>
      </c>
      <c r="CB70" s="191">
        <f xml:space="preserve"> Debt!CB$72</f>
        <v>-2.0477624120286021E-10</v>
      </c>
      <c r="CC70" s="191">
        <f xml:space="preserve"> Debt!CC$72</f>
        <v>-2.0788201419443692E-10</v>
      </c>
      <c r="CD70" s="191">
        <f xml:space="preserve"> Debt!CD$72</f>
        <v>-2.1106953841208495E-10</v>
      </c>
      <c r="CE70" s="191">
        <f xml:space="preserve"> Debt!CE$72</f>
        <v>-2.1430593800107024E-10</v>
      </c>
      <c r="CF70" s="191">
        <f xml:space="preserve"> Debt!CF$72</f>
        <v>-2.1752052707108629E-10</v>
      </c>
      <c r="CG70" s="191">
        <f xml:space="preserve"> Debt!CG$72</f>
        <v>-2.2081958839833109E-10</v>
      </c>
      <c r="CH70" s="191">
        <f xml:space="preserve"> Debt!CH$72</f>
        <v>-2.2420548875377216E-10</v>
      </c>
      <c r="CI70" s="191">
        <f xml:space="preserve"> Debt!CI$72</f>
        <v>-2.2764330624799667E-10</v>
      </c>
      <c r="CJ70" s="191">
        <f xml:space="preserve"> Debt!CJ$72</f>
        <v>-2.3109589639275796E-10</v>
      </c>
      <c r="CK70" s="191">
        <f xml:space="preserve"> Debt!CK$72</f>
        <v>-2.3460085082138146E-10</v>
      </c>
      <c r="CL70" s="191">
        <f xml:space="preserve"> Debt!CL$72</f>
        <v>-2.381980638673093E-10</v>
      </c>
      <c r="CM70" s="191">
        <f xml:space="preserve"> Debt!CM$72</f>
        <v>-2.4185043417994138E-10</v>
      </c>
      <c r="CN70" s="191">
        <f xml:space="preserve"> Debt!CN$72</f>
        <v>-2.4547819069264048E-10</v>
      </c>
      <c r="CO70" s="191">
        <f xml:space="preserve"> Debt!CO$72</f>
        <v>-2.4920127658481221E-10</v>
      </c>
      <c r="CP70" s="191">
        <f xml:space="preserve"> Debt!CP$72</f>
        <v>-2.5302236282577934E-10</v>
      </c>
      <c r="CQ70" s="191">
        <f xml:space="preserve"> Debt!CQ$72</f>
        <v>-2.5690203905577462E-10</v>
      </c>
      <c r="CR70" s="191">
        <f xml:space="preserve"> Debt!CR$72</f>
        <v>-2.6075556964161123E-10</v>
      </c>
      <c r="CS70" s="191">
        <f xml:space="preserve"> Debt!CS$72</f>
        <v>-2.6471036244784235E-10</v>
      </c>
      <c r="CT70" s="191">
        <f xml:space="preserve"> Debt!CT$72</f>
        <v>-2.6876925467204262E-10</v>
      </c>
      <c r="CU70" s="191">
        <f xml:space="preserve"> Debt!CU$72</f>
        <v>-2.7289038324368063E-10</v>
      </c>
      <c r="CV70" s="191">
        <f xml:space="preserve"> Debt!CV$72</f>
        <v>-2.7698373899233584E-10</v>
      </c>
      <c r="CW70" s="191">
        <f xml:space="preserve"> Debt!CW$72</f>
        <v>-2.8118465903371959E-10</v>
      </c>
      <c r="CX70" s="191">
        <f xml:space="preserve"> Debt!CX$72</f>
        <v>-2.8549615713890329E-10</v>
      </c>
      <c r="CY70" s="191">
        <f xml:space="preserve"> Debt!CY$72</f>
        <v>-2.8987376488169981E-10</v>
      </c>
      <c r="CZ70" s="191">
        <f xml:space="preserve"> Debt!CZ$72</f>
        <v>-2.9427018364907226E-10</v>
      </c>
      <c r="DA70" s="191">
        <f xml:space="preserve"> Debt!DA$72</f>
        <v>-2.9873328143441653E-10</v>
      </c>
      <c r="DB70" s="191">
        <f xml:space="preserve"> Debt!DB$72</f>
        <v>-3.0331385841641094E-10</v>
      </c>
      <c r="DC70" s="191">
        <f xml:space="preserve"> Debt!DC$72</f>
        <v>-3.0796467091212923E-10</v>
      </c>
      <c r="DD70" s="191">
        <f xml:space="preserve"> Debt!DD$72</f>
        <v>-3.1258414097581117E-10</v>
      </c>
      <c r="DE70" s="191">
        <f xml:space="preserve"> Debt!DE$72</f>
        <v>-3.1732500044727764E-10</v>
      </c>
      <c r="DF70" s="191">
        <f xml:space="preserve"> Debt!DF$72</f>
        <v>-3.2219065045413591E-10</v>
      </c>
      <c r="DG70" s="191">
        <f xml:space="preserve"> Debt!DG$72</f>
        <v>-3.2713090709443267E-10</v>
      </c>
      <c r="DH70" s="191">
        <f xml:space="preserve"> Debt!DH$72</f>
        <v>-3.3203787070084914E-10</v>
      </c>
      <c r="DI70" s="191">
        <f xml:space="preserve"> Debt!DI$72</f>
        <v>-3.3707377840647867E-10</v>
      </c>
      <c r="DJ70" s="191">
        <f xml:space="preserve"> Debt!DJ$72</f>
        <v>-3.4224224300871133E-10</v>
      </c>
      <c r="DK70" s="191">
        <f xml:space="preserve"> Debt!DK$72</f>
        <v>-3.4748995740151156E-10</v>
      </c>
      <c r="DL70" s="191">
        <f xml:space="preserve"> Debt!DL$72</f>
        <v>-3.5270230676253423E-10</v>
      </c>
      <c r="DM70" s="191">
        <f xml:space="preserve"> Debt!DM$72</f>
        <v>-3.58051625081766E-10</v>
      </c>
      <c r="DN70" s="191">
        <f xml:space="preserve"> Debt!DN$72</f>
        <v>-3.635417499996864E-10</v>
      </c>
      <c r="DO70" s="191">
        <f xml:space="preserve"> Debt!DO$72</f>
        <v>-3.6911605683301494E-10</v>
      </c>
      <c r="DP70" s="191">
        <f xml:space="preserve"> Debt!DP$72</f>
        <v>-3.7471431702831565E-10</v>
      </c>
      <c r="DQ70" s="191">
        <f xml:space="preserve"> Debt!DQ$72</f>
        <v>-3.8039748416991176E-10</v>
      </c>
      <c r="DR70" s="191">
        <f xml:space="preserve"> Debt!DR$72</f>
        <v>-3.8623024559385041E-10</v>
      </c>
      <c r="DS70" s="191">
        <f xml:space="preserve"> Debt!DS$72</f>
        <v>-3.9215244269295612E-10</v>
      </c>
      <c r="DT70" s="191">
        <f xml:space="preserve"> Debt!DT$72</f>
        <v>-3.9803472933335048E-10</v>
      </c>
      <c r="DU70" s="191">
        <f xml:space="preserve"> Debt!DU$72</f>
        <v>-4.040715893949063E-10</v>
      </c>
      <c r="DV70" s="191">
        <f xml:space="preserve"> Debt!DV$72</f>
        <v>-4.1026735376562818E-10</v>
      </c>
      <c r="DW70" s="191">
        <f xml:space="preserve"> Debt!DW$72</f>
        <v>-4.1655811985670115E-10</v>
      </c>
      <c r="DX70" s="191">
        <f xml:space="preserve"> Debt!DX$72</f>
        <v>-4.2280649165455167E-10</v>
      </c>
      <c r="DY70" s="191">
        <f xml:space="preserve"> Debt!DY$72</f>
        <v>-4.2921905677797905E-10</v>
      </c>
      <c r="DZ70" s="191">
        <f xml:space="preserve"> Debt!DZ$72</f>
        <v>-4.3580041564857471E-10</v>
      </c>
      <c r="EA70" s="191">
        <f xml:space="preserve"> Debt!EA$72</f>
        <v>-4.4248268868851951E-10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2763.083333333333</v>
      </c>
      <c r="N74" s="191">
        <f xml:space="preserve"> Equity!N$41</f>
        <v>4160.6052224586938</v>
      </c>
      <c r="O74" s="191">
        <f xml:space="preserve"> Equity!O$41</f>
        <v>2368.1925716300811</v>
      </c>
      <c r="P74" s="191">
        <f xml:space="preserve"> Equity!P$41</f>
        <v>2437.3076657021547</v>
      </c>
      <c r="Q74" s="191">
        <f xml:space="preserve"> Equity!Q$41</f>
        <v>4909.920726851622</v>
      </c>
      <c r="R74" s="191">
        <f xml:space="preserve"> Equity!R$41</f>
        <v>5557.9812994480199</v>
      </c>
      <c r="S74" s="191">
        <f xml:space="preserve"> Equity!S$41</f>
        <v>3859.1209119871592</v>
      </c>
      <c r="T74" s="191">
        <f xml:space="preserve"> Equity!T$41</f>
        <v>3990.8924929518216</v>
      </c>
      <c r="U74" s="191">
        <f xml:space="preserve"> Equity!U$41</f>
        <v>6558.9546571335504</v>
      </c>
      <c r="V74" s="191">
        <f xml:space="preserve"> Equity!V$41</f>
        <v>7292.6062361253662</v>
      </c>
      <c r="W74" s="191">
        <f xml:space="preserve"> Equity!W$41</f>
        <v>5692.4162133597974</v>
      </c>
      <c r="X74" s="191">
        <f xml:space="preserve"> Equity!X$41</f>
        <v>5882.7590937562027</v>
      </c>
      <c r="Y74" s="191">
        <f xml:space="preserve"> Equity!Y$41</f>
        <v>8551.5413974763087</v>
      </c>
      <c r="Z74" s="191">
        <f xml:space="preserve"> Equity!Z$41</f>
        <v>9376.0582687426577</v>
      </c>
      <c r="AA74" s="191">
        <f xml:space="preserve"> Equity!AA$41</f>
        <v>7879.8345218958984</v>
      </c>
      <c r="AB74" s="191">
        <f xml:space="preserve"> Equity!AB$41</f>
        <v>8152.2144286975044</v>
      </c>
      <c r="AC74" s="191">
        <f xml:space="preserve"> Equity!AC$41</f>
        <v>10927.587319895305</v>
      </c>
      <c r="AD74" s="191">
        <f xml:space="preserve"> Equity!AD$41</f>
        <v>11848.855662287617</v>
      </c>
      <c r="AE74" s="191">
        <f xml:space="preserve"> Equity!AE$41</f>
        <v>10462.515658471008</v>
      </c>
      <c r="AF74" s="191">
        <f xml:space="preserve"> Equity!AF$41</f>
        <v>10813.633955442272</v>
      </c>
      <c r="AG74" s="191">
        <f xml:space="preserve"> Equity!AG$41</f>
        <v>13701.689229183263</v>
      </c>
      <c r="AH74" s="191">
        <f xml:space="preserve"> Equity!AH$41</f>
        <v>14725.819035071978</v>
      </c>
      <c r="AI74" s="191">
        <f xml:space="preserve"> Equity!AI$41</f>
        <v>13455.507765597704</v>
      </c>
      <c r="AJ74" s="191">
        <f xml:space="preserve"> Equity!AJ$41</f>
        <v>13891.413997550704</v>
      </c>
      <c r="AK74" s="191">
        <f xml:space="preserve"> Equity!AK$41</f>
        <v>16898.616843936339</v>
      </c>
      <c r="AL74" s="191">
        <f xml:space="preserve"> Equity!AL$41</f>
        <v>18032.097904474933</v>
      </c>
      <c r="AM74" s="191">
        <f xml:space="preserve"> Equity!AM$41</f>
        <v>16884.346260214679</v>
      </c>
      <c r="AN74" s="191">
        <f xml:space="preserve"> Equity!AN$41</f>
        <v>17406.882377605616</v>
      </c>
      <c r="AO74" s="191">
        <f xml:space="preserve"> Equity!AO$41</f>
        <v>20540.024908934662</v>
      </c>
      <c r="AP74" s="191">
        <f xml:space="preserve"> Equity!AP$41</f>
        <v>21789.679051722007</v>
      </c>
      <c r="AQ74" s="191">
        <f xml:space="preserve"> Equity!AQ$41</f>
        <v>20771.355326736495</v>
      </c>
      <c r="AR74" s="191">
        <f xml:space="preserve"> Equity!AR$41</f>
        <v>21396.455552682113</v>
      </c>
      <c r="AS74" s="191">
        <f xml:space="preserve"> Equity!AS$41</f>
        <v>24662.885715175547</v>
      </c>
      <c r="AT74" s="191">
        <f xml:space="preserve"> Equity!AT$41</f>
        <v>26036.101673900743</v>
      </c>
      <c r="AU74" s="191">
        <f xml:space="preserve"> Equity!AU$41</f>
        <v>25154.6500347445</v>
      </c>
      <c r="AV74" s="191">
        <f xml:space="preserve"> Equity!AV$41</f>
        <v>25885.055510752103</v>
      </c>
      <c r="AW74" s="191">
        <f xml:space="preserve"> Equity!AW$41</f>
        <v>29270.096810622465</v>
      </c>
      <c r="AX74" s="191">
        <f xml:space="preserve"> Equity!AX$41</f>
        <v>30797.057315056216</v>
      </c>
      <c r="AY74" s="191">
        <f xml:space="preserve"> Equity!AY$41</f>
        <v>30060.31613570355</v>
      </c>
      <c r="AZ74" s="191">
        <f xml:space="preserve"> Equity!AZ$41</f>
        <v>30903.742514676465</v>
      </c>
      <c r="BA74" s="191">
        <f xml:space="preserve"> Equity!BA$41</f>
        <v>32111.106693243131</v>
      </c>
      <c r="BB74" s="191">
        <f xml:space="preserve"> Equity!BB$41</f>
        <v>31369.932777264596</v>
      </c>
      <c r="BC74" s="191">
        <f xml:space="preserve"> Equity!BC$41</f>
        <v>28364.329433280571</v>
      </c>
      <c r="BD74" s="191">
        <f xml:space="preserve"> Equity!BD$41</f>
        <v>27378.556076725978</v>
      </c>
      <c r="BE74" s="191">
        <f xml:space="preserve"> Equity!BE$41</f>
        <v>28091.817571664506</v>
      </c>
      <c r="BF74" s="191">
        <f xml:space="preserve"> Equity!BF$41</f>
        <v>27349.378539632842</v>
      </c>
      <c r="BG74" s="191">
        <f xml:space="preserve"> Equity!BG$41</f>
        <v>24353.734379723697</v>
      </c>
      <c r="BH74" s="191">
        <f xml:space="preserve"> Equity!BH$41</f>
        <v>23383.027260740091</v>
      </c>
      <c r="BI74" s="191">
        <f xml:space="preserve"> Equity!BI$41</f>
        <v>24072.547622733658</v>
      </c>
      <c r="BJ74" s="191">
        <f xml:space="preserve"> Equity!BJ$41</f>
        <v>23328.850223674417</v>
      </c>
      <c r="BK74" s="191">
        <f xml:space="preserve"> Equity!BK$41</f>
        <v>20343.115317969594</v>
      </c>
      <c r="BL74" s="191">
        <f xml:space="preserve"> Equity!BL$41</f>
        <v>19372.156298820581</v>
      </c>
      <c r="BM74" s="191">
        <f xml:space="preserve"> Equity!BM$41</f>
        <v>20053.295203644251</v>
      </c>
      <c r="BN74" s="191">
        <f xml:space="preserve"> Equity!BN$41</f>
        <v>19308.346162172518</v>
      </c>
      <c r="BO74" s="191">
        <f xml:space="preserve"> Equity!BO$41</f>
        <v>16332.470821517512</v>
      </c>
      <c r="BP74" s="191">
        <f xml:space="preserve"> Equity!BP$41</f>
        <v>15361.259016171145</v>
      </c>
      <c r="BQ74" s="191">
        <f xml:space="preserve"> Equity!BQ$41</f>
        <v>16034.058648581806</v>
      </c>
      <c r="BR74" s="191">
        <f xml:space="preserve"> Equity!BR$41</f>
        <v>15287.864665208372</v>
      </c>
      <c r="BS74" s="191">
        <f xml:space="preserve"> Equity!BS$41</f>
        <v>12321.799439812155</v>
      </c>
      <c r="BT74" s="191">
        <f xml:space="preserve"> Equity!BT$41</f>
        <v>11335.495089212742</v>
      </c>
      <c r="BU74" s="191">
        <f xml:space="preserve"> Equity!BU$41</f>
        <v>12014.836268209885</v>
      </c>
      <c r="BV74" s="191">
        <f xml:space="preserve"> Equity!BV$41</f>
        <v>11267.404019649599</v>
      </c>
      <c r="BW74" s="191">
        <f xml:space="preserve"> Equity!BW$41</f>
        <v>8311.0996977356517</v>
      </c>
      <c r="BX74" s="191">
        <f xml:space="preserve"> Equity!BX$41</f>
        <v>7339.3795064259684</v>
      </c>
      <c r="BY74" s="191">
        <f xml:space="preserve"> Equity!BY$41</f>
        <v>7995.6263491461195</v>
      </c>
      <c r="BZ74" s="191">
        <f xml:space="preserve"> Equity!BZ$41</f>
        <v>7246.9624886285128</v>
      </c>
      <c r="CA74" s="191">
        <f xml:space="preserve"> Equity!CA$41</f>
        <v>4300.3700950893708</v>
      </c>
      <c r="CB74" s="191">
        <f xml:space="preserve"> Equity!CB$41</f>
        <v>3328.3942245729331</v>
      </c>
      <c r="CC74" s="191">
        <f xml:space="preserve"> Equity!CC$41</f>
        <v>3976.4271534279492</v>
      </c>
      <c r="CD74" s="191">
        <f xml:space="preserve"> Equity!CD$41</f>
        <v>3226.5383110101839</v>
      </c>
      <c r="CE74" s="191">
        <f xml:space="preserve"> Equity!CE$41</f>
        <v>289.60910606544758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550.06025187035573</v>
      </c>
      <c r="DI74" s="191">
        <f xml:space="preserve"> Equity!DI$41</f>
        <v>3.2139269023900852E-10</v>
      </c>
      <c r="DJ74" s="191">
        <f xml:space="preserve"> Equity!DJ$41</f>
        <v>3.2656115484124117E-10</v>
      </c>
      <c r="DK74" s="191">
        <f xml:space="preserve"> Equity!DK$41</f>
        <v>3.318088692340414E-10</v>
      </c>
      <c r="DL74" s="191">
        <f xml:space="preserve"> Equity!DL$41</f>
        <v>3.3702121859506407E-10</v>
      </c>
      <c r="DM74" s="191">
        <f xml:space="preserve"> Equity!DM$41</f>
        <v>3.4237053691429584E-10</v>
      </c>
      <c r="DN74" s="191">
        <f xml:space="preserve"> Equity!DN$41</f>
        <v>3.4786066183221624E-10</v>
      </c>
      <c r="DO74" s="191">
        <f xml:space="preserve"> Equity!DO$41</f>
        <v>3.5343496866554478E-10</v>
      </c>
      <c r="DP74" s="191">
        <f xml:space="preserve"> Equity!DP$41</f>
        <v>3.590332288608455E-10</v>
      </c>
      <c r="DQ74" s="191">
        <f xml:space="preserve"> Equity!DQ$41</f>
        <v>3.647163960024416E-10</v>
      </c>
      <c r="DR74" s="191">
        <f xml:space="preserve"> Equity!DR$41</f>
        <v>3.7054915742638025E-10</v>
      </c>
      <c r="DS74" s="191">
        <f xml:space="preserve"> Equity!DS$41</f>
        <v>3.7647135452548596E-10</v>
      </c>
      <c r="DT74" s="191">
        <f xml:space="preserve"> Equity!DT$41</f>
        <v>3.8235364116588032E-10</v>
      </c>
      <c r="DU74" s="191">
        <f xml:space="preserve"> Equity!DU$41</f>
        <v>3.8839050122743614E-10</v>
      </c>
      <c r="DV74" s="191">
        <f xml:space="preserve"> Equity!DV$41</f>
        <v>3.9458626559815802E-10</v>
      </c>
      <c r="DW74" s="191">
        <f xml:space="preserve"> Equity!DW$41</f>
        <v>4.0087703168923099E-10</v>
      </c>
      <c r="DX74" s="191">
        <f xml:space="preserve"> Equity!DX$41</f>
        <v>4.0712540348708151E-10</v>
      </c>
      <c r="DY74" s="191">
        <f xml:space="preserve"> Equity!DY$41</f>
        <v>4.1353796861050889E-10</v>
      </c>
      <c r="DZ74" s="191">
        <f xml:space="preserve"> Equity!DZ$41</f>
        <v>4.2011932748110455E-10</v>
      </c>
      <c r="EA74" s="191">
        <f xml:space="preserve"> Equity!EA$41</f>
        <v>4.2680160052104935E-10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101599.68997342527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97308.102460641385</v>
      </c>
      <c r="Q75" s="163">
        <f t="shared" si="50"/>
        <v>98412.57995735608</v>
      </c>
      <c r="R75" s="163">
        <f t="shared" si="50"/>
        <v>97682.349123945503</v>
      </c>
      <c r="S75" s="163">
        <f t="shared" si="50"/>
        <v>94585.455872809878</v>
      </c>
      <c r="T75" s="163">
        <f t="shared" si="50"/>
        <v>93280.379682028783</v>
      </c>
      <c r="U75" s="163">
        <f t="shared" si="50"/>
        <v>94395.601947617979</v>
      </c>
      <c r="V75" s="163">
        <f t="shared" si="50"/>
        <v>93664.028979050243</v>
      </c>
      <c r="W75" s="163">
        <f t="shared" si="50"/>
        <v>90577.568032646639</v>
      </c>
      <c r="X75" s="163">
        <f t="shared" si="50"/>
        <v>89251.144510788872</v>
      </c>
      <c r="Y75" s="163">
        <f t="shared" si="50"/>
        <v>90378.708405590034</v>
      </c>
      <c r="Z75" s="163">
        <f t="shared" si="50"/>
        <v>89645.799979154457</v>
      </c>
      <c r="AA75" s="163">
        <f t="shared" si="50"/>
        <v>86569.719435469291</v>
      </c>
      <c r="AB75" s="163">
        <f t="shared" si="50"/>
        <v>85224.768393468737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82561.90988603908</v>
      </c>
      <c r="AF75" s="163">
        <f t="shared" si="50"/>
        <v>81196.872624719501</v>
      </c>
      <c r="AG75" s="163">
        <f t="shared" si="50"/>
        <v>82345.17304580583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77168.911832451049</v>
      </c>
      <c r="AK75" s="163">
        <f t="shared" si="50"/>
        <v>78328.530393836656</v>
      </c>
      <c r="AL75" s="163">
        <f t="shared" si="50"/>
        <v>77591.655326155756</v>
      </c>
      <c r="AM75" s="163">
        <f t="shared" si="50"/>
        <v>74546.407154317058</v>
      </c>
      <c r="AN75" s="163">
        <f t="shared" si="50"/>
        <v>73139.302737978054</v>
      </c>
      <c r="AO75" s="163">
        <f t="shared" si="50"/>
        <v>74311.970541130984</v>
      </c>
      <c r="AP75" s="163">
        <f t="shared" ref="AP75:BU75" si="51" xml:space="preserve"> SUM(AP69:AP74)</f>
        <v>73573.786394184834</v>
      </c>
      <c r="AQ75" s="163">
        <f t="shared" si="51"/>
        <v>70538.713586385129</v>
      </c>
      <c r="AR75" s="163">
        <f t="shared" si="51"/>
        <v>69112.779980056337</v>
      </c>
      <c r="AS75" s="163">
        <f t="shared" si="51"/>
        <v>70295.493075752238</v>
      </c>
      <c r="AT75" s="163">
        <f t="shared" si="51"/>
        <v>69556.006362372966</v>
      </c>
      <c r="AU75" s="163">
        <f t="shared" si="51"/>
        <v>66531.058294910574</v>
      </c>
      <c r="AV75" s="163">
        <f t="shared" si="51"/>
        <v>65084.601160099686</v>
      </c>
      <c r="AW75" s="163">
        <f t="shared" si="51"/>
        <v>66256.691577859616</v>
      </c>
      <c r="AX75" s="163">
        <f t="shared" si="51"/>
        <v>65538.314788430813</v>
      </c>
      <c r="AY75" s="163">
        <f t="shared" si="51"/>
        <v>62523.44108946326</v>
      </c>
      <c r="AZ75" s="163">
        <f t="shared" si="51"/>
        <v>61056.341794237182</v>
      </c>
      <c r="BA75" s="163">
        <f t="shared" si="51"/>
        <v>62262.78366946584</v>
      </c>
      <c r="BB75" s="163">
        <f t="shared" si="51"/>
        <v>61520.711232269459</v>
      </c>
      <c r="BC75" s="163">
        <f t="shared" si="51"/>
        <v>58515.861780560459</v>
      </c>
      <c r="BD75" s="163">
        <f t="shared" si="51"/>
        <v>57532.519602324857</v>
      </c>
      <c r="BE75" s="163">
        <f t="shared" si="51"/>
        <v>58246.550914891384</v>
      </c>
      <c r="BF75" s="163">
        <f t="shared" si="51"/>
        <v>57503.195255989514</v>
      </c>
      <c r="BG75" s="163">
        <f t="shared" si="51"/>
        <v>54508.320179662151</v>
      </c>
      <c r="BH75" s="163">
        <f t="shared" si="51"/>
        <v>53541.838405876864</v>
      </c>
      <c r="BI75" s="163">
        <f t="shared" si="51"/>
        <v>54230.398920289925</v>
      </c>
      <c r="BJ75" s="163">
        <f t="shared" si="51"/>
        <v>53485.766423870162</v>
      </c>
      <c r="BK75" s="163">
        <f t="shared" si="51"/>
        <v>50500.816099166317</v>
      </c>
      <c r="BL75" s="163">
        <f t="shared" si="51"/>
        <v>49534.167568036682</v>
      </c>
      <c r="BM75" s="163">
        <f t="shared" si="51"/>
        <v>50214.327283870582</v>
      </c>
      <c r="BN75" s="163">
        <f t="shared" si="51"/>
        <v>49468.424302358369</v>
      </c>
      <c r="BO75" s="163">
        <f t="shared" si="51"/>
        <v>46493.349352404293</v>
      </c>
      <c r="BP75" s="163">
        <f t="shared" si="51"/>
        <v>45526.534893568838</v>
      </c>
      <c r="BQ75" s="163">
        <f t="shared" si="51"/>
        <v>46198.335605841377</v>
      </c>
      <c r="BR75" s="163">
        <f t="shared" si="51"/>
        <v>45451.168460058085</v>
      </c>
      <c r="BS75" s="163">
        <f t="shared" si="51"/>
        <v>42485.919753636117</v>
      </c>
      <c r="BT75" s="163">
        <f t="shared" si="51"/>
        <v>41502.248542137611</v>
      </c>
      <c r="BU75" s="163">
        <f t="shared" si="51"/>
        <v>42182.423488399378</v>
      </c>
      <c r="BV75" s="163">
        <f t="shared" ref="BV75:DA75" si="52" xml:space="preserve"> SUM(BV69:BV74)</f>
        <v>41433.998467719488</v>
      </c>
      <c r="BW75" s="163">
        <f t="shared" si="52"/>
        <v>38478.527118045888</v>
      </c>
      <c r="BX75" s="163">
        <f t="shared" si="52"/>
        <v>37511.383276224689</v>
      </c>
      <c r="BY75" s="163">
        <f t="shared" si="52"/>
        <v>38166.590535720774</v>
      </c>
      <c r="BZ75" s="163">
        <f t="shared" si="52"/>
        <v>37416.913898228348</v>
      </c>
      <c r="CA75" s="163">
        <f t="shared" si="52"/>
        <v>34471.171261737203</v>
      </c>
      <c r="CB75" s="163">
        <f t="shared" si="52"/>
        <v>33503.863956442474</v>
      </c>
      <c r="CC75" s="163">
        <f t="shared" si="52"/>
        <v>34150.836353951017</v>
      </c>
      <c r="CD75" s="163">
        <f t="shared" si="52"/>
        <v>33399.914326595368</v>
      </c>
      <c r="CE75" s="163">
        <f t="shared" si="52"/>
        <v>30463.852001728559</v>
      </c>
      <c r="CF75" s="163">
        <f t="shared" si="52"/>
        <v>30179.005534811236</v>
      </c>
      <c r="CG75" s="163">
        <f t="shared" si="52"/>
        <v>30177.923633227208</v>
      </c>
      <c r="CH75" s="163">
        <f t="shared" si="52"/>
        <v>30176.869629095589</v>
      </c>
      <c r="CI75" s="163">
        <f t="shared" si="52"/>
        <v>30177.753977241064</v>
      </c>
      <c r="CJ75" s="163">
        <f t="shared" si="52"/>
        <v>30180.605854238558</v>
      </c>
      <c r="CK75" s="163">
        <f t="shared" si="52"/>
        <v>30181.508883509749</v>
      </c>
      <c r="CL75" s="163">
        <f t="shared" si="52"/>
        <v>30180.433640667212</v>
      </c>
      <c r="CM75" s="163">
        <f t="shared" si="52"/>
        <v>30181.335808870546</v>
      </c>
      <c r="CN75" s="163">
        <f t="shared" si="52"/>
        <v>30186.292320979675</v>
      </c>
      <c r="CO75" s="163">
        <f t="shared" si="52"/>
        <v>30185.166378380345</v>
      </c>
      <c r="CP75" s="163">
        <f t="shared" si="52"/>
        <v>30184.069468856236</v>
      </c>
      <c r="CQ75" s="163">
        <f t="shared" si="52"/>
        <v>30184.989816200516</v>
      </c>
      <c r="CR75" s="163">
        <f t="shared" si="52"/>
        <v>30190.046204509999</v>
      </c>
      <c r="CS75" s="163">
        <f t="shared" si="52"/>
        <v>30188.897573603615</v>
      </c>
      <c r="CT75" s="163">
        <f t="shared" si="52"/>
        <v>30187.778560803457</v>
      </c>
      <c r="CU75" s="163">
        <f t="shared" si="52"/>
        <v>30188.717453607471</v>
      </c>
      <c r="CV75" s="163">
        <f t="shared" si="52"/>
        <v>30193.875730672746</v>
      </c>
      <c r="CW75" s="163">
        <f t="shared" si="52"/>
        <v>30192.703954278564</v>
      </c>
      <c r="CX75" s="163">
        <f t="shared" si="52"/>
        <v>30191.562392810276</v>
      </c>
      <c r="CY75" s="163">
        <f t="shared" si="52"/>
        <v>30192.520204774326</v>
      </c>
      <c r="CZ75" s="163">
        <f t="shared" si="52"/>
        <v>30195.6089904773</v>
      </c>
      <c r="DA75" s="163">
        <f t="shared" si="52"/>
        <v>30196.587035429682</v>
      </c>
      <c r="DB75" s="163">
        <f t="shared" ref="DB75:EA75" si="53" xml:space="preserve"> SUM(DB69:DB74)</f>
        <v>30195.422470926314</v>
      </c>
      <c r="DC75" s="163">
        <f t="shared" si="53"/>
        <v>30196.399583280945</v>
      </c>
      <c r="DD75" s="163">
        <f t="shared" si="53"/>
        <v>30201.767838557294</v>
      </c>
      <c r="DE75" s="163">
        <f t="shared" si="53"/>
        <v>30200.548362609963</v>
      </c>
      <c r="DF75" s="163">
        <f t="shared" si="53"/>
        <v>30199.360331548844</v>
      </c>
      <c r="DG75" s="163">
        <f t="shared" si="53"/>
        <v>30200.357133206584</v>
      </c>
      <c r="DH75" s="163">
        <f t="shared" si="53"/>
        <v>755.89381338458963</v>
      </c>
      <c r="DI75" s="163">
        <f t="shared" si="53"/>
        <v>-1.5681088167470159E-11</v>
      </c>
      <c r="DJ75" s="163">
        <f t="shared" si="53"/>
        <v>-1.5681088167470159E-11</v>
      </c>
      <c r="DK75" s="163">
        <f t="shared" si="53"/>
        <v>-1.5681088167470159E-11</v>
      </c>
      <c r="DL75" s="163">
        <f t="shared" si="53"/>
        <v>-1.5681088167470159E-11</v>
      </c>
      <c r="DM75" s="163">
        <f t="shared" si="53"/>
        <v>-1.5681088167470159E-11</v>
      </c>
      <c r="DN75" s="163">
        <f t="shared" si="53"/>
        <v>-1.5681088167470159E-11</v>
      </c>
      <c r="DO75" s="163">
        <f t="shared" si="53"/>
        <v>-1.5681088167470159E-11</v>
      </c>
      <c r="DP75" s="163">
        <f t="shared" si="53"/>
        <v>-1.5681088167470159E-11</v>
      </c>
      <c r="DQ75" s="163">
        <f t="shared" si="53"/>
        <v>-1.5681088167470159E-11</v>
      </c>
      <c r="DR75" s="163">
        <f t="shared" si="53"/>
        <v>-1.5681088167470159E-11</v>
      </c>
      <c r="DS75" s="163">
        <f t="shared" si="53"/>
        <v>-1.5681088167470159E-11</v>
      </c>
      <c r="DT75" s="163">
        <f t="shared" si="53"/>
        <v>-1.5681088167470159E-11</v>
      </c>
      <c r="DU75" s="163">
        <f t="shared" si="53"/>
        <v>-1.5681088167470159E-11</v>
      </c>
      <c r="DV75" s="163">
        <f t="shared" si="53"/>
        <v>-1.5681088167470159E-11</v>
      </c>
      <c r="DW75" s="163">
        <f t="shared" si="53"/>
        <v>-1.5681088167470159E-11</v>
      </c>
      <c r="DX75" s="163">
        <f t="shared" si="53"/>
        <v>-1.5681088167470159E-11</v>
      </c>
      <c r="DY75" s="163">
        <f t="shared" si="53"/>
        <v>-1.5681088167470159E-11</v>
      </c>
      <c r="DZ75" s="163">
        <f t="shared" si="53"/>
        <v>-1.5681088167470159E-11</v>
      </c>
      <c r="EA75" s="163">
        <f t="shared" si="53"/>
        <v>-1.5681088167470159E-11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101599.68997342528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97308.10246064137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93280.379682028783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89251.144510788872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85224.768393468737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81196.872624719501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77168.911832451049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73139.302737978054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69112.779980056352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65084.601160099694</v>
      </c>
      <c r="AW80" s="190">
        <f t="shared" si="54"/>
        <v>66256.691577859616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61056.341794237182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30179.005534811244</v>
      </c>
      <c r="CG80" s="190">
        <f t="shared" si="55"/>
        <v>30177.923633227216</v>
      </c>
      <c r="CH80" s="190">
        <f t="shared" si="55"/>
        <v>30176.869629095592</v>
      </c>
      <c r="CI80" s="190">
        <f t="shared" si="55"/>
        <v>30177.753977241067</v>
      </c>
      <c r="CJ80" s="190">
        <f t="shared" si="55"/>
        <v>30180.605854238562</v>
      </c>
      <c r="CK80" s="190">
        <f t="shared" si="55"/>
        <v>30181.508883509752</v>
      </c>
      <c r="CL80" s="190">
        <f t="shared" si="55"/>
        <v>30180.433640667216</v>
      </c>
      <c r="CM80" s="190">
        <f t="shared" si="55"/>
        <v>30181.33580887055</v>
      </c>
      <c r="CN80" s="190">
        <f t="shared" si="55"/>
        <v>30186.292320979683</v>
      </c>
      <c r="CO80" s="190">
        <f t="shared" si="55"/>
        <v>30185.166378380349</v>
      </c>
      <c r="CP80" s="190">
        <f t="shared" si="55"/>
        <v>30184.069468856243</v>
      </c>
      <c r="CQ80" s="190">
        <f t="shared" si="55"/>
        <v>30184.989816200523</v>
      </c>
      <c r="CR80" s="190">
        <f t="shared" si="55"/>
        <v>30190.046204510007</v>
      </c>
      <c r="CS80" s="190">
        <f t="shared" si="55"/>
        <v>30188.897573603623</v>
      </c>
      <c r="CT80" s="190">
        <f t="shared" si="55"/>
        <v>30187.778560803465</v>
      </c>
      <c r="CU80" s="190">
        <f t="shared" si="55"/>
        <v>30188.717453607482</v>
      </c>
      <c r="CV80" s="190">
        <f t="shared" si="55"/>
        <v>30193.875730672757</v>
      </c>
      <c r="CW80" s="190">
        <f t="shared" si="55"/>
        <v>30192.703954278575</v>
      </c>
      <c r="CX80" s="190">
        <f t="shared" si="55"/>
        <v>30191.56239281029</v>
      </c>
      <c r="CY80" s="190">
        <f t="shared" si="55"/>
        <v>30192.520204774341</v>
      </c>
      <c r="CZ80" s="190">
        <f t="shared" si="55"/>
        <v>30195.608990477311</v>
      </c>
      <c r="DA80" s="190">
        <f t="shared" si="55"/>
        <v>30196.587035429693</v>
      </c>
      <c r="DB80" s="190">
        <f t="shared" si="55"/>
        <v>30195.422470926329</v>
      </c>
      <c r="DC80" s="190">
        <f t="shared" si="55"/>
        <v>30196.399583280956</v>
      </c>
      <c r="DD80" s="190">
        <f t="shared" si="55"/>
        <v>30201.767838557305</v>
      </c>
      <c r="DE80" s="190">
        <f t="shared" si="55"/>
        <v>30200.548362609978</v>
      </c>
      <c r="DF80" s="190">
        <f t="shared" si="55"/>
        <v>30199.360331548858</v>
      </c>
      <c r="DG80" s="190">
        <f t="shared" si="55"/>
        <v>30200.357133206599</v>
      </c>
      <c r="DH80" s="190">
        <f t="shared" si="55"/>
        <v>755.89381338460544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101599.68997342527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97308.102460641385</v>
      </c>
      <c r="Q81" s="190">
        <f t="shared" si="57"/>
        <v>98412.57995735608</v>
      </c>
      <c r="R81" s="190">
        <f t="shared" si="57"/>
        <v>97682.349123945503</v>
      </c>
      <c r="S81" s="190">
        <f t="shared" si="57"/>
        <v>94585.455872809878</v>
      </c>
      <c r="T81" s="190">
        <f t="shared" si="57"/>
        <v>93280.379682028783</v>
      </c>
      <c r="U81" s="190">
        <f t="shared" si="57"/>
        <v>94395.601947617979</v>
      </c>
      <c r="V81" s="190">
        <f t="shared" si="57"/>
        <v>93664.028979050243</v>
      </c>
      <c r="W81" s="190">
        <f t="shared" si="57"/>
        <v>90577.568032646639</v>
      </c>
      <c r="X81" s="190">
        <f t="shared" si="57"/>
        <v>89251.144510788872</v>
      </c>
      <c r="Y81" s="190">
        <f t="shared" si="57"/>
        <v>90378.708405590034</v>
      </c>
      <c r="Z81" s="190">
        <f t="shared" si="57"/>
        <v>89645.799979154457</v>
      </c>
      <c r="AA81" s="190">
        <f t="shared" si="57"/>
        <v>86569.719435469291</v>
      </c>
      <c r="AB81" s="190">
        <f t="shared" si="57"/>
        <v>85224.768393468737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82561.90988603908</v>
      </c>
      <c r="AF81" s="190">
        <f t="shared" si="57"/>
        <v>81196.872624719501</v>
      </c>
      <c r="AG81" s="190">
        <f t="shared" si="57"/>
        <v>82345.17304580583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77168.911832451049</v>
      </c>
      <c r="AK81" s="190">
        <f t="shared" si="57"/>
        <v>78328.530393836656</v>
      </c>
      <c r="AL81" s="190">
        <f t="shared" si="57"/>
        <v>77591.655326155756</v>
      </c>
      <c r="AM81" s="190">
        <f t="shared" si="57"/>
        <v>74546.407154317058</v>
      </c>
      <c r="AN81" s="190">
        <f t="shared" si="57"/>
        <v>73139.302737978054</v>
      </c>
      <c r="AO81" s="190">
        <f t="shared" si="57"/>
        <v>74311.970541130984</v>
      </c>
      <c r="AP81" s="190">
        <f t="shared" si="57"/>
        <v>73573.786394184834</v>
      </c>
      <c r="AQ81" s="190">
        <f t="shared" si="57"/>
        <v>70538.713586385129</v>
      </c>
      <c r="AR81" s="190">
        <f t="shared" si="57"/>
        <v>69112.779980056337</v>
      </c>
      <c r="AS81" s="190">
        <f t="shared" si="57"/>
        <v>70295.493075752238</v>
      </c>
      <c r="AT81" s="190">
        <f t="shared" ref="AT81:BY81" si="58" xml:space="preserve"> AT$75</f>
        <v>69556.006362372966</v>
      </c>
      <c r="AU81" s="190">
        <f t="shared" si="58"/>
        <v>66531.058294910574</v>
      </c>
      <c r="AV81" s="190">
        <f t="shared" si="58"/>
        <v>65084.601160099686</v>
      </c>
      <c r="AW81" s="190">
        <f t="shared" si="58"/>
        <v>66256.691577859616</v>
      </c>
      <c r="AX81" s="190">
        <f t="shared" si="58"/>
        <v>65538.314788430813</v>
      </c>
      <c r="AY81" s="190">
        <f t="shared" si="58"/>
        <v>62523.44108946326</v>
      </c>
      <c r="AZ81" s="190">
        <f t="shared" si="58"/>
        <v>61056.341794237182</v>
      </c>
      <c r="BA81" s="190">
        <f t="shared" si="58"/>
        <v>62262.78366946584</v>
      </c>
      <c r="BB81" s="190">
        <f t="shared" si="58"/>
        <v>61520.711232269459</v>
      </c>
      <c r="BC81" s="190">
        <f t="shared" si="58"/>
        <v>58515.861780560459</v>
      </c>
      <c r="BD81" s="190">
        <f t="shared" si="58"/>
        <v>57532.519602324857</v>
      </c>
      <c r="BE81" s="190">
        <f t="shared" si="58"/>
        <v>58246.550914891384</v>
      </c>
      <c r="BF81" s="190">
        <f t="shared" si="58"/>
        <v>57503.195255989514</v>
      </c>
      <c r="BG81" s="190">
        <f t="shared" si="58"/>
        <v>54508.320179662151</v>
      </c>
      <c r="BH81" s="190">
        <f t="shared" si="58"/>
        <v>53541.838405876864</v>
      </c>
      <c r="BI81" s="190">
        <f t="shared" si="58"/>
        <v>54230.398920289925</v>
      </c>
      <c r="BJ81" s="190">
        <f t="shared" si="58"/>
        <v>53485.766423870162</v>
      </c>
      <c r="BK81" s="190">
        <f t="shared" si="58"/>
        <v>50500.816099166317</v>
      </c>
      <c r="BL81" s="190">
        <f t="shared" si="58"/>
        <v>49534.167568036682</v>
      </c>
      <c r="BM81" s="190">
        <f t="shared" si="58"/>
        <v>50214.327283870582</v>
      </c>
      <c r="BN81" s="190">
        <f t="shared" si="58"/>
        <v>49468.424302358369</v>
      </c>
      <c r="BO81" s="190">
        <f t="shared" si="58"/>
        <v>46493.349352404293</v>
      </c>
      <c r="BP81" s="190">
        <f t="shared" si="58"/>
        <v>45526.534893568838</v>
      </c>
      <c r="BQ81" s="190">
        <f t="shared" si="58"/>
        <v>46198.335605841377</v>
      </c>
      <c r="BR81" s="190">
        <f t="shared" si="58"/>
        <v>45451.168460058085</v>
      </c>
      <c r="BS81" s="190">
        <f t="shared" si="58"/>
        <v>42485.919753636117</v>
      </c>
      <c r="BT81" s="190">
        <f t="shared" si="58"/>
        <v>41502.248542137611</v>
      </c>
      <c r="BU81" s="190">
        <f t="shared" si="58"/>
        <v>42182.423488399378</v>
      </c>
      <c r="BV81" s="190">
        <f t="shared" si="58"/>
        <v>41433.998467719488</v>
      </c>
      <c r="BW81" s="190">
        <f t="shared" si="58"/>
        <v>38478.527118045888</v>
      </c>
      <c r="BX81" s="190">
        <f t="shared" si="58"/>
        <v>37511.383276224689</v>
      </c>
      <c r="BY81" s="190">
        <f t="shared" si="58"/>
        <v>38166.590535720774</v>
      </c>
      <c r="BZ81" s="190">
        <f t="shared" ref="BZ81:DE81" si="59" xml:space="preserve"> BZ$75</f>
        <v>37416.913898228348</v>
      </c>
      <c r="CA81" s="190">
        <f t="shared" si="59"/>
        <v>34471.171261737203</v>
      </c>
      <c r="CB81" s="190">
        <f t="shared" si="59"/>
        <v>33503.863956442474</v>
      </c>
      <c r="CC81" s="190">
        <f t="shared" si="59"/>
        <v>34150.836353951017</v>
      </c>
      <c r="CD81" s="190">
        <f t="shared" si="59"/>
        <v>33399.914326595368</v>
      </c>
      <c r="CE81" s="190">
        <f t="shared" si="59"/>
        <v>30463.852001728559</v>
      </c>
      <c r="CF81" s="190">
        <f t="shared" si="59"/>
        <v>30179.005534811236</v>
      </c>
      <c r="CG81" s="190">
        <f t="shared" si="59"/>
        <v>30177.923633227208</v>
      </c>
      <c r="CH81" s="190">
        <f t="shared" si="59"/>
        <v>30176.869629095589</v>
      </c>
      <c r="CI81" s="190">
        <f t="shared" si="59"/>
        <v>30177.753977241064</v>
      </c>
      <c r="CJ81" s="190">
        <f t="shared" si="59"/>
        <v>30180.605854238558</v>
      </c>
      <c r="CK81" s="190">
        <f t="shared" si="59"/>
        <v>30181.508883509749</v>
      </c>
      <c r="CL81" s="190">
        <f t="shared" si="59"/>
        <v>30180.433640667212</v>
      </c>
      <c r="CM81" s="190">
        <f t="shared" si="59"/>
        <v>30181.335808870546</v>
      </c>
      <c r="CN81" s="190">
        <f t="shared" si="59"/>
        <v>30186.292320979675</v>
      </c>
      <c r="CO81" s="190">
        <f t="shared" si="59"/>
        <v>30185.166378380345</v>
      </c>
      <c r="CP81" s="190">
        <f t="shared" si="59"/>
        <v>30184.069468856236</v>
      </c>
      <c r="CQ81" s="190">
        <f t="shared" si="59"/>
        <v>30184.989816200516</v>
      </c>
      <c r="CR81" s="190">
        <f t="shared" si="59"/>
        <v>30190.046204509999</v>
      </c>
      <c r="CS81" s="190">
        <f t="shared" si="59"/>
        <v>30188.897573603615</v>
      </c>
      <c r="CT81" s="190">
        <f t="shared" si="59"/>
        <v>30187.778560803457</v>
      </c>
      <c r="CU81" s="190">
        <f t="shared" si="59"/>
        <v>30188.717453607471</v>
      </c>
      <c r="CV81" s="190">
        <f t="shared" si="59"/>
        <v>30193.875730672746</v>
      </c>
      <c r="CW81" s="190">
        <f t="shared" si="59"/>
        <v>30192.703954278564</v>
      </c>
      <c r="CX81" s="190">
        <f t="shared" si="59"/>
        <v>30191.562392810276</v>
      </c>
      <c r="CY81" s="190">
        <f t="shared" si="59"/>
        <v>30192.520204774326</v>
      </c>
      <c r="CZ81" s="190">
        <f t="shared" si="59"/>
        <v>30195.6089904773</v>
      </c>
      <c r="DA81" s="190">
        <f t="shared" si="59"/>
        <v>30196.587035429682</v>
      </c>
      <c r="DB81" s="190">
        <f t="shared" si="59"/>
        <v>30195.422470926314</v>
      </c>
      <c r="DC81" s="190">
        <f t="shared" si="59"/>
        <v>30196.399583280945</v>
      </c>
      <c r="DD81" s="190">
        <f t="shared" si="59"/>
        <v>30201.767838557294</v>
      </c>
      <c r="DE81" s="190">
        <f t="shared" si="59"/>
        <v>30200.548362609963</v>
      </c>
      <c r="DF81" s="190">
        <f t="shared" ref="DF81:EA81" si="60" xml:space="preserve"> DF$75</f>
        <v>30199.360331548844</v>
      </c>
      <c r="DG81" s="190">
        <f t="shared" si="60"/>
        <v>30200.357133206584</v>
      </c>
      <c r="DH81" s="190">
        <f t="shared" si="60"/>
        <v>755.89381338458963</v>
      </c>
      <c r="DI81" s="190">
        <f t="shared" si="60"/>
        <v>-1.5681088167470159E-11</v>
      </c>
      <c r="DJ81" s="190">
        <f t="shared" si="60"/>
        <v>-1.5681088167470159E-11</v>
      </c>
      <c r="DK81" s="190">
        <f t="shared" si="60"/>
        <v>-1.5681088167470159E-11</v>
      </c>
      <c r="DL81" s="190">
        <f t="shared" si="60"/>
        <v>-1.5681088167470159E-11</v>
      </c>
      <c r="DM81" s="190">
        <f t="shared" si="60"/>
        <v>-1.5681088167470159E-11</v>
      </c>
      <c r="DN81" s="190">
        <f t="shared" si="60"/>
        <v>-1.5681088167470159E-11</v>
      </c>
      <c r="DO81" s="190">
        <f t="shared" si="60"/>
        <v>-1.5681088167470159E-11</v>
      </c>
      <c r="DP81" s="190">
        <f t="shared" si="60"/>
        <v>-1.5681088167470159E-11</v>
      </c>
      <c r="DQ81" s="190">
        <f t="shared" si="60"/>
        <v>-1.5681088167470159E-11</v>
      </c>
      <c r="DR81" s="190">
        <f t="shared" si="60"/>
        <v>-1.5681088167470159E-11</v>
      </c>
      <c r="DS81" s="190">
        <f t="shared" si="60"/>
        <v>-1.5681088167470159E-11</v>
      </c>
      <c r="DT81" s="190">
        <f t="shared" si="60"/>
        <v>-1.5681088167470159E-11</v>
      </c>
      <c r="DU81" s="190">
        <f t="shared" si="60"/>
        <v>-1.5681088167470159E-11</v>
      </c>
      <c r="DV81" s="190">
        <f t="shared" si="60"/>
        <v>-1.5681088167470159E-11</v>
      </c>
      <c r="DW81" s="190">
        <f t="shared" si="60"/>
        <v>-1.5681088167470159E-11</v>
      </c>
      <c r="DX81" s="190">
        <f t="shared" si="60"/>
        <v>-1.5681088167470159E-11</v>
      </c>
      <c r="DY81" s="190">
        <f t="shared" si="60"/>
        <v>-1.5681088167470159E-11</v>
      </c>
      <c r="DZ81" s="190">
        <f t="shared" si="60"/>
        <v>-1.5681088167470159E-11</v>
      </c>
      <c r="EA81" s="190">
        <f t="shared" si="60"/>
        <v>-1.5681088167470159E-11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3.1374314562523764E-10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1.5802470443304628E-11</v>
      </c>
      <c r="DI83" s="150">
        <f t="shared" si="66"/>
        <v>1.5681088167470159E-11</v>
      </c>
      <c r="DJ83" s="150">
        <f t="shared" si="66"/>
        <v>1.5681088167470159E-11</v>
      </c>
      <c r="DK83" s="150">
        <f t="shared" si="66"/>
        <v>1.5681088167470159E-11</v>
      </c>
      <c r="DL83" s="150">
        <f t="shared" si="66"/>
        <v>1.5681088167470159E-11</v>
      </c>
      <c r="DM83" s="150">
        <f t="shared" si="66"/>
        <v>1.5681088167470159E-11</v>
      </c>
      <c r="DN83" s="150">
        <f t="shared" si="66"/>
        <v>1.5681088167470159E-11</v>
      </c>
      <c r="DO83" s="150">
        <f t="shared" si="66"/>
        <v>1.5681088167470159E-11</v>
      </c>
      <c r="DP83" s="150">
        <f t="shared" si="66"/>
        <v>1.5681088167470159E-11</v>
      </c>
      <c r="DQ83" s="150">
        <f t="shared" si="66"/>
        <v>1.5681088167470159E-11</v>
      </c>
      <c r="DR83" s="150">
        <f t="shared" si="66"/>
        <v>1.5681088167470159E-11</v>
      </c>
      <c r="DS83" s="150">
        <f t="shared" si="66"/>
        <v>1.5681088167470159E-11</v>
      </c>
      <c r="DT83" s="150">
        <f t="shared" si="66"/>
        <v>1.5681088167470159E-11</v>
      </c>
      <c r="DU83" s="150">
        <f t="shared" si="66"/>
        <v>1.5681088167470159E-11</v>
      </c>
      <c r="DV83" s="150">
        <f t="shared" si="66"/>
        <v>1.5681088167470159E-11</v>
      </c>
      <c r="DW83" s="150">
        <f t="shared" si="66"/>
        <v>1.5681088167470159E-11</v>
      </c>
      <c r="DX83" s="150">
        <f t="shared" si="66"/>
        <v>1.5681088167470159E-11</v>
      </c>
      <c r="DY83" s="150">
        <f t="shared" si="66"/>
        <v>1.5681088167470159E-11</v>
      </c>
      <c r="DZ83" s="150">
        <f t="shared" si="66"/>
        <v>1.5681088167470159E-11</v>
      </c>
      <c r="EA83" s="150">
        <f t="shared" si="66"/>
        <v>1.5681088167470159E-11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-23972.181282768834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-4140.4941106380129</v>
      </c>
      <c r="L16" s="9">
        <f xml:space="preserve"> SUMIFS('FS Qtr'!$J16:$EA16, 'FS Qtr'!$J$4:$EA$4, 'FS Ann'!L$4)</f>
        <v>-3813.3409545021209</v>
      </c>
      <c r="M16" s="9">
        <f xml:space="preserve"> SUMIFS('FS Qtr'!$J16:$EA16, 'FS Qtr'!$J$4:$EA$4, 'FS Ann'!M$4)</f>
        <v>-3474.9533588829308</v>
      </c>
      <c r="N16" s="9">
        <f xml:space="preserve"> SUMIFS('FS Qtr'!$J16:$EA16, 'FS Qtr'!$J$4:$EA$4, 'FS Ann'!N$4)</f>
        <v>-3097.254159946378</v>
      </c>
      <c r="O16" s="9">
        <f xml:space="preserve"> SUMIFS('FS Qtr'!$J16:$EA16, 'FS Qtr'!$J$4:$EA$4, 'FS Ann'!O$4)</f>
        <v>-2705.174779544081</v>
      </c>
      <c r="P16" s="9">
        <f xml:space="preserve"> SUMIFS('FS Qtr'!$J16:$EA16, 'FS Qtr'!$J$4:$EA$4, 'FS Ann'!P$4)</f>
        <v>-2288.6942690227202</v>
      </c>
      <c r="Q16" s="9">
        <f xml:space="preserve"> SUMIFS('FS Qtr'!$J16:$EA16, 'FS Qtr'!$J$4:$EA$4, 'FS Ann'!Q$4)</f>
        <v>-1850.881044870534</v>
      </c>
      <c r="R16" s="9">
        <f xml:space="preserve"> SUMIFS('FS Qtr'!$J16:$EA16, 'FS Qtr'!$J$4:$EA$4, 'FS Ann'!R$4)</f>
        <v>-1376.6463863420829</v>
      </c>
      <c r="S16" s="9">
        <f xml:space="preserve"> SUMIFS('FS Qtr'!$J16:$EA16, 'FS Qtr'!$J$4:$EA$4, 'FS Ann'!S$4)</f>
        <v>-877.4846744881487</v>
      </c>
      <c r="T16" s="9">
        <f xml:space="preserve"> SUMIFS('FS Qtr'!$J16:$EA16, 'FS Qtr'!$J$4:$EA$4, 'FS Ann'!T$4)</f>
        <v>-347.25754453213233</v>
      </c>
      <c r="U16" s="9">
        <f xml:space="preserve"> SUMIFS('FS Qtr'!$J16:$EA16, 'FS Qtr'!$J$4:$EA$4, 'FS Ann'!U$4)</f>
        <v>8.3722772247781439E-12</v>
      </c>
      <c r="V16" s="9">
        <f xml:space="preserve"> SUMIFS('FS Qtr'!$J16:$EA16, 'FS Qtr'!$J$4:$EA$4, 'FS Ann'!V$4)</f>
        <v>8.8699284825155311E-12</v>
      </c>
      <c r="W16" s="9">
        <f xml:space="preserve"> SUMIFS('FS Qtr'!$J16:$EA16, 'FS Qtr'!$J$4:$EA$4, 'FS Ann'!W$4)</f>
        <v>9.4219500624990976E-12</v>
      </c>
      <c r="X16" s="9">
        <f xml:space="preserve"> SUMIFS('FS Qtr'!$J16:$EA16, 'FS Qtr'!$J$4:$EA$4, 'FS Ann'!X$4)</f>
        <v>1.000832680389893E-11</v>
      </c>
      <c r="Y16" s="9">
        <f xml:space="preserve"> SUMIFS('FS Qtr'!$J16:$EA16, 'FS Qtr'!$J$4:$EA$4, 'FS Ann'!Y$4)</f>
        <v>1.0660992232892008E-11</v>
      </c>
      <c r="Z16" s="9">
        <f xml:space="preserve"> SUMIFS('FS Qtr'!$J16:$EA16, 'FS Qtr'!$J$4:$EA$4, 'FS Ann'!Z$4)</f>
        <v>1.1294685558015722E-11</v>
      </c>
      <c r="AA16" s="9">
        <f xml:space="preserve"> SUMIFS('FS Qtr'!$J16:$EA16, 'FS Qtr'!$J$4:$EA$4, 'FS Ann'!AA$4)</f>
        <v>1.1997612326753905E-11</v>
      </c>
      <c r="AB16" s="9">
        <f xml:space="preserve"> SUMIFS('FS Qtr'!$J16:$EA16, 'FS Qtr'!$J$4:$EA$4, 'FS Ann'!AB$4)</f>
        <v>1.2744285868226104E-11</v>
      </c>
      <c r="AC16" s="9">
        <f xml:space="preserve"> SUMIFS('FS Qtr'!$J16:$EA16, 'FS Qtr'!$J$4:$EA$4, 'FS Ann'!AC$4)</f>
        <v>1.3575369321671677E-11</v>
      </c>
      <c r="AD16" s="9">
        <f xml:space="preserve"> SUMIFS('FS Qtr'!$J16:$EA16, 'FS Qtr'!$J$4:$EA$4, 'FS Ann'!AD$4)</f>
        <v>1.4382294299882545E-11</v>
      </c>
      <c r="AE16" s="9">
        <f xml:space="preserve"> SUMIFS('FS Qtr'!$J16:$EA16, 'FS Qtr'!$J$4:$EA$4, 'FS Ann'!AE$4)</f>
        <v>1.5277378948970737E-11</v>
      </c>
      <c r="AF16" s="9">
        <f xml:space="preserve"> SUMIFS('FS Qtr'!$J16:$EA16, 'FS Qtr'!$J$4:$EA$4, 'FS Ann'!AF$4)</f>
        <v>1.6228169350724552E-11</v>
      </c>
      <c r="AG16" s="9">
        <f xml:space="preserve"> SUMIFS('FS Qtr'!$J16:$EA16, 'FS Qtr'!$J$4:$EA$4, 'FS Ann'!AG$4)</f>
        <v>1.7286444656736427E-11</v>
      </c>
      <c r="AH16" s="9">
        <f xml:space="preserve"> SUMIFS('FS Qtr'!$J16:$EA16, 'FS Qtr'!$J$4:$EA$4, 'FS Ann'!AH$4)</f>
        <v>1.831395732673889E-11</v>
      </c>
      <c r="AI16" s="9">
        <f xml:space="preserve"> SUMIFS('FS Qtr'!$J16:$EA16, 'FS Qtr'!$J$4:$EA$4, 'FS Ann'!AI$4)</f>
        <v>1.9453729725037968E-11</v>
      </c>
      <c r="AJ16" s="9">
        <f xml:space="preserve"> SUMIFS('FS Qtr'!$J16:$EA16, 'FS Qtr'!$J$4:$EA$4, 'FS Ann'!AJ$4)</f>
        <v>2.0664436061685138E-11</v>
      </c>
      <c r="AK16" s="9">
        <f xml:space="preserve"> SUMIFS('FS Qtr'!$J16:$EA16, 'FS Qtr'!$J$4:$EA$4, 'FS Ann'!AK$4)</f>
        <v>2.2012010265781439E-11</v>
      </c>
      <c r="AL16" s="9">
        <f xml:space="preserve"> SUMIFS('FS Qtr'!$J16:$EA16, 'FS Qtr'!$J$4:$EA$4, 'FS Ann'!AL$4)</f>
        <v>2.3320412305034818E-11</v>
      </c>
      <c r="AM16" s="9">
        <f xml:space="preserve"> SUMIFS('FS Qtr'!$J16:$EA16, 'FS Qtr'!$J$4:$EA$4, 'FS Ann'!AM$4)</f>
        <v>2.47717623212012E-11</v>
      </c>
      <c r="AN16" s="9">
        <f xml:space="preserve"> SUMIFS('FS Qtr'!$J16:$EA16, 'FS Qtr'!$J$4:$EA$4, 'FS Ann'!AN$4)</f>
        <v>1.967619703396786E-11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198694.85994453964</v>
      </c>
      <c r="I19" s="50"/>
      <c r="J19" s="50">
        <f t="shared" ref="J19:AN19" si="3" xml:space="preserve"> J14 + SUM(J16:J18)</f>
        <v>0</v>
      </c>
      <c r="K19" s="50">
        <f t="shared" si="3"/>
        <v>6103.1619047526101</v>
      </c>
      <c r="L19" s="50">
        <f t="shared" si="3"/>
        <v>6321.2891962174072</v>
      </c>
      <c r="M19" s="50">
        <f t="shared" si="3"/>
        <v>6550.424362924301</v>
      </c>
      <c r="N19" s="50">
        <f t="shared" si="3"/>
        <v>6818.6302005308662</v>
      </c>
      <c r="O19" s="50">
        <f t="shared" si="3"/>
        <v>7100.9606782531828</v>
      </c>
      <c r="P19" s="50">
        <f t="shared" si="3"/>
        <v>7407.4218899624302</v>
      </c>
      <c r="Q19" s="50">
        <f t="shared" si="3"/>
        <v>7734.9303133430021</v>
      </c>
      <c r="R19" s="50">
        <f t="shared" si="3"/>
        <v>8098.5593069687766</v>
      </c>
      <c r="S19" s="50">
        <f t="shared" si="3"/>
        <v>8486.7988658687864</v>
      </c>
      <c r="T19" s="50">
        <f t="shared" si="3"/>
        <v>8905.7714636385463</v>
      </c>
      <c r="U19" s="50">
        <f t="shared" si="3"/>
        <v>9141.425932688051</v>
      </c>
      <c r="V19" s="50">
        <f t="shared" si="3"/>
        <v>9029.4578712278017</v>
      </c>
      <c r="W19" s="50">
        <f t="shared" si="3"/>
        <v>8917.1080966429345</v>
      </c>
      <c r="X19" s="50">
        <f t="shared" si="3"/>
        <v>8804.3595913553836</v>
      </c>
      <c r="Y19" s="50">
        <f t="shared" si="3"/>
        <v>8691.195041271727</v>
      </c>
      <c r="Z19" s="50">
        <f t="shared" si="3"/>
        <v>8577.5968295774146</v>
      </c>
      <c r="AA19" s="50">
        <f t="shared" si="3"/>
        <v>8463.5470304070768</v>
      </c>
      <c r="AB19" s="50">
        <f t="shared" si="3"/>
        <v>8349.0274023885049</v>
      </c>
      <c r="AC19" s="50">
        <f t="shared" si="3"/>
        <v>8234.0193820575751</v>
      </c>
      <c r="AD19" s="50">
        <f t="shared" si="3"/>
        <v>8118.5040771416843</v>
      </c>
      <c r="AE19" s="50">
        <f t="shared" si="3"/>
        <v>8002.4622597089538</v>
      </c>
      <c r="AF19" s="50">
        <f t="shared" si="3"/>
        <v>7885.8743591804978</v>
      </c>
      <c r="AG19" s="50">
        <f t="shared" si="3"/>
        <v>7768.7204552029752</v>
      </c>
      <c r="AH19" s="50">
        <f t="shared" si="3"/>
        <v>7650.9802703786954</v>
      </c>
      <c r="AI19" s="50">
        <f t="shared" si="3"/>
        <v>7532.6331628502639</v>
      </c>
      <c r="AJ19" s="50">
        <f t="shared" si="3"/>
        <v>2.0664436061685138E-11</v>
      </c>
      <c r="AK19" s="50">
        <f t="shared" si="3"/>
        <v>2.2012010265781439E-11</v>
      </c>
      <c r="AL19" s="50">
        <f t="shared" si="3"/>
        <v>2.3320412305034818E-11</v>
      </c>
      <c r="AM19" s="50">
        <f t="shared" si="3"/>
        <v>2.47717623212012E-11</v>
      </c>
      <c r="AN19" s="50">
        <f t="shared" si="3"/>
        <v>1.967619703396786E-11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198694.85994453964</v>
      </c>
      <c r="I22" s="188"/>
      <c r="J22" s="188">
        <f t="shared" ref="J22:AN22" si="4" xml:space="preserve"> J19 + J21</f>
        <v>0</v>
      </c>
      <c r="K22" s="188">
        <f t="shared" si="4"/>
        <v>6103.1619047526101</v>
      </c>
      <c r="L22" s="188">
        <f t="shared" si="4"/>
        <v>6321.2891962174072</v>
      </c>
      <c r="M22" s="188">
        <f t="shared" si="4"/>
        <v>6550.424362924301</v>
      </c>
      <c r="N22" s="188">
        <f t="shared" si="4"/>
        <v>6818.6302005308662</v>
      </c>
      <c r="O22" s="188">
        <f t="shared" si="4"/>
        <v>7100.9606782531828</v>
      </c>
      <c r="P22" s="188">
        <f t="shared" si="4"/>
        <v>7407.4218899624302</v>
      </c>
      <c r="Q22" s="188">
        <f t="shared" si="4"/>
        <v>7734.9303133430021</v>
      </c>
      <c r="R22" s="188">
        <f t="shared" si="4"/>
        <v>8098.5593069687766</v>
      </c>
      <c r="S22" s="188">
        <f t="shared" si="4"/>
        <v>8486.7988658687864</v>
      </c>
      <c r="T22" s="188">
        <f t="shared" si="4"/>
        <v>8905.7714636385463</v>
      </c>
      <c r="U22" s="188">
        <f t="shared" si="4"/>
        <v>9141.425932688051</v>
      </c>
      <c r="V22" s="188">
        <f t="shared" si="4"/>
        <v>9029.4578712278017</v>
      </c>
      <c r="W22" s="188">
        <f t="shared" si="4"/>
        <v>8917.1080966429345</v>
      </c>
      <c r="X22" s="188">
        <f t="shared" si="4"/>
        <v>8804.3595913553836</v>
      </c>
      <c r="Y22" s="188">
        <f t="shared" si="4"/>
        <v>8691.195041271727</v>
      </c>
      <c r="Z22" s="188">
        <f t="shared" si="4"/>
        <v>8577.5968295774146</v>
      </c>
      <c r="AA22" s="188">
        <f t="shared" si="4"/>
        <v>8463.5470304070768</v>
      </c>
      <c r="AB22" s="188">
        <f t="shared" si="4"/>
        <v>8349.0274023885049</v>
      </c>
      <c r="AC22" s="188">
        <f t="shared" si="4"/>
        <v>8234.0193820575751</v>
      </c>
      <c r="AD22" s="188">
        <f t="shared" si="4"/>
        <v>8118.5040771416843</v>
      </c>
      <c r="AE22" s="188">
        <f t="shared" si="4"/>
        <v>8002.4622597089538</v>
      </c>
      <c r="AF22" s="188">
        <f t="shared" si="4"/>
        <v>7885.8743591804978</v>
      </c>
      <c r="AG22" s="188">
        <f t="shared" si="4"/>
        <v>7768.7204552029752</v>
      </c>
      <c r="AH22" s="188">
        <f t="shared" si="4"/>
        <v>7650.9802703786954</v>
      </c>
      <c r="AI22" s="188">
        <f t="shared" si="4"/>
        <v>7532.6331628502639</v>
      </c>
      <c r="AJ22" s="188">
        <f t="shared" si="4"/>
        <v>2.0664436061685138E-11</v>
      </c>
      <c r="AK22" s="188">
        <f t="shared" si="4"/>
        <v>2.2012010265781439E-11</v>
      </c>
      <c r="AL22" s="188">
        <f t="shared" si="4"/>
        <v>2.3320412305034818E-11</v>
      </c>
      <c r="AM22" s="188">
        <f t="shared" si="4"/>
        <v>2.47717623212012E-11</v>
      </c>
      <c r="AN22" s="188">
        <f t="shared" si="4"/>
        <v>1.967619703396786E-11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-198694.85994453917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-3665.8542390504572</v>
      </c>
      <c r="L24" s="9">
        <f xml:space="preserve"> SUMIFS('FS Qtr'!$J24:$EA24, 'FS Qtr'!$J$4:$EA$4, 'FS Ann'!L$4)</f>
        <v>-4767.7043689677394</v>
      </c>
      <c r="M24" s="9">
        <f xml:space="preserve"> SUMIFS('FS Qtr'!$J24:$EA24, 'FS Qtr'!$J$4:$EA$4, 'FS Ann'!M$4)</f>
        <v>-4658.5577621199154</v>
      </c>
      <c r="N24" s="9">
        <f xml:space="preserve"> SUMIFS('FS Qtr'!$J24:$EA24, 'FS Qtr'!$J$4:$EA$4, 'FS Ann'!N$4)</f>
        <v>-4549.1748655895653</v>
      </c>
      <c r="O24" s="9">
        <f xml:space="preserve"> SUMIFS('FS Qtr'!$J24:$EA24, 'FS Qtr'!$J$4:$EA$4, 'FS Ann'!O$4)</f>
        <v>-4439.5411515084161</v>
      </c>
      <c r="P24" s="9">
        <f xml:space="preserve"> SUMIFS('FS Qtr'!$J24:$EA24, 'FS Qtr'!$J$4:$EA$4, 'FS Ann'!P$4)</f>
        <v>-4329.6418478540036</v>
      </c>
      <c r="Q24" s="9">
        <f xml:space="preserve"> SUMIFS('FS Qtr'!$J24:$EA24, 'FS Qtr'!$J$4:$EA$4, 'FS Ann'!Q$4)</f>
        <v>-4219.4619332880866</v>
      </c>
      <c r="R24" s="9">
        <f xml:space="preserve"> SUMIFS('FS Qtr'!$J24:$EA24, 'FS Qtr'!$J$4:$EA$4, 'FS Ann'!R$4)</f>
        <v>-4108.9861318922794</v>
      </c>
      <c r="S24" s="9">
        <f xml:space="preserve"> SUMIFS('FS Qtr'!$J24:$EA24, 'FS Qtr'!$J$4:$EA$4, 'FS Ann'!S$4)</f>
        <v>-3998.198907798796</v>
      </c>
      <c r="T24" s="9">
        <f xml:space="preserve"> SUMIFS('FS Qtr'!$J24:$EA24, 'FS Qtr'!$J$4:$EA$4, 'FS Ann'!T$4)</f>
        <v>-3887.0844597141877</v>
      </c>
      <c r="U24" s="9">
        <f xml:space="preserve"> SUMIFS('FS Qtr'!$J24:$EA24, 'FS Qtr'!$J$4:$EA$4, 'FS Ann'!U$4)</f>
        <v>-12666.612370638537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-11677.421626961437</v>
      </c>
      <c r="AC24" s="9">
        <f xml:space="preserve"> SUMIFS('FS Qtr'!$J24:$EA24, 'FS Qtr'!$J$4:$EA$4, 'FS Ann'!AC$4)</f>
        <v>-8234.0193820575751</v>
      </c>
      <c r="AD24" s="9">
        <f xml:space="preserve"> SUMIFS('FS Qtr'!$J24:$EA24, 'FS Qtr'!$J$4:$EA$4, 'FS Ann'!AD$4)</f>
        <v>-8118.5040771416852</v>
      </c>
      <c r="AE24" s="9">
        <f xml:space="preserve"> SUMIFS('FS Qtr'!$J24:$EA24, 'FS Qtr'!$J$4:$EA$4, 'FS Ann'!AE$4)</f>
        <v>-8002.4622597089547</v>
      </c>
      <c r="AF24" s="9">
        <f xml:space="preserve"> SUMIFS('FS Qtr'!$J24:$EA24, 'FS Qtr'!$J$4:$EA$4, 'FS Ann'!AF$4)</f>
        <v>-7885.8743591804978</v>
      </c>
      <c r="AG24" s="9">
        <f xml:space="preserve"> SUMIFS('FS Qtr'!$J24:$EA24, 'FS Qtr'!$J$4:$EA$4, 'FS Ann'!AG$4)</f>
        <v>-7768.7204552029734</v>
      </c>
      <c r="AH24" s="9">
        <f xml:space="preserve"> SUMIFS('FS Qtr'!$J24:$EA24, 'FS Qtr'!$J$4:$EA$4, 'FS Ann'!AH$4)</f>
        <v>-7650.9802703786945</v>
      </c>
      <c r="AI24" s="9">
        <f xml:space="preserve"> SUMIFS('FS Qtr'!$J24:$EA24, 'FS Qtr'!$J$4:$EA$4, 'FS Ann'!AI$4)</f>
        <v>-6982.5729109799067</v>
      </c>
      <c r="AJ24" s="9">
        <f xml:space="preserve"> SUMIFS('FS Qtr'!$J24:$EA24, 'FS Qtr'!$J$4:$EA$4, 'FS Ann'!AJ$4)</f>
        <v>-550.06025187003934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4.2470180585386615E-10</v>
      </c>
      <c r="I25" s="50"/>
      <c r="J25" s="50">
        <f t="shared" ref="J25:AN25" si="5" xml:space="preserve"> J22 + J24</f>
        <v>0</v>
      </c>
      <c r="K25" s="50">
        <f t="shared" si="5"/>
        <v>2437.3076657021529</v>
      </c>
      <c r="L25" s="50">
        <f t="shared" si="5"/>
        <v>1553.5848272496678</v>
      </c>
      <c r="M25" s="50">
        <f t="shared" si="5"/>
        <v>1891.8666008043856</v>
      </c>
      <c r="N25" s="50">
        <f t="shared" si="5"/>
        <v>2269.4553349413009</v>
      </c>
      <c r="O25" s="50">
        <f t="shared" si="5"/>
        <v>2661.4195267447667</v>
      </c>
      <c r="P25" s="50">
        <f t="shared" si="5"/>
        <v>3077.7800421084266</v>
      </c>
      <c r="Q25" s="50">
        <f t="shared" si="5"/>
        <v>3515.4683800549155</v>
      </c>
      <c r="R25" s="50">
        <f t="shared" si="5"/>
        <v>3989.5731750764971</v>
      </c>
      <c r="S25" s="50">
        <f t="shared" si="5"/>
        <v>4488.59995806999</v>
      </c>
      <c r="T25" s="50">
        <f t="shared" si="5"/>
        <v>5018.6870039243586</v>
      </c>
      <c r="U25" s="50">
        <f t="shared" si="5"/>
        <v>-3525.1864379504859</v>
      </c>
      <c r="V25" s="50">
        <f t="shared" si="5"/>
        <v>-3995.5288159858865</v>
      </c>
      <c r="W25" s="50">
        <f t="shared" si="5"/>
        <v>-4010.8709619195124</v>
      </c>
      <c r="X25" s="50">
        <f t="shared" si="5"/>
        <v>-4010.8972826494319</v>
      </c>
      <c r="Y25" s="50">
        <f t="shared" si="5"/>
        <v>-4025.763926958407</v>
      </c>
      <c r="Z25" s="50">
        <f t="shared" si="5"/>
        <v>-3996.1155827867733</v>
      </c>
      <c r="AA25" s="50">
        <f t="shared" si="5"/>
        <v>-4010.9852818530362</v>
      </c>
      <c r="AB25" s="50">
        <f t="shared" si="5"/>
        <v>-3328.3942245729322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550.06025187035721</v>
      </c>
      <c r="AJ25" s="50">
        <f t="shared" si="5"/>
        <v>-550.06025187001865</v>
      </c>
      <c r="AK25" s="50">
        <f t="shared" si="5"/>
        <v>2.2012010265781439E-11</v>
      </c>
      <c r="AL25" s="50">
        <f t="shared" si="5"/>
        <v>2.3320412305034818E-11</v>
      </c>
      <c r="AM25" s="50">
        <f t="shared" si="5"/>
        <v>2.47717623212012E-11</v>
      </c>
      <c r="AN25" s="50">
        <f t="shared" si="5"/>
        <v>1.967619703396786E-11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-23972.181282768834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-4140.4941106380129</v>
      </c>
      <c r="L35" s="9">
        <f xml:space="preserve"> SUMIFS('FS Qtr'!$J35:$EA35, 'FS Qtr'!$J$4:$EA$4, 'FS Ann'!L$4)</f>
        <v>-3813.3409545021209</v>
      </c>
      <c r="M35" s="9">
        <f xml:space="preserve"> SUMIFS('FS Qtr'!$J35:$EA35, 'FS Qtr'!$J$4:$EA$4, 'FS Ann'!M$4)</f>
        <v>-3474.9533588829308</v>
      </c>
      <c r="N35" s="9">
        <f xml:space="preserve"> SUMIFS('FS Qtr'!$J35:$EA35, 'FS Qtr'!$J$4:$EA$4, 'FS Ann'!N$4)</f>
        <v>-3097.254159946378</v>
      </c>
      <c r="O35" s="9">
        <f xml:space="preserve"> SUMIFS('FS Qtr'!$J35:$EA35, 'FS Qtr'!$J$4:$EA$4, 'FS Ann'!O$4)</f>
        <v>-2705.174779544081</v>
      </c>
      <c r="P35" s="9">
        <f xml:space="preserve"> SUMIFS('FS Qtr'!$J35:$EA35, 'FS Qtr'!$J$4:$EA$4, 'FS Ann'!P$4)</f>
        <v>-2288.6942690227202</v>
      </c>
      <c r="Q35" s="9">
        <f xml:space="preserve"> SUMIFS('FS Qtr'!$J35:$EA35, 'FS Qtr'!$J$4:$EA$4, 'FS Ann'!Q$4)</f>
        <v>-1850.881044870534</v>
      </c>
      <c r="R35" s="9">
        <f xml:space="preserve"> SUMIFS('FS Qtr'!$J35:$EA35, 'FS Qtr'!$J$4:$EA$4, 'FS Ann'!R$4)</f>
        <v>-1376.6463863420829</v>
      </c>
      <c r="S35" s="9">
        <f xml:space="preserve"> SUMIFS('FS Qtr'!$J35:$EA35, 'FS Qtr'!$J$4:$EA$4, 'FS Ann'!S$4)</f>
        <v>-877.4846744881487</v>
      </c>
      <c r="T35" s="9">
        <f xml:space="preserve"> SUMIFS('FS Qtr'!$J35:$EA35, 'FS Qtr'!$J$4:$EA$4, 'FS Ann'!T$4)</f>
        <v>-347.25754453213233</v>
      </c>
      <c r="U35" s="9">
        <f xml:space="preserve"> SUMIFS('FS Qtr'!$J35:$EA35, 'FS Qtr'!$J$4:$EA$4, 'FS Ann'!U$4)</f>
        <v>8.3722772247781439E-12</v>
      </c>
      <c r="V35" s="9">
        <f xml:space="preserve"> SUMIFS('FS Qtr'!$J35:$EA35, 'FS Qtr'!$J$4:$EA$4, 'FS Ann'!V$4)</f>
        <v>8.8699284825155311E-12</v>
      </c>
      <c r="W35" s="9">
        <f xml:space="preserve"> SUMIFS('FS Qtr'!$J35:$EA35, 'FS Qtr'!$J$4:$EA$4, 'FS Ann'!W$4)</f>
        <v>9.4219500624990976E-12</v>
      </c>
      <c r="X35" s="9">
        <f xml:space="preserve"> SUMIFS('FS Qtr'!$J35:$EA35, 'FS Qtr'!$J$4:$EA$4, 'FS Ann'!X$4)</f>
        <v>1.000832680389893E-11</v>
      </c>
      <c r="Y35" s="9">
        <f xml:space="preserve"> SUMIFS('FS Qtr'!$J35:$EA35, 'FS Qtr'!$J$4:$EA$4, 'FS Ann'!Y$4)</f>
        <v>1.0660992232892008E-11</v>
      </c>
      <c r="Z35" s="9">
        <f xml:space="preserve"> SUMIFS('FS Qtr'!$J35:$EA35, 'FS Qtr'!$J$4:$EA$4, 'FS Ann'!Z$4)</f>
        <v>1.1294685558015722E-11</v>
      </c>
      <c r="AA35" s="9">
        <f xml:space="preserve"> SUMIFS('FS Qtr'!$J35:$EA35, 'FS Qtr'!$J$4:$EA$4, 'FS Ann'!AA$4)</f>
        <v>1.1997612326753905E-11</v>
      </c>
      <c r="AB35" s="9">
        <f xml:space="preserve"> SUMIFS('FS Qtr'!$J35:$EA35, 'FS Qtr'!$J$4:$EA$4, 'FS Ann'!AB$4)</f>
        <v>1.2744285868226104E-11</v>
      </c>
      <c r="AC35" s="9">
        <f xml:space="preserve"> SUMIFS('FS Qtr'!$J35:$EA35, 'FS Qtr'!$J$4:$EA$4, 'FS Ann'!AC$4)</f>
        <v>1.3575369321671677E-11</v>
      </c>
      <c r="AD35" s="9">
        <f xml:space="preserve"> SUMIFS('FS Qtr'!$J35:$EA35, 'FS Qtr'!$J$4:$EA$4, 'FS Ann'!AD$4)</f>
        <v>1.4382294299882545E-11</v>
      </c>
      <c r="AE35" s="9">
        <f xml:space="preserve"> SUMIFS('FS Qtr'!$J35:$EA35, 'FS Qtr'!$J$4:$EA$4, 'FS Ann'!AE$4)</f>
        <v>1.5277378948970737E-11</v>
      </c>
      <c r="AF35" s="9">
        <f xml:space="preserve"> SUMIFS('FS Qtr'!$J35:$EA35, 'FS Qtr'!$J$4:$EA$4, 'FS Ann'!AF$4)</f>
        <v>1.6228169350724552E-11</v>
      </c>
      <c r="AG35" s="9">
        <f xml:space="preserve"> SUMIFS('FS Qtr'!$J35:$EA35, 'FS Qtr'!$J$4:$EA$4, 'FS Ann'!AG$4)</f>
        <v>1.7286444656736427E-11</v>
      </c>
      <c r="AH35" s="9">
        <f xml:space="preserve"> SUMIFS('FS Qtr'!$J35:$EA35, 'FS Qtr'!$J$4:$EA$4, 'FS Ann'!AH$4)</f>
        <v>1.831395732673889E-11</v>
      </c>
      <c r="AI35" s="9">
        <f xml:space="preserve"> SUMIFS('FS Qtr'!$J35:$EA35, 'FS Qtr'!$J$4:$EA$4, 'FS Ann'!AI$4)</f>
        <v>1.9453729725037968E-11</v>
      </c>
      <c r="AJ35" s="9">
        <f xml:space="preserve"> SUMIFS('FS Qtr'!$J35:$EA35, 'FS Qtr'!$J$4:$EA$4, 'FS Ann'!AJ$4)</f>
        <v>2.0664436061685138E-11</v>
      </c>
      <c r="AK35" s="9">
        <f xml:space="preserve"> SUMIFS('FS Qtr'!$J35:$EA35, 'FS Qtr'!$J$4:$EA$4, 'FS Ann'!AK$4)</f>
        <v>2.2012010265781439E-11</v>
      </c>
      <c r="AL35" s="9">
        <f xml:space="preserve"> SUMIFS('FS Qtr'!$J35:$EA35, 'FS Qtr'!$J$4:$EA$4, 'FS Ann'!AL$4)</f>
        <v>2.3320412305034818E-11</v>
      </c>
      <c r="AM35" s="9">
        <f xml:space="preserve"> SUMIFS('FS Qtr'!$J35:$EA35, 'FS Qtr'!$J$4:$EA$4, 'FS Ann'!AM$4)</f>
        <v>2.47717623212012E-11</v>
      </c>
      <c r="AN35" s="9">
        <f xml:space="preserve"> SUMIFS('FS Qtr'!$J35:$EA35, 'FS Qtr'!$J$4:$EA$4, 'FS Ann'!AN$4)</f>
        <v>1.967619703396786E-11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-70000.000000000466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-5256.724017638915</v>
      </c>
      <c r="L36" s="9">
        <f xml:space="preserve"> SUMIFS('FS Qtr'!$J36:$EA36, 'FS Qtr'!$J$4:$EA$4, 'FS Ann'!L$4)</f>
        <v>-5583.8771737748066</v>
      </c>
      <c r="M36" s="9">
        <f xml:space="preserve"> SUMIFS('FS Qtr'!$J36:$EA36, 'FS Qtr'!$J$4:$EA$4, 'FS Ann'!M$4)</f>
        <v>-5922.2647693939962</v>
      </c>
      <c r="N36" s="9">
        <f xml:space="preserve"> SUMIFS('FS Qtr'!$J36:$EA36, 'FS Qtr'!$J$4:$EA$4, 'FS Ann'!N$4)</f>
        <v>-6299.9639683305486</v>
      </c>
      <c r="O36" s="9">
        <f xml:space="preserve"> SUMIFS('FS Qtr'!$J36:$EA36, 'FS Qtr'!$J$4:$EA$4, 'FS Ann'!O$4)</f>
        <v>-6692.0433487328455</v>
      </c>
      <c r="P36" s="9">
        <f xml:space="preserve"> SUMIFS('FS Qtr'!$J36:$EA36, 'FS Qtr'!$J$4:$EA$4, 'FS Ann'!P$4)</f>
        <v>-7108.5238592542064</v>
      </c>
      <c r="Q36" s="9">
        <f xml:space="preserve"> SUMIFS('FS Qtr'!$J36:$EA36, 'FS Qtr'!$J$4:$EA$4, 'FS Ann'!Q$4)</f>
        <v>-7546.3370834063935</v>
      </c>
      <c r="R36" s="9">
        <f xml:space="preserve"> SUMIFS('FS Qtr'!$J36:$EA36, 'FS Qtr'!$J$4:$EA$4, 'FS Ann'!R$4)</f>
        <v>-8020.5717419348439</v>
      </c>
      <c r="S36" s="9">
        <f xml:space="preserve"> SUMIFS('FS Qtr'!$J36:$EA36, 'FS Qtr'!$J$4:$EA$4, 'FS Ann'!S$4)</f>
        <v>-8519.7334537887782</v>
      </c>
      <c r="T36" s="9">
        <f xml:space="preserve"> SUMIFS('FS Qtr'!$J36:$EA36, 'FS Qtr'!$J$4:$EA$4, 'FS Ann'!T$4)</f>
        <v>-9049.9605837447943</v>
      </c>
      <c r="U36" s="9">
        <f xml:space="preserve"> SUMIFS('FS Qtr'!$J36:$EA36, 'FS Qtr'!$J$4:$EA$4, 'FS Ann'!U$4)</f>
        <v>-8.3722772247781439E-12</v>
      </c>
      <c r="V36" s="9">
        <f xml:space="preserve"> SUMIFS('FS Qtr'!$J36:$EA36, 'FS Qtr'!$J$4:$EA$4, 'FS Ann'!V$4)</f>
        <v>-8.8699284825155311E-12</v>
      </c>
      <c r="W36" s="9">
        <f xml:space="preserve"> SUMIFS('FS Qtr'!$J36:$EA36, 'FS Qtr'!$J$4:$EA$4, 'FS Ann'!W$4)</f>
        <v>-9.4219500624990976E-12</v>
      </c>
      <c r="X36" s="9">
        <f xml:space="preserve"> SUMIFS('FS Qtr'!$J36:$EA36, 'FS Qtr'!$J$4:$EA$4, 'FS Ann'!X$4)</f>
        <v>-1.000832680389893E-11</v>
      </c>
      <c r="Y36" s="9">
        <f xml:space="preserve"> SUMIFS('FS Qtr'!$J36:$EA36, 'FS Qtr'!$J$4:$EA$4, 'FS Ann'!Y$4)</f>
        <v>-1.0660992232892008E-11</v>
      </c>
      <c r="Z36" s="9">
        <f xml:space="preserve"> SUMIFS('FS Qtr'!$J36:$EA36, 'FS Qtr'!$J$4:$EA$4, 'FS Ann'!Z$4)</f>
        <v>-1.1294685558015722E-11</v>
      </c>
      <c r="AA36" s="9">
        <f xml:space="preserve"> SUMIFS('FS Qtr'!$J36:$EA36, 'FS Qtr'!$J$4:$EA$4, 'FS Ann'!AA$4)</f>
        <v>-1.1997612326753905E-11</v>
      </c>
      <c r="AB36" s="9">
        <f xml:space="preserve"> SUMIFS('FS Qtr'!$J36:$EA36, 'FS Qtr'!$J$4:$EA$4, 'FS Ann'!AB$4)</f>
        <v>-1.2744285868226104E-11</v>
      </c>
      <c r="AC36" s="9">
        <f xml:space="preserve"> SUMIFS('FS Qtr'!$J36:$EA36, 'FS Qtr'!$J$4:$EA$4, 'FS Ann'!AC$4)</f>
        <v>-1.3575369321671677E-11</v>
      </c>
      <c r="AD36" s="9">
        <f xml:space="preserve"> SUMIFS('FS Qtr'!$J36:$EA36, 'FS Qtr'!$J$4:$EA$4, 'FS Ann'!AD$4)</f>
        <v>-1.4382294299882545E-11</v>
      </c>
      <c r="AE36" s="9">
        <f xml:space="preserve"> SUMIFS('FS Qtr'!$J36:$EA36, 'FS Qtr'!$J$4:$EA$4, 'FS Ann'!AE$4)</f>
        <v>-1.5277378948970737E-11</v>
      </c>
      <c r="AF36" s="9">
        <f xml:space="preserve"> SUMIFS('FS Qtr'!$J36:$EA36, 'FS Qtr'!$J$4:$EA$4, 'FS Ann'!AF$4)</f>
        <v>-1.6228169350724552E-11</v>
      </c>
      <c r="AG36" s="9">
        <f xml:space="preserve"> SUMIFS('FS Qtr'!$J36:$EA36, 'FS Qtr'!$J$4:$EA$4, 'FS Ann'!AG$4)</f>
        <v>-1.7286444656736427E-11</v>
      </c>
      <c r="AH36" s="9">
        <f xml:space="preserve"> SUMIFS('FS Qtr'!$J36:$EA36, 'FS Qtr'!$J$4:$EA$4, 'FS Ann'!AH$4)</f>
        <v>-1.831395732673889E-11</v>
      </c>
      <c r="AI36" s="9">
        <f xml:space="preserve"> SUMIFS('FS Qtr'!$J36:$EA36, 'FS Qtr'!$J$4:$EA$4, 'FS Ann'!AI$4)</f>
        <v>-1.9453729725037968E-11</v>
      </c>
      <c r="AJ36" s="9">
        <f xml:space="preserve"> SUMIFS('FS Qtr'!$J36:$EA36, 'FS Qtr'!$J$4:$EA$4, 'FS Ann'!AJ$4)</f>
        <v>-2.0664436061685138E-11</v>
      </c>
      <c r="AK36" s="9">
        <f xml:space="preserve"> SUMIFS('FS Qtr'!$J36:$EA36, 'FS Qtr'!$J$4:$EA$4, 'FS Ann'!AK$4)</f>
        <v>-2.2012010265781439E-11</v>
      </c>
      <c r="AL36" s="9">
        <f xml:space="preserve"> SUMIFS('FS Qtr'!$J36:$EA36, 'FS Qtr'!$J$4:$EA$4, 'FS Ann'!AL$4)</f>
        <v>-2.3320412305034818E-11</v>
      </c>
      <c r="AM36" s="9">
        <f xml:space="preserve"> SUMIFS('FS Qtr'!$J36:$EA36, 'FS Qtr'!$J$4:$EA$4, 'FS Ann'!AM$4)</f>
        <v>-2.47717623212012E-11</v>
      </c>
      <c r="AN36" s="9">
        <f xml:space="preserve"> SUMIFS('FS Qtr'!$J36:$EA36, 'FS Qtr'!$J$4:$EA$4, 'FS Ann'!AN$4)</f>
        <v>-1.967619703396786E-11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228694.85994453912</v>
      </c>
      <c r="I37" s="50"/>
      <c r="J37" s="50">
        <f t="shared" ref="J37:AN37" si="7" xml:space="preserve"> J33 + SUM(J35:J36)</f>
        <v>0</v>
      </c>
      <c r="K37" s="50">
        <f t="shared" si="7"/>
        <v>3345.1650330251578</v>
      </c>
      <c r="L37" s="50">
        <f t="shared" si="7"/>
        <v>4748.0850314828494</v>
      </c>
      <c r="M37" s="50">
        <f t="shared" si="7"/>
        <v>4655.10687132569</v>
      </c>
      <c r="N37" s="50">
        <f t="shared" si="7"/>
        <v>4513.1006037719017</v>
      </c>
      <c r="O37" s="50">
        <f t="shared" si="7"/>
        <v>4419.6284777322653</v>
      </c>
      <c r="P37" s="50">
        <f t="shared" si="7"/>
        <v>4309.6244336682339</v>
      </c>
      <c r="Q37" s="50">
        <f t="shared" si="7"/>
        <v>4215.1278158208133</v>
      </c>
      <c r="R37" s="50">
        <f t="shared" si="7"/>
        <v>4072.9567918617704</v>
      </c>
      <c r="S37" s="50">
        <f t="shared" si="7"/>
        <v>3977.8454969050181</v>
      </c>
      <c r="T37" s="50">
        <f t="shared" si="7"/>
        <v>3866.6115705311531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228694.85994453912</v>
      </c>
      <c r="I41" s="50"/>
      <c r="J41" s="50">
        <f t="shared" ref="J41:AN41" si="8" xml:space="preserve"> J37 + SUM(J39:J40)</f>
        <v>0</v>
      </c>
      <c r="K41" s="50">
        <f t="shared" si="8"/>
        <v>3345.1650330251578</v>
      </c>
      <c r="L41" s="50">
        <f t="shared" si="8"/>
        <v>4748.0850314828494</v>
      </c>
      <c r="M41" s="50">
        <f t="shared" si="8"/>
        <v>4655.10687132569</v>
      </c>
      <c r="N41" s="50">
        <f t="shared" si="8"/>
        <v>4513.1006037719017</v>
      </c>
      <c r="O41" s="50">
        <f t="shared" si="8"/>
        <v>4419.6284777322653</v>
      </c>
      <c r="P41" s="50">
        <f t="shared" si="8"/>
        <v>4309.6244336682339</v>
      </c>
      <c r="Q41" s="50">
        <f t="shared" si="8"/>
        <v>4215.1278158208133</v>
      </c>
      <c r="R41" s="50">
        <f t="shared" si="8"/>
        <v>4072.9567918617704</v>
      </c>
      <c r="S41" s="50">
        <f t="shared" si="8"/>
        <v>3977.8454969050181</v>
      </c>
      <c r="T41" s="50">
        <f t="shared" si="8"/>
        <v>3866.6115705311531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228694.85994453912</v>
      </c>
      <c r="I46" s="50"/>
      <c r="J46" s="50">
        <f t="shared" ref="J46:AN46" si="9" xml:space="preserve"> J41 + SUM(J43:J45)</f>
        <v>0</v>
      </c>
      <c r="K46" s="50">
        <f t="shared" si="9"/>
        <v>3345.1650330251578</v>
      </c>
      <c r="L46" s="50">
        <f t="shared" si="9"/>
        <v>4748.0850314828494</v>
      </c>
      <c r="M46" s="50">
        <f t="shared" si="9"/>
        <v>4655.10687132569</v>
      </c>
      <c r="N46" s="50">
        <f t="shared" si="9"/>
        <v>4513.1006037719017</v>
      </c>
      <c r="O46" s="50">
        <f t="shared" si="9"/>
        <v>4419.6284777322653</v>
      </c>
      <c r="P46" s="50">
        <f t="shared" si="9"/>
        <v>4309.6244336682339</v>
      </c>
      <c r="Q46" s="50">
        <f t="shared" si="9"/>
        <v>4215.1278158208133</v>
      </c>
      <c r="R46" s="50">
        <f t="shared" si="9"/>
        <v>4072.9567918617704</v>
      </c>
      <c r="S46" s="50">
        <f t="shared" si="9"/>
        <v>3977.8454969050181</v>
      </c>
      <c r="T46" s="50">
        <f t="shared" si="9"/>
        <v>3866.6115705311531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198694.85994453912</v>
      </c>
      <c r="I49" s="50"/>
      <c r="J49" s="50">
        <f t="shared" ref="J49:AN49" si="10" xml:space="preserve"> J46 + J48</f>
        <v>0</v>
      </c>
      <c r="K49" s="50">
        <f t="shared" si="10"/>
        <v>3345.1650330251578</v>
      </c>
      <c r="L49" s="50">
        <f t="shared" si="10"/>
        <v>4748.0850314828494</v>
      </c>
      <c r="M49" s="50">
        <f t="shared" si="10"/>
        <v>4655.10687132569</v>
      </c>
      <c r="N49" s="50">
        <f t="shared" si="10"/>
        <v>4513.1006037719017</v>
      </c>
      <c r="O49" s="50">
        <f t="shared" si="10"/>
        <v>4419.6284777322653</v>
      </c>
      <c r="P49" s="50">
        <f t="shared" si="10"/>
        <v>4309.6244336682339</v>
      </c>
      <c r="Q49" s="50">
        <f t="shared" si="10"/>
        <v>4215.1278158208133</v>
      </c>
      <c r="R49" s="50">
        <f t="shared" si="10"/>
        <v>4072.9567918617704</v>
      </c>
      <c r="S49" s="50">
        <f t="shared" si="10"/>
        <v>3977.8454969050181</v>
      </c>
      <c r="T49" s="50">
        <f t="shared" si="10"/>
        <v>3866.6115705311531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-198694.85994453917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-3665.8542390504572</v>
      </c>
      <c r="L51" s="9">
        <f xml:space="preserve"> SUMIFS('FS Qtr'!$J52:$EA52, 'FS Qtr'!$J$4:$EA$4, 'FS Ann'!L$4)</f>
        <v>-4767.7043689677394</v>
      </c>
      <c r="M51" s="9">
        <f xml:space="preserve"> SUMIFS('FS Qtr'!$J52:$EA52, 'FS Qtr'!$J$4:$EA$4, 'FS Ann'!M$4)</f>
        <v>-4658.5577621199154</v>
      </c>
      <c r="N51" s="9">
        <f xml:space="preserve"> SUMIFS('FS Qtr'!$J52:$EA52, 'FS Qtr'!$J$4:$EA$4, 'FS Ann'!N$4)</f>
        <v>-4549.1748655895653</v>
      </c>
      <c r="O51" s="9">
        <f xml:space="preserve"> SUMIFS('FS Qtr'!$J52:$EA52, 'FS Qtr'!$J$4:$EA$4, 'FS Ann'!O$4)</f>
        <v>-4439.5411515084161</v>
      </c>
      <c r="P51" s="9">
        <f xml:space="preserve"> SUMIFS('FS Qtr'!$J52:$EA52, 'FS Qtr'!$J$4:$EA$4, 'FS Ann'!P$4)</f>
        <v>-4329.6418478540036</v>
      </c>
      <c r="Q51" s="9">
        <f xml:space="preserve"> SUMIFS('FS Qtr'!$J52:$EA52, 'FS Qtr'!$J$4:$EA$4, 'FS Ann'!Q$4)</f>
        <v>-4219.4619332880866</v>
      </c>
      <c r="R51" s="9">
        <f xml:space="preserve"> SUMIFS('FS Qtr'!$J52:$EA52, 'FS Qtr'!$J$4:$EA$4, 'FS Ann'!R$4)</f>
        <v>-4108.9861318922794</v>
      </c>
      <c r="S51" s="9">
        <f xml:space="preserve"> SUMIFS('FS Qtr'!$J52:$EA52, 'FS Qtr'!$J$4:$EA$4, 'FS Ann'!S$4)</f>
        <v>-3998.198907798796</v>
      </c>
      <c r="T51" s="9">
        <f xml:space="preserve"> SUMIFS('FS Qtr'!$J52:$EA52, 'FS Qtr'!$J$4:$EA$4, 'FS Ann'!T$4)</f>
        <v>-3887.0844597141877</v>
      </c>
      <c r="U51" s="9">
        <f xml:space="preserve"> SUMIFS('FS Qtr'!$J52:$EA52, 'FS Qtr'!$J$4:$EA$4, 'FS Ann'!U$4)</f>
        <v>-12666.612370638537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-11677.421626961437</v>
      </c>
      <c r="AC51" s="9">
        <f xml:space="preserve"> SUMIFS('FS Qtr'!$J52:$EA52, 'FS Qtr'!$J$4:$EA$4, 'FS Ann'!AC$4)</f>
        <v>-8234.0193820575751</v>
      </c>
      <c r="AD51" s="9">
        <f xml:space="preserve"> SUMIFS('FS Qtr'!$J52:$EA52, 'FS Qtr'!$J$4:$EA$4, 'FS Ann'!AD$4)</f>
        <v>-8118.5040771416852</v>
      </c>
      <c r="AE51" s="9">
        <f xml:space="preserve"> SUMIFS('FS Qtr'!$J52:$EA52, 'FS Qtr'!$J$4:$EA$4, 'FS Ann'!AE$4)</f>
        <v>-8002.4622597089547</v>
      </c>
      <c r="AF51" s="9">
        <f xml:space="preserve"> SUMIFS('FS Qtr'!$J52:$EA52, 'FS Qtr'!$J$4:$EA$4, 'FS Ann'!AF$4)</f>
        <v>-7885.8743591804978</v>
      </c>
      <c r="AG51" s="9">
        <f xml:space="preserve"> SUMIFS('FS Qtr'!$J52:$EA52, 'FS Qtr'!$J$4:$EA$4, 'FS Ann'!AG$4)</f>
        <v>-7768.7204552029734</v>
      </c>
      <c r="AH51" s="9">
        <f xml:space="preserve"> SUMIFS('FS Qtr'!$J52:$EA52, 'FS Qtr'!$J$4:$EA$4, 'FS Ann'!AH$4)</f>
        <v>-7650.9802703786945</v>
      </c>
      <c r="AI51" s="9">
        <f xml:space="preserve"> SUMIFS('FS Qtr'!$J52:$EA52, 'FS Qtr'!$J$4:$EA$4, 'FS Ann'!AI$4)</f>
        <v>-6982.5729109799067</v>
      </c>
      <c r="AJ51" s="9">
        <f xml:space="preserve"> SUMIFS('FS Qtr'!$J52:$EA52, 'FS Qtr'!$J$4:$EA$4, 'FS Ann'!AJ$4)</f>
        <v>-550.06025187003934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-320.68920602529943</v>
      </c>
      <c r="L52" s="50">
        <f t="shared" si="11"/>
        <v>-19.619337484889911</v>
      </c>
      <c r="M52" s="50">
        <f t="shared" si="11"/>
        <v>-3.4508907942254154</v>
      </c>
      <c r="N52" s="50">
        <f t="shared" si="11"/>
        <v>-36.074261817663682</v>
      </c>
      <c r="O52" s="50">
        <f t="shared" si="11"/>
        <v>-19.912673776150768</v>
      </c>
      <c r="P52" s="50">
        <f t="shared" si="11"/>
        <v>-20.017414185769667</v>
      </c>
      <c r="Q52" s="50">
        <f t="shared" si="11"/>
        <v>-4.334117467273245</v>
      </c>
      <c r="R52" s="50">
        <f t="shared" si="11"/>
        <v>-36.029340030509047</v>
      </c>
      <c r="S52" s="50">
        <f t="shared" si="11"/>
        <v>-20.353410893777891</v>
      </c>
      <c r="T52" s="50">
        <f t="shared" si="11"/>
        <v>-20.472889183034567</v>
      </c>
      <c r="U52" s="50">
        <f t="shared" si="11"/>
        <v>500.95354165860408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682.62348859982194</v>
      </c>
      <c r="AC52" s="50">
        <f t="shared" si="11"/>
        <v>4025.4069552289438</v>
      </c>
      <c r="AD52" s="50">
        <f t="shared" si="11"/>
        <v>3996.7321662908662</v>
      </c>
      <c r="AE52" s="50">
        <f t="shared" si="11"/>
        <v>4011.1246781117152</v>
      </c>
      <c r="AF52" s="50">
        <f t="shared" si="11"/>
        <v>4011.1636501243302</v>
      </c>
      <c r="AG52" s="50">
        <f t="shared" si="11"/>
        <v>4025.0696555491404</v>
      </c>
      <c r="AH52" s="50">
        <f t="shared" si="11"/>
        <v>3997.3814172550638</v>
      </c>
      <c r="AI52" s="50">
        <f t="shared" si="11"/>
        <v>-25438.648822051324</v>
      </c>
      <c r="AJ52" s="50">
        <f t="shared" si="11"/>
        <v>689.14681089142687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-320.68920602530125</v>
      </c>
      <c r="M63" s="9">
        <f xml:space="preserve"> SUMIFS( 'FS Qtr'!$J63:$EA63, 'FS Qtr'!$J$2:$EA$2, 'FS Ann'!M$2)</f>
        <v>-340.30854351019161</v>
      </c>
      <c r="N63" s="9">
        <f xml:space="preserve"> SUMIFS( 'FS Qtr'!$J63:$EA63, 'FS Qtr'!$J$2:$EA$2, 'FS Ann'!N$2)</f>
        <v>-343.75943430441907</v>
      </c>
      <c r="O63" s="9">
        <f xml:space="preserve"> SUMIFS( 'FS Qtr'!$J63:$EA63, 'FS Qtr'!$J$2:$EA$2, 'FS Ann'!O$2)</f>
        <v>-379.83369612208389</v>
      </c>
      <c r="P63" s="9">
        <f xml:space="preserve"> SUMIFS( 'FS Qtr'!$J63:$EA63, 'FS Qtr'!$J$2:$EA$2, 'FS Ann'!P$2)</f>
        <v>-399.74636989823694</v>
      </c>
      <c r="Q63" s="9">
        <f xml:space="preserve"> SUMIFS( 'FS Qtr'!$J63:$EA63, 'FS Qtr'!$J$2:$EA$2, 'FS Ann'!Q$2)</f>
        <v>-419.76378408400706</v>
      </c>
      <c r="R63" s="9">
        <f xml:space="preserve"> SUMIFS( 'FS Qtr'!$J63:$EA63, 'FS Qtr'!$J$2:$EA$2, 'FS Ann'!R$2)</f>
        <v>-424.09790155127894</v>
      </c>
      <c r="S63" s="9">
        <f xml:space="preserve"> SUMIFS( 'FS Qtr'!$J63:$EA63, 'FS Qtr'!$J$2:$EA$2, 'FS Ann'!S$2)</f>
        <v>-460.12724158178753</v>
      </c>
      <c r="T63" s="9">
        <f xml:space="preserve"> SUMIFS( 'FS Qtr'!$J63:$EA63, 'FS Qtr'!$J$2:$EA$2, 'FS Ann'!T$2)</f>
        <v>-480.48065247556679</v>
      </c>
      <c r="U63" s="9">
        <f xml:space="preserve"> SUMIFS( 'FS Qtr'!$J63:$EA63, 'FS Qtr'!$J$2:$EA$2, 'FS Ann'!U$2)</f>
        <v>-500.95354165860044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682.62348859982194</v>
      </c>
      <c r="AD63" s="9">
        <f xml:space="preserve"> SUMIFS( 'FS Qtr'!$J63:$EA63, 'FS Qtr'!$J$2:$EA$2, 'FS Ann'!AD$2)</f>
        <v>4708.0304438287658</v>
      </c>
      <c r="AE63" s="9">
        <f xml:space="preserve"> SUMIFS( 'FS Qtr'!$J63:$EA63, 'FS Qtr'!$J$2:$EA$2, 'FS Ann'!AE$2)</f>
        <v>8704.7626101196329</v>
      </c>
      <c r="AF63" s="9">
        <f xml:space="preserve"> SUMIFS( 'FS Qtr'!$J63:$EA63, 'FS Qtr'!$J$2:$EA$2, 'FS Ann'!AF$2)</f>
        <v>12715.887288231352</v>
      </c>
      <c r="AG63" s="9">
        <f xml:space="preserve"> SUMIFS( 'FS Qtr'!$J63:$EA63, 'FS Qtr'!$J$2:$EA$2, 'FS Ann'!AG$2)</f>
        <v>16727.050938355686</v>
      </c>
      <c r="AH63" s="9">
        <f xml:space="preserve"> SUMIFS( 'FS Qtr'!$J63:$EA63, 'FS Qtr'!$J$2:$EA$2, 'FS Ann'!AH$2)</f>
        <v>20752.120593904827</v>
      </c>
      <c r="AI63" s="9">
        <f xml:space="preserve"> SUMIFS( 'FS Qtr'!$J63:$EA63, 'FS Qtr'!$J$2:$EA$2, 'FS Ann'!AI$2)</f>
        <v>24749.502011159893</v>
      </c>
      <c r="AJ63" s="9">
        <f xml:space="preserve"> SUMIFS( 'FS Qtr'!$J63:$EA63, 'FS Qtr'!$J$2:$EA$2, 'FS Ann'!AJ$2)</f>
        <v>-689.14681089142687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1308.1024606413653</v>
      </c>
      <c r="M65" s="50">
        <f t="shared" si="13"/>
        <v>1280.3796820287803</v>
      </c>
      <c r="N65" s="50">
        <f t="shared" si="13"/>
        <v>1251.1445107888783</v>
      </c>
      <c r="O65" s="50">
        <f t="shared" si="13"/>
        <v>1224.7683934687407</v>
      </c>
      <c r="P65" s="50">
        <f t="shared" si="13"/>
        <v>1196.8726247194991</v>
      </c>
      <c r="Q65" s="50">
        <f t="shared" si="13"/>
        <v>1168.9118324510541</v>
      </c>
      <c r="R65" s="50">
        <f t="shared" si="13"/>
        <v>1139.3027379780583</v>
      </c>
      <c r="S65" s="50">
        <f t="shared" si="13"/>
        <v>1112.7799800563516</v>
      </c>
      <c r="T65" s="50">
        <f t="shared" si="13"/>
        <v>1084.6011600996962</v>
      </c>
      <c r="U65" s="50">
        <f t="shared" si="13"/>
        <v>1056.3417942371839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2179.0055348112428</v>
      </c>
      <c r="AD65" s="50">
        <f t="shared" si="13"/>
        <v>6180.6058542385617</v>
      </c>
      <c r="AE65" s="50">
        <f t="shared" si="13"/>
        <v>10186.292320979683</v>
      </c>
      <c r="AF65" s="50">
        <f t="shared" si="13"/>
        <v>14190.046204510007</v>
      </c>
      <c r="AG65" s="50">
        <f t="shared" si="13"/>
        <v>18193.875730672757</v>
      </c>
      <c r="AH65" s="50">
        <f t="shared" si="13"/>
        <v>22195.608990477311</v>
      </c>
      <c r="AI65" s="50">
        <f t="shared" si="13"/>
        <v>26201.767838557305</v>
      </c>
      <c r="AJ65" s="50">
        <f t="shared" si="13"/>
        <v>755.89381338460544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97308.10246064137</v>
      </c>
      <c r="M67" s="50">
        <f t="shared" si="14"/>
        <v>93280.379682028783</v>
      </c>
      <c r="N67" s="50">
        <f t="shared" si="14"/>
        <v>89251.144510788872</v>
      </c>
      <c r="O67" s="50">
        <f t="shared" si="14"/>
        <v>85224.768393468737</v>
      </c>
      <c r="P67" s="50">
        <f t="shared" si="14"/>
        <v>81196.872624719501</v>
      </c>
      <c r="Q67" s="50">
        <f t="shared" si="14"/>
        <v>77168.911832451049</v>
      </c>
      <c r="R67" s="50">
        <f t="shared" si="14"/>
        <v>73139.302737978054</v>
      </c>
      <c r="S67" s="50">
        <f t="shared" si="14"/>
        <v>69112.779980056352</v>
      </c>
      <c r="T67" s="50">
        <f t="shared" si="14"/>
        <v>65084.601160099694</v>
      </c>
      <c r="U67" s="50">
        <f t="shared" si="14"/>
        <v>61056.341794237182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30179.005534811244</v>
      </c>
      <c r="AD67" s="50">
        <f t="shared" si="14"/>
        <v>30180.605854238562</v>
      </c>
      <c r="AE67" s="50">
        <f t="shared" si="14"/>
        <v>30186.292320979683</v>
      </c>
      <c r="AF67" s="50">
        <f t="shared" si="14"/>
        <v>30190.046204510007</v>
      </c>
      <c r="AG67" s="50">
        <f t="shared" si="14"/>
        <v>30193.875730672757</v>
      </c>
      <c r="AH67" s="50">
        <f t="shared" si="14"/>
        <v>30195.608990477311</v>
      </c>
      <c r="AI67" s="50">
        <f t="shared" si="14"/>
        <v>30201.767838557305</v>
      </c>
      <c r="AJ67" s="50">
        <f t="shared" si="14"/>
        <v>755.89381338460544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64743.27598236109</v>
      </c>
      <c r="M70" s="9">
        <f xml:space="preserve"> SUMIFS( 'FS Qtr'!$J70:$EA70, 'FS Qtr'!$J$2:$EA$2, 'FS Ann'!M$2)</f>
        <v>59159.39880858628</v>
      </c>
      <c r="N70" s="9">
        <f xml:space="preserve"> SUMIFS( 'FS Qtr'!$J70:$EA70, 'FS Qtr'!$J$2:$EA$2, 'FS Ann'!N$2)</f>
        <v>53237.134039192279</v>
      </c>
      <c r="O70" s="9">
        <f xml:space="preserve"> SUMIFS( 'FS Qtr'!$J70:$EA70, 'FS Qtr'!$J$2:$EA$2, 'FS Ann'!O$2)</f>
        <v>46937.170070861728</v>
      </c>
      <c r="P70" s="9">
        <f xml:space="preserve"> SUMIFS( 'FS Qtr'!$J70:$EA70, 'FS Qtr'!$J$2:$EA$2, 'FS Ann'!P$2)</f>
        <v>40245.12672212888</v>
      </c>
      <c r="Q70" s="9">
        <f xml:space="preserve"> SUMIFS( 'FS Qtr'!$J70:$EA70, 'FS Qtr'!$J$2:$EA$2, 'FS Ann'!Q$2)</f>
        <v>33136.602862874679</v>
      </c>
      <c r="R70" s="9">
        <f xml:space="preserve"> SUMIFS( 'FS Qtr'!$J70:$EA70, 'FS Qtr'!$J$2:$EA$2, 'FS Ann'!R$2)</f>
        <v>25590.265779468282</v>
      </c>
      <c r="S70" s="9">
        <f xml:space="preserve"> SUMIFS( 'FS Qtr'!$J70:$EA70, 'FS Qtr'!$J$2:$EA$2, 'FS Ann'!S$2)</f>
        <v>17569.694037533438</v>
      </c>
      <c r="T70" s="9">
        <f xml:space="preserve"> SUMIFS( 'FS Qtr'!$J70:$EA70, 'FS Qtr'!$J$2:$EA$2, 'FS Ann'!T$2)</f>
        <v>9049.9605837446597</v>
      </c>
      <c r="U70" s="9">
        <f xml:space="preserve"> SUMIFS( 'FS Qtr'!$J70:$EA70, 'FS Qtr'!$J$2:$EA$2, 'FS Ann'!U$2)</f>
        <v>-1.3415046851150692E-10</v>
      </c>
      <c r="V70" s="9">
        <f xml:space="preserve"> SUMIFS( 'FS Qtr'!$J70:$EA70, 'FS Qtr'!$J$2:$EA$2, 'FS Ann'!V$2)</f>
        <v>-1.4252274573628509E-10</v>
      </c>
      <c r="W70" s="9">
        <f xml:space="preserve"> SUMIFS( 'FS Qtr'!$J70:$EA70, 'FS Qtr'!$J$2:$EA$2, 'FS Ann'!W$2)</f>
        <v>-1.5139267421880061E-10</v>
      </c>
      <c r="X70" s="9">
        <f xml:space="preserve"> SUMIFS( 'FS Qtr'!$J70:$EA70, 'FS Qtr'!$J$2:$EA$2, 'FS Ann'!X$2)</f>
        <v>-1.6081462428129969E-10</v>
      </c>
      <c r="Y70" s="9">
        <f xml:space="preserve"> SUMIFS( 'FS Qtr'!$J70:$EA70, 'FS Qtr'!$J$2:$EA$2, 'FS Ann'!Y$2)</f>
        <v>-1.7082295108519861E-10</v>
      </c>
      <c r="Z70" s="9">
        <f xml:space="preserve"> SUMIFS( 'FS Qtr'!$J70:$EA70, 'FS Qtr'!$J$2:$EA$2, 'FS Ann'!Z$2)</f>
        <v>-1.8148394331809058E-10</v>
      </c>
      <c r="AA70" s="9">
        <f xml:space="preserve"> SUMIFS( 'FS Qtr'!$J70:$EA70, 'FS Qtr'!$J$2:$EA$2, 'FS Ann'!AA$2)</f>
        <v>-1.9277862887610629E-10</v>
      </c>
      <c r="AB70" s="9">
        <f xml:space="preserve"> SUMIFS( 'FS Qtr'!$J70:$EA70, 'FS Qtr'!$J$2:$EA$2, 'FS Ann'!AB$2)</f>
        <v>-2.0477624120286021E-10</v>
      </c>
      <c r="AC70" s="9">
        <f xml:space="preserve"> SUMIFS( 'FS Qtr'!$J70:$EA70, 'FS Qtr'!$J$2:$EA$2, 'FS Ann'!AC$2)</f>
        <v>-2.1752052707108629E-10</v>
      </c>
      <c r="AD70" s="9">
        <f xml:space="preserve"> SUMIFS( 'FS Qtr'!$J70:$EA70, 'FS Qtr'!$J$2:$EA$2, 'FS Ann'!AD$2)</f>
        <v>-2.3109589639275796E-10</v>
      </c>
      <c r="AE70" s="9">
        <f xml:space="preserve"> SUMIFS( 'FS Qtr'!$J70:$EA70, 'FS Qtr'!$J$2:$EA$2, 'FS Ann'!AE$2)</f>
        <v>-2.4547819069264048E-10</v>
      </c>
      <c r="AF70" s="9">
        <f xml:space="preserve"> SUMIFS( 'FS Qtr'!$J70:$EA70, 'FS Qtr'!$J$2:$EA$2, 'FS Ann'!AF$2)</f>
        <v>-2.6075556964161123E-10</v>
      </c>
      <c r="AG70" s="9">
        <f xml:space="preserve"> SUMIFS( 'FS Qtr'!$J70:$EA70, 'FS Qtr'!$J$2:$EA$2, 'FS Ann'!AG$2)</f>
        <v>-2.7698373899233584E-10</v>
      </c>
      <c r="AH70" s="9">
        <f xml:space="preserve"> SUMIFS( 'FS Qtr'!$J70:$EA70, 'FS Qtr'!$J$2:$EA$2, 'FS Ann'!AH$2)</f>
        <v>-2.9427018364907226E-10</v>
      </c>
      <c r="AI70" s="9">
        <f xml:space="preserve"> SUMIFS( 'FS Qtr'!$J70:$EA70, 'FS Qtr'!$J$2:$EA$2, 'FS Ann'!AI$2)</f>
        <v>-3.1258414097581117E-10</v>
      </c>
      <c r="AJ70" s="9">
        <f xml:space="preserve"> SUMIFS( 'FS Qtr'!$J70:$EA70, 'FS Qtr'!$J$2:$EA$2, 'FS Ann'!AJ$2)</f>
        <v>-3.3203787070084914E-10</v>
      </c>
      <c r="AK70" s="9">
        <f xml:space="preserve"> SUMIFS( 'FS Qtr'!$J70:$EA70, 'FS Qtr'!$J$2:$EA$2, 'FS Ann'!AK$2)</f>
        <v>-3.5270230676253423E-10</v>
      </c>
      <c r="AL70" s="9">
        <f xml:space="preserve"> SUMIFS( 'FS Qtr'!$J70:$EA70, 'FS Qtr'!$J$2:$EA$2, 'FS Ann'!AL$2)</f>
        <v>-3.7471431702831565E-10</v>
      </c>
      <c r="AM70" s="9">
        <f xml:space="preserve"> SUMIFS( 'FS Qtr'!$J70:$EA70, 'FS Qtr'!$J$2:$EA$2, 'FS Ann'!AM$2)</f>
        <v>-3.9803472933335048E-10</v>
      </c>
      <c r="AN70" s="9">
        <f xml:space="preserve"> SUMIFS( 'FS Qtr'!$J70:$EA70, 'FS Qtr'!$J$2:$EA$2, 'FS Ann'!AN$2)</f>
        <v>-4.2280649165455167E-10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2437.3076657021547</v>
      </c>
      <c r="M74" s="9">
        <f xml:space="preserve"> SUMIFS( 'FS Qtr'!$J74:$EA74, 'FS Qtr'!$J$2:$EA$2, 'FS Ann'!M$2)</f>
        <v>3990.8924929518216</v>
      </c>
      <c r="N74" s="9">
        <f xml:space="preserve"> SUMIFS( 'FS Qtr'!$J74:$EA74, 'FS Qtr'!$J$2:$EA$2, 'FS Ann'!N$2)</f>
        <v>5882.7590937562027</v>
      </c>
      <c r="O74" s="9">
        <f xml:space="preserve"> SUMIFS( 'FS Qtr'!$J74:$EA74, 'FS Qtr'!$J$2:$EA$2, 'FS Ann'!O$2)</f>
        <v>8152.2144286975044</v>
      </c>
      <c r="P74" s="9">
        <f xml:space="preserve"> SUMIFS( 'FS Qtr'!$J74:$EA74, 'FS Qtr'!$J$2:$EA$2, 'FS Ann'!P$2)</f>
        <v>10813.633955442272</v>
      </c>
      <c r="Q74" s="9">
        <f xml:space="preserve"> SUMIFS( 'FS Qtr'!$J74:$EA74, 'FS Qtr'!$J$2:$EA$2, 'FS Ann'!Q$2)</f>
        <v>13891.413997550704</v>
      </c>
      <c r="R74" s="9">
        <f xml:space="preserve"> SUMIFS( 'FS Qtr'!$J74:$EA74, 'FS Qtr'!$J$2:$EA$2, 'FS Ann'!R$2)</f>
        <v>17406.882377605616</v>
      </c>
      <c r="S74" s="9">
        <f xml:space="preserve"> SUMIFS( 'FS Qtr'!$J74:$EA74, 'FS Qtr'!$J$2:$EA$2, 'FS Ann'!S$2)</f>
        <v>21396.455552682113</v>
      </c>
      <c r="T74" s="9">
        <f xml:space="preserve"> SUMIFS( 'FS Qtr'!$J74:$EA74, 'FS Qtr'!$J$2:$EA$2, 'FS Ann'!T$2)</f>
        <v>25885.055510752103</v>
      </c>
      <c r="U74" s="9">
        <f xml:space="preserve"> SUMIFS( 'FS Qtr'!$J74:$EA74, 'FS Qtr'!$J$2:$EA$2, 'FS Ann'!U$2)</f>
        <v>30903.742514676465</v>
      </c>
      <c r="V74" s="9">
        <f xml:space="preserve"> SUMIFS( 'FS Qtr'!$J74:$EA74, 'FS Qtr'!$J$2:$EA$2, 'FS Ann'!V$2)</f>
        <v>27378.556076725978</v>
      </c>
      <c r="W74" s="9">
        <f xml:space="preserve"> SUMIFS( 'FS Qtr'!$J74:$EA74, 'FS Qtr'!$J$2:$EA$2, 'FS Ann'!W$2)</f>
        <v>23383.027260740091</v>
      </c>
      <c r="X74" s="9">
        <f xml:space="preserve"> SUMIFS( 'FS Qtr'!$J74:$EA74, 'FS Qtr'!$J$2:$EA$2, 'FS Ann'!X$2)</f>
        <v>19372.156298820581</v>
      </c>
      <c r="Y74" s="9">
        <f xml:space="preserve"> SUMIFS( 'FS Qtr'!$J74:$EA74, 'FS Qtr'!$J$2:$EA$2, 'FS Ann'!Y$2)</f>
        <v>15361.259016171145</v>
      </c>
      <c r="Z74" s="9">
        <f xml:space="preserve"> SUMIFS( 'FS Qtr'!$J74:$EA74, 'FS Qtr'!$J$2:$EA$2, 'FS Ann'!Z$2)</f>
        <v>11335.495089212742</v>
      </c>
      <c r="AA74" s="9">
        <f xml:space="preserve"> SUMIFS( 'FS Qtr'!$J74:$EA74, 'FS Qtr'!$J$2:$EA$2, 'FS Ann'!AA$2)</f>
        <v>7339.3795064259684</v>
      </c>
      <c r="AB74" s="9">
        <f xml:space="preserve"> SUMIFS( 'FS Qtr'!$J74:$EA74, 'FS Qtr'!$J$2:$EA$2, 'FS Ann'!AB$2)</f>
        <v>3328.3942245729331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550.06025187035573</v>
      </c>
      <c r="AK74" s="9">
        <f xml:space="preserve"> SUMIFS( 'FS Qtr'!$J74:$EA74, 'FS Qtr'!$J$2:$EA$2, 'FS Ann'!AK$2)</f>
        <v>3.3702121859506407E-10</v>
      </c>
      <c r="AL74" s="9">
        <f xml:space="preserve"> SUMIFS( 'FS Qtr'!$J74:$EA74, 'FS Qtr'!$J$2:$EA$2, 'FS Ann'!AL$2)</f>
        <v>3.590332288608455E-10</v>
      </c>
      <c r="AM74" s="9">
        <f xml:space="preserve"> SUMIFS( 'FS Qtr'!$J74:$EA74, 'FS Qtr'!$J$2:$EA$2, 'FS Ann'!AM$2)</f>
        <v>3.8235364116588032E-10</v>
      </c>
      <c r="AN74" s="9">
        <f xml:space="preserve"> SUMIFS( 'FS Qtr'!$J74:$EA74, 'FS Qtr'!$J$2:$EA$2, 'FS Ann'!AN$2)</f>
        <v>4.0712540348708151E-10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97308.102460641385</v>
      </c>
      <c r="M75" s="50">
        <f t="shared" si="15"/>
        <v>93280.379682028783</v>
      </c>
      <c r="N75" s="50">
        <f t="shared" si="15"/>
        <v>89251.144510788872</v>
      </c>
      <c r="O75" s="50">
        <f t="shared" si="15"/>
        <v>85224.768393468737</v>
      </c>
      <c r="P75" s="50">
        <f t="shared" si="15"/>
        <v>81196.872624719501</v>
      </c>
      <c r="Q75" s="50">
        <f t="shared" si="15"/>
        <v>77168.911832451049</v>
      </c>
      <c r="R75" s="50">
        <f t="shared" si="15"/>
        <v>73139.302737978054</v>
      </c>
      <c r="S75" s="50">
        <f t="shared" si="15"/>
        <v>69112.779980056337</v>
      </c>
      <c r="T75" s="50">
        <f t="shared" si="15"/>
        <v>65084.601160099686</v>
      </c>
      <c r="U75" s="50">
        <f t="shared" si="15"/>
        <v>61056.341794237182</v>
      </c>
      <c r="V75" s="50">
        <f t="shared" si="15"/>
        <v>57532.519602324857</v>
      </c>
      <c r="W75" s="50">
        <f t="shared" si="15"/>
        <v>53541.838405876864</v>
      </c>
      <c r="X75" s="50">
        <f t="shared" si="15"/>
        <v>49534.167568036682</v>
      </c>
      <c r="Y75" s="50">
        <f t="shared" si="15"/>
        <v>45526.534893568838</v>
      </c>
      <c r="Z75" s="50">
        <f t="shared" si="15"/>
        <v>41502.248542137611</v>
      </c>
      <c r="AA75" s="50">
        <f t="shared" si="15"/>
        <v>37511.383276224689</v>
      </c>
      <c r="AB75" s="50">
        <f t="shared" si="15"/>
        <v>33503.863956442474</v>
      </c>
      <c r="AC75" s="50">
        <f t="shared" si="15"/>
        <v>30179.005534811236</v>
      </c>
      <c r="AD75" s="50">
        <f t="shared" si="15"/>
        <v>30180.605854238558</v>
      </c>
      <c r="AE75" s="50">
        <f t="shared" si="15"/>
        <v>30186.292320979675</v>
      </c>
      <c r="AF75" s="50">
        <f t="shared" si="15"/>
        <v>30190.046204509999</v>
      </c>
      <c r="AG75" s="50">
        <f t="shared" si="15"/>
        <v>30193.875730672746</v>
      </c>
      <c r="AH75" s="50">
        <f t="shared" si="15"/>
        <v>30195.6089904773</v>
      </c>
      <c r="AI75" s="50">
        <f t="shared" si="15"/>
        <v>30201.767838557294</v>
      </c>
      <c r="AJ75" s="50">
        <f t="shared" si="15"/>
        <v>755.89381338458963</v>
      </c>
      <c r="AK75" s="50">
        <f t="shared" si="15"/>
        <v>-1.5681088167470159E-11</v>
      </c>
      <c r="AL75" s="50">
        <f t="shared" si="15"/>
        <v>-1.5681088167470159E-11</v>
      </c>
      <c r="AM75" s="50">
        <f t="shared" si="15"/>
        <v>-1.5681088167470159E-11</v>
      </c>
      <c r="AN75" s="50">
        <f t="shared" si="15"/>
        <v>-1.5681088167470159E-11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97308.10246064137</v>
      </c>
      <c r="M80" s="113">
        <f t="shared" si="16"/>
        <v>93280.379682028783</v>
      </c>
      <c r="N80" s="113">
        <f t="shared" si="16"/>
        <v>89251.144510788872</v>
      </c>
      <c r="O80" s="113">
        <f t="shared" si="16"/>
        <v>85224.768393468737</v>
      </c>
      <c r="P80" s="113">
        <f t="shared" si="16"/>
        <v>81196.872624719501</v>
      </c>
      <c r="Q80" s="113">
        <f t="shared" si="16"/>
        <v>77168.911832451049</v>
      </c>
      <c r="R80" s="113">
        <f t="shared" si="16"/>
        <v>73139.302737978054</v>
      </c>
      <c r="S80" s="113">
        <f t="shared" si="16"/>
        <v>69112.779980056352</v>
      </c>
      <c r="T80" s="113">
        <f t="shared" si="16"/>
        <v>65084.601160099694</v>
      </c>
      <c r="U80" s="113">
        <f t="shared" si="16"/>
        <v>61056.341794237182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30179.005534811244</v>
      </c>
      <c r="AD80" s="113">
        <f t="shared" si="16"/>
        <v>30180.605854238562</v>
      </c>
      <c r="AE80" s="113">
        <f t="shared" si="16"/>
        <v>30186.292320979683</v>
      </c>
      <c r="AF80" s="113">
        <f t="shared" si="16"/>
        <v>30190.046204510007</v>
      </c>
      <c r="AG80" s="113">
        <f t="shared" si="16"/>
        <v>30193.875730672757</v>
      </c>
      <c r="AH80" s="113">
        <f t="shared" si="16"/>
        <v>30195.608990477311</v>
      </c>
      <c r="AI80" s="113">
        <f t="shared" si="16"/>
        <v>30201.767838557305</v>
      </c>
      <c r="AJ80" s="113">
        <f t="shared" si="16"/>
        <v>755.89381338460544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97308.102460641385</v>
      </c>
      <c r="M81" s="113">
        <f t="shared" si="17"/>
        <v>93280.379682028783</v>
      </c>
      <c r="N81" s="113">
        <f t="shared" si="17"/>
        <v>89251.144510788872</v>
      </c>
      <c r="O81" s="113">
        <f t="shared" si="17"/>
        <v>85224.768393468737</v>
      </c>
      <c r="P81" s="113">
        <f t="shared" si="17"/>
        <v>81196.872624719501</v>
      </c>
      <c r="Q81" s="113">
        <f t="shared" si="17"/>
        <v>77168.911832451049</v>
      </c>
      <c r="R81" s="113">
        <f t="shared" si="17"/>
        <v>73139.302737978054</v>
      </c>
      <c r="S81" s="113">
        <f t="shared" si="17"/>
        <v>69112.779980056337</v>
      </c>
      <c r="T81" s="113">
        <f t="shared" si="17"/>
        <v>65084.601160099686</v>
      </c>
      <c r="U81" s="113">
        <f t="shared" si="17"/>
        <v>61056.341794237182</v>
      </c>
      <c r="V81" s="113">
        <f t="shared" si="17"/>
        <v>57532.519602324857</v>
      </c>
      <c r="W81" s="113">
        <f t="shared" si="17"/>
        <v>53541.838405876864</v>
      </c>
      <c r="X81" s="113">
        <f t="shared" si="17"/>
        <v>49534.167568036682</v>
      </c>
      <c r="Y81" s="113">
        <f t="shared" si="17"/>
        <v>45526.534893568838</v>
      </c>
      <c r="Z81" s="113">
        <f t="shared" si="17"/>
        <v>41502.248542137611</v>
      </c>
      <c r="AA81" s="113">
        <f t="shared" si="17"/>
        <v>37511.383276224689</v>
      </c>
      <c r="AB81" s="113">
        <f t="shared" si="17"/>
        <v>33503.863956442474</v>
      </c>
      <c r="AC81" s="113">
        <f t="shared" si="17"/>
        <v>30179.005534811236</v>
      </c>
      <c r="AD81" s="113">
        <f t="shared" si="17"/>
        <v>30180.605854238558</v>
      </c>
      <c r="AE81" s="113">
        <f t="shared" si="17"/>
        <v>30186.292320979675</v>
      </c>
      <c r="AF81" s="113">
        <f t="shared" si="17"/>
        <v>30190.046204509999</v>
      </c>
      <c r="AG81" s="113">
        <f t="shared" si="17"/>
        <v>30193.875730672746</v>
      </c>
      <c r="AH81" s="113">
        <f t="shared" si="17"/>
        <v>30195.6089904773</v>
      </c>
      <c r="AI81" s="113">
        <f t="shared" si="17"/>
        <v>30201.767838557294</v>
      </c>
      <c r="AJ81" s="113">
        <f t="shared" si="17"/>
        <v>755.89381338458963</v>
      </c>
      <c r="AK81" s="113">
        <f xml:space="preserve"> AK$75</f>
        <v>-1.5681088167470159E-11</v>
      </c>
      <c r="AL81" s="113">
        <f xml:space="preserve"> AL$75</f>
        <v>-1.5681088167470159E-11</v>
      </c>
      <c r="AM81" s="113">
        <f xml:space="preserve"> AM$75</f>
        <v>-1.5681088167470159E-11</v>
      </c>
      <c r="AN81" s="113">
        <f xml:space="preserve"> AN$75</f>
        <v>-1.5681088167470159E-11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7.8526823113185263E-11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1.5802470443304628E-11</v>
      </c>
      <c r="AK83" s="20">
        <f t="shared" si="19"/>
        <v>1.5681088167470159E-11</v>
      </c>
      <c r="AL83" s="20">
        <f t="shared" si="19"/>
        <v>1.5681088167470159E-11</v>
      </c>
      <c r="AM83" s="20">
        <f t="shared" si="19"/>
        <v>1.5681088167470159E-11</v>
      </c>
      <c r="AN83" s="20">
        <f t="shared" si="19"/>
        <v>1.5681088167470159E-11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F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2" sqref="H12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0" width="12.53125" style="67" customWidth="1"/>
    <col min="31" max="31" width="0.46484375" style="114" customWidth="1"/>
    <col min="32" max="32" width="0" hidden="1" customWidth="1"/>
    <col min="33" max="16384" width="9.1328125" hidden="1"/>
  </cols>
  <sheetData>
    <row r="1" spans="1:31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1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44575</v>
      </c>
      <c r="T2" s="219">
        <v>44572</v>
      </c>
      <c r="U2" s="219">
        <v>44572</v>
      </c>
      <c r="V2" s="219">
        <v>44572</v>
      </c>
      <c r="W2" s="219">
        <v>44572</v>
      </c>
      <c r="X2" s="219">
        <v>44571</v>
      </c>
      <c r="Y2" s="219">
        <v>44571</v>
      </c>
      <c r="Z2" s="219">
        <v>44564</v>
      </c>
      <c r="AA2" s="219">
        <v>44564</v>
      </c>
      <c r="AB2" s="219">
        <v>44564</v>
      </c>
      <c r="AC2" s="219"/>
      <c r="AD2" s="219"/>
    </row>
    <row r="3" spans="1:31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/>
      <c r="AD3" s="218"/>
      <c r="AE3" s="139"/>
    </row>
    <row r="4" spans="1:31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115"/>
    </row>
    <row r="5" spans="1:31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17</v>
      </c>
      <c r="I5" s="72"/>
      <c r="J5" s="314">
        <f xml:space="preserve"> MATCH($H$5, M5:AE5, 0)</f>
        <v>2</v>
      </c>
      <c r="K5" s="261" t="s">
        <v>65</v>
      </c>
      <c r="L5" s="259" t="s">
        <v>66</v>
      </c>
      <c r="M5" s="116"/>
      <c r="N5" s="220">
        <v>17</v>
      </c>
      <c r="O5" s="220">
        <v>16</v>
      </c>
      <c r="P5" s="220">
        <v>15</v>
      </c>
      <c r="Q5" s="220">
        <v>14</v>
      </c>
      <c r="R5" s="220">
        <v>13</v>
      </c>
      <c r="S5" s="220">
        <v>12</v>
      </c>
      <c r="T5" s="220">
        <v>11</v>
      </c>
      <c r="U5" s="220">
        <v>10</v>
      </c>
      <c r="V5" s="220">
        <v>9</v>
      </c>
      <c r="W5" s="220">
        <v>8</v>
      </c>
      <c r="X5" s="220">
        <v>7</v>
      </c>
      <c r="Y5" s="220">
        <v>6</v>
      </c>
      <c r="Z5" s="220">
        <v>5</v>
      </c>
      <c r="AA5" s="220">
        <v>4</v>
      </c>
      <c r="AB5" s="220">
        <v>3</v>
      </c>
      <c r="AC5" s="220">
        <v>2</v>
      </c>
      <c r="AD5" s="220">
        <v>1</v>
      </c>
      <c r="AE5" s="116"/>
    </row>
    <row r="6" spans="1:31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16"/>
    </row>
    <row r="7" spans="1:31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16"/>
    </row>
    <row r="8" spans="1:31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116"/>
    </row>
    <row r="9" spans="1:31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"/>
    </row>
    <row r="10" spans="1:31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0.19669247269630433</v>
      </c>
      <c r="I10" s="493"/>
      <c r="J10" s="316" t="str">
        <f xml:space="preserve"> IF(ABS(K10) &gt; TRK_TOL, "tu", "vw")</f>
        <v>vw</v>
      </c>
      <c r="K10" s="81">
        <f xml:space="preserve"> H10 - INDEX(M10:AE10, $J$5)</f>
        <v>0</v>
      </c>
      <c r="L10" s="81">
        <f xml:space="preserve"> IF(ABS(K10) &gt; TRK_TOL, IF(INDEX(M10:AE10, $J$5) = 0, 0, H10 / INDEX(M10:AE10, $J$5) - 1), 0)</f>
        <v>0</v>
      </c>
      <c r="M10" s="271"/>
      <c r="N10" s="257">
        <v>0.19669247269630433</v>
      </c>
      <c r="O10" s="257">
        <v>0.19669247269630433</v>
      </c>
      <c r="P10" s="257">
        <v>0.18807238936424256</v>
      </c>
      <c r="Q10" s="257">
        <v>0.26290706992149349</v>
      </c>
      <c r="R10" s="257">
        <v>7.5917240977287304E-2</v>
      </c>
      <c r="S10" s="257">
        <v>8.9617064595222493E-2</v>
      </c>
      <c r="T10" s="257">
        <v>9.8730558156967185E-2</v>
      </c>
      <c r="U10" s="257">
        <v>8.4725400805473347E-2</v>
      </c>
      <c r="V10" s="257">
        <v>0.13478659987449648</v>
      </c>
      <c r="W10" s="257"/>
      <c r="X10" s="257"/>
      <c r="Y10" s="257"/>
      <c r="Z10" s="257"/>
      <c r="AA10" s="257"/>
      <c r="AB10" s="257"/>
      <c r="AC10" s="257"/>
      <c r="AD10" s="257"/>
      <c r="AE10" s="138"/>
    </row>
    <row r="11" spans="1:31" x14ac:dyDescent="0.35">
      <c r="A11" s="514"/>
      <c r="B11" s="514"/>
      <c r="C11" s="515"/>
      <c r="D11" s="516"/>
      <c r="E11" s="279" t="str">
        <f>Metrics!E$31</f>
        <v>Min 3m historic DSCR</v>
      </c>
      <c r="F11" s="279"/>
      <c r="G11" s="279" t="str">
        <f>Metrics!G$31</f>
        <v>ratio</v>
      </c>
      <c r="H11" s="518">
        <f>Metrics!F$31</f>
        <v>0.64672401028121584</v>
      </c>
      <c r="I11" s="279"/>
      <c r="J11" s="319" t="str">
        <f xml:space="preserve"> IF(ABS(K11) &gt; TRK_TOL, "tu", "vw")</f>
        <v>vw</v>
      </c>
      <c r="K11" s="518">
        <f xml:space="preserve"> H11 - INDEX(M11:AE11, $J$5)</f>
        <v>0</v>
      </c>
      <c r="L11" s="274">
        <f xml:space="preserve"> IF(ABS(K11) &gt; TRK_TOL, IF(INDEX(M11:AE11, $J$5) = 0, 0, H11 / INDEX(M11:AE11, $J$5) - 1), 0)</f>
        <v>0</v>
      </c>
      <c r="M11" s="291"/>
      <c r="N11" s="519">
        <v>0.64672401028121584</v>
      </c>
      <c r="O11" s="519"/>
      <c r="P11" s="519"/>
      <c r="Q11" s="519"/>
      <c r="R11" s="519"/>
      <c r="S11" s="519"/>
      <c r="T11" s="519"/>
      <c r="U11" s="519"/>
      <c r="V11" s="519"/>
      <c r="W11" s="519"/>
      <c r="X11" s="519"/>
      <c r="Y11" s="519"/>
      <c r="Z11" s="519"/>
      <c r="AA11" s="519"/>
      <c r="AB11" s="519"/>
      <c r="AC11" s="519"/>
      <c r="AD11" s="519"/>
      <c r="AE11" s="520"/>
    </row>
    <row r="12" spans="1:31" x14ac:dyDescent="0.35">
      <c r="A12" s="514"/>
      <c r="B12" s="514"/>
      <c r="C12" s="515"/>
      <c r="D12" s="516"/>
      <c r="E12" s="279" t="str">
        <f>Metrics!E$32</f>
        <v>Avg 3m historic DSCR</v>
      </c>
      <c r="F12" s="279"/>
      <c r="G12" s="279" t="str">
        <f>Metrics!G$32</f>
        <v>ratio</v>
      </c>
      <c r="H12" s="518">
        <f>Metrics!F$32</f>
        <v>1.448252360976626</v>
      </c>
      <c r="I12" s="279"/>
      <c r="J12" s="319" t="str">
        <f xml:space="preserve"> IF(ABS(K12) &gt; TRK_TOL, "tu", "vw")</f>
        <v>vw</v>
      </c>
      <c r="K12" s="518">
        <f xml:space="preserve"> H12 - INDEX(M12:AE12, $J$5)</f>
        <v>0</v>
      </c>
      <c r="L12" s="274">
        <f xml:space="preserve"> IF(ABS(K12) &gt; TRK_TOL, IF(INDEX(M12:AE12, $J$5) = 0, 0, H12 / INDEX(M12:AE12, $J$5) - 1), 0)</f>
        <v>0</v>
      </c>
      <c r="M12" s="291"/>
      <c r="N12" s="519">
        <v>1.448252360976626</v>
      </c>
      <c r="O12" s="519"/>
      <c r="P12" s="519"/>
      <c r="Q12" s="519"/>
      <c r="R12" s="519"/>
      <c r="S12" s="519"/>
      <c r="T12" s="519"/>
      <c r="U12" s="519"/>
      <c r="V12" s="519"/>
      <c r="W12" s="519"/>
      <c r="X12" s="519"/>
      <c r="Y12" s="519"/>
      <c r="Z12" s="519"/>
      <c r="AA12" s="519"/>
      <c r="AB12" s="519"/>
      <c r="AC12" s="519"/>
      <c r="AD12" s="519"/>
      <c r="AE12" s="520"/>
    </row>
    <row r="13" spans="1:31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71"/>
    </row>
    <row r="14" spans="1:31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71"/>
    </row>
    <row r="15" spans="1:31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39"/>
    </row>
    <row r="16" spans="1:31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136"/>
    </row>
    <row r="17" spans="1:31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131"/>
    </row>
    <row r="18" spans="1:31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131"/>
    </row>
    <row r="19" spans="1:31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131"/>
    </row>
    <row r="20" spans="1:31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</row>
    <row r="21" spans="1:31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INDEX(M21:AE21, $J$5)</f>
        <v>0</v>
      </c>
      <c r="L21" s="274">
        <f xml:space="preserve"> IF(ABS(K21) &gt; TRK_TOL, IF(INDEX(M21:AE21, $J$5) = 0, 0, H21 / INDEX(M21:AE21,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0</v>
      </c>
      <c r="AC21" s="281"/>
      <c r="AD21" s="281"/>
      <c r="AE21" s="280"/>
    </row>
    <row r="22" spans="1:31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INDEX(M22:AE22, $J$5)</f>
        <v>0</v>
      </c>
      <c r="L22" s="274">
        <f xml:space="preserve"> IF(ABS(K22) &gt; TRK_TOL, IF(INDEX(M22:AE22, $J$5) = 0, 0, H22 / INDEX(M22:AE22,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0</v>
      </c>
      <c r="AA22" s="281">
        <v>0</v>
      </c>
      <c r="AB22" s="281">
        <v>0</v>
      </c>
      <c r="AC22" s="281"/>
      <c r="AD22" s="281"/>
      <c r="AE22" s="282"/>
    </row>
    <row r="23" spans="1:31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INDEX(M23:AE23, $J$5)</f>
        <v>0</v>
      </c>
      <c r="L23" s="285">
        <f xml:space="preserve"> IF(ABS(K23) &gt; TRK_TOL, IF(INDEX(M23:AE23, $J$5) = 0, 0, H23 / INDEX(M23:AE23,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371409.67882059288</v>
      </c>
      <c r="AA23" s="287">
        <v>371409.67882059288</v>
      </c>
      <c r="AB23" s="287">
        <v>10000</v>
      </c>
      <c r="AC23" s="287"/>
      <c r="AD23" s="287"/>
      <c r="AE23" s="286"/>
    </row>
    <row r="24" spans="1:31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0"/>
    </row>
    <row r="25" spans="1:31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INDEX(M25:AE25, $J$5)</f>
        <v>0</v>
      </c>
      <c r="L25" s="274">
        <f xml:space="preserve"> IF(ABS(K25) &gt; TRK_TOL, IF(INDEX(M25:AE25, $J$5) = 0, 0, H25 / INDEX(M25:AE25,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0</v>
      </c>
      <c r="W25" s="281">
        <v>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/>
      <c r="AD25" s="281"/>
      <c r="AE25" s="280"/>
    </row>
    <row r="26" spans="1:31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INDEX(M26:AE26, $J$5)</f>
        <v>0</v>
      </c>
      <c r="L26" s="285">
        <f xml:space="preserve"> IF(ABS(K26) &gt; TRK_TOL, IF(INDEX(M26:AE26, $J$5) = 0, 0, H26 / INDEX(M26:AE26,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322667.04122730839</v>
      </c>
      <c r="W26" s="287">
        <v>322667.04122730839</v>
      </c>
      <c r="X26" s="287">
        <v>322667.04122730839</v>
      </c>
      <c r="Y26" s="287">
        <v>322667.04122730839</v>
      </c>
      <c r="Z26" s="287">
        <v>371409.67882059288</v>
      </c>
      <c r="AA26" s="287">
        <v>371409.67882059288</v>
      </c>
      <c r="AB26" s="287">
        <v>10000</v>
      </c>
      <c r="AC26" s="287"/>
      <c r="AD26" s="287"/>
      <c r="AE26" s="288"/>
    </row>
    <row r="27" spans="1:31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0"/>
    </row>
    <row r="28" spans="1:31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-23972.181282768801</v>
      </c>
      <c r="I28" s="279"/>
      <c r="J28" s="316" t="str">
        <f xml:space="preserve"> IF(ABS(K28) &gt; TRK_TOL, "tu", "vw")</f>
        <v>vw</v>
      </c>
      <c r="K28" s="149">
        <f xml:space="preserve"> H28 - INDEX(M28:AE28, $J$5)</f>
        <v>0</v>
      </c>
      <c r="L28" s="274">
        <f xml:space="preserve"> IF(ABS(K28) &gt; TRK_TOL, IF(INDEX(M28:AE28, $J$5) = 0, 0, H28 / INDEX(M28:AE28, $J$5) - 1), 0)</f>
        <v>0</v>
      </c>
      <c r="M28" s="289"/>
      <c r="N28" s="281">
        <v>-23972.181282768801</v>
      </c>
      <c r="O28" s="281">
        <v>-23972.181282768801</v>
      </c>
      <c r="P28" s="281">
        <v>-21840.583333333336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/>
      <c r="AD28" s="281"/>
      <c r="AE28" s="289"/>
    </row>
    <row r="29" spans="1:31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INDEX(M29:AE29, $J$5)</f>
        <v>0</v>
      </c>
      <c r="L29" s="274">
        <f xml:space="preserve"> IF(ABS(K29) &gt; TRK_TOL, IF(INDEX(M29:AE29, $J$5) = 0, 0, H29 / INDEX(M29:AE29,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/>
      <c r="AD29" s="281"/>
      <c r="AE29" s="289"/>
    </row>
    <row r="30" spans="1:31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INDEX(M30:AE30, $J$5)</f>
        <v>0</v>
      </c>
      <c r="L30" s="274">
        <f xml:space="preserve"> IF(ABS(K30) &gt; TRK_TOL, IF(INDEX(M30:AE30, $J$5) = 0, 0, H30 / INDEX(M30:AE30,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/>
      <c r="AD30" s="281"/>
      <c r="AE30" s="291"/>
    </row>
    <row r="31" spans="1:31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198694.85994453946</v>
      </c>
      <c r="I31" s="321"/>
      <c r="J31" s="318" t="str">
        <f xml:space="preserve"> IF(ABS(K31) &gt; TRK_TOL, "tu", "vw")</f>
        <v>vw</v>
      </c>
      <c r="K31" s="284">
        <f xml:space="preserve"> H31 - INDEX(M31:AE31, $J$5)</f>
        <v>0</v>
      </c>
      <c r="L31" s="285">
        <f xml:space="preserve"> IF(ABS(K31) &gt; TRK_TOL, IF(INDEX(M31:AE31, $J$5) = 0, 0, H31 / INDEX(M31:AE31, $J$5) - 1), 0)</f>
        <v>0</v>
      </c>
      <c r="M31" s="286"/>
      <c r="N31" s="287">
        <v>198694.85994453946</v>
      </c>
      <c r="O31" s="287">
        <v>198694.85994453946</v>
      </c>
      <c r="P31" s="287">
        <v>200826.45789397514</v>
      </c>
      <c r="Q31" s="287">
        <v>222667.04122730848</v>
      </c>
      <c r="R31" s="287">
        <v>222667.04122730848</v>
      </c>
      <c r="S31" s="287">
        <v>222667.04122730848</v>
      </c>
      <c r="T31" s="287">
        <v>222667.04122730848</v>
      </c>
      <c r="U31" s="287">
        <v>222667.04122730848</v>
      </c>
      <c r="V31" s="287">
        <v>322667.04122730839</v>
      </c>
      <c r="W31" s="287">
        <v>322667.04122730839</v>
      </c>
      <c r="X31" s="287">
        <v>322667.04122730839</v>
      </c>
      <c r="Y31" s="287">
        <v>322667.04122730839</v>
      </c>
      <c r="Z31" s="287">
        <v>371409.67882059288</v>
      </c>
      <c r="AA31" s="287">
        <v>371409.67882059288</v>
      </c>
      <c r="AB31" s="287">
        <v>10000</v>
      </c>
      <c r="AC31" s="287"/>
      <c r="AD31" s="287"/>
      <c r="AE31" s="286"/>
    </row>
    <row r="32" spans="1:31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91"/>
    </row>
    <row r="33" spans="1:31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INDEX(M33:AE33, $J$5)</f>
        <v>0</v>
      </c>
      <c r="L33" s="274">
        <f xml:space="preserve"> IF(ABS(K33) &gt; TRK_TOL, IF(INDEX(M33:AE33, $J$5) = 0, 0, H33 / INDEX(M33:AE33,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/>
      <c r="AD33" s="281"/>
      <c r="AE33" s="291"/>
    </row>
    <row r="34" spans="1:31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198694.85994453946</v>
      </c>
      <c r="I34" s="321"/>
      <c r="J34" s="318" t="str">
        <f xml:space="preserve"> IF(ABS(K34) &gt; TRK_TOL, "tu", "vw")</f>
        <v>vw</v>
      </c>
      <c r="K34" s="284">
        <f xml:space="preserve"> H34 - INDEX(M34:AE34, $J$5)</f>
        <v>0</v>
      </c>
      <c r="L34" s="285">
        <f xml:space="preserve"> IF(ABS(K34) &gt; TRK_TOL, IF(INDEX(M34:AE34, $J$5) = 0, 0, H34 / INDEX(M34:AE34, $J$5) - 1), 0)</f>
        <v>0</v>
      </c>
      <c r="M34" s="286"/>
      <c r="N34" s="287">
        <v>198694.85994453946</v>
      </c>
      <c r="O34" s="287">
        <v>198694.85994453946</v>
      </c>
      <c r="P34" s="287">
        <v>200826.45789397514</v>
      </c>
      <c r="Q34" s="287">
        <v>222667.04122730848</v>
      </c>
      <c r="R34" s="287">
        <v>222667.04122730848</v>
      </c>
      <c r="S34" s="287">
        <v>222667.04122730848</v>
      </c>
      <c r="T34" s="287">
        <v>222667.04122730848</v>
      </c>
      <c r="U34" s="287">
        <v>222667.04122730848</v>
      </c>
      <c r="V34" s="287">
        <v>322667.04122730839</v>
      </c>
      <c r="W34" s="287">
        <v>322667.04122730839</v>
      </c>
      <c r="X34" s="287">
        <v>322667.04122730839</v>
      </c>
      <c r="Y34" s="287">
        <v>322667.04122730839</v>
      </c>
      <c r="Z34" s="287">
        <v>371409.67882059288</v>
      </c>
      <c r="AA34" s="287">
        <v>371409.67882059288</v>
      </c>
      <c r="AB34" s="287">
        <v>10000</v>
      </c>
      <c r="AC34" s="287"/>
      <c r="AD34" s="287"/>
      <c r="AE34" s="286"/>
    </row>
    <row r="35" spans="1:31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91"/>
    </row>
    <row r="36" spans="1:31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-198694.8599445392</v>
      </c>
      <c r="I36" s="279"/>
      <c r="J36" s="319" t="str">
        <f xml:space="preserve"> IF(ABS(K36) &gt; TRK_TOL, "tu", "vw")</f>
        <v>vw</v>
      </c>
      <c r="K36" s="149">
        <f xml:space="preserve"> H36 - INDEX(M36:AE36, $J$5)</f>
        <v>0</v>
      </c>
      <c r="L36" s="274">
        <f xml:space="preserve"> IF(ABS(K36) &gt; TRK_TOL, IF(INDEX(M36:AE36, $J$5) = 0, 0, H36 / INDEX(M36:AE36, $J$5) - 1), 0)</f>
        <v>0</v>
      </c>
      <c r="M36" s="291"/>
      <c r="N36" s="281">
        <v>-198694.8599445392</v>
      </c>
      <c r="O36" s="281">
        <v>-198694.8599445392</v>
      </c>
      <c r="P36" s="281">
        <v>-200826.45789397517</v>
      </c>
      <c r="Q36" s="281">
        <v>-222667.04122730848</v>
      </c>
      <c r="R36" s="281">
        <v>-222667.04122730848</v>
      </c>
      <c r="S36" s="281">
        <v>-222667.04122730848</v>
      </c>
      <c r="T36" s="281">
        <v>-222667.04122730848</v>
      </c>
      <c r="U36" s="281">
        <v>-222667.04122730848</v>
      </c>
      <c r="V36" s="281">
        <v>-322667.04122730857</v>
      </c>
      <c r="W36" s="281">
        <v>-322667.04122730857</v>
      </c>
      <c r="X36" s="281">
        <v>0</v>
      </c>
      <c r="Y36" s="281">
        <v>0</v>
      </c>
      <c r="Z36" s="281">
        <v>0</v>
      </c>
      <c r="AA36" s="281">
        <v>0</v>
      </c>
      <c r="AB36" s="281">
        <v>0</v>
      </c>
      <c r="AC36" s="281"/>
      <c r="AD36" s="281"/>
      <c r="AE36" s="291"/>
    </row>
    <row r="37" spans="1:31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4.2634685317016288E-10</v>
      </c>
      <c r="I37" s="283"/>
      <c r="J37" s="318" t="str">
        <f xml:space="preserve"> IF(ABS(K37) &gt; TRK_TOL, "tu", "vw")</f>
        <v>vw</v>
      </c>
      <c r="K37" s="284">
        <f xml:space="preserve"> H37 - INDEX(M37:AE37, $J$5)</f>
        <v>0</v>
      </c>
      <c r="L37" s="285">
        <f xml:space="preserve"> IF(ABS(K37) &gt; TRK_TOL, IF(INDEX(M37:AE37, $J$5) = 0, 0, H37 / INDEX(M37:AE37, $J$5) - 1), 0)</f>
        <v>0</v>
      </c>
      <c r="M37" s="288"/>
      <c r="N37" s="344">
        <v>4.2634685317016288E-10</v>
      </c>
      <c r="O37" s="344">
        <v>4.2634685317016288E-10</v>
      </c>
      <c r="P37" s="344">
        <v>-1.3642420526593924E-12</v>
      </c>
      <c r="Q37" s="344">
        <v>-1.3642420526593924E-12</v>
      </c>
      <c r="R37" s="344">
        <v>-1.3642420526593924E-12</v>
      </c>
      <c r="S37" s="344">
        <v>0</v>
      </c>
      <c r="T37" s="344">
        <v>0</v>
      </c>
      <c r="U37" s="344">
        <v>0</v>
      </c>
      <c r="V37" s="344">
        <v>-9.0949470177292824E-13</v>
      </c>
      <c r="W37" s="344">
        <v>-9.0949470177292824E-13</v>
      </c>
      <c r="X37" s="344">
        <v>322667.04122730839</v>
      </c>
      <c r="Y37" s="344">
        <v>322667.04122730839</v>
      </c>
      <c r="Z37" s="344">
        <v>371409.67882059288</v>
      </c>
      <c r="AA37" s="344">
        <v>371409.67882059288</v>
      </c>
      <c r="AB37" s="344">
        <v>10000</v>
      </c>
      <c r="AC37" s="344"/>
      <c r="AD37" s="344"/>
      <c r="AE37" s="288"/>
    </row>
    <row r="38" spans="1:31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80"/>
    </row>
    <row r="39" spans="1:31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80"/>
    </row>
    <row r="40" spans="1:31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80"/>
    </row>
    <row r="41" spans="1:31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80"/>
    </row>
    <row r="42" spans="1:31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INDEX(M42:AE42, $J$5)</f>
        <v>0</v>
      </c>
      <c r="L42" s="274">
        <f xml:space="preserve"> IF(ABS(K42) &gt; TRK_TOL, IF(INDEX(M42:AE42, $J$5) = 0, 0, H42 / INDEX(M42:AE42,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0</v>
      </c>
      <c r="AB42" s="281">
        <v>0</v>
      </c>
      <c r="AC42" s="281"/>
      <c r="AD42" s="281"/>
      <c r="AE42" s="289"/>
    </row>
    <row r="43" spans="1:31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INDEX(M43:AE43, $J$5)</f>
        <v>0</v>
      </c>
      <c r="L43" s="274">
        <f xml:space="preserve"> IF(ABS(K43) &gt; TRK_TOL, IF(INDEX(M43:AE43, $J$5) = 0, 0, H43 / INDEX(M43:AE43,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0</v>
      </c>
      <c r="Z43" s="281">
        <v>0</v>
      </c>
      <c r="AA43" s="281">
        <v>0</v>
      </c>
      <c r="AB43" s="281">
        <v>0</v>
      </c>
      <c r="AC43" s="281"/>
      <c r="AD43" s="281"/>
      <c r="AE43" s="289"/>
    </row>
    <row r="44" spans="1:31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INDEX(M44:AE44, $J$5)</f>
        <v>0</v>
      </c>
      <c r="L44" s="274">
        <f xml:space="preserve"> IF(ABS(K44) &gt; TRK_TOL, IF(INDEX(M44:AE44, $J$5) = 0, 0, H44 / INDEX(M44:AE44,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/>
      <c r="AD44" s="281"/>
      <c r="AE44" s="289"/>
    </row>
    <row r="45" spans="1:31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322667.04122730857</v>
      </c>
      <c r="I45" s="283"/>
      <c r="J45" s="318" t="str">
        <f xml:space="preserve"> IF(ABS(K45) &gt; TRK_TOL, "tu", "vw")</f>
        <v>vw</v>
      </c>
      <c r="K45" s="284">
        <f xml:space="preserve"> H45 - INDEX(M45:AE45, $J$5)</f>
        <v>0</v>
      </c>
      <c r="L45" s="285">
        <f xml:space="preserve"> IF(ABS(K45) &gt; TRK_TOL, IF(INDEX(M45:AE45, $J$5) = 0, 0, H45 / INDEX(M45:AE45, $J$5) - 1), 0)</f>
        <v>0</v>
      </c>
      <c r="M45" s="286"/>
      <c r="N45" s="287">
        <v>322667.04122730857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322667.04122730828</v>
      </c>
      <c r="Y45" s="287">
        <v>371409.67882059258</v>
      </c>
      <c r="Z45" s="287">
        <v>371409.67882059258</v>
      </c>
      <c r="AA45" s="287">
        <v>10000</v>
      </c>
      <c r="AB45" s="287">
        <v>10000</v>
      </c>
      <c r="AC45" s="287"/>
      <c r="AD45" s="287"/>
      <c r="AE45" s="286"/>
    </row>
    <row r="46" spans="1:31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9"/>
    </row>
    <row r="47" spans="1:31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-23972.181282768801</v>
      </c>
      <c r="I47" s="279"/>
      <c r="J47" s="316" t="str">
        <f xml:space="preserve"> IF(ABS(K47) &gt; TRK_TOL, "tu", "vw")</f>
        <v>vw</v>
      </c>
      <c r="K47" s="149">
        <f xml:space="preserve"> H47 - INDEX(M47:AE47, $J$5)</f>
        <v>0</v>
      </c>
      <c r="L47" s="274">
        <f xml:space="preserve"> IF(ABS(K47) &gt; TRK_TOL, IF(INDEX(M47:AE47, $J$5) = 0, 0, H47 / INDEX(M47:AE47, $J$5) - 1), 0)</f>
        <v>0</v>
      </c>
      <c r="M47" s="289"/>
      <c r="N47" s="281">
        <v>-23972.181282768801</v>
      </c>
      <c r="O47" s="281">
        <v>-23972.181282768801</v>
      </c>
      <c r="P47" s="281">
        <v>-21840.583333333336</v>
      </c>
      <c r="Q47" s="281">
        <v>0</v>
      </c>
      <c r="R47" s="281">
        <v>0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/>
      <c r="AD47" s="281"/>
      <c r="AE47" s="289"/>
    </row>
    <row r="48" spans="1:31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-70000.000000000131</v>
      </c>
      <c r="I48" s="279"/>
      <c r="J48" s="316" t="str">
        <f xml:space="preserve"> IF(ABS(K48) &gt; TRK_TOL, "tu", "vw")</f>
        <v>vw</v>
      </c>
      <c r="K48" s="149">
        <f xml:space="preserve"> H48 - INDEX(M48:AE48, $J$5)</f>
        <v>0</v>
      </c>
      <c r="L48" s="274">
        <f xml:space="preserve"> IF(ABS(K48) &gt; TRK_TOL, IF(INDEX(M48:AE48, $J$5) = 0, 0, H48 / INDEX(M48:AE48, $J$5) - 1), 0)</f>
        <v>0</v>
      </c>
      <c r="M48" s="289"/>
      <c r="N48" s="281">
        <v>-70000.000000000131</v>
      </c>
      <c r="O48" s="281">
        <v>-70000.000000000131</v>
      </c>
      <c r="P48" s="281">
        <v>-70000</v>
      </c>
      <c r="Q48" s="281">
        <v>-70000</v>
      </c>
      <c r="R48" s="281">
        <v>-70000</v>
      </c>
      <c r="S48" s="281">
        <v>0</v>
      </c>
      <c r="T48" s="281">
        <v>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/>
      <c r="AD48" s="281"/>
      <c r="AE48" s="289"/>
    </row>
    <row r="49" spans="1:31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228694.85994453903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228694.85994453903</v>
      </c>
      <c r="O49" s="287">
        <v>228694.85994453903</v>
      </c>
      <c r="P49" s="287">
        <v>230826.45789397496</v>
      </c>
      <c r="Q49" s="287">
        <v>252667.04122730828</v>
      </c>
      <c r="R49" s="287">
        <v>252667.04122730828</v>
      </c>
      <c r="S49" s="287">
        <v>322667.04122730857</v>
      </c>
      <c r="T49" s="287">
        <v>322667.04122730857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322667.04122730828</v>
      </c>
      <c r="Y49" s="287">
        <v>371409.67882059258</v>
      </c>
      <c r="Z49" s="287">
        <v>371409.67882059258</v>
      </c>
      <c r="AA49" s="287">
        <v>10000</v>
      </c>
      <c r="AB49" s="287">
        <v>10000</v>
      </c>
      <c r="AC49" s="287"/>
      <c r="AD49" s="287"/>
      <c r="AE49" s="286"/>
    </row>
    <row r="50" spans="1:31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9"/>
    </row>
    <row r="51" spans="1:31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INDEX(M51:AE51, $J$5)</f>
        <v>0</v>
      </c>
      <c r="L51" s="274">
        <f xml:space="preserve"> IF(ABS(K51) &gt; TRK_TOL, IF(INDEX(M51:AE51, $J$5) = 0, 0, H51 / INDEX(M51:AE51,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/>
      <c r="AD51" s="281"/>
      <c r="AE51" s="291"/>
    </row>
    <row r="52" spans="1:31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INDEX(M52:AE52, $J$5)</f>
        <v>0</v>
      </c>
      <c r="L52" s="274">
        <f xml:space="preserve"> IF(ABS(K52) &gt; TRK_TOL, IF(INDEX(M52:AE52, $J$5) = 0, 0, H52 / INDEX(M52:AE52,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/>
      <c r="AD52" s="281"/>
      <c r="AE52" s="291"/>
    </row>
    <row r="53" spans="1:31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INDEX(M53:AE53, $J$5)</f>
        <v>0</v>
      </c>
      <c r="L53" s="274">
        <f xml:space="preserve"> IF(ABS(K53) &gt; TRK_TOL, IF(INDEX(M53:AE53, $J$5) = 0, 0, H53 / INDEX(M53:AE53,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/>
      <c r="AD53" s="281"/>
      <c r="AE53" s="291"/>
    </row>
    <row r="54" spans="1:31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228694.85994453903</v>
      </c>
      <c r="I54" s="283"/>
      <c r="J54" s="318" t="str">
        <f xml:space="preserve"> IF(ABS(K54) &gt; TRK_TOL, "tu", "vw")</f>
        <v>vw</v>
      </c>
      <c r="K54" s="284">
        <f xml:space="preserve"> H54 - INDEX(M54:AE54, $J$5)</f>
        <v>0</v>
      </c>
      <c r="L54" s="285">
        <f xml:space="preserve"> IF(ABS(K54) &gt; TRK_TOL, IF(INDEX(M54:AE54, $J$5) = 0, 0, H54 / INDEX(M54:AE54, $J$5) - 1), 0)</f>
        <v>0</v>
      </c>
      <c r="M54" s="286"/>
      <c r="N54" s="287">
        <v>228694.85994453903</v>
      </c>
      <c r="O54" s="287">
        <v>228694.85994453903</v>
      </c>
      <c r="P54" s="287">
        <v>230826.45789397496</v>
      </c>
      <c r="Q54" s="287">
        <v>252667.04122730828</v>
      </c>
      <c r="R54" s="287">
        <v>252667.04122730828</v>
      </c>
      <c r="S54" s="287">
        <v>322667.04122730857</v>
      </c>
      <c r="T54" s="287">
        <v>322667.04122730857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322667.04122730828</v>
      </c>
      <c r="Y54" s="287">
        <v>371409.67882059258</v>
      </c>
      <c r="Z54" s="287">
        <v>371409.67882059258</v>
      </c>
      <c r="AA54" s="287">
        <v>10000</v>
      </c>
      <c r="AB54" s="287">
        <v>10000</v>
      </c>
      <c r="AC54" s="287"/>
      <c r="AD54" s="287"/>
      <c r="AE54" s="286"/>
    </row>
    <row r="55" spans="1:31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91"/>
    </row>
    <row r="56" spans="1:31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INDEX(M56:AE56, $J$5)</f>
        <v>0</v>
      </c>
      <c r="L56" s="274">
        <f xml:space="preserve"> IF(ABS(K56) &gt; TRK_TOL, IF(INDEX(M56:AE56, $J$5) = 0, 0, H56 / INDEX(M56:AE56,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/>
      <c r="AD56" s="281"/>
      <c r="AE56" s="291"/>
    </row>
    <row r="57" spans="1:31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INDEX(M57:AE57, $J$5)</f>
        <v>0</v>
      </c>
      <c r="L57" s="274">
        <f xml:space="preserve"> IF(ABS(K57) &gt; TRK_TOL, IF(INDEX(M57:AE57, $J$5) = 0, 0, H57 / INDEX(M57:AE57,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/>
      <c r="AD57" s="281"/>
      <c r="AE57" s="291"/>
    </row>
    <row r="58" spans="1:31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INDEX(M58:AE58, $J$5)</f>
        <v>0</v>
      </c>
      <c r="L58" s="274">
        <f xml:space="preserve"> IF(ABS(K58) &gt; TRK_TOL, IF(INDEX(M58:AE58, $J$5) = 0, 0, H58 / INDEX(M58:AE58,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/>
      <c r="AD58" s="281"/>
      <c r="AE58" s="291"/>
    </row>
    <row r="59" spans="1:31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228694.85994453903</v>
      </c>
      <c r="I59" s="283"/>
      <c r="J59" s="318" t="str">
        <f xml:space="preserve"> IF(ABS(K59) &gt; TRK_TOL, "tu", "vw")</f>
        <v>vw</v>
      </c>
      <c r="K59" s="284">
        <f xml:space="preserve"> H59 - INDEX(M59:AE59, $J$5)</f>
        <v>0</v>
      </c>
      <c r="L59" s="285">
        <f xml:space="preserve"> IF(ABS(K59) &gt; TRK_TOL, IF(INDEX(M59:AE59, $J$5) = 0, 0, H59 / INDEX(M59:AE59, $J$5) - 1), 0)</f>
        <v>0</v>
      </c>
      <c r="M59" s="286"/>
      <c r="N59" s="287">
        <v>228694.85994453903</v>
      </c>
      <c r="O59" s="287">
        <v>228694.85994453903</v>
      </c>
      <c r="P59" s="287">
        <v>230826.45789397496</v>
      </c>
      <c r="Q59" s="287">
        <v>252667.04122730828</v>
      </c>
      <c r="R59" s="287">
        <v>252667.04122730828</v>
      </c>
      <c r="S59" s="287">
        <v>322667.04122730857</v>
      </c>
      <c r="T59" s="287">
        <v>322667.04122730857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322667.04122730828</v>
      </c>
      <c r="Y59" s="287">
        <v>371409.67882059258</v>
      </c>
      <c r="Z59" s="287">
        <v>371409.67882059258</v>
      </c>
      <c r="AA59" s="287">
        <v>10000</v>
      </c>
      <c r="AB59" s="287">
        <v>10000</v>
      </c>
      <c r="AC59" s="287"/>
      <c r="AD59" s="287"/>
      <c r="AE59" s="286"/>
    </row>
    <row r="60" spans="1:31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91"/>
    </row>
    <row r="61" spans="1:31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-30000</v>
      </c>
      <c r="I61" s="279"/>
      <c r="J61" s="319" t="str">
        <f xml:space="preserve"> IF(ABS(K61) &gt; TRK_TOL, "tu", "vw")</f>
        <v>vw</v>
      </c>
      <c r="K61" s="149">
        <f xml:space="preserve"> H61 - INDEX(M61:AE61, $J$5)</f>
        <v>0</v>
      </c>
      <c r="L61" s="274">
        <f xml:space="preserve"> IF(ABS(K61) &gt; TRK_TOL, IF(INDEX(M61:AE61, $J$5) = 0, 0, H61 / INDEX(M61:AE61, $J$5) - 1), 0)</f>
        <v>0</v>
      </c>
      <c r="M61" s="291"/>
      <c r="N61" s="281">
        <v>-30000</v>
      </c>
      <c r="O61" s="281">
        <v>-30000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-100000</v>
      </c>
      <c r="U61" s="281">
        <v>0</v>
      </c>
      <c r="V61" s="281">
        <v>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/>
      <c r="AD61" s="281"/>
      <c r="AE61" s="291"/>
    </row>
    <row r="62" spans="1:31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198694.85994453903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198694.85994453903</v>
      </c>
      <c r="O62" s="287">
        <v>198694.85994453903</v>
      </c>
      <c r="P62" s="287">
        <v>200826.45789397496</v>
      </c>
      <c r="Q62" s="287">
        <v>222667.04122730828</v>
      </c>
      <c r="R62" s="287">
        <v>222667.04122730828</v>
      </c>
      <c r="S62" s="287">
        <v>292667.04122730851</v>
      </c>
      <c r="T62" s="287">
        <v>222667.04122730854</v>
      </c>
      <c r="U62" s="287">
        <v>322667.04122730857</v>
      </c>
      <c r="V62" s="287">
        <v>322667.04122730857</v>
      </c>
      <c r="W62" s="287">
        <v>322667.04122730857</v>
      </c>
      <c r="X62" s="287">
        <v>322667.04122730828</v>
      </c>
      <c r="Y62" s="287">
        <v>371409.67882059258</v>
      </c>
      <c r="Z62" s="287">
        <v>371409.67882059258</v>
      </c>
      <c r="AA62" s="287">
        <v>10000</v>
      </c>
      <c r="AB62" s="287">
        <v>10000</v>
      </c>
      <c r="AC62" s="287"/>
      <c r="AD62" s="287"/>
      <c r="AE62" s="286"/>
    </row>
    <row r="63" spans="1:31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91"/>
    </row>
    <row r="64" spans="1:31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-198694.8599445392</v>
      </c>
      <c r="I64" s="279"/>
      <c r="J64" s="319" t="str">
        <f xml:space="preserve"> IF(ABS(K64) &gt; TRK_TOL, "tu", "vw")</f>
        <v>vw</v>
      </c>
      <c r="K64" s="149">
        <f xml:space="preserve"> H64 - INDEX(M64:AE64, $J$5)</f>
        <v>0</v>
      </c>
      <c r="L64" s="274">
        <f xml:space="preserve"> IF(ABS(K64) &gt; TRK_TOL, IF(INDEX(M64:AE64, $J$5) = 0, 0, H64 / INDEX(M64:AE64, $J$5) - 1), 0)</f>
        <v>0</v>
      </c>
      <c r="M64" s="291"/>
      <c r="N64" s="281">
        <v>-198694.8599445392</v>
      </c>
      <c r="O64" s="281">
        <v>-198694.8599445392</v>
      </c>
      <c r="P64" s="281">
        <v>-200826.45789397517</v>
      </c>
      <c r="Q64" s="281">
        <v>-222667.04122730848</v>
      </c>
      <c r="R64" s="281">
        <v>-222667.04122730848</v>
      </c>
      <c r="S64" s="281">
        <v>-222667.04122730848</v>
      </c>
      <c r="T64" s="281">
        <v>-222667.04122730848</v>
      </c>
      <c r="U64" s="281">
        <v>-222667.04122730848</v>
      </c>
      <c r="V64" s="281">
        <v>-322667.04122730857</v>
      </c>
      <c r="W64" s="281">
        <v>-322667.04122730857</v>
      </c>
      <c r="X64" s="281">
        <v>0</v>
      </c>
      <c r="Y64" s="281">
        <v>0</v>
      </c>
      <c r="Z64" s="281">
        <v>0</v>
      </c>
      <c r="AA64" s="281">
        <v>0</v>
      </c>
      <c r="AB64" s="281">
        <v>0</v>
      </c>
      <c r="AC64" s="281"/>
      <c r="AD64" s="281"/>
      <c r="AE64" s="291"/>
    </row>
    <row r="65" spans="1:31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-7.2759576141834259E-12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-7.2759576141834259E-12</v>
      </c>
      <c r="O65" s="287">
        <v>-7.2759576141834259E-12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70000.000000000029</v>
      </c>
      <c r="T65" s="287">
        <v>3.7744030123576522E-11</v>
      </c>
      <c r="U65" s="287">
        <v>100000.00000000003</v>
      </c>
      <c r="V65" s="287">
        <v>0</v>
      </c>
      <c r="W65" s="287">
        <v>0</v>
      </c>
      <c r="X65" s="287">
        <v>322667.04122730828</v>
      </c>
      <c r="Y65" s="287">
        <v>371409.67882059258</v>
      </c>
      <c r="Z65" s="287">
        <v>371409.67882059258</v>
      </c>
      <c r="AA65" s="287">
        <v>10000</v>
      </c>
      <c r="AB65" s="287">
        <v>10000</v>
      </c>
      <c r="AC65" s="287"/>
      <c r="AD65" s="287"/>
      <c r="AE65" s="286"/>
    </row>
    <row r="66" spans="1:31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91"/>
    </row>
    <row r="67" spans="1:31" outlineLevel="1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91"/>
    </row>
    <row r="68" spans="1:31" outlineLevel="1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91"/>
    </row>
    <row r="69" spans="1:31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INDEX(M69:AE69, $J$5)</f>
        <v>0</v>
      </c>
      <c r="L69" s="274">
        <f xml:space="preserve"> IF(ABS(K69) &gt; TRK_TOL, IF(INDEX(M69:AE69, $J$5) = 0, 0, H69 / INDEX(M69:AE69,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91"/>
    </row>
    <row r="70" spans="1:31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91"/>
    </row>
    <row r="71" spans="1:31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9"/>
    </row>
    <row r="72" spans="1:31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89"/>
    </row>
    <row r="73" spans="1:31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44576.371895717595</v>
      </c>
      <c r="I73" s="292"/>
      <c r="K73" s="151"/>
      <c r="L73" s="276"/>
      <c r="M73" s="289"/>
      <c r="N73" s="300">
        <v>44576.3718912037</v>
      </c>
      <c r="O73" s="300">
        <v>44576.363674652777</v>
      </c>
      <c r="P73" s="300">
        <v>44576.303522685186</v>
      </c>
      <c r="Q73" s="300">
        <v>44576.274718402776</v>
      </c>
      <c r="R73" s="300">
        <v>44576.270824189814</v>
      </c>
      <c r="S73" s="300">
        <v>44575.401448379627</v>
      </c>
      <c r="T73" s="300">
        <v>44572.708572916665</v>
      </c>
      <c r="U73" s="300">
        <v>44572.466787384263</v>
      </c>
      <c r="V73" s="300">
        <v>44572.374983333335</v>
      </c>
      <c r="W73" s="300">
        <v>44572.287801157407</v>
      </c>
      <c r="X73" s="300">
        <v>44571.375070023147</v>
      </c>
      <c r="Y73" s="300">
        <v>44571.345448263892</v>
      </c>
      <c r="Z73" s="300">
        <v>44564.56703564815</v>
      </c>
      <c r="AA73" s="300">
        <v>44564.437968171296</v>
      </c>
      <c r="AB73" s="300">
        <v>44564.41158414352</v>
      </c>
      <c r="AC73" s="300">
        <v>43909.144523958334</v>
      </c>
      <c r="AD73" s="300"/>
      <c r="AE73" s="289"/>
    </row>
    <row r="74" spans="1:31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debt7 END 01a.xlsx</v>
      </c>
      <c r="I74" s="292"/>
      <c r="K74" s="151"/>
      <c r="L74" s="276"/>
      <c r="M74" s="289"/>
      <c r="N74" s="303" t="s">
        <v>292</v>
      </c>
      <c r="O74" s="303" t="s">
        <v>287</v>
      </c>
      <c r="P74" s="303" t="s">
        <v>276</v>
      </c>
      <c r="Q74" s="303" t="s">
        <v>268</v>
      </c>
      <c r="R74" s="303" t="s">
        <v>267</v>
      </c>
      <c r="S74" s="303" t="s">
        <v>257</v>
      </c>
      <c r="T74" s="303" t="s">
        <v>247</v>
      </c>
      <c r="U74" s="303" t="s">
        <v>242</v>
      </c>
      <c r="V74" s="303" t="s">
        <v>236</v>
      </c>
      <c r="W74" s="303" t="s">
        <v>231</v>
      </c>
      <c r="X74" s="303" t="s">
        <v>213</v>
      </c>
      <c r="Y74" s="303" t="s">
        <v>206</v>
      </c>
      <c r="Z74" s="303" t="s">
        <v>199</v>
      </c>
      <c r="AA74" s="303" t="s">
        <v>182</v>
      </c>
      <c r="AB74" s="303" t="s">
        <v>160</v>
      </c>
      <c r="AC74" s="303" t="s">
        <v>119</v>
      </c>
      <c r="AD74" s="303"/>
      <c r="AE74" s="289"/>
    </row>
    <row r="75" spans="1:31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89"/>
    </row>
    <row r="76" spans="1:31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289"/>
    </row>
    <row r="78" spans="1:31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Chart1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2023-09-21T10:02:21Z</dcterms:modified>
</cp:coreProperties>
</file>