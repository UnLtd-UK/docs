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2911CB8E-BACE-4DF6-B476-1709C4EDD364}" xr6:coauthVersionLast="47" xr6:coauthVersionMax="47" xr10:uidLastSave="{00000000-0000-0000-0000-000000000000}"/>
  <bookViews>
    <workbookView xWindow="-98" yWindow="277" windowWidth="26116" windowHeight="16020" tabRatio="810" activeTab="2" xr2:uid="{00000000-000D-0000-FFFF-FFFF00000000}"/>
  </bookViews>
  <sheets>
    <sheet name="InpC" sheetId="48" r:id="rId1"/>
    <sheet name="Time" sheetId="273" r:id="rId2"/>
    <sheet name="Ops" sheetId="281" r:id="rId3"/>
    <sheet name="Equity" sheetId="280" r:id="rId4"/>
    <sheet name="FS Qtr" sheetId="265" r:id="rId5"/>
    <sheet name="Check" sheetId="264" r:id="rId6"/>
    <sheet name="Tmp" sheetId="275" r:id="rId7"/>
  </sheets>
  <definedNames>
    <definedName name="BaseCaseIndicator">InpC!$J$7:$S$7</definedName>
    <definedName name="CHK_TOL">InpC!$F$66</definedName>
    <definedName name="InputRowTemplate">InpC!$E$81:$S$81</definedName>
    <definedName name="InputStored">InpC!$J$3:$S$3</definedName>
    <definedName name="SMU">InpC!$F$70</definedName>
    <definedName name="TRK_TOL">InpC!$F$65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6" i="281" l="1"/>
  <c r="K66" i="281"/>
  <c r="L66" i="281"/>
  <c r="M66" i="281"/>
  <c r="N66" i="281"/>
  <c r="O66" i="281"/>
  <c r="P66" i="281"/>
  <c r="Q66" i="281"/>
  <c r="R66" i="281"/>
  <c r="S66" i="281"/>
  <c r="T66" i="281"/>
  <c r="U66" i="281"/>
  <c r="V66" i="281"/>
  <c r="W66" i="281"/>
  <c r="X66" i="281"/>
  <c r="Y66" i="281"/>
  <c r="Z66" i="281"/>
  <c r="AA66" i="281"/>
  <c r="AB66" i="281"/>
  <c r="AC66" i="281"/>
  <c r="AD66" i="281"/>
  <c r="AE66" i="281"/>
  <c r="AF66" i="281"/>
  <c r="AG66" i="281"/>
  <c r="AH66" i="281"/>
  <c r="AI66" i="281"/>
  <c r="AJ66" i="281"/>
  <c r="AK66" i="281"/>
  <c r="AL66" i="281"/>
  <c r="AM66" i="281"/>
  <c r="AN66" i="281"/>
  <c r="AO66" i="281"/>
  <c r="AP66" i="281"/>
  <c r="AQ66" i="281"/>
  <c r="AR66" i="281"/>
  <c r="AS66" i="281"/>
  <c r="AT66" i="281"/>
  <c r="AU66" i="281"/>
  <c r="AV66" i="281"/>
  <c r="AW66" i="281"/>
  <c r="AX66" i="281"/>
  <c r="AY66" i="281"/>
  <c r="AZ66" i="281"/>
  <c r="BA66" i="281"/>
  <c r="BB66" i="281"/>
  <c r="BC66" i="281"/>
  <c r="BD66" i="281"/>
  <c r="BE66" i="281"/>
  <c r="BF66" i="281"/>
  <c r="BG66" i="281"/>
  <c r="BH66" i="281"/>
  <c r="BI66" i="281"/>
  <c r="BJ66" i="281"/>
  <c r="BK66" i="281"/>
  <c r="BL66" i="281"/>
  <c r="BM66" i="281"/>
  <c r="BN66" i="281"/>
  <c r="BO66" i="281"/>
  <c r="BP66" i="281"/>
  <c r="BQ66" i="281"/>
  <c r="BR66" i="281"/>
  <c r="BS66" i="281"/>
  <c r="BT66" i="281"/>
  <c r="BU66" i="281"/>
  <c r="BV66" i="281"/>
  <c r="BW66" i="281"/>
  <c r="BX66" i="281"/>
  <c r="BY66" i="281"/>
  <c r="BZ66" i="281"/>
  <c r="CA66" i="281"/>
  <c r="CB66" i="281"/>
  <c r="CC66" i="281"/>
  <c r="CD66" i="281"/>
  <c r="G66" i="281"/>
  <c r="E69" i="281"/>
  <c r="F69" i="281"/>
  <c r="G69" i="281"/>
  <c r="I69" i="281"/>
  <c r="I70" i="281"/>
  <c r="G70" i="281"/>
  <c r="F70" i="281"/>
  <c r="E70" i="281"/>
  <c r="E30" i="265"/>
  <c r="F30" i="265"/>
  <c r="I30" i="265"/>
  <c r="E75" i="281"/>
  <c r="G59" i="48"/>
  <c r="G75" i="281" s="1"/>
  <c r="E37" i="281"/>
  <c r="F37" i="281"/>
  <c r="G37" i="281"/>
  <c r="H37" i="281"/>
  <c r="I37" i="281"/>
  <c r="E29" i="281"/>
  <c r="F29" i="281"/>
  <c r="G29" i="281"/>
  <c r="H29" i="281"/>
  <c r="I29" i="281"/>
  <c r="I125" i="273"/>
  <c r="H125" i="273"/>
  <c r="G125" i="273"/>
  <c r="F125" i="273"/>
  <c r="E125" i="273"/>
  <c r="G28" i="281"/>
  <c r="G27" i="281"/>
  <c r="G26" i="281"/>
  <c r="G25" i="281"/>
  <c r="G24" i="281"/>
  <c r="G23" i="281"/>
  <c r="G22" i="281"/>
  <c r="G21" i="281"/>
  <c r="G20" i="281"/>
  <c r="G19" i="281"/>
  <c r="G18" i="281"/>
  <c r="G17" i="281"/>
  <c r="E28" i="281"/>
  <c r="E27" i="281"/>
  <c r="E26" i="281"/>
  <c r="E25" i="281"/>
  <c r="E24" i="281"/>
  <c r="E23" i="281"/>
  <c r="E22" i="281"/>
  <c r="E21" i="281"/>
  <c r="E20" i="281"/>
  <c r="E19" i="281"/>
  <c r="E18" i="281"/>
  <c r="E17" i="281"/>
  <c r="E80" i="281"/>
  <c r="F80" i="281"/>
  <c r="I80" i="281"/>
  <c r="I59" i="281"/>
  <c r="G59" i="281"/>
  <c r="F59" i="281"/>
  <c r="E59" i="281"/>
  <c r="E58" i="281"/>
  <c r="F58" i="281"/>
  <c r="G58" i="281"/>
  <c r="H58" i="281"/>
  <c r="I58" i="281"/>
  <c r="E57" i="281"/>
  <c r="E56" i="281"/>
  <c r="E55" i="281"/>
  <c r="E54" i="281"/>
  <c r="E53" i="281"/>
  <c r="E52" i="281"/>
  <c r="E90" i="273"/>
  <c r="F90" i="273"/>
  <c r="G90" i="273"/>
  <c r="I90" i="273"/>
  <c r="G58" i="48"/>
  <c r="G57" i="281" s="1"/>
  <c r="G57" i="48"/>
  <c r="G56" i="281" s="1"/>
  <c r="G56" i="48"/>
  <c r="G55" i="281" s="1"/>
  <c r="G55" i="48"/>
  <c r="G54" i="281" s="1"/>
  <c r="G54" i="48"/>
  <c r="G53" i="281" s="1"/>
  <c r="E64" i="281"/>
  <c r="F64" i="281"/>
  <c r="G64" i="281"/>
  <c r="H64" i="281"/>
  <c r="I64" i="281"/>
  <c r="G31" i="280"/>
  <c r="I30" i="280"/>
  <c r="F30" i="280"/>
  <c r="E30" i="280"/>
  <c r="E98" i="281"/>
  <c r="G53" i="48"/>
  <c r="G98" i="281" s="1"/>
  <c r="G88" i="281"/>
  <c r="E88" i="281"/>
  <c r="G63" i="281"/>
  <c r="E63" i="281"/>
  <c r="E64" i="265"/>
  <c r="F64" i="265"/>
  <c r="H64" i="265"/>
  <c r="I64" i="265"/>
  <c r="E103" i="281"/>
  <c r="F103" i="281"/>
  <c r="G103" i="281"/>
  <c r="H103" i="281"/>
  <c r="I103" i="281"/>
  <c r="E95" i="281"/>
  <c r="F95" i="281"/>
  <c r="H95" i="281"/>
  <c r="I95" i="281"/>
  <c r="E94" i="281"/>
  <c r="F94" i="281"/>
  <c r="H94" i="281"/>
  <c r="I94" i="281"/>
  <c r="G104" i="281"/>
  <c r="I102" i="281"/>
  <c r="F102" i="281"/>
  <c r="E102" i="281"/>
  <c r="J101" i="281"/>
  <c r="J94" i="281" s="1"/>
  <c r="G101" i="281"/>
  <c r="G94" i="281" s="1"/>
  <c r="I99" i="281"/>
  <c r="G99" i="281"/>
  <c r="F99" i="281"/>
  <c r="E99" i="281"/>
  <c r="G91" i="281"/>
  <c r="G95" i="281" s="1"/>
  <c r="I90" i="281"/>
  <c r="H90" i="281"/>
  <c r="G90" i="281"/>
  <c r="F90" i="281"/>
  <c r="E90" i="281"/>
  <c r="I89" i="281"/>
  <c r="F89" i="281"/>
  <c r="E89" i="281"/>
  <c r="I79" i="281"/>
  <c r="F79" i="281"/>
  <c r="E79" i="281"/>
  <c r="G71" i="281"/>
  <c r="G30" i="265" s="1"/>
  <c r="E119" i="273"/>
  <c r="F119" i="273"/>
  <c r="G119" i="273"/>
  <c r="H119" i="273"/>
  <c r="I119" i="273"/>
  <c r="I120" i="273"/>
  <c r="H120" i="273"/>
  <c r="G120" i="273"/>
  <c r="F120" i="273"/>
  <c r="E120" i="273"/>
  <c r="E65" i="281"/>
  <c r="F65" i="281"/>
  <c r="I65" i="281"/>
  <c r="E76" i="281"/>
  <c r="F76" i="281"/>
  <c r="G76" i="281"/>
  <c r="I76" i="281"/>
  <c r="G81" i="281"/>
  <c r="G64" i="265" s="1"/>
  <c r="J78" i="281"/>
  <c r="G78" i="281"/>
  <c r="E9" i="265"/>
  <c r="F9" i="265"/>
  <c r="I9" i="265"/>
  <c r="G42" i="281"/>
  <c r="E42" i="281"/>
  <c r="F42" i="281"/>
  <c r="E43" i="281"/>
  <c r="F43" i="281"/>
  <c r="G43" i="281"/>
  <c r="G41" i="281"/>
  <c r="E41" i="281"/>
  <c r="G35" i="281"/>
  <c r="E35" i="281"/>
  <c r="G34" i="281"/>
  <c r="E34" i="281"/>
  <c r="G11" i="281"/>
  <c r="E11" i="281"/>
  <c r="I45" i="281"/>
  <c r="G45" i="281"/>
  <c r="F45" i="281"/>
  <c r="E45" i="281"/>
  <c r="E44" i="281"/>
  <c r="F44" i="281"/>
  <c r="G44" i="281"/>
  <c r="I44" i="281"/>
  <c r="E36" i="281"/>
  <c r="F36" i="281"/>
  <c r="G36" i="281"/>
  <c r="H36" i="281"/>
  <c r="I36" i="281"/>
  <c r="E13" i="281"/>
  <c r="F13" i="281"/>
  <c r="G13" i="281"/>
  <c r="I13" i="281"/>
  <c r="E12" i="281"/>
  <c r="F12" i="281"/>
  <c r="G12" i="281"/>
  <c r="H12" i="281"/>
  <c r="I12" i="281"/>
  <c r="G46" i="281"/>
  <c r="G102" i="281" s="1"/>
  <c r="E5" i="281"/>
  <c r="E4" i="281"/>
  <c r="E3" i="281"/>
  <c r="E2" i="281"/>
  <c r="G52" i="281" l="1"/>
  <c r="G80" i="281"/>
  <c r="G89" i="281"/>
  <c r="G9" i="265"/>
  <c r="G79" i="281"/>
  <c r="G65" i="281"/>
  <c r="E21" i="280"/>
  <c r="G51" i="48"/>
  <c r="G21" i="280" s="1"/>
  <c r="E10" i="280"/>
  <c r="G50" i="48"/>
  <c r="G10" i="280" s="1"/>
  <c r="E63" i="265"/>
  <c r="F63" i="265"/>
  <c r="H63" i="265"/>
  <c r="I63" i="265"/>
  <c r="E74" i="265"/>
  <c r="F74" i="265"/>
  <c r="H74" i="265"/>
  <c r="I74" i="265"/>
  <c r="E25" i="280"/>
  <c r="F25" i="280"/>
  <c r="I25" i="280"/>
  <c r="E14" i="280"/>
  <c r="F14" i="280"/>
  <c r="I14" i="280"/>
  <c r="I22" i="280"/>
  <c r="G22" i="280"/>
  <c r="F22" i="280"/>
  <c r="E22" i="280"/>
  <c r="G27" i="280"/>
  <c r="G63" i="265" s="1"/>
  <c r="J24" i="280"/>
  <c r="G24" i="280"/>
  <c r="G16" i="280"/>
  <c r="G74" i="265" s="1"/>
  <c r="J13" i="280"/>
  <c r="G13" i="280"/>
  <c r="I11" i="280"/>
  <c r="G11" i="280"/>
  <c r="F11" i="280"/>
  <c r="E11" i="280"/>
  <c r="E5" i="280"/>
  <c r="E4" i="280"/>
  <c r="E3" i="280"/>
  <c r="E2" i="280"/>
  <c r="I4" i="48"/>
  <c r="I5" i="48"/>
  <c r="I69" i="273"/>
  <c r="J70" i="273" s="1"/>
  <c r="J48" i="273" s="1"/>
  <c r="I95" i="273"/>
  <c r="J96" i="273" s="1"/>
  <c r="J49" i="273" s="1"/>
  <c r="F20" i="48"/>
  <c r="F74" i="273" s="1"/>
  <c r="F76" i="273"/>
  <c r="F55" i="273"/>
  <c r="F54" i="273"/>
  <c r="F53" i="273"/>
  <c r="F52" i="273"/>
  <c r="F3" i="48"/>
  <c r="A1" i="281" s="1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J10" i="273"/>
  <c r="I86" i="273"/>
  <c r="H86" i="273"/>
  <c r="G86" i="273"/>
  <c r="F86" i="273"/>
  <c r="E86" i="273"/>
  <c r="G85" i="273"/>
  <c r="E85" i="273"/>
  <c r="G84" i="273"/>
  <c r="E84" i="273"/>
  <c r="E95" i="273"/>
  <c r="F95" i="273"/>
  <c r="G95" i="273"/>
  <c r="G75" i="273"/>
  <c r="F6" i="48"/>
  <c r="K7" i="48" s="1"/>
  <c r="E75" i="273"/>
  <c r="G53" i="265"/>
  <c r="G50" i="265"/>
  <c r="G47" i="265"/>
  <c r="G42" i="265"/>
  <c r="G37" i="265"/>
  <c r="G33" i="265"/>
  <c r="G25" i="265"/>
  <c r="G22" i="265"/>
  <c r="G14" i="280" s="1"/>
  <c r="G19" i="265"/>
  <c r="G14" i="265"/>
  <c r="G11" i="265"/>
  <c r="I65" i="273"/>
  <c r="I113" i="273"/>
  <c r="F106" i="273"/>
  <c r="I114" i="273"/>
  <c r="G114" i="273"/>
  <c r="F114" i="273"/>
  <c r="E114" i="273"/>
  <c r="I108" i="273"/>
  <c r="G108" i="273"/>
  <c r="F108" i="273"/>
  <c r="E108" i="273"/>
  <c r="E103" i="273"/>
  <c r="F103" i="273"/>
  <c r="G103" i="273"/>
  <c r="I103" i="273"/>
  <c r="G79" i="273"/>
  <c r="E79" i="273"/>
  <c r="E49" i="273"/>
  <c r="F49" i="273"/>
  <c r="G49" i="273"/>
  <c r="H49" i="273"/>
  <c r="I4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E15" i="275"/>
  <c r="F15" i="275"/>
  <c r="G15" i="275"/>
  <c r="I15" i="275"/>
  <c r="G52" i="273"/>
  <c r="E52" i="273"/>
  <c r="G28" i="273"/>
  <c r="E28" i="273"/>
  <c r="E69" i="273"/>
  <c r="F69" i="273"/>
  <c r="G69" i="273"/>
  <c r="G76" i="273"/>
  <c r="E76" i="273"/>
  <c r="G74" i="273"/>
  <c r="E74" i="273"/>
  <c r="G73" i="273"/>
  <c r="E73" i="273"/>
  <c r="G20" i="275"/>
  <c r="G17" i="275"/>
  <c r="I48" i="273"/>
  <c r="G48" i="273"/>
  <c r="F48" i="273"/>
  <c r="E48" i="273"/>
  <c r="G17" i="273"/>
  <c r="E17" i="273"/>
  <c r="E113" i="273"/>
  <c r="F113" i="273"/>
  <c r="G113" i="273"/>
  <c r="H113" i="273"/>
  <c r="G112" i="273"/>
  <c r="F112" i="273"/>
  <c r="E112" i="273"/>
  <c r="E107" i="273"/>
  <c r="F107" i="273"/>
  <c r="G107" i="273"/>
  <c r="H107" i="273"/>
  <c r="I107" i="273"/>
  <c r="G106" i="273"/>
  <c r="E106" i="273"/>
  <c r="H23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0" i="264"/>
  <c r="F4" i="281" s="1"/>
  <c r="G12" i="264"/>
  <c r="E12" i="264"/>
  <c r="I81" i="265"/>
  <c r="H81" i="265"/>
  <c r="F81" i="265"/>
  <c r="E81" i="265"/>
  <c r="I80" i="265"/>
  <c r="H80" i="265"/>
  <c r="F80" i="265"/>
  <c r="E80" i="265"/>
  <c r="G75" i="265"/>
  <c r="G81" i="265" s="1"/>
  <c r="G67" i="265"/>
  <c r="G80" i="265" s="1"/>
  <c r="G65" i="265"/>
  <c r="G60" i="265"/>
  <c r="E5" i="265"/>
  <c r="E4" i="265"/>
  <c r="E3" i="265"/>
  <c r="E2" i="265"/>
  <c r="I56" i="273"/>
  <c r="H56" i="273"/>
  <c r="G56" i="273"/>
  <c r="F56" i="273"/>
  <c r="E56" i="273"/>
  <c r="G55" i="273"/>
  <c r="E55" i="273"/>
  <c r="G54" i="273"/>
  <c r="E54" i="273"/>
  <c r="G53" i="273"/>
  <c r="E53" i="273"/>
  <c r="I47" i="273"/>
  <c r="G47" i="273"/>
  <c r="F47" i="273"/>
  <c r="E47" i="273"/>
  <c r="I46" i="273"/>
  <c r="G46" i="273"/>
  <c r="F46" i="273"/>
  <c r="E46" i="273"/>
  <c r="I80" i="273"/>
  <c r="H80" i="273"/>
  <c r="G80" i="273"/>
  <c r="F80" i="273"/>
  <c r="E80" i="273"/>
  <c r="H65" i="273"/>
  <c r="G65" i="273"/>
  <c r="F65" i="273"/>
  <c r="E65" i="273"/>
  <c r="G64" i="273"/>
  <c r="E64" i="273"/>
  <c r="I41" i="273"/>
  <c r="H41" i="273"/>
  <c r="G41" i="273"/>
  <c r="F41" i="273"/>
  <c r="E41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R2" i="48"/>
  <c r="Q2" i="48"/>
  <c r="P2" i="48"/>
  <c r="O2" i="48"/>
  <c r="M2" i="48"/>
  <c r="L2" i="48"/>
  <c r="K2" i="48"/>
  <c r="J5" i="273"/>
  <c r="J5" i="275"/>
  <c r="J5" i="265"/>
  <c r="I6" i="48"/>
  <c r="F81" i="48" s="1"/>
  <c r="L7" i="48"/>
  <c r="F15" i="48"/>
  <c r="A1" i="275"/>
  <c r="A1" i="264"/>
  <c r="J13" i="273"/>
  <c r="J14" i="273" s="1"/>
  <c r="J37" i="273" s="1"/>
  <c r="K10" i="273"/>
  <c r="K5" i="275"/>
  <c r="I20" i="48" l="1" a="1"/>
  <c r="I20" i="48" s="1"/>
  <c r="A1" i="273"/>
  <c r="A1" i="265"/>
  <c r="A1" i="48"/>
  <c r="M7" i="48"/>
  <c r="I15" i="48" a="1"/>
  <c r="I15" i="48" s="1"/>
  <c r="F37" i="48"/>
  <c r="F28" i="281" s="1"/>
  <c r="F35" i="48"/>
  <c r="F26" i="281" s="1"/>
  <c r="F33" i="48"/>
  <c r="F24" i="281" s="1"/>
  <c r="F31" i="48"/>
  <c r="F22" i="281" s="1"/>
  <c r="F29" i="48"/>
  <c r="F20" i="281" s="1"/>
  <c r="F27" i="48"/>
  <c r="F18" i="281" s="1"/>
  <c r="F36" i="48"/>
  <c r="F27" i="281" s="1"/>
  <c r="F34" i="48"/>
  <c r="F25" i="281" s="1"/>
  <c r="F32" i="48"/>
  <c r="F23" i="281" s="1"/>
  <c r="F30" i="48"/>
  <c r="F21" i="281" s="1"/>
  <c r="F28" i="48"/>
  <c r="F19" i="281" s="1"/>
  <c r="F26" i="48"/>
  <c r="F17" i="281" s="1"/>
  <c r="I36" i="48" a="1"/>
  <c r="I36" i="48" s="1"/>
  <c r="I28" i="48" a="1"/>
  <c r="I28" i="48" s="1"/>
  <c r="I37" i="48" a="1"/>
  <c r="I37" i="48" s="1"/>
  <c r="I29" i="48" a="1"/>
  <c r="I29" i="48" s="1"/>
  <c r="I33" i="48" a="1"/>
  <c r="I33" i="48" s="1"/>
  <c r="I27" i="48" a="1"/>
  <c r="I27" i="48" s="1"/>
  <c r="I32" i="48" a="1"/>
  <c r="I32" i="48" s="1"/>
  <c r="I34" i="48" a="1"/>
  <c r="I34" i="48" s="1"/>
  <c r="K5" i="281"/>
  <c r="K64" i="281"/>
  <c r="J5" i="281"/>
  <c r="J64" i="281"/>
  <c r="F58" i="48"/>
  <c r="F57" i="281" s="1"/>
  <c r="F57" i="48"/>
  <c r="F56" i="48"/>
  <c r="F55" i="281" s="1"/>
  <c r="F55" i="48"/>
  <c r="F54" i="48"/>
  <c r="F53" i="281" s="1"/>
  <c r="G25" i="280"/>
  <c r="G30" i="280"/>
  <c r="F4" i="275"/>
  <c r="F4" i="264"/>
  <c r="F4" i="280"/>
  <c r="F4" i="265"/>
  <c r="F4" i="273"/>
  <c r="F18" i="48"/>
  <c r="F84" i="273" s="1"/>
  <c r="F53" i="48"/>
  <c r="F47" i="48"/>
  <c r="K5" i="280"/>
  <c r="J5" i="280"/>
  <c r="F21" i="48"/>
  <c r="F75" i="273" s="1"/>
  <c r="F14" i="48"/>
  <c r="I14" i="48" s="1" a="1"/>
  <c r="I14" i="48" s="1"/>
  <c r="A1" i="280"/>
  <c r="I81" i="48" a="1"/>
  <c r="I81" i="48" s="1"/>
  <c r="I72" i="48" a="1"/>
  <c r="I72" i="48" s="1"/>
  <c r="F44" i="48"/>
  <c r="F41" i="48"/>
  <c r="F40" i="48"/>
  <c r="F42" i="48"/>
  <c r="I18" i="48" a="1"/>
  <c r="I18" i="48" s="1"/>
  <c r="F13" i="48"/>
  <c r="F17" i="273" s="1"/>
  <c r="F50" i="48"/>
  <c r="F51" i="48"/>
  <c r="F21" i="280" s="1"/>
  <c r="F73" i="273"/>
  <c r="F16" i="48"/>
  <c r="K13" i="273"/>
  <c r="K14" i="273" s="1"/>
  <c r="K5" i="265"/>
  <c r="L10" i="273"/>
  <c r="L64" i="281" s="1"/>
  <c r="K5" i="273"/>
  <c r="J46" i="273"/>
  <c r="J19" i="273"/>
  <c r="F77" i="273" l="1"/>
  <c r="F79" i="273" s="1"/>
  <c r="I58" i="48" a="1"/>
  <c r="I58" i="48" s="1"/>
  <c r="F28" i="273"/>
  <c r="F29" i="273" s="1"/>
  <c r="F31" i="273" s="1"/>
  <c r="I21" i="48" a="1"/>
  <c r="I21" i="48" s="1"/>
  <c r="F64" i="273"/>
  <c r="F52" i="281"/>
  <c r="F59" i="48"/>
  <c r="F75" i="281" s="1"/>
  <c r="I54" i="48" a="1"/>
  <c r="I54" i="48" s="1"/>
  <c r="I30" i="48" a="1"/>
  <c r="I30" i="48" s="1"/>
  <c r="I31" i="48" a="1"/>
  <c r="I31" i="48" s="1"/>
  <c r="I35" i="48" a="1"/>
  <c r="I35" i="48" s="1"/>
  <c r="F35" i="273"/>
  <c r="J39" i="273" s="1"/>
  <c r="J41" i="273" s="1"/>
  <c r="I56" i="48" a="1"/>
  <c r="I56" i="48" s="1"/>
  <c r="I55" i="48" a="1"/>
  <c r="I55" i="48" s="1"/>
  <c r="F54" i="281"/>
  <c r="I57" i="48" a="1"/>
  <c r="I57" i="48" s="1"/>
  <c r="F56" i="281"/>
  <c r="I13" i="48" a="1"/>
  <c r="I13" i="48" s="1"/>
  <c r="I53" i="48" a="1"/>
  <c r="I53" i="48" s="1"/>
  <c r="F98" i="281"/>
  <c r="I47" i="48" a="1"/>
  <c r="I47" i="48" s="1"/>
  <c r="F88" i="281"/>
  <c r="F63" i="281"/>
  <c r="L5" i="281"/>
  <c r="L5" i="280"/>
  <c r="J20" i="273"/>
  <c r="I51" i="48" a="1"/>
  <c r="I51" i="48" s="1"/>
  <c r="I40" i="48" a="1"/>
  <c r="I40" i="48" s="1"/>
  <c r="F11" i="281"/>
  <c r="I44" i="48" a="1"/>
  <c r="I44" i="48" s="1"/>
  <c r="F41" i="281"/>
  <c r="J42" i="273"/>
  <c r="J4" i="281" s="1"/>
  <c r="I42" i="48" a="1"/>
  <c r="I42" i="48" s="1"/>
  <c r="F35" i="281"/>
  <c r="I26" i="48" a="1"/>
  <c r="I26" i="48" s="1"/>
  <c r="I41" i="48" a="1"/>
  <c r="I41" i="48" s="1"/>
  <c r="F34" i="281"/>
  <c r="J4" i="280"/>
  <c r="I50" i="48" a="1"/>
  <c r="I50" i="48" s="1"/>
  <c r="F10" i="280"/>
  <c r="F18" i="273"/>
  <c r="I16" i="48" a="1"/>
  <c r="I16" i="48" s="1"/>
  <c r="F23" i="273"/>
  <c r="M10" i="273"/>
  <c r="M64" i="281" s="1"/>
  <c r="L5" i="265"/>
  <c r="L5" i="275"/>
  <c r="L13" i="273"/>
  <c r="L14" i="273" s="1"/>
  <c r="L5" i="273"/>
  <c r="K37" i="273"/>
  <c r="K19" i="273"/>
  <c r="K46" i="273"/>
  <c r="F85" i="273" l="1"/>
  <c r="J69" i="281"/>
  <c r="K69" i="281"/>
  <c r="J4" i="275"/>
  <c r="J4" i="265"/>
  <c r="F7" i="48"/>
  <c r="J4" i="273"/>
  <c r="M5" i="281"/>
  <c r="M5" i="280"/>
  <c r="J24" i="273"/>
  <c r="J25" i="273" s="1"/>
  <c r="J119" i="273"/>
  <c r="K20" i="273"/>
  <c r="L37" i="273"/>
  <c r="L46" i="273"/>
  <c r="L19" i="273"/>
  <c r="N10" i="273"/>
  <c r="N64" i="281" s="1"/>
  <c r="M5" i="275"/>
  <c r="M13" i="273"/>
  <c r="M14" i="273" s="1"/>
  <c r="M5" i="273"/>
  <c r="M5" i="265"/>
  <c r="J2" i="281" l="1"/>
  <c r="J125" i="273"/>
  <c r="J126" i="273" s="1"/>
  <c r="J29" i="281" s="1"/>
  <c r="J30" i="281" s="1"/>
  <c r="J37" i="281" s="1"/>
  <c r="J2" i="275"/>
  <c r="J2" i="280"/>
  <c r="J80" i="273"/>
  <c r="J81" i="273" s="1"/>
  <c r="J95" i="273" s="1"/>
  <c r="K96" i="273" s="1"/>
  <c r="K49" i="273" s="1"/>
  <c r="L20" i="273"/>
  <c r="L24" i="273" s="1"/>
  <c r="L25" i="273" s="1"/>
  <c r="L125" i="273" s="1"/>
  <c r="L126" i="273" s="1"/>
  <c r="L29" i="281" s="1"/>
  <c r="L30" i="281" s="1"/>
  <c r="L37" i="281" s="1"/>
  <c r="J65" i="273"/>
  <c r="J66" i="273" s="1"/>
  <c r="J11" i="280" s="1"/>
  <c r="J86" i="273"/>
  <c r="J87" i="273" s="1"/>
  <c r="J59" i="281" s="1"/>
  <c r="J60" i="281" s="1"/>
  <c r="J70" i="281" s="1"/>
  <c r="J71" i="281" s="1"/>
  <c r="N5" i="281"/>
  <c r="N5" i="280"/>
  <c r="K24" i="273"/>
  <c r="K25" i="273" s="1"/>
  <c r="K119" i="273"/>
  <c r="J120" i="273"/>
  <c r="J121" i="273" s="1"/>
  <c r="J2" i="273"/>
  <c r="J2" i="265"/>
  <c r="J32" i="273"/>
  <c r="J33" i="273" s="1"/>
  <c r="N5" i="275"/>
  <c r="O10" i="273"/>
  <c r="O64" i="281" s="1"/>
  <c r="N5" i="265"/>
  <c r="N5" i="273"/>
  <c r="N13" i="273"/>
  <c r="N14" i="273" s="1"/>
  <c r="M37" i="273"/>
  <c r="M46" i="273"/>
  <c r="M19" i="273"/>
  <c r="J30" i="265" l="1"/>
  <c r="M20" i="273"/>
  <c r="M24" i="273" s="1"/>
  <c r="M25" i="273" s="1"/>
  <c r="J108" i="273"/>
  <c r="J109" i="273" s="1"/>
  <c r="K80" i="273"/>
  <c r="K81" i="273" s="1"/>
  <c r="K95" i="273" s="1"/>
  <c r="L96" i="273" s="1"/>
  <c r="L49" i="273" s="1"/>
  <c r="K125" i="273"/>
  <c r="K126" i="273" s="1"/>
  <c r="K29" i="281" s="1"/>
  <c r="K30" i="281" s="1"/>
  <c r="K37" i="281" s="1"/>
  <c r="K2" i="265"/>
  <c r="J103" i="273"/>
  <c r="J104" i="273" s="1"/>
  <c r="J107" i="273" s="1"/>
  <c r="J90" i="273"/>
  <c r="J91" i="273" s="1"/>
  <c r="J58" i="281" s="1"/>
  <c r="J114" i="273"/>
  <c r="J115" i="273" s="1"/>
  <c r="J12" i="281" s="1"/>
  <c r="L119" i="273"/>
  <c r="K2" i="280"/>
  <c r="K65" i="273"/>
  <c r="K66" i="273" s="1"/>
  <c r="J47" i="273"/>
  <c r="J50" i="273" s="1"/>
  <c r="J56" i="273" s="1"/>
  <c r="J57" i="273" s="1"/>
  <c r="J3" i="273" s="1"/>
  <c r="J22" i="280"/>
  <c r="J15" i="275"/>
  <c r="J20" i="275" s="1"/>
  <c r="K17" i="275" s="1"/>
  <c r="J69" i="273"/>
  <c r="K70" i="273" s="1"/>
  <c r="K48" i="273" s="1"/>
  <c r="L2" i="280"/>
  <c r="L2" i="281"/>
  <c r="L32" i="273"/>
  <c r="L33" i="273" s="1"/>
  <c r="L80" i="273"/>
  <c r="L81" i="273" s="1"/>
  <c r="L95" i="273" s="1"/>
  <c r="M96" i="273" s="1"/>
  <c r="M49" i="273" s="1"/>
  <c r="L86" i="273"/>
  <c r="L87" i="273" s="1"/>
  <c r="J13" i="281"/>
  <c r="J14" i="281" s="1"/>
  <c r="J36" i="281" s="1"/>
  <c r="J38" i="281" s="1"/>
  <c r="J45" i="281"/>
  <c r="J90" i="281"/>
  <c r="J76" i="281"/>
  <c r="J99" i="281"/>
  <c r="O5" i="281"/>
  <c r="O5" i="280"/>
  <c r="M119" i="273"/>
  <c r="L65" i="273"/>
  <c r="L2" i="275"/>
  <c r="L2" i="273"/>
  <c r="K2" i="281"/>
  <c r="K120" i="273"/>
  <c r="K121" i="273" s="1"/>
  <c r="K2" i="273"/>
  <c r="K86" i="273"/>
  <c r="K87" i="273" s="1"/>
  <c r="K32" i="273"/>
  <c r="K33" i="273" s="1"/>
  <c r="K2" i="275"/>
  <c r="J38" i="273"/>
  <c r="K39" i="273" s="1"/>
  <c r="K41" i="273" s="1"/>
  <c r="J113" i="273"/>
  <c r="L120" i="273"/>
  <c r="L121" i="273" s="1"/>
  <c r="L2" i="265"/>
  <c r="O13" i="273"/>
  <c r="O14" i="273" s="1"/>
  <c r="P10" i="273"/>
  <c r="P64" i="281" s="1"/>
  <c r="O5" i="265"/>
  <c r="O5" i="273"/>
  <c r="O5" i="275"/>
  <c r="N37" i="273"/>
  <c r="N46" i="273"/>
  <c r="N19" i="273"/>
  <c r="N20" i="273" l="1"/>
  <c r="J80" i="281"/>
  <c r="L66" i="273"/>
  <c r="L76" i="281" s="1"/>
  <c r="M32" i="273"/>
  <c r="M33" i="273" s="1"/>
  <c r="M38" i="273" s="1"/>
  <c r="M125" i="273"/>
  <c r="M126" i="273" s="1"/>
  <c r="M29" i="281" s="1"/>
  <c r="M30" i="281" s="1"/>
  <c r="M37" i="281" s="1"/>
  <c r="K90" i="273"/>
  <c r="K91" i="273" s="1"/>
  <c r="K59" i="281"/>
  <c r="K60" i="281" s="1"/>
  <c r="K70" i="281" s="1"/>
  <c r="K71" i="281" s="1"/>
  <c r="L90" i="273"/>
  <c r="L59" i="281"/>
  <c r="L60" i="281" s="1"/>
  <c r="L70" i="281" s="1"/>
  <c r="M86" i="273"/>
  <c r="M87" i="273" s="1"/>
  <c r="M45" i="281" s="1"/>
  <c r="M2" i="280"/>
  <c r="J44" i="281"/>
  <c r="J46" i="281" s="1"/>
  <c r="K76" i="281"/>
  <c r="K99" i="281"/>
  <c r="K11" i="280"/>
  <c r="K15" i="275"/>
  <c r="K20" i="275" s="1"/>
  <c r="L17" i="275" s="1"/>
  <c r="M80" i="273"/>
  <c r="M81" i="273" s="1"/>
  <c r="M95" i="273" s="1"/>
  <c r="N96" i="273" s="1"/>
  <c r="N49" i="273" s="1"/>
  <c r="M2" i="273"/>
  <c r="M2" i="275"/>
  <c r="M65" i="273"/>
  <c r="M66" i="273" s="1"/>
  <c r="M99" i="281" s="1"/>
  <c r="K69" i="273"/>
  <c r="L70" i="273" s="1"/>
  <c r="L48" i="273" s="1"/>
  <c r="K47" i="273"/>
  <c r="K50" i="273" s="1"/>
  <c r="K56" i="273" s="1"/>
  <c r="K57" i="273" s="1"/>
  <c r="K3" i="280" s="1"/>
  <c r="K22" i="280"/>
  <c r="L13" i="281"/>
  <c r="L14" i="281" s="1"/>
  <c r="L36" i="281" s="1"/>
  <c r="L45" i="281"/>
  <c r="J3" i="280"/>
  <c r="J3" i="275"/>
  <c r="J3" i="281"/>
  <c r="J3" i="265"/>
  <c r="L99" i="281"/>
  <c r="K90" i="281"/>
  <c r="L90" i="281"/>
  <c r="L114" i="273"/>
  <c r="L108" i="273"/>
  <c r="L103" i="273"/>
  <c r="L38" i="273"/>
  <c r="L113" i="273"/>
  <c r="K45" i="281"/>
  <c r="K13" i="281"/>
  <c r="K14" i="281" s="1"/>
  <c r="K36" i="281" s="1"/>
  <c r="K38" i="281" s="1"/>
  <c r="K114" i="273"/>
  <c r="K115" i="273" s="1"/>
  <c r="K103" i="273"/>
  <c r="K104" i="273" s="1"/>
  <c r="K108" i="273"/>
  <c r="K109" i="273" s="1"/>
  <c r="M2" i="281"/>
  <c r="M120" i="273"/>
  <c r="M121" i="273" s="1"/>
  <c r="M2" i="265"/>
  <c r="N24" i="273"/>
  <c r="N25" i="273" s="1"/>
  <c r="N119" i="273"/>
  <c r="P5" i="281"/>
  <c r="P5" i="280"/>
  <c r="K42" i="273"/>
  <c r="K38" i="273"/>
  <c r="L39" i="273" s="1"/>
  <c r="K113" i="273"/>
  <c r="L22" i="280"/>
  <c r="L69" i="273"/>
  <c r="M70" i="273" s="1"/>
  <c r="M48" i="273" s="1"/>
  <c r="L15" i="275"/>
  <c r="O37" i="273"/>
  <c r="O19" i="273"/>
  <c r="O20" i="273" s="1"/>
  <c r="O46" i="273"/>
  <c r="P5" i="275"/>
  <c r="P13" i="273"/>
  <c r="P14" i="273" s="1"/>
  <c r="P5" i="273"/>
  <c r="P5" i="265"/>
  <c r="Q10" i="273"/>
  <c r="Q64" i="281" s="1"/>
  <c r="M15" i="275" l="1"/>
  <c r="M20" i="275" s="1"/>
  <c r="N17" i="275" s="1"/>
  <c r="M13" i="281"/>
  <c r="L47" i="273"/>
  <c r="L50" i="273" s="1"/>
  <c r="L56" i="273" s="1"/>
  <c r="L57" i="273" s="1"/>
  <c r="L11" i="280"/>
  <c r="K30" i="265"/>
  <c r="M114" i="273"/>
  <c r="M113" i="273"/>
  <c r="M108" i="273"/>
  <c r="M103" i="273"/>
  <c r="N2" i="280"/>
  <c r="N125" i="273"/>
  <c r="N126" i="273" s="1"/>
  <c r="N29" i="281" s="1"/>
  <c r="N30" i="281" s="1"/>
  <c r="N37" i="281" s="1"/>
  <c r="L38" i="281"/>
  <c r="L44" i="281" s="1"/>
  <c r="L46" i="281" s="1"/>
  <c r="L91" i="273"/>
  <c r="K58" i="281"/>
  <c r="M47" i="273"/>
  <c r="N32" i="273"/>
  <c r="N33" i="273" s="1"/>
  <c r="N113" i="273" s="1"/>
  <c r="M11" i="280"/>
  <c r="M90" i="273"/>
  <c r="M59" i="281"/>
  <c r="M60" i="281" s="1"/>
  <c r="M70" i="281" s="1"/>
  <c r="M76" i="281"/>
  <c r="M69" i="273"/>
  <c r="N70" i="273" s="1"/>
  <c r="N48" i="273" s="1"/>
  <c r="N38" i="273"/>
  <c r="K3" i="273"/>
  <c r="M22" i="280"/>
  <c r="K3" i="281"/>
  <c r="K44" i="281"/>
  <c r="K46" i="281" s="1"/>
  <c r="L20" i="275"/>
  <c r="M17" i="275" s="1"/>
  <c r="K3" i="265"/>
  <c r="N86" i="273"/>
  <c r="N87" i="273" s="1"/>
  <c r="N45" i="281" s="1"/>
  <c r="N2" i="265"/>
  <c r="K3" i="275"/>
  <c r="M90" i="281"/>
  <c r="J102" i="281"/>
  <c r="J89" i="281"/>
  <c r="J91" i="281" s="1"/>
  <c r="J95" i="281" s="1"/>
  <c r="J96" i="281" s="1"/>
  <c r="J103" i="281" s="1"/>
  <c r="Q5" i="281"/>
  <c r="Q5" i="280"/>
  <c r="J9" i="265"/>
  <c r="J11" i="265" s="1"/>
  <c r="J14" i="265" s="1"/>
  <c r="J79" i="281"/>
  <c r="J65" i="281"/>
  <c r="K4" i="273"/>
  <c r="K4" i="265"/>
  <c r="K4" i="275"/>
  <c r="K4" i="280"/>
  <c r="K4" i="281"/>
  <c r="N2" i="281"/>
  <c r="N120" i="273"/>
  <c r="N121" i="273" s="1"/>
  <c r="N65" i="273"/>
  <c r="N66" i="273" s="1"/>
  <c r="N11" i="280" s="1"/>
  <c r="N2" i="275"/>
  <c r="N80" i="273"/>
  <c r="N81" i="273" s="1"/>
  <c r="N95" i="273" s="1"/>
  <c r="O96" i="273" s="1"/>
  <c r="O49" i="273" s="1"/>
  <c r="N2" i="273"/>
  <c r="L109" i="273"/>
  <c r="K12" i="281"/>
  <c r="L115" i="273"/>
  <c r="O24" i="273"/>
  <c r="O25" i="273" s="1"/>
  <c r="O119" i="273"/>
  <c r="L41" i="273"/>
  <c r="M39" i="273"/>
  <c r="L104" i="273"/>
  <c r="K107" i="273"/>
  <c r="N108" i="273"/>
  <c r="Q13" i="273"/>
  <c r="Q14" i="273" s="1"/>
  <c r="R10" i="273"/>
  <c r="R64" i="281" s="1"/>
  <c r="Q5" i="273"/>
  <c r="Q5" i="275"/>
  <c r="Q5" i="265"/>
  <c r="P37" i="273"/>
  <c r="P46" i="273"/>
  <c r="P19" i="273"/>
  <c r="P20" i="273" s="1"/>
  <c r="N47" i="273" l="1"/>
  <c r="N103" i="273"/>
  <c r="L69" i="281"/>
  <c r="L71" i="281" s="1"/>
  <c r="L80" i="281" s="1"/>
  <c r="L3" i="273"/>
  <c r="L3" i="275"/>
  <c r="N114" i="273"/>
  <c r="N13" i="281"/>
  <c r="K80" i="281"/>
  <c r="L3" i="265"/>
  <c r="L102" i="281"/>
  <c r="L89" i="281"/>
  <c r="L91" i="281" s="1"/>
  <c r="L95" i="281" s="1"/>
  <c r="L9" i="265"/>
  <c r="L11" i="265" s="1"/>
  <c r="L14" i="265" s="1"/>
  <c r="L19" i="265" s="1"/>
  <c r="L22" i="265" s="1"/>
  <c r="L14" i="280" s="1"/>
  <c r="L65" i="281"/>
  <c r="N69" i="281" s="1"/>
  <c r="L79" i="281"/>
  <c r="N22" i="280"/>
  <c r="O2" i="280"/>
  <c r="O125" i="273"/>
  <c r="O126" i="273" s="1"/>
  <c r="O29" i="281" s="1"/>
  <c r="O30" i="281" s="1"/>
  <c r="O37" i="281" s="1"/>
  <c r="N90" i="273"/>
  <c r="N59" i="281"/>
  <c r="M91" i="273"/>
  <c r="M58" i="281" s="1"/>
  <c r="L58" i="281"/>
  <c r="N15" i="275"/>
  <c r="N20" i="275" s="1"/>
  <c r="O17" i="275" s="1"/>
  <c r="L3" i="280"/>
  <c r="K9" i="265"/>
  <c r="K11" i="265" s="1"/>
  <c r="K14" i="265" s="1"/>
  <c r="K19" i="265" s="1"/>
  <c r="K22" i="265" s="1"/>
  <c r="K14" i="280" s="1"/>
  <c r="O32" i="273"/>
  <c r="O33" i="273" s="1"/>
  <c r="O113" i="273" s="1"/>
  <c r="M50" i="273"/>
  <c r="M56" i="273" s="1"/>
  <c r="M57" i="273" s="1"/>
  <c r="M3" i="280" s="1"/>
  <c r="L3" i="281"/>
  <c r="N69" i="273"/>
  <c r="O70" i="273" s="1"/>
  <c r="O48" i="273" s="1"/>
  <c r="O2" i="275"/>
  <c r="O2" i="265"/>
  <c r="O86" i="273"/>
  <c r="O87" i="273" s="1"/>
  <c r="O59" i="281" s="1"/>
  <c r="O65" i="273"/>
  <c r="O66" i="273" s="1"/>
  <c r="O69" i="273" s="1"/>
  <c r="P70" i="273" s="1"/>
  <c r="P48" i="273" s="1"/>
  <c r="O2" i="273"/>
  <c r="O80" i="273"/>
  <c r="O81" i="273" s="1"/>
  <c r="O95" i="273" s="1"/>
  <c r="P96" i="273" s="1"/>
  <c r="P49" i="273" s="1"/>
  <c r="N90" i="281"/>
  <c r="N76" i="281"/>
  <c r="N99" i="281"/>
  <c r="J104" i="281"/>
  <c r="K101" i="281" s="1"/>
  <c r="K94" i="281" s="1"/>
  <c r="K102" i="281"/>
  <c r="K89" i="281"/>
  <c r="K91" i="281" s="1"/>
  <c r="K95" i="281" s="1"/>
  <c r="K65" i="281"/>
  <c r="K79" i="281"/>
  <c r="L42" i="273"/>
  <c r="O2" i="281"/>
  <c r="O120" i="273"/>
  <c r="O121" i="273" s="1"/>
  <c r="M109" i="273"/>
  <c r="R5" i="281"/>
  <c r="R5" i="280"/>
  <c r="M104" i="273"/>
  <c r="L107" i="273"/>
  <c r="P24" i="273"/>
  <c r="P25" i="273" s="1"/>
  <c r="P119" i="273"/>
  <c r="M41" i="273"/>
  <c r="N39" i="273"/>
  <c r="L12" i="281"/>
  <c r="M115" i="273"/>
  <c r="M12" i="281" s="1"/>
  <c r="M14" i="281" s="1"/>
  <c r="M36" i="281" s="1"/>
  <c r="M38" i="281" s="1"/>
  <c r="J19" i="265"/>
  <c r="M3" i="281"/>
  <c r="Q37" i="273"/>
  <c r="Q46" i="273"/>
  <c r="Q19" i="273"/>
  <c r="Q20" i="273" s="1"/>
  <c r="R5" i="275"/>
  <c r="S10" i="273"/>
  <c r="S64" i="281" s="1"/>
  <c r="R5" i="265"/>
  <c r="R13" i="273"/>
  <c r="R14" i="273" s="1"/>
  <c r="R5" i="273"/>
  <c r="M3" i="265"/>
  <c r="L30" i="265" l="1"/>
  <c r="L25" i="265"/>
  <c r="O11" i="280"/>
  <c r="N50" i="273"/>
  <c r="N56" i="273" s="1"/>
  <c r="N57" i="273" s="1"/>
  <c r="N3" i="281" s="1"/>
  <c r="P2" i="280"/>
  <c r="P125" i="273"/>
  <c r="P126" i="273" s="1"/>
  <c r="P29" i="281" s="1"/>
  <c r="P30" i="281" s="1"/>
  <c r="P37" i="281" s="1"/>
  <c r="O38" i="273"/>
  <c r="O45" i="281"/>
  <c r="N91" i="273"/>
  <c r="N58" i="281" s="1"/>
  <c r="N60" i="281" s="1"/>
  <c r="N70" i="281" s="1"/>
  <c r="N71" i="281" s="1"/>
  <c r="K25" i="265"/>
  <c r="O108" i="273"/>
  <c r="O90" i="273"/>
  <c r="O91" i="273" s="1"/>
  <c r="O58" i="281" s="1"/>
  <c r="O60" i="281" s="1"/>
  <c r="O70" i="281" s="1"/>
  <c r="M3" i="275"/>
  <c r="M3" i="273"/>
  <c r="P86" i="273"/>
  <c r="P87" i="273" s="1"/>
  <c r="P108" i="273" s="1"/>
  <c r="O22" i="280"/>
  <c r="O15" i="275"/>
  <c r="O20" i="275" s="1"/>
  <c r="P17" i="275" s="1"/>
  <c r="O99" i="281"/>
  <c r="O103" i="273"/>
  <c r="O13" i="281"/>
  <c r="P80" i="273"/>
  <c r="P81" i="273" s="1"/>
  <c r="P95" i="273" s="1"/>
  <c r="Q96" i="273" s="1"/>
  <c r="Q49" i="273" s="1"/>
  <c r="P32" i="273"/>
  <c r="P33" i="273" s="1"/>
  <c r="P113" i="273" s="1"/>
  <c r="O47" i="273"/>
  <c r="O50" i="273" s="1"/>
  <c r="O56" i="273" s="1"/>
  <c r="O57" i="273" s="1"/>
  <c r="O76" i="281"/>
  <c r="O114" i="273"/>
  <c r="P2" i="273"/>
  <c r="P2" i="265"/>
  <c r="P2" i="275"/>
  <c r="P65" i="273"/>
  <c r="P66" i="273" s="1"/>
  <c r="P99" i="281" s="1"/>
  <c r="M44" i="281"/>
  <c r="M46" i="281" s="1"/>
  <c r="N109" i="273"/>
  <c r="O90" i="281"/>
  <c r="K96" i="281"/>
  <c r="K103" i="281" s="1"/>
  <c r="K104" i="281" s="1"/>
  <c r="L101" i="281" s="1"/>
  <c r="J81" i="281"/>
  <c r="J33" i="265"/>
  <c r="S5" i="281"/>
  <c r="S5" i="280"/>
  <c r="Q24" i="273"/>
  <c r="Q25" i="273" s="1"/>
  <c r="Q119" i="273"/>
  <c r="M42" i="273"/>
  <c r="N41" i="273"/>
  <c r="O39" i="273"/>
  <c r="P2" i="281"/>
  <c r="P120" i="273"/>
  <c r="P121" i="273" s="1"/>
  <c r="N104" i="273"/>
  <c r="M107" i="273"/>
  <c r="L4" i="281"/>
  <c r="L4" i="275"/>
  <c r="L4" i="273"/>
  <c r="L4" i="280"/>
  <c r="L4" i="265"/>
  <c r="N115" i="273"/>
  <c r="N12" i="281" s="1"/>
  <c r="N14" i="281" s="1"/>
  <c r="N36" i="281" s="1"/>
  <c r="N38" i="281" s="1"/>
  <c r="J22" i="265"/>
  <c r="N3" i="280"/>
  <c r="P45" i="281"/>
  <c r="Q2" i="265"/>
  <c r="R19" i="273"/>
  <c r="R20" i="273" s="1"/>
  <c r="R46" i="273"/>
  <c r="R37" i="273"/>
  <c r="S13" i="273"/>
  <c r="S14" i="273" s="1"/>
  <c r="T10" i="273"/>
  <c r="T64" i="281" s="1"/>
  <c r="S5" i="273"/>
  <c r="S5" i="275"/>
  <c r="S5" i="265"/>
  <c r="N3" i="273"/>
  <c r="M69" i="281" l="1"/>
  <c r="M71" i="281" s="1"/>
  <c r="P38" i="273"/>
  <c r="N30" i="265"/>
  <c r="N3" i="275"/>
  <c r="N3" i="265"/>
  <c r="P103" i="273"/>
  <c r="P114" i="273"/>
  <c r="P22" i="280"/>
  <c r="P13" i="281"/>
  <c r="Q32" i="273"/>
  <c r="Q33" i="273" s="1"/>
  <c r="Q38" i="273" s="1"/>
  <c r="Q125" i="273"/>
  <c r="Q126" i="273" s="1"/>
  <c r="Q29" i="281" s="1"/>
  <c r="Q30" i="281" s="1"/>
  <c r="Q37" i="281" s="1"/>
  <c r="P76" i="281"/>
  <c r="Q2" i="275"/>
  <c r="P90" i="273"/>
  <c r="P59" i="281"/>
  <c r="P91" i="273"/>
  <c r="P58" i="281" s="1"/>
  <c r="P11" i="280"/>
  <c r="N44" i="281"/>
  <c r="N46" i="281" s="1"/>
  <c r="L94" i="281"/>
  <c r="L96" i="281" s="1"/>
  <c r="L103" i="281" s="1"/>
  <c r="L104" i="281" s="1"/>
  <c r="M101" i="281" s="1"/>
  <c r="M94" i="281" s="1"/>
  <c r="Q2" i="273"/>
  <c r="P69" i="273"/>
  <c r="Q70" i="273" s="1"/>
  <c r="Q48" i="273" s="1"/>
  <c r="P47" i="273"/>
  <c r="P50" i="273" s="1"/>
  <c r="P56" i="273" s="1"/>
  <c r="P57" i="273" s="1"/>
  <c r="P15" i="275"/>
  <c r="P20" i="275" s="1"/>
  <c r="Q17" i="275" s="1"/>
  <c r="P90" i="281"/>
  <c r="O115" i="273"/>
  <c r="O12" i="281" s="1"/>
  <c r="O14" i="281" s="1"/>
  <c r="O36" i="281" s="1"/>
  <c r="O38" i="281" s="1"/>
  <c r="O109" i="273"/>
  <c r="J37" i="265"/>
  <c r="K78" i="281"/>
  <c r="J64" i="265"/>
  <c r="M102" i="281"/>
  <c r="M89" i="281"/>
  <c r="M91" i="281" s="1"/>
  <c r="M95" i="281" s="1"/>
  <c r="T5" i="281"/>
  <c r="T5" i="280"/>
  <c r="N107" i="273"/>
  <c r="O104" i="273"/>
  <c r="N42" i="273"/>
  <c r="M4" i="280"/>
  <c r="M4" i="281"/>
  <c r="M4" i="275"/>
  <c r="M4" i="265"/>
  <c r="M4" i="273"/>
  <c r="Q2" i="281"/>
  <c r="Q120" i="273"/>
  <c r="Q121" i="273" s="1"/>
  <c r="Q80" i="273"/>
  <c r="Q81" i="273" s="1"/>
  <c r="Q95" i="273" s="1"/>
  <c r="R96" i="273" s="1"/>
  <c r="R49" i="273" s="1"/>
  <c r="R24" i="273"/>
  <c r="R25" i="273" s="1"/>
  <c r="R119" i="273"/>
  <c r="Q86" i="273"/>
  <c r="Q87" i="273" s="1"/>
  <c r="Q59" i="281" s="1"/>
  <c r="Q65" i="273"/>
  <c r="Q66" i="273" s="1"/>
  <c r="Q47" i="273" s="1"/>
  <c r="Q2" i="280"/>
  <c r="M9" i="265"/>
  <c r="M11" i="265" s="1"/>
  <c r="M14" i="265" s="1"/>
  <c r="M79" i="281"/>
  <c r="M65" i="281"/>
  <c r="O69" i="281" s="1"/>
  <c r="O71" i="281" s="1"/>
  <c r="O41" i="273"/>
  <c r="P39" i="273"/>
  <c r="J25" i="265"/>
  <c r="J14" i="280"/>
  <c r="J16" i="280" s="1"/>
  <c r="O3" i="280"/>
  <c r="O3" i="281"/>
  <c r="S19" i="273"/>
  <c r="S20" i="273" s="1"/>
  <c r="S37" i="273"/>
  <c r="S46" i="273"/>
  <c r="T5" i="275"/>
  <c r="T13" i="273"/>
  <c r="T14" i="273" s="1"/>
  <c r="T5" i="265"/>
  <c r="T5" i="273"/>
  <c r="U10" i="273"/>
  <c r="U64" i="281" s="1"/>
  <c r="O3" i="275"/>
  <c r="O3" i="265"/>
  <c r="O3" i="273"/>
  <c r="M30" i="265" l="1"/>
  <c r="M80" i="281"/>
  <c r="O80" i="281"/>
  <c r="O30" i="265"/>
  <c r="N80" i="281"/>
  <c r="Q15" i="275"/>
  <c r="R2" i="275"/>
  <c r="R125" i="273"/>
  <c r="R126" i="273" s="1"/>
  <c r="R29" i="281" s="1"/>
  <c r="R30" i="281" s="1"/>
  <c r="R37" i="281" s="1"/>
  <c r="Q113" i="273"/>
  <c r="P60" i="281"/>
  <c r="P70" i="281" s="1"/>
  <c r="Q114" i="273"/>
  <c r="Q90" i="273"/>
  <c r="R2" i="273"/>
  <c r="Q91" i="273"/>
  <c r="Q58" i="281" s="1"/>
  <c r="Q60" i="281" s="1"/>
  <c r="Q70" i="281" s="1"/>
  <c r="K33" i="265"/>
  <c r="N102" i="281"/>
  <c r="N89" i="281"/>
  <c r="N91" i="281" s="1"/>
  <c r="N95" i="281" s="1"/>
  <c r="N9" i="265"/>
  <c r="N11" i="265" s="1"/>
  <c r="N14" i="265" s="1"/>
  <c r="N19" i="265" s="1"/>
  <c r="N22" i="265" s="1"/>
  <c r="N14" i="280" s="1"/>
  <c r="N79" i="281"/>
  <c r="N65" i="281"/>
  <c r="R65" i="273"/>
  <c r="R66" i="273" s="1"/>
  <c r="Q20" i="275"/>
  <c r="R17" i="275" s="1"/>
  <c r="Q11" i="280"/>
  <c r="P109" i="273"/>
  <c r="R80" i="273"/>
  <c r="R81" i="273" s="1"/>
  <c r="R95" i="273" s="1"/>
  <c r="S96" i="273" s="1"/>
  <c r="S49" i="273" s="1"/>
  <c r="Q108" i="273"/>
  <c r="Q109" i="273" s="1"/>
  <c r="Q50" i="273"/>
  <c r="M96" i="281"/>
  <c r="M103" i="281" s="1"/>
  <c r="M104" i="281" s="1"/>
  <c r="N101" i="281" s="1"/>
  <c r="O44" i="281"/>
  <c r="O46" i="281" s="1"/>
  <c r="O9" i="265" s="1"/>
  <c r="O11" i="265" s="1"/>
  <c r="O14" i="265" s="1"/>
  <c r="O19" i="265" s="1"/>
  <c r="O22" i="265" s="1"/>
  <c r="Q103" i="273"/>
  <c r="Q13" i="281"/>
  <c r="Q45" i="281"/>
  <c r="Q76" i="281"/>
  <c r="Q99" i="281"/>
  <c r="P115" i="273"/>
  <c r="P12" i="281" s="1"/>
  <c r="P14" i="281" s="1"/>
  <c r="P36" i="281" s="1"/>
  <c r="P38" i="281" s="1"/>
  <c r="Q90" i="281"/>
  <c r="J42" i="265"/>
  <c r="U5" i="281"/>
  <c r="U5" i="280"/>
  <c r="S24" i="273"/>
  <c r="S25" i="273" s="1"/>
  <c r="S119" i="273"/>
  <c r="O42" i="273"/>
  <c r="R2" i="281"/>
  <c r="R120" i="273"/>
  <c r="R121" i="273" s="1"/>
  <c r="R32" i="273"/>
  <c r="R33" i="273" s="1"/>
  <c r="Q69" i="273"/>
  <c r="R70" i="273" s="1"/>
  <c r="R48" i="273" s="1"/>
  <c r="R86" i="273"/>
  <c r="R87" i="273" s="1"/>
  <c r="R59" i="281" s="1"/>
  <c r="R2" i="265"/>
  <c r="R2" i="280"/>
  <c r="Q22" i="280"/>
  <c r="P41" i="273"/>
  <c r="Q39" i="273"/>
  <c r="N4" i="280"/>
  <c r="N4" i="275"/>
  <c r="N4" i="281"/>
  <c r="N4" i="273"/>
  <c r="N4" i="265"/>
  <c r="O107" i="273"/>
  <c r="P104" i="273"/>
  <c r="P107" i="273" s="1"/>
  <c r="J74" i="265"/>
  <c r="J75" i="265" s="1"/>
  <c r="J81" i="265" s="1"/>
  <c r="K13" i="280"/>
  <c r="K16" i="280" s="1"/>
  <c r="M19" i="265"/>
  <c r="P3" i="280"/>
  <c r="P3" i="281"/>
  <c r="R114" i="273"/>
  <c r="S32" i="273"/>
  <c r="S33" i="273" s="1"/>
  <c r="S38" i="273" s="1"/>
  <c r="T19" i="273"/>
  <c r="T20" i="273" s="1"/>
  <c r="T46" i="273"/>
  <c r="T37" i="273"/>
  <c r="U13" i="273"/>
  <c r="U14" i="273" s="1"/>
  <c r="U5" i="275"/>
  <c r="V10" i="273"/>
  <c r="V64" i="281" s="1"/>
  <c r="U5" i="273"/>
  <c r="U5" i="265"/>
  <c r="Q56" i="273"/>
  <c r="Q57" i="273" s="1"/>
  <c r="P3" i="265"/>
  <c r="P3" i="273"/>
  <c r="P3" i="275"/>
  <c r="P69" i="281" l="1"/>
  <c r="P71" i="281" s="1"/>
  <c r="P30" i="265"/>
  <c r="S80" i="273"/>
  <c r="S81" i="273" s="1"/>
  <c r="S95" i="273" s="1"/>
  <c r="T96" i="273" s="1"/>
  <c r="T49" i="273" s="1"/>
  <c r="S125" i="273"/>
  <c r="S126" i="273" s="1"/>
  <c r="S29" i="281" s="1"/>
  <c r="S30" i="281" s="1"/>
  <c r="S37" i="281" s="1"/>
  <c r="R45" i="281"/>
  <c r="R90" i="273"/>
  <c r="R91" i="273" s="1"/>
  <c r="R58" i="281" s="1"/>
  <c r="R60" i="281" s="1"/>
  <c r="R70" i="281" s="1"/>
  <c r="K81" i="281"/>
  <c r="L78" i="281" s="1"/>
  <c r="R69" i="273"/>
  <c r="S70" i="273" s="1"/>
  <c r="S48" i="273" s="1"/>
  <c r="R15" i="275"/>
  <c r="R20" i="275" s="1"/>
  <c r="S17" i="275" s="1"/>
  <c r="R22" i="280"/>
  <c r="N25" i="265"/>
  <c r="Q115" i="273"/>
  <c r="Q12" i="281" s="1"/>
  <c r="Q14" i="281" s="1"/>
  <c r="Q36" i="281" s="1"/>
  <c r="O89" i="281"/>
  <c r="O91" i="281" s="1"/>
  <c r="O95" i="281" s="1"/>
  <c r="P44" i="281"/>
  <c r="P46" i="281" s="1"/>
  <c r="P65" i="281" s="1"/>
  <c r="R69" i="281" s="1"/>
  <c r="S2" i="265"/>
  <c r="R11" i="280"/>
  <c r="R103" i="273"/>
  <c r="R47" i="273"/>
  <c r="R50" i="273" s="1"/>
  <c r="R76" i="281"/>
  <c r="S113" i="273"/>
  <c r="S86" i="273"/>
  <c r="S87" i="273" s="1"/>
  <c r="S59" i="281" s="1"/>
  <c r="S65" i="273"/>
  <c r="S66" i="273" s="1"/>
  <c r="S76" i="281" s="1"/>
  <c r="S2" i="280"/>
  <c r="O102" i="281"/>
  <c r="O79" i="281"/>
  <c r="O65" i="281"/>
  <c r="Q69" i="281" s="1"/>
  <c r="Q71" i="281" s="1"/>
  <c r="R99" i="281"/>
  <c r="R108" i="273"/>
  <c r="R109" i="273" s="1"/>
  <c r="S2" i="275"/>
  <c r="S2" i="273"/>
  <c r="R13" i="281"/>
  <c r="R90" i="281"/>
  <c r="O14" i="280"/>
  <c r="O25" i="265"/>
  <c r="J47" i="265"/>
  <c r="K37" i="265"/>
  <c r="N94" i="281"/>
  <c r="N96" i="281" s="1"/>
  <c r="N103" i="281" s="1"/>
  <c r="N104" i="281" s="1"/>
  <c r="O101" i="281" s="1"/>
  <c r="V5" i="281"/>
  <c r="V5" i="280"/>
  <c r="Q41" i="273"/>
  <c r="R39" i="273"/>
  <c r="R41" i="273" s="1"/>
  <c r="O4" i="281"/>
  <c r="O4" i="280"/>
  <c r="O4" i="265"/>
  <c r="O4" i="275"/>
  <c r="O4" i="273"/>
  <c r="T24" i="273"/>
  <c r="T25" i="273" s="1"/>
  <c r="T119" i="273"/>
  <c r="P42" i="273"/>
  <c r="Q104" i="273"/>
  <c r="R38" i="273"/>
  <c r="R113" i="273"/>
  <c r="S2" i="281"/>
  <c r="S120" i="273"/>
  <c r="S121" i="273" s="1"/>
  <c r="M22" i="265"/>
  <c r="L13" i="280"/>
  <c r="L16" i="280" s="1"/>
  <c r="K74" i="265"/>
  <c r="K75" i="265" s="1"/>
  <c r="K81" i="265" s="1"/>
  <c r="Q3" i="280"/>
  <c r="Q3" i="281"/>
  <c r="S22" i="280"/>
  <c r="V5" i="265"/>
  <c r="W10" i="273"/>
  <c r="W64" i="281" s="1"/>
  <c r="V5" i="275"/>
  <c r="V13" i="273"/>
  <c r="V14" i="273" s="1"/>
  <c r="V5" i="273"/>
  <c r="U19" i="273"/>
  <c r="U20" i="273" s="1"/>
  <c r="U46" i="273"/>
  <c r="U37" i="273"/>
  <c r="Q3" i="265"/>
  <c r="Q3" i="275"/>
  <c r="Q3" i="273"/>
  <c r="K64" i="265" l="1"/>
  <c r="R71" i="281"/>
  <c r="Q80" i="281"/>
  <c r="Q30" i="265"/>
  <c r="P80" i="281"/>
  <c r="Q38" i="281"/>
  <c r="Q44" i="281" s="1"/>
  <c r="Q46" i="281" s="1"/>
  <c r="T86" i="273"/>
  <c r="T87" i="273" s="1"/>
  <c r="T59" i="281" s="1"/>
  <c r="T125" i="273"/>
  <c r="T126" i="273" s="1"/>
  <c r="T29" i="281" s="1"/>
  <c r="T30" i="281" s="1"/>
  <c r="T37" i="281" s="1"/>
  <c r="S69" i="273"/>
  <c r="T70" i="273" s="1"/>
  <c r="T48" i="273" s="1"/>
  <c r="T103" i="273"/>
  <c r="S108" i="273"/>
  <c r="S109" i="273" s="1"/>
  <c r="S90" i="273"/>
  <c r="S91" i="273" s="1"/>
  <c r="R115" i="273"/>
  <c r="R12" i="281" s="1"/>
  <c r="R14" i="281" s="1"/>
  <c r="R36" i="281" s="1"/>
  <c r="S114" i="273"/>
  <c r="P102" i="281"/>
  <c r="P9" i="265"/>
  <c r="P11" i="265" s="1"/>
  <c r="P14" i="265" s="1"/>
  <c r="P19" i="265" s="1"/>
  <c r="P22" i="265" s="1"/>
  <c r="S103" i="273"/>
  <c r="S13" i="281"/>
  <c r="S45" i="281"/>
  <c r="P79" i="281"/>
  <c r="P89" i="281"/>
  <c r="P91" i="281" s="1"/>
  <c r="P95" i="281" s="1"/>
  <c r="T65" i="273"/>
  <c r="T66" i="273" s="1"/>
  <c r="S39" i="273"/>
  <c r="S99" i="281"/>
  <c r="R56" i="273"/>
  <c r="R57" i="273" s="1"/>
  <c r="R3" i="281" s="1"/>
  <c r="L33" i="265"/>
  <c r="S15" i="275"/>
  <c r="S20" i="275" s="1"/>
  <c r="T17" i="275" s="1"/>
  <c r="S11" i="280"/>
  <c r="S47" i="273"/>
  <c r="S50" i="273" s="1"/>
  <c r="S56" i="273" s="1"/>
  <c r="S57" i="273" s="1"/>
  <c r="L74" i="265"/>
  <c r="L75" i="265" s="1"/>
  <c r="L81" i="265" s="1"/>
  <c r="M13" i="280"/>
  <c r="S90" i="281"/>
  <c r="K42" i="265"/>
  <c r="J50" i="265"/>
  <c r="J30" i="280" s="1"/>
  <c r="O94" i="281"/>
  <c r="O96" i="281" s="1"/>
  <c r="O103" i="281" s="1"/>
  <c r="O104" i="281" s="1"/>
  <c r="P101" i="281" s="1"/>
  <c r="U24" i="273"/>
  <c r="U25" i="273" s="1"/>
  <c r="U2" i="280" s="1"/>
  <c r="U119" i="273"/>
  <c r="W5" i="281"/>
  <c r="W5" i="280"/>
  <c r="Q107" i="273"/>
  <c r="R104" i="273"/>
  <c r="P4" i="280"/>
  <c r="P4" i="273"/>
  <c r="P4" i="281"/>
  <c r="P4" i="265"/>
  <c r="P4" i="275"/>
  <c r="T2" i="281"/>
  <c r="T120" i="273"/>
  <c r="T121" i="273" s="1"/>
  <c r="T2" i="273"/>
  <c r="T32" i="273"/>
  <c r="T33" i="273" s="1"/>
  <c r="Q42" i="273"/>
  <c r="T80" i="273"/>
  <c r="T81" i="273" s="1"/>
  <c r="T95" i="273" s="1"/>
  <c r="U96" i="273" s="1"/>
  <c r="U49" i="273" s="1"/>
  <c r="T2" i="275"/>
  <c r="T2" i="265"/>
  <c r="T2" i="280"/>
  <c r="R42" i="273"/>
  <c r="M14" i="280"/>
  <c r="M25" i="265"/>
  <c r="T45" i="281"/>
  <c r="T114" i="273"/>
  <c r="V19" i="273"/>
  <c r="V20" i="273" s="1"/>
  <c r="V46" i="273"/>
  <c r="V37" i="273"/>
  <c r="W13" i="273"/>
  <c r="W14" i="273" s="1"/>
  <c r="X10" i="273"/>
  <c r="X64" i="281" s="1"/>
  <c r="W5" i="275"/>
  <c r="W5" i="273"/>
  <c r="W5" i="265"/>
  <c r="R80" i="281" l="1"/>
  <c r="R30" i="265"/>
  <c r="T13" i="281"/>
  <c r="T108" i="273"/>
  <c r="T109" i="273" s="1"/>
  <c r="S115" i="273"/>
  <c r="S12" i="281" s="1"/>
  <c r="T90" i="273"/>
  <c r="T91" i="273" s="1"/>
  <c r="T58" i="281" s="1"/>
  <c r="T60" i="281" s="1"/>
  <c r="T70" i="281" s="1"/>
  <c r="Q9" i="265"/>
  <c r="Q11" i="265" s="1"/>
  <c r="Q14" i="265" s="1"/>
  <c r="Q19" i="265" s="1"/>
  <c r="Q22" i="265" s="1"/>
  <c r="Q14" i="280" s="1"/>
  <c r="Q79" i="281"/>
  <c r="Q89" i="281"/>
  <c r="Q91" i="281" s="1"/>
  <c r="Q95" i="281" s="1"/>
  <c r="Q102" i="281"/>
  <c r="Q65" i="281"/>
  <c r="S69" i="281" s="1"/>
  <c r="U2" i="273"/>
  <c r="U125" i="273"/>
  <c r="U126" i="273" s="1"/>
  <c r="U29" i="281" s="1"/>
  <c r="U30" i="281" s="1"/>
  <c r="U37" i="281" s="1"/>
  <c r="R3" i="265"/>
  <c r="R3" i="280"/>
  <c r="R38" i="281"/>
  <c r="R44" i="281" s="1"/>
  <c r="R46" i="281" s="1"/>
  <c r="S58" i="281"/>
  <c r="S60" i="281" s="1"/>
  <c r="R3" i="275"/>
  <c r="R3" i="273"/>
  <c r="L81" i="281"/>
  <c r="L64" i="265" s="1"/>
  <c r="S14" i="281"/>
  <c r="S36" i="281" s="1"/>
  <c r="P14" i="280"/>
  <c r="P25" i="265"/>
  <c r="T99" i="281"/>
  <c r="T47" i="273"/>
  <c r="T50" i="273" s="1"/>
  <c r="T56" i="273" s="1"/>
  <c r="T57" i="273" s="1"/>
  <c r="T15" i="275"/>
  <c r="T20" i="275" s="1"/>
  <c r="U17" i="275" s="1"/>
  <c r="T11" i="280"/>
  <c r="S41" i="273"/>
  <c r="T39" i="273"/>
  <c r="T41" i="273" s="1"/>
  <c r="U2" i="265"/>
  <c r="T22" i="280"/>
  <c r="U2" i="275"/>
  <c r="U65" i="273"/>
  <c r="U66" i="273" s="1"/>
  <c r="U99" i="281" s="1"/>
  <c r="M16" i="280"/>
  <c r="M74" i="265" s="1"/>
  <c r="M75" i="265" s="1"/>
  <c r="M81" i="265" s="1"/>
  <c r="T69" i="273"/>
  <c r="U70" i="273" s="1"/>
  <c r="U48" i="273" s="1"/>
  <c r="T76" i="281"/>
  <c r="T90" i="281"/>
  <c r="U86" i="273"/>
  <c r="U87" i="273" s="1"/>
  <c r="U59" i="281" s="1"/>
  <c r="U80" i="273"/>
  <c r="U81" i="273" s="1"/>
  <c r="U95" i="273" s="1"/>
  <c r="V96" i="273" s="1"/>
  <c r="V49" i="273" s="1"/>
  <c r="U32" i="273"/>
  <c r="U33" i="273" s="1"/>
  <c r="L37" i="265"/>
  <c r="J53" i="265"/>
  <c r="J25" i="280"/>
  <c r="J27" i="280" s="1"/>
  <c r="K47" i="265"/>
  <c r="P94" i="281"/>
  <c r="P96" i="281" s="1"/>
  <c r="P103" i="281" s="1"/>
  <c r="P104" i="281" s="1"/>
  <c r="Q101" i="281" s="1"/>
  <c r="X5" i="281"/>
  <c r="X5" i="280"/>
  <c r="R4" i="281"/>
  <c r="R4" i="265"/>
  <c r="R4" i="275"/>
  <c r="R4" i="280"/>
  <c r="R4" i="273"/>
  <c r="Q4" i="281"/>
  <c r="Q4" i="265"/>
  <c r="Q4" i="275"/>
  <c r="Q4" i="280"/>
  <c r="Q4" i="273"/>
  <c r="S104" i="273"/>
  <c r="R107" i="273"/>
  <c r="V24" i="273"/>
  <c r="V25" i="273" s="1"/>
  <c r="V119" i="273"/>
  <c r="T38" i="273"/>
  <c r="T113" i="273"/>
  <c r="U2" i="281"/>
  <c r="U120" i="273"/>
  <c r="U121" i="273" s="1"/>
  <c r="S3" i="280"/>
  <c r="S3" i="281"/>
  <c r="U13" i="281"/>
  <c r="X5" i="275"/>
  <c r="X13" i="273"/>
  <c r="X14" i="273" s="1"/>
  <c r="X5" i="265"/>
  <c r="X5" i="273"/>
  <c r="Y10" i="273"/>
  <c r="Y64" i="281" s="1"/>
  <c r="W19" i="273"/>
  <c r="W20" i="273" s="1"/>
  <c r="W37" i="273"/>
  <c r="W46" i="273"/>
  <c r="S3" i="275"/>
  <c r="S3" i="265"/>
  <c r="S3" i="273"/>
  <c r="U76" i="281" l="1"/>
  <c r="U47" i="273"/>
  <c r="S70" i="281"/>
  <c r="S71" i="281" s="1"/>
  <c r="U22" i="280"/>
  <c r="U108" i="273"/>
  <c r="U109" i="273" s="1"/>
  <c r="T115" i="273"/>
  <c r="T12" i="281" s="1"/>
  <c r="R89" i="281"/>
  <c r="R91" i="281" s="1"/>
  <c r="R95" i="281" s="1"/>
  <c r="R102" i="281"/>
  <c r="R65" i="281"/>
  <c r="T69" i="281" s="1"/>
  <c r="T71" i="281" s="1"/>
  <c r="T14" i="281"/>
  <c r="T36" i="281" s="1"/>
  <c r="T38" i="281" s="1"/>
  <c r="Q25" i="265"/>
  <c r="R9" i="265"/>
  <c r="R11" i="265" s="1"/>
  <c r="R14" i="265" s="1"/>
  <c r="V86" i="273"/>
  <c r="V87" i="273" s="1"/>
  <c r="V59" i="281" s="1"/>
  <c r="V125" i="273"/>
  <c r="V126" i="273" s="1"/>
  <c r="V29" i="281" s="1"/>
  <c r="V30" i="281" s="1"/>
  <c r="V37" i="281" s="1"/>
  <c r="V65" i="273"/>
  <c r="U39" i="273"/>
  <c r="U41" i="273" s="1"/>
  <c r="U42" i="273" s="1"/>
  <c r="R79" i="281"/>
  <c r="M78" i="281"/>
  <c r="S38" i="281"/>
  <c r="S44" i="281" s="1"/>
  <c r="S46" i="281" s="1"/>
  <c r="U15" i="275"/>
  <c r="U103" i="273"/>
  <c r="U45" i="281"/>
  <c r="U50" i="273"/>
  <c r="U56" i="273" s="1"/>
  <c r="U57" i="273" s="1"/>
  <c r="V108" i="273"/>
  <c r="U114" i="273"/>
  <c r="U90" i="273"/>
  <c r="U91" i="273" s="1"/>
  <c r="T44" i="281"/>
  <c r="T46" i="281" s="1"/>
  <c r="U20" i="275"/>
  <c r="V17" i="275" s="1"/>
  <c r="N13" i="280"/>
  <c r="N16" i="280" s="1"/>
  <c r="O13" i="280" s="1"/>
  <c r="O16" i="280" s="1"/>
  <c r="V2" i="275"/>
  <c r="V2" i="265"/>
  <c r="T42" i="273"/>
  <c r="S42" i="273"/>
  <c r="U69" i="273"/>
  <c r="V70" i="273" s="1"/>
  <c r="V48" i="273" s="1"/>
  <c r="U11" i="280"/>
  <c r="V66" i="273"/>
  <c r="V15" i="275" s="1"/>
  <c r="V20" i="275" s="1"/>
  <c r="W17" i="275" s="1"/>
  <c r="U90" i="281"/>
  <c r="U115" i="273"/>
  <c r="U12" i="281" s="1"/>
  <c r="U14" i="281" s="1"/>
  <c r="U36" i="281" s="1"/>
  <c r="U38" i="281" s="1"/>
  <c r="U113" i="273"/>
  <c r="U38" i="273"/>
  <c r="K50" i="265"/>
  <c r="K30" i="280" s="1"/>
  <c r="K24" i="280"/>
  <c r="J63" i="265"/>
  <c r="J65" i="265" s="1"/>
  <c r="J67" i="265" s="1"/>
  <c r="J80" i="265" s="1"/>
  <c r="L42" i="265"/>
  <c r="Q94" i="281"/>
  <c r="Q96" i="281" s="1"/>
  <c r="Q103" i="281" s="1"/>
  <c r="Q104" i="281" s="1"/>
  <c r="R101" i="281" s="1"/>
  <c r="W24" i="273"/>
  <c r="W25" i="273" s="1"/>
  <c r="W119" i="273"/>
  <c r="Y5" i="281"/>
  <c r="Y5" i="280"/>
  <c r="V2" i="281"/>
  <c r="V120" i="273"/>
  <c r="V121" i="273" s="1"/>
  <c r="V32" i="273"/>
  <c r="V33" i="273" s="1"/>
  <c r="S107" i="273"/>
  <c r="T104" i="273"/>
  <c r="T107" i="273" s="1"/>
  <c r="V80" i="273"/>
  <c r="V81" i="273" s="1"/>
  <c r="V95" i="273" s="1"/>
  <c r="W96" i="273" s="1"/>
  <c r="W49" i="273" s="1"/>
  <c r="V2" i="273"/>
  <c r="V2" i="280"/>
  <c r="R19" i="265"/>
  <c r="T3" i="280"/>
  <c r="T3" i="281"/>
  <c r="V45" i="281"/>
  <c r="X19" i="273"/>
  <c r="X20" i="273" s="1"/>
  <c r="X46" i="273"/>
  <c r="X37" i="273"/>
  <c r="Y13" i="273"/>
  <c r="Y14" i="273" s="1"/>
  <c r="Z10" i="273"/>
  <c r="Z64" i="281" s="1"/>
  <c r="Y5" i="273"/>
  <c r="Y5" i="265"/>
  <c r="Y5" i="275"/>
  <c r="T3" i="275"/>
  <c r="T3" i="265"/>
  <c r="T3" i="273"/>
  <c r="V11" i="280" l="1"/>
  <c r="V39" i="273"/>
  <c r="V41" i="273" s="1"/>
  <c r="V42" i="273" s="1"/>
  <c r="V4" i="281" s="1"/>
  <c r="V103" i="273"/>
  <c r="S30" i="265"/>
  <c r="S80" i="281"/>
  <c r="V109" i="273"/>
  <c r="T80" i="281"/>
  <c r="T30" i="265"/>
  <c r="N74" i="265"/>
  <c r="N75" i="265" s="1"/>
  <c r="N81" i="265" s="1"/>
  <c r="S89" i="281"/>
  <c r="S91" i="281" s="1"/>
  <c r="S95" i="281" s="1"/>
  <c r="S79" i="281"/>
  <c r="S102" i="281"/>
  <c r="S9" i="265"/>
  <c r="S11" i="265" s="1"/>
  <c r="S14" i="265" s="1"/>
  <c r="S19" i="265" s="1"/>
  <c r="S22" i="265" s="1"/>
  <c r="S25" i="265" s="1"/>
  <c r="V13" i="281"/>
  <c r="V114" i="273"/>
  <c r="V115" i="273" s="1"/>
  <c r="V12" i="281" s="1"/>
  <c r="V90" i="273"/>
  <c r="W86" i="273"/>
  <c r="W87" i="273" s="1"/>
  <c r="W90" i="273" s="1"/>
  <c r="W125" i="273"/>
  <c r="W126" i="273" s="1"/>
  <c r="W29" i="281" s="1"/>
  <c r="W30" i="281" s="1"/>
  <c r="W37" i="281" s="1"/>
  <c r="S65" i="281"/>
  <c r="U69" i="281" s="1"/>
  <c r="V91" i="273"/>
  <c r="V58" i="281" s="1"/>
  <c r="V60" i="281" s="1"/>
  <c r="V70" i="281" s="1"/>
  <c r="U58" i="281"/>
  <c r="U60" i="281" s="1"/>
  <c r="W59" i="281"/>
  <c r="V4" i="265"/>
  <c r="V4" i="280"/>
  <c r="M33" i="265"/>
  <c r="M37" i="265" s="1"/>
  <c r="M42" i="265" s="1"/>
  <c r="M47" i="265" s="1"/>
  <c r="M50" i="265" s="1"/>
  <c r="M30" i="280" s="1"/>
  <c r="M81" i="281"/>
  <c r="N78" i="281" s="1"/>
  <c r="T89" i="281"/>
  <c r="T91" i="281" s="1"/>
  <c r="T95" i="281" s="1"/>
  <c r="T9" i="265"/>
  <c r="T11" i="265" s="1"/>
  <c r="T14" i="265" s="1"/>
  <c r="T19" i="265" s="1"/>
  <c r="T22" i="265" s="1"/>
  <c r="T25" i="265" s="1"/>
  <c r="T102" i="281"/>
  <c r="T79" i="281"/>
  <c r="T65" i="281"/>
  <c r="V69" i="281" s="1"/>
  <c r="W2" i="275"/>
  <c r="V99" i="281"/>
  <c r="U44" i="281"/>
  <c r="U46" i="281" s="1"/>
  <c r="S14" i="280"/>
  <c r="V4" i="273"/>
  <c r="V4" i="275"/>
  <c r="V22" i="280"/>
  <c r="V69" i="273"/>
  <c r="W70" i="273" s="1"/>
  <c r="W48" i="273" s="1"/>
  <c r="V47" i="273"/>
  <c r="V50" i="273" s="1"/>
  <c r="V56" i="273" s="1"/>
  <c r="V57" i="273" s="1"/>
  <c r="V76" i="281"/>
  <c r="S4" i="265"/>
  <c r="S4" i="281"/>
  <c r="S4" i="280"/>
  <c r="S4" i="275"/>
  <c r="S4" i="273"/>
  <c r="T4" i="280"/>
  <c r="T4" i="265"/>
  <c r="T4" i="275"/>
  <c r="T4" i="281"/>
  <c r="T4" i="273"/>
  <c r="W2" i="273"/>
  <c r="W2" i="280"/>
  <c r="W108" i="273"/>
  <c r="W109" i="273" s="1"/>
  <c r="W103" i="273"/>
  <c r="W32" i="273"/>
  <c r="W33" i="273" s="1"/>
  <c r="W65" i="273"/>
  <c r="W66" i="273" s="1"/>
  <c r="W22" i="280" s="1"/>
  <c r="V90" i="281"/>
  <c r="J83" i="265"/>
  <c r="J82" i="265"/>
  <c r="L47" i="265"/>
  <c r="K53" i="265"/>
  <c r="K25" i="280"/>
  <c r="K27" i="280" s="1"/>
  <c r="R94" i="281"/>
  <c r="R96" i="281" s="1"/>
  <c r="R103" i="281" s="1"/>
  <c r="R104" i="281" s="1"/>
  <c r="S101" i="281" s="1"/>
  <c r="X24" i="273"/>
  <c r="X25" i="273" s="1"/>
  <c r="X119" i="273"/>
  <c r="Z5" i="281"/>
  <c r="Z5" i="280"/>
  <c r="U4" i="280"/>
  <c r="U4" i="265"/>
  <c r="U4" i="273"/>
  <c r="U4" i="281"/>
  <c r="U4" i="275"/>
  <c r="V38" i="273"/>
  <c r="W39" i="273" s="1"/>
  <c r="W41" i="273" s="1"/>
  <c r="W42" i="273" s="1"/>
  <c r="W4" i="280" s="1"/>
  <c r="V113" i="273"/>
  <c r="U104" i="273"/>
  <c r="W2" i="281"/>
  <c r="W120" i="273"/>
  <c r="W121" i="273" s="1"/>
  <c r="W2" i="265"/>
  <c r="W80" i="273"/>
  <c r="W81" i="273" s="1"/>
  <c r="W95" i="273" s="1"/>
  <c r="X96" i="273" s="1"/>
  <c r="X49" i="273" s="1"/>
  <c r="P13" i="280"/>
  <c r="P16" i="280" s="1"/>
  <c r="O74" i="265"/>
  <c r="O75" i="265" s="1"/>
  <c r="O81" i="265" s="1"/>
  <c r="R22" i="265"/>
  <c r="W13" i="281"/>
  <c r="U3" i="280"/>
  <c r="U3" i="281"/>
  <c r="X2" i="280"/>
  <c r="Y37" i="273"/>
  <c r="Y46" i="273"/>
  <c r="Y19" i="273"/>
  <c r="Y20" i="273" s="1"/>
  <c r="Z5" i="275"/>
  <c r="AA10" i="273"/>
  <c r="AA64" i="281" s="1"/>
  <c r="Z5" i="273"/>
  <c r="Z5" i="265"/>
  <c r="Z13" i="273"/>
  <c r="Z14" i="273" s="1"/>
  <c r="U3" i="275"/>
  <c r="U3" i="265"/>
  <c r="U3" i="273"/>
  <c r="W47" i="273"/>
  <c r="V71" i="281" l="1"/>
  <c r="U70" i="281"/>
  <c r="U71" i="281" s="1"/>
  <c r="T14" i="280"/>
  <c r="W91" i="273"/>
  <c r="W58" i="281" s="1"/>
  <c r="V14" i="281"/>
  <c r="V36" i="281" s="1"/>
  <c r="V38" i="281" s="1"/>
  <c r="V44" i="281" s="1"/>
  <c r="V46" i="281" s="1"/>
  <c r="M25" i="280"/>
  <c r="W11" i="280"/>
  <c r="W45" i="281"/>
  <c r="W114" i="273"/>
  <c r="W50" i="273"/>
  <c r="X32" i="273"/>
  <c r="X33" i="273" s="1"/>
  <c r="X38" i="273" s="1"/>
  <c r="X125" i="273"/>
  <c r="X126" i="273" s="1"/>
  <c r="X29" i="281" s="1"/>
  <c r="X30" i="281" s="1"/>
  <c r="X37" i="281" s="1"/>
  <c r="M53" i="265"/>
  <c r="W60" i="281"/>
  <c r="W70" i="281" s="1"/>
  <c r="X86" i="273"/>
  <c r="X87" i="273" s="1"/>
  <c r="X80" i="273"/>
  <c r="X81" i="273" s="1"/>
  <c r="X95" i="273" s="1"/>
  <c r="Y96" i="273" s="1"/>
  <c r="Y49" i="273" s="1"/>
  <c r="W4" i="273"/>
  <c r="W115" i="273"/>
  <c r="W12" i="281" s="1"/>
  <c r="W14" i="281" s="1"/>
  <c r="W36" i="281" s="1"/>
  <c r="W38" i="281" s="1"/>
  <c r="M64" i="265"/>
  <c r="U102" i="281"/>
  <c r="U79" i="281"/>
  <c r="U65" i="281"/>
  <c r="W69" i="281" s="1"/>
  <c r="W71" i="281" s="1"/>
  <c r="U89" i="281"/>
  <c r="U91" i="281" s="1"/>
  <c r="U95" i="281" s="1"/>
  <c r="U9" i="265"/>
  <c r="U11" i="265" s="1"/>
  <c r="U14" i="265" s="1"/>
  <c r="U19" i="265" s="1"/>
  <c r="U22" i="265" s="1"/>
  <c r="W4" i="275"/>
  <c r="X113" i="273"/>
  <c r="W15" i="275"/>
  <c r="W20" i="275" s="1"/>
  <c r="X17" i="275" s="1"/>
  <c r="X2" i="265"/>
  <c r="X2" i="273"/>
  <c r="X2" i="275"/>
  <c r="X65" i="273"/>
  <c r="W69" i="273"/>
  <c r="X70" i="273" s="1"/>
  <c r="X48" i="273" s="1"/>
  <c r="X66" i="273"/>
  <c r="X99" i="281" s="1"/>
  <c r="W4" i="265"/>
  <c r="W4" i="281"/>
  <c r="W38" i="273"/>
  <c r="X39" i="273" s="1"/>
  <c r="X41" i="273" s="1"/>
  <c r="W113" i="273"/>
  <c r="W90" i="281"/>
  <c r="W76" i="281"/>
  <c r="W99" i="281"/>
  <c r="K63" i="265"/>
  <c r="K65" i="265" s="1"/>
  <c r="K67" i="265" s="1"/>
  <c r="K80" i="265" s="1"/>
  <c r="L24" i="280"/>
  <c r="L50" i="265"/>
  <c r="L30" i="280" s="1"/>
  <c r="S94" i="281"/>
  <c r="S96" i="281" s="1"/>
  <c r="S103" i="281" s="1"/>
  <c r="S104" i="281" s="1"/>
  <c r="T101" i="281" s="1"/>
  <c r="AA5" i="281"/>
  <c r="AA5" i="280"/>
  <c r="Y24" i="273"/>
  <c r="Y25" i="273" s="1"/>
  <c r="Y119" i="273"/>
  <c r="U107" i="273"/>
  <c r="V104" i="273"/>
  <c r="X2" i="281"/>
  <c r="X120" i="273"/>
  <c r="X121" i="273" s="1"/>
  <c r="R14" i="280"/>
  <c r="R25" i="265"/>
  <c r="P74" i="265"/>
  <c r="P75" i="265" s="1"/>
  <c r="P81" i="265" s="1"/>
  <c r="Q13" i="280"/>
  <c r="Q16" i="280" s="1"/>
  <c r="V3" i="280"/>
  <c r="V3" i="281"/>
  <c r="X108" i="273"/>
  <c r="X109" i="273" s="1"/>
  <c r="X45" i="281"/>
  <c r="X13" i="281"/>
  <c r="X22" i="280"/>
  <c r="X103" i="273"/>
  <c r="X114" i="273"/>
  <c r="Z37" i="273"/>
  <c r="Z19" i="273"/>
  <c r="Z20" i="273" s="1"/>
  <c r="Z46" i="273"/>
  <c r="AA13" i="273"/>
  <c r="AA14" i="273" s="1"/>
  <c r="AB10" i="273"/>
  <c r="AB64" i="281" s="1"/>
  <c r="AA5" i="273"/>
  <c r="AA5" i="265"/>
  <c r="AA5" i="275"/>
  <c r="V3" i="275"/>
  <c r="V3" i="265"/>
  <c r="V3" i="273"/>
  <c r="W56" i="273"/>
  <c r="W57" i="273" s="1"/>
  <c r="X47" i="273"/>
  <c r="X15" i="275"/>
  <c r="X20" i="275" s="1"/>
  <c r="Y17" i="275" s="1"/>
  <c r="U30" i="265" l="1"/>
  <c r="U80" i="281"/>
  <c r="W80" i="281"/>
  <c r="W30" i="265"/>
  <c r="V80" i="281"/>
  <c r="V30" i="265"/>
  <c r="X50" i="273"/>
  <c r="V89" i="281"/>
  <c r="V91" i="281" s="1"/>
  <c r="V95" i="281" s="1"/>
  <c r="V79" i="281"/>
  <c r="V102" i="281"/>
  <c r="V9" i="265"/>
  <c r="V11" i="265" s="1"/>
  <c r="V14" i="265" s="1"/>
  <c r="V19" i="265" s="1"/>
  <c r="V65" i="281"/>
  <c r="X69" i="281" s="1"/>
  <c r="Y2" i="280"/>
  <c r="Y125" i="273"/>
  <c r="Y126" i="273" s="1"/>
  <c r="Y29" i="281" s="1"/>
  <c r="Y30" i="281" s="1"/>
  <c r="Y37" i="281" s="1"/>
  <c r="X69" i="273"/>
  <c r="Y70" i="273" s="1"/>
  <c r="Y48" i="273" s="1"/>
  <c r="X115" i="273"/>
  <c r="X12" i="281" s="1"/>
  <c r="X11" i="280"/>
  <c r="X76" i="281"/>
  <c r="X90" i="273"/>
  <c r="X91" i="273" s="1"/>
  <c r="X58" i="281" s="1"/>
  <c r="X59" i="281"/>
  <c r="Y2" i="275"/>
  <c r="Y2" i="265"/>
  <c r="N81" i="281"/>
  <c r="N64" i="265" s="1"/>
  <c r="N33" i="265"/>
  <c r="N37" i="265" s="1"/>
  <c r="N42" i="265" s="1"/>
  <c r="N47" i="265" s="1"/>
  <c r="U14" i="280"/>
  <c r="U25" i="265"/>
  <c r="W44" i="281"/>
  <c r="W46" i="281" s="1"/>
  <c r="W102" i="281" s="1"/>
  <c r="Y39" i="273"/>
  <c r="Y41" i="273" s="1"/>
  <c r="X90" i="281"/>
  <c r="L53" i="265"/>
  <c r="L25" i="280"/>
  <c r="L27" i="280" s="1"/>
  <c r="K82" i="265"/>
  <c r="K83" i="265"/>
  <c r="T94" i="281"/>
  <c r="T96" i="281" s="1"/>
  <c r="T103" i="281" s="1"/>
  <c r="T104" i="281" s="1"/>
  <c r="U101" i="281" s="1"/>
  <c r="Z24" i="273"/>
  <c r="Z25" i="273" s="1"/>
  <c r="Z119" i="273"/>
  <c r="V107" i="273"/>
  <c r="W104" i="273"/>
  <c r="Y2" i="281"/>
  <c r="Y120" i="273"/>
  <c r="Y121" i="273" s="1"/>
  <c r="Y86" i="273"/>
  <c r="Y87" i="273" s="1"/>
  <c r="Y65" i="273"/>
  <c r="Y66" i="273" s="1"/>
  <c r="Y99" i="281" s="1"/>
  <c r="AB5" i="281"/>
  <c r="AB5" i="280"/>
  <c r="Y2" i="273"/>
  <c r="Y80" i="273"/>
  <c r="Y81" i="273" s="1"/>
  <c r="Y95" i="273" s="1"/>
  <c r="Z96" i="273" s="1"/>
  <c r="Z49" i="273" s="1"/>
  <c r="Y32" i="273"/>
  <c r="Y33" i="273" s="1"/>
  <c r="X42" i="273"/>
  <c r="R13" i="280"/>
  <c r="R16" i="280" s="1"/>
  <c r="Q74" i="265"/>
  <c r="Q75" i="265" s="1"/>
  <c r="Q81" i="265" s="1"/>
  <c r="V22" i="265"/>
  <c r="W3" i="280"/>
  <c r="W3" i="281"/>
  <c r="X14" i="281"/>
  <c r="X36" i="281" s="1"/>
  <c r="X38" i="281" s="1"/>
  <c r="AB5" i="275"/>
  <c r="AB13" i="273"/>
  <c r="AB14" i="273" s="1"/>
  <c r="AB5" i="265"/>
  <c r="AC10" i="273"/>
  <c r="AC64" i="281" s="1"/>
  <c r="AB5" i="273"/>
  <c r="AA19" i="273"/>
  <c r="AA20" i="273" s="1"/>
  <c r="AA37" i="273"/>
  <c r="AA46" i="273"/>
  <c r="W3" i="273"/>
  <c r="W3" i="265"/>
  <c r="W3" i="275"/>
  <c r="X56" i="273"/>
  <c r="X57" i="273" s="1"/>
  <c r="Z65" i="273" l="1"/>
  <c r="Z66" i="273" s="1"/>
  <c r="Z99" i="281" s="1"/>
  <c r="Z125" i="273"/>
  <c r="Z126" i="273" s="1"/>
  <c r="Z29" i="281" s="1"/>
  <c r="Z30" i="281" s="1"/>
  <c r="Z37" i="281" s="1"/>
  <c r="Y90" i="273"/>
  <c r="Y91" i="273" s="1"/>
  <c r="Y58" i="281" s="1"/>
  <c r="Y59" i="281"/>
  <c r="X60" i="281"/>
  <c r="W79" i="281"/>
  <c r="O78" i="281"/>
  <c r="Z2" i="275"/>
  <c r="Z2" i="265"/>
  <c r="W65" i="281"/>
  <c r="Y69" i="281" s="1"/>
  <c r="W89" i="281"/>
  <c r="W91" i="281" s="1"/>
  <c r="W95" i="281" s="1"/>
  <c r="X44" i="281"/>
  <c r="X46" i="281" s="1"/>
  <c r="W9" i="265"/>
  <c r="W11" i="265" s="1"/>
  <c r="W14" i="265" s="1"/>
  <c r="W19" i="265" s="1"/>
  <c r="W22" i="265" s="1"/>
  <c r="W14" i="280" s="1"/>
  <c r="M24" i="280"/>
  <c r="M27" i="280" s="1"/>
  <c r="L63" i="265"/>
  <c r="L65" i="265" s="1"/>
  <c r="L67" i="265" s="1"/>
  <c r="L80" i="265" s="1"/>
  <c r="Z80" i="273"/>
  <c r="Z81" i="273" s="1"/>
  <c r="Z95" i="273" s="1"/>
  <c r="AA96" i="273" s="1"/>
  <c r="AA49" i="273" s="1"/>
  <c r="Z2" i="280"/>
  <c r="Z86" i="273"/>
  <c r="Z87" i="273" s="1"/>
  <c r="Z59" i="281" s="1"/>
  <c r="Y42" i="273"/>
  <c r="Y90" i="281"/>
  <c r="N50" i="265"/>
  <c r="N30" i="280" s="1"/>
  <c r="U94" i="281"/>
  <c r="U96" i="281" s="1"/>
  <c r="U103" i="281" s="1"/>
  <c r="U104" i="281" s="1"/>
  <c r="V101" i="281" s="1"/>
  <c r="X4" i="281"/>
  <c r="X4" i="275"/>
  <c r="X4" i="265"/>
  <c r="X4" i="280"/>
  <c r="X4" i="273"/>
  <c r="Y76" i="281"/>
  <c r="Y11" i="280"/>
  <c r="Y47" i="273"/>
  <c r="Y50" i="273" s="1"/>
  <c r="Y56" i="273" s="1"/>
  <c r="Y57" i="273" s="1"/>
  <c r="Y15" i="275"/>
  <c r="Y20" i="275" s="1"/>
  <c r="Z17" i="275" s="1"/>
  <c r="Y22" i="280"/>
  <c r="Y69" i="273"/>
  <c r="Z70" i="273" s="1"/>
  <c r="Z48" i="273" s="1"/>
  <c r="X104" i="273"/>
  <c r="W107" i="273"/>
  <c r="AA24" i="273"/>
  <c r="AA25" i="273" s="1"/>
  <c r="AA119" i="273"/>
  <c r="AC5" i="281"/>
  <c r="AC5" i="280"/>
  <c r="Y38" i="273"/>
  <c r="Z39" i="273" s="1"/>
  <c r="Z41" i="273" s="1"/>
  <c r="Y113" i="273"/>
  <c r="Y108" i="273"/>
  <c r="Y109" i="273" s="1"/>
  <c r="Y45" i="281"/>
  <c r="Y13" i="281"/>
  <c r="Y114" i="273"/>
  <c r="Y115" i="273" s="1"/>
  <c r="Y12" i="281" s="1"/>
  <c r="Y103" i="273"/>
  <c r="Z2" i="281"/>
  <c r="Z120" i="273"/>
  <c r="Z121" i="273" s="1"/>
  <c r="Z2" i="273"/>
  <c r="Z32" i="273"/>
  <c r="Z33" i="273" s="1"/>
  <c r="V25" i="265"/>
  <c r="V14" i="280"/>
  <c r="S13" i="280"/>
  <c r="S16" i="280" s="1"/>
  <c r="R74" i="265"/>
  <c r="R75" i="265" s="1"/>
  <c r="R81" i="265" s="1"/>
  <c r="X3" i="280"/>
  <c r="X3" i="281"/>
  <c r="AC13" i="273"/>
  <c r="AC14" i="273" s="1"/>
  <c r="AD10" i="273"/>
  <c r="AD64" i="281" s="1"/>
  <c r="AC5" i="273"/>
  <c r="AC5" i="275"/>
  <c r="AC5" i="265"/>
  <c r="AB19" i="273"/>
  <c r="AB20" i="273" s="1"/>
  <c r="AB46" i="273"/>
  <c r="AB37" i="273"/>
  <c r="X3" i="273"/>
  <c r="X3" i="275"/>
  <c r="X3" i="265"/>
  <c r="X70" i="281" l="1"/>
  <c r="X71" i="281" s="1"/>
  <c r="X80" i="281" s="1"/>
  <c r="W25" i="265"/>
  <c r="X30" i="265"/>
  <c r="AA80" i="273"/>
  <c r="AA81" i="273" s="1"/>
  <c r="AA95" i="273" s="1"/>
  <c r="AB96" i="273" s="1"/>
  <c r="AB49" i="273" s="1"/>
  <c r="AA125" i="273"/>
  <c r="AA126" i="273" s="1"/>
  <c r="AA29" i="281" s="1"/>
  <c r="AA30" i="281" s="1"/>
  <c r="AA37" i="281" s="1"/>
  <c r="Y60" i="281"/>
  <c r="Z103" i="273"/>
  <c r="Z90" i="273"/>
  <c r="Z91" i="273" s="1"/>
  <c r="Z58" i="281" s="1"/>
  <c r="Z60" i="281" s="1"/>
  <c r="Z70" i="281" s="1"/>
  <c r="Z114" i="273"/>
  <c r="Z115" i="273" s="1"/>
  <c r="AA32" i="273"/>
  <c r="AA33" i="273" s="1"/>
  <c r="AA38" i="273" s="1"/>
  <c r="O33" i="265"/>
  <c r="O37" i="265" s="1"/>
  <c r="O42" i="265" s="1"/>
  <c r="O47" i="265" s="1"/>
  <c r="O81" i="281"/>
  <c r="P78" i="281" s="1"/>
  <c r="X102" i="281"/>
  <c r="X9" i="265"/>
  <c r="X11" i="265" s="1"/>
  <c r="X14" i="265" s="1"/>
  <c r="X19" i="265" s="1"/>
  <c r="X22" i="265" s="1"/>
  <c r="X89" i="281"/>
  <c r="X91" i="281" s="1"/>
  <c r="X95" i="281" s="1"/>
  <c r="X79" i="281"/>
  <c r="X65" i="281"/>
  <c r="Z69" i="281" s="1"/>
  <c r="Z22" i="280"/>
  <c r="AA86" i="273"/>
  <c r="AA87" i="273" s="1"/>
  <c r="Z13" i="281"/>
  <c r="Z45" i="281"/>
  <c r="L83" i="265"/>
  <c r="L82" i="265"/>
  <c r="O64" i="265"/>
  <c r="M63" i="265"/>
  <c r="M65" i="265" s="1"/>
  <c r="M67" i="265" s="1"/>
  <c r="M80" i="265" s="1"/>
  <c r="N24" i="280"/>
  <c r="AA2" i="275"/>
  <c r="AA65" i="273"/>
  <c r="AA66" i="273" s="1"/>
  <c r="AA99" i="281" s="1"/>
  <c r="Z108" i="273"/>
  <c r="Z109" i="273" s="1"/>
  <c r="AA76" i="281"/>
  <c r="AA108" i="273"/>
  <c r="AA2" i="273"/>
  <c r="Z11" i="280"/>
  <c r="AA2" i="280"/>
  <c r="Z90" i="281"/>
  <c r="Y4" i="281"/>
  <c r="Y4" i="275"/>
  <c r="Y4" i="280"/>
  <c r="Y4" i="273"/>
  <c r="Y4" i="265"/>
  <c r="N53" i="265"/>
  <c r="N25" i="280"/>
  <c r="Y14" i="281"/>
  <c r="Y36" i="281" s="1"/>
  <c r="Y38" i="281" s="1"/>
  <c r="V94" i="281"/>
  <c r="V96" i="281" s="1"/>
  <c r="V103" i="281" s="1"/>
  <c r="V104" i="281" s="1"/>
  <c r="W101" i="281" s="1"/>
  <c r="AD5" i="281"/>
  <c r="AD5" i="280"/>
  <c r="Z42" i="273"/>
  <c r="AB24" i="273"/>
  <c r="AB25" i="273" s="1"/>
  <c r="AB119" i="273"/>
  <c r="Z113" i="273"/>
  <c r="Z38" i="273"/>
  <c r="AA39" i="273" s="1"/>
  <c r="AA41" i="273" s="1"/>
  <c r="Z76" i="281"/>
  <c r="Z47" i="273"/>
  <c r="Z50" i="273" s="1"/>
  <c r="Z56" i="273" s="1"/>
  <c r="Z57" i="273" s="1"/>
  <c r="Z15" i="275"/>
  <c r="Z20" i="275" s="1"/>
  <c r="AA17" i="275" s="1"/>
  <c r="Z69" i="273"/>
  <c r="AA70" i="273" s="1"/>
  <c r="AA48" i="273" s="1"/>
  <c r="AA2" i="281"/>
  <c r="AA120" i="273"/>
  <c r="AA121" i="273" s="1"/>
  <c r="AA2" i="265"/>
  <c r="X107" i="273"/>
  <c r="Y104" i="273"/>
  <c r="T13" i="280"/>
  <c r="T16" i="280" s="1"/>
  <c r="S74" i="265"/>
  <c r="S75" i="265" s="1"/>
  <c r="S81" i="265" s="1"/>
  <c r="Y3" i="280"/>
  <c r="Y3" i="281"/>
  <c r="AA45" i="281"/>
  <c r="AA113" i="273"/>
  <c r="AB86" i="273"/>
  <c r="AB87" i="273" s="1"/>
  <c r="AB59" i="281" s="1"/>
  <c r="AC37" i="273"/>
  <c r="AC46" i="273"/>
  <c r="AC19" i="273"/>
  <c r="AC20" i="273" s="1"/>
  <c r="AB2" i="265"/>
  <c r="AD5" i="265"/>
  <c r="AE10" i="273"/>
  <c r="AE64" i="281" s="1"/>
  <c r="AD5" i="275"/>
  <c r="AD5" i="273"/>
  <c r="AD13" i="273"/>
  <c r="AD14" i="273" s="1"/>
  <c r="Y3" i="273"/>
  <c r="Y3" i="265"/>
  <c r="Y3" i="275"/>
  <c r="AA69" i="273"/>
  <c r="AB70" i="273" s="1"/>
  <c r="AB48" i="273" s="1"/>
  <c r="Z71" i="281" l="1"/>
  <c r="Y30" i="265"/>
  <c r="Y70" i="281"/>
  <c r="Y71" i="281" s="1"/>
  <c r="Y80" i="281"/>
  <c r="AB65" i="273"/>
  <c r="AB66" i="273" s="1"/>
  <c r="AB125" i="273"/>
  <c r="AB126" i="273" s="1"/>
  <c r="AB29" i="281" s="1"/>
  <c r="AB30" i="281" s="1"/>
  <c r="AB37" i="281" s="1"/>
  <c r="AA90" i="273"/>
  <c r="AA91" i="273" s="1"/>
  <c r="AA59" i="281"/>
  <c r="AA13" i="281"/>
  <c r="AB103" i="273"/>
  <c r="AB90" i="273"/>
  <c r="AB2" i="275"/>
  <c r="AB32" i="273"/>
  <c r="AB33" i="273" s="1"/>
  <c r="AB38" i="273" s="1"/>
  <c r="AA11" i="280"/>
  <c r="AA103" i="273"/>
  <c r="AA114" i="273"/>
  <c r="X14" i="280"/>
  <c r="X25" i="265"/>
  <c r="N27" i="280"/>
  <c r="O24" i="280" s="1"/>
  <c r="AA15" i="275"/>
  <c r="AA20" i="275" s="1"/>
  <c r="AB17" i="275" s="1"/>
  <c r="AA47" i="273"/>
  <c r="AA50" i="273" s="1"/>
  <c r="AA56" i="273" s="1"/>
  <c r="AA57" i="273" s="1"/>
  <c r="AA22" i="280"/>
  <c r="M83" i="265"/>
  <c r="M82" i="265"/>
  <c r="AB108" i="273"/>
  <c r="AB39" i="273"/>
  <c r="AB41" i="273" s="1"/>
  <c r="AB42" i="273" s="1"/>
  <c r="AB4" i="280" s="1"/>
  <c r="AB2" i="273"/>
  <c r="AB80" i="273"/>
  <c r="AB81" i="273" s="1"/>
  <c r="AB95" i="273" s="1"/>
  <c r="AC96" i="273" s="1"/>
  <c r="AC49" i="273" s="1"/>
  <c r="AB2" i="280"/>
  <c r="AA90" i="281"/>
  <c r="O50" i="265"/>
  <c r="O30" i="280" s="1"/>
  <c r="Y44" i="281"/>
  <c r="Y46" i="281" s="1"/>
  <c r="W94" i="281"/>
  <c r="W96" i="281" s="1"/>
  <c r="W103" i="281" s="1"/>
  <c r="W104" i="281" s="1"/>
  <c r="X101" i="281" s="1"/>
  <c r="Y107" i="273"/>
  <c r="Z104" i="273"/>
  <c r="AE5" i="281"/>
  <c r="AE5" i="280"/>
  <c r="AC24" i="273"/>
  <c r="AC25" i="273" s="1"/>
  <c r="AC119" i="273"/>
  <c r="AA42" i="273"/>
  <c r="Z12" i="281"/>
  <c r="Z14" i="281" s="1"/>
  <c r="Z36" i="281" s="1"/>
  <c r="Z38" i="281" s="1"/>
  <c r="AA115" i="273"/>
  <c r="AA12" i="281" s="1"/>
  <c r="AA14" i="281" s="1"/>
  <c r="AA36" i="281" s="1"/>
  <c r="AA38" i="281" s="1"/>
  <c r="AB2" i="281"/>
  <c r="AB120" i="273"/>
  <c r="AB121" i="273" s="1"/>
  <c r="Z4" i="281"/>
  <c r="Z4" i="265"/>
  <c r="Z4" i="280"/>
  <c r="Z4" i="275"/>
  <c r="Z4" i="273"/>
  <c r="AA109" i="273"/>
  <c r="U13" i="280"/>
  <c r="U16" i="280" s="1"/>
  <c r="T74" i="265"/>
  <c r="T75" i="265" s="1"/>
  <c r="T81" i="265" s="1"/>
  <c r="Z3" i="280"/>
  <c r="Z3" i="281"/>
  <c r="AB114" i="273"/>
  <c r="AB45" i="281"/>
  <c r="AB13" i="281"/>
  <c r="AF10" i="273"/>
  <c r="AF64" i="281" s="1"/>
  <c r="AE5" i="273"/>
  <c r="AE13" i="273"/>
  <c r="AE14" i="273" s="1"/>
  <c r="AE5" i="275"/>
  <c r="AE5" i="265"/>
  <c r="AD19" i="273"/>
  <c r="AD20" i="273" s="1"/>
  <c r="AD46" i="273"/>
  <c r="AD37" i="273"/>
  <c r="Z3" i="265"/>
  <c r="Z3" i="275"/>
  <c r="Z3" i="273"/>
  <c r="AB99" i="281" l="1"/>
  <c r="AB76" i="281"/>
  <c r="Z80" i="281"/>
  <c r="Z30" i="265"/>
  <c r="AC2" i="280"/>
  <c r="AC125" i="273"/>
  <c r="AC126" i="273" s="1"/>
  <c r="AC29" i="281" s="1"/>
  <c r="AC30" i="281" s="1"/>
  <c r="AC37" i="281" s="1"/>
  <c r="AB4" i="273"/>
  <c r="AC2" i="265"/>
  <c r="AB91" i="273"/>
  <c r="AB58" i="281" s="1"/>
  <c r="AB60" i="281" s="1"/>
  <c r="AB70" i="281" s="1"/>
  <c r="AA58" i="281"/>
  <c r="AA60" i="281" s="1"/>
  <c r="AA70" i="281" s="1"/>
  <c r="AB15" i="275"/>
  <c r="AB47" i="273"/>
  <c r="AB50" i="273" s="1"/>
  <c r="AB56" i="273" s="1"/>
  <c r="AB57" i="273" s="1"/>
  <c r="AB4" i="275"/>
  <c r="AB11" i="280"/>
  <c r="AB4" i="281"/>
  <c r="AB113" i="273"/>
  <c r="P33" i="265"/>
  <c r="P37" i="265" s="1"/>
  <c r="P42" i="265" s="1"/>
  <c r="P47" i="265" s="1"/>
  <c r="P50" i="265" s="1"/>
  <c r="P30" i="280" s="1"/>
  <c r="P81" i="281"/>
  <c r="Q78" i="281" s="1"/>
  <c r="Z44" i="281"/>
  <c r="Z46" i="281" s="1"/>
  <c r="AB69" i="273"/>
  <c r="AC70" i="273" s="1"/>
  <c r="AC48" i="273" s="1"/>
  <c r="AC2" i="273"/>
  <c r="AC65" i="273"/>
  <c r="AC66" i="273" s="1"/>
  <c r="AC99" i="281" s="1"/>
  <c r="AB22" i="280"/>
  <c r="N63" i="265"/>
  <c r="N65" i="265" s="1"/>
  <c r="N67" i="265" s="1"/>
  <c r="N80" i="265" s="1"/>
  <c r="N82" i="265" s="1"/>
  <c r="AB4" i="265"/>
  <c r="AC47" i="273"/>
  <c r="AC50" i="273" s="1"/>
  <c r="AC39" i="273"/>
  <c r="AC41" i="273" s="1"/>
  <c r="AC42" i="273" s="1"/>
  <c r="AC4" i="280" s="1"/>
  <c r="AB90" i="281"/>
  <c r="Y102" i="281"/>
  <c r="Y9" i="265"/>
  <c r="Y11" i="265" s="1"/>
  <c r="Y14" i="265" s="1"/>
  <c r="Y19" i="265" s="1"/>
  <c r="Y22" i="265" s="1"/>
  <c r="Y89" i="281"/>
  <c r="Y91" i="281" s="1"/>
  <c r="Y95" i="281" s="1"/>
  <c r="Y79" i="281"/>
  <c r="Y65" i="281"/>
  <c r="AA69" i="281" s="1"/>
  <c r="O53" i="265"/>
  <c r="O25" i="280"/>
  <c r="O27" i="280" s="1"/>
  <c r="X94" i="281"/>
  <c r="X96" i="281" s="1"/>
  <c r="X103" i="281" s="1"/>
  <c r="X104" i="281" s="1"/>
  <c r="Y101" i="281" s="1"/>
  <c r="AA44" i="281"/>
  <c r="AA46" i="281" s="1"/>
  <c r="AD24" i="273"/>
  <c r="AD25" i="273" s="1"/>
  <c r="AD119" i="273"/>
  <c r="AC15" i="275"/>
  <c r="AC2" i="281"/>
  <c r="AC120" i="273"/>
  <c r="AC121" i="273" s="1"/>
  <c r="AC80" i="273"/>
  <c r="AC81" i="273" s="1"/>
  <c r="AC95" i="273" s="1"/>
  <c r="AD96" i="273" s="1"/>
  <c r="AD49" i="273" s="1"/>
  <c r="AA104" i="273"/>
  <c r="Z107" i="273"/>
  <c r="AB20" i="275"/>
  <c r="AC17" i="275" s="1"/>
  <c r="AC2" i="275"/>
  <c r="AF5" i="281"/>
  <c r="AF5" i="280"/>
  <c r="AC86" i="273"/>
  <c r="AC87" i="273" s="1"/>
  <c r="AC32" i="273"/>
  <c r="AC33" i="273" s="1"/>
  <c r="AB115" i="273"/>
  <c r="AB12" i="281" s="1"/>
  <c r="AB14" i="281" s="1"/>
  <c r="AB36" i="281" s="1"/>
  <c r="AB38" i="281" s="1"/>
  <c r="AA4" i="281"/>
  <c r="AA4" i="273"/>
  <c r="AA4" i="280"/>
  <c r="AA4" i="265"/>
  <c r="AA4" i="275"/>
  <c r="AB109" i="273"/>
  <c r="V13" i="280"/>
  <c r="V16" i="280" s="1"/>
  <c r="U74" i="265"/>
  <c r="U75" i="265" s="1"/>
  <c r="U81" i="265" s="1"/>
  <c r="AA3" i="280"/>
  <c r="AA3" i="281"/>
  <c r="AC4" i="281"/>
  <c r="AC11" i="280"/>
  <c r="AE37" i="273"/>
  <c r="AE46" i="273"/>
  <c r="AE19" i="273"/>
  <c r="AE20" i="273" s="1"/>
  <c r="AF13" i="273"/>
  <c r="AF14" i="273" s="1"/>
  <c r="AG10" i="273"/>
  <c r="AG64" i="281" s="1"/>
  <c r="AF5" i="273"/>
  <c r="AF5" i="275"/>
  <c r="AF5" i="265"/>
  <c r="AA3" i="273"/>
  <c r="AA3" i="265"/>
  <c r="AA3" i="275"/>
  <c r="AC4" i="275"/>
  <c r="AC4" i="273"/>
  <c r="AA71" i="281" l="1"/>
  <c r="AC69" i="273"/>
  <c r="AD70" i="273" s="1"/>
  <c r="AD48" i="273" s="1"/>
  <c r="AD32" i="273"/>
  <c r="AD33" i="273" s="1"/>
  <c r="AD38" i="273" s="1"/>
  <c r="AD125" i="273"/>
  <c r="AD126" i="273" s="1"/>
  <c r="AD29" i="281" s="1"/>
  <c r="AD30" i="281" s="1"/>
  <c r="AD37" i="281" s="1"/>
  <c r="AD86" i="273"/>
  <c r="AD87" i="273" s="1"/>
  <c r="AD59" i="281" s="1"/>
  <c r="AC22" i="280"/>
  <c r="P53" i="265"/>
  <c r="AC90" i="273"/>
  <c r="AC91" i="273" s="1"/>
  <c r="AC58" i="281" s="1"/>
  <c r="AC59" i="281"/>
  <c r="AC4" i="265"/>
  <c r="AD2" i="275"/>
  <c r="P25" i="280"/>
  <c r="AD90" i="273"/>
  <c r="AD91" i="273" s="1"/>
  <c r="AD58" i="281" s="1"/>
  <c r="AC20" i="275"/>
  <c r="AD17" i="275" s="1"/>
  <c r="AC76" i="281"/>
  <c r="P64" i="265"/>
  <c r="N83" i="265"/>
  <c r="Z89" i="281"/>
  <c r="Z91" i="281" s="1"/>
  <c r="Z95" i="281" s="1"/>
  <c r="Z9" i="265"/>
  <c r="Z11" i="265" s="1"/>
  <c r="Z14" i="265" s="1"/>
  <c r="Z19" i="265" s="1"/>
  <c r="Z22" i="265" s="1"/>
  <c r="Z25" i="265" s="1"/>
  <c r="Z79" i="281"/>
  <c r="Z65" i="281"/>
  <c r="AB69" i="281" s="1"/>
  <c r="AB71" i="281" s="1"/>
  <c r="Z102" i="281"/>
  <c r="AD113" i="273"/>
  <c r="AC90" i="281"/>
  <c r="P24" i="280"/>
  <c r="O63" i="265"/>
  <c r="O65" i="265" s="1"/>
  <c r="O67" i="265" s="1"/>
  <c r="O80" i="265" s="1"/>
  <c r="Y14" i="280"/>
  <c r="Y25" i="265"/>
  <c r="Y94" i="281"/>
  <c r="Y96" i="281" s="1"/>
  <c r="Y103" i="281" s="1"/>
  <c r="Y104" i="281" s="1"/>
  <c r="Z101" i="281" s="1"/>
  <c r="AA102" i="281"/>
  <c r="AA89" i="281"/>
  <c r="AA91" i="281" s="1"/>
  <c r="AA95" i="281" s="1"/>
  <c r="AG5" i="281"/>
  <c r="AG5" i="280"/>
  <c r="AC108" i="273"/>
  <c r="AC109" i="273" s="1"/>
  <c r="AC114" i="273"/>
  <c r="AC115" i="273" s="1"/>
  <c r="AC12" i="281" s="1"/>
  <c r="AC103" i="273"/>
  <c r="AA107" i="273"/>
  <c r="AB104" i="273"/>
  <c r="AB44" i="281"/>
  <c r="AB46" i="281" s="1"/>
  <c r="AD2" i="281"/>
  <c r="AD120" i="273"/>
  <c r="AD121" i="273" s="1"/>
  <c r="AD2" i="265"/>
  <c r="AD2" i="273"/>
  <c r="AE24" i="273"/>
  <c r="AE25" i="273" s="1"/>
  <c r="AE119" i="273"/>
  <c r="AD80" i="273"/>
  <c r="AD81" i="273" s="1"/>
  <c r="AD95" i="273" s="1"/>
  <c r="AE96" i="273" s="1"/>
  <c r="AE49" i="273" s="1"/>
  <c r="AD65" i="273"/>
  <c r="AD66" i="273" s="1"/>
  <c r="AD99" i="281" s="1"/>
  <c r="AD2" i="280"/>
  <c r="AC13" i="281"/>
  <c r="AC45" i="281"/>
  <c r="AC113" i="273"/>
  <c r="AC38" i="273"/>
  <c r="AD39" i="273" s="1"/>
  <c r="AD41" i="273" s="1"/>
  <c r="AD42" i="273" s="1"/>
  <c r="AD4" i="280" s="1"/>
  <c r="AA9" i="265"/>
  <c r="AA11" i="265" s="1"/>
  <c r="AA14" i="265" s="1"/>
  <c r="AA19" i="265" s="1"/>
  <c r="AA22" i="265" s="1"/>
  <c r="AA79" i="281"/>
  <c r="AA65" i="281"/>
  <c r="AC69" i="281" s="1"/>
  <c r="V74" i="265"/>
  <c r="V75" i="265" s="1"/>
  <c r="V81" i="265" s="1"/>
  <c r="W13" i="280"/>
  <c r="W16" i="280" s="1"/>
  <c r="AB3" i="280"/>
  <c r="AB3" i="281"/>
  <c r="AD45" i="281"/>
  <c r="AD22" i="280"/>
  <c r="AE80" i="273"/>
  <c r="AE81" i="273" s="1"/>
  <c r="AE95" i="273" s="1"/>
  <c r="AF96" i="273" s="1"/>
  <c r="AF49" i="273" s="1"/>
  <c r="AD47" i="273"/>
  <c r="AD50" i="273" s="1"/>
  <c r="AF19" i="273"/>
  <c r="AF20" i="273" s="1"/>
  <c r="AF46" i="273"/>
  <c r="AF37" i="273"/>
  <c r="AE2" i="265"/>
  <c r="AG5" i="275"/>
  <c r="AG5" i="265"/>
  <c r="AH10" i="273"/>
  <c r="AH64" i="281" s="1"/>
  <c r="AG5" i="273"/>
  <c r="AG13" i="273"/>
  <c r="AG14" i="273" s="1"/>
  <c r="AB3" i="265"/>
  <c r="AB3" i="275"/>
  <c r="AB3" i="273"/>
  <c r="AC56" i="273"/>
  <c r="AC57" i="273" s="1"/>
  <c r="P27" i="280" l="1"/>
  <c r="AD60" i="281"/>
  <c r="AD70" i="281" s="1"/>
  <c r="AB80" i="281"/>
  <c r="AB30" i="265"/>
  <c r="AA80" i="281"/>
  <c r="AA30" i="265"/>
  <c r="AD103" i="273"/>
  <c r="AD13" i="281"/>
  <c r="AD108" i="273"/>
  <c r="AD109" i="273" s="1"/>
  <c r="AD114" i="273"/>
  <c r="AD115" i="273" s="1"/>
  <c r="AD12" i="281" s="1"/>
  <c r="AD14" i="281" s="1"/>
  <c r="AD36" i="281" s="1"/>
  <c r="AD38" i="281" s="1"/>
  <c r="AE65" i="273"/>
  <c r="AE125" i="273"/>
  <c r="AE126" i="273" s="1"/>
  <c r="AE29" i="281" s="1"/>
  <c r="AE30" i="281" s="1"/>
  <c r="AE37" i="281" s="1"/>
  <c r="Z14" i="280"/>
  <c r="AC60" i="281"/>
  <c r="AD4" i="273"/>
  <c r="Q81" i="281"/>
  <c r="Q64" i="265" s="1"/>
  <c r="Q33" i="265"/>
  <c r="Q37" i="265" s="1"/>
  <c r="Q42" i="265" s="1"/>
  <c r="Q47" i="265" s="1"/>
  <c r="Q50" i="265" s="1"/>
  <c r="Q25" i="280" s="1"/>
  <c r="AD4" i="275"/>
  <c r="AE32" i="273"/>
  <c r="AE33" i="273" s="1"/>
  <c r="AE113" i="273" s="1"/>
  <c r="AD15" i="275"/>
  <c r="AD20" i="275" s="1"/>
  <c r="AE17" i="275" s="1"/>
  <c r="AD11" i="280"/>
  <c r="AE66" i="273"/>
  <c r="AE47" i="273" s="1"/>
  <c r="AD4" i="281"/>
  <c r="AD90" i="281"/>
  <c r="O83" i="265"/>
  <c r="O82" i="265"/>
  <c r="P63" i="265"/>
  <c r="P65" i="265" s="1"/>
  <c r="P67" i="265" s="1"/>
  <c r="P80" i="265" s="1"/>
  <c r="Q24" i="280"/>
  <c r="Z94" i="281"/>
  <c r="Z96" i="281" s="1"/>
  <c r="Z103" i="281" s="1"/>
  <c r="Z104" i="281" s="1"/>
  <c r="AA101" i="281" s="1"/>
  <c r="AB102" i="281"/>
  <c r="AB89" i="281"/>
  <c r="AB91" i="281" s="1"/>
  <c r="AB95" i="281" s="1"/>
  <c r="AH5" i="281"/>
  <c r="AH5" i="280"/>
  <c r="AF24" i="273"/>
  <c r="AF25" i="273" s="1"/>
  <c r="AF80" i="273" s="1"/>
  <c r="AF81" i="273" s="1"/>
  <c r="AF95" i="273" s="1"/>
  <c r="AG96" i="273" s="1"/>
  <c r="AG49" i="273" s="1"/>
  <c r="AF119" i="273"/>
  <c r="AA25" i="265"/>
  <c r="AA14" i="280"/>
  <c r="AE2" i="281"/>
  <c r="AE120" i="273"/>
  <c r="AE121" i="273" s="1"/>
  <c r="AB9" i="265"/>
  <c r="AB11" i="265" s="1"/>
  <c r="AB14" i="265" s="1"/>
  <c r="AB19" i="265" s="1"/>
  <c r="AB22" i="265" s="1"/>
  <c r="AB79" i="281"/>
  <c r="AB65" i="281"/>
  <c r="AD69" i="281" s="1"/>
  <c r="AD71" i="281" s="1"/>
  <c r="AD4" i="265"/>
  <c r="AE39" i="273"/>
  <c r="AE41" i="273" s="1"/>
  <c r="AE86" i="273"/>
  <c r="AE87" i="273" s="1"/>
  <c r="AE59" i="281" s="1"/>
  <c r="AE2" i="273"/>
  <c r="AE2" i="280"/>
  <c r="AE2" i="275"/>
  <c r="AC14" i="281"/>
  <c r="AC36" i="281" s="1"/>
  <c r="AC38" i="281" s="1"/>
  <c r="AD69" i="273"/>
  <c r="AE70" i="273" s="1"/>
  <c r="AE48" i="273" s="1"/>
  <c r="AD76" i="281"/>
  <c r="AB107" i="273"/>
  <c r="AC104" i="273"/>
  <c r="AC107" i="273" s="1"/>
  <c r="X13" i="280"/>
  <c r="X16" i="280" s="1"/>
  <c r="W74" i="265"/>
  <c r="W75" i="265" s="1"/>
  <c r="W81" i="265" s="1"/>
  <c r="AE108" i="273"/>
  <c r="AC3" i="280"/>
  <c r="AC3" i="281"/>
  <c r="AE38" i="273"/>
  <c r="AG19" i="273"/>
  <c r="AG20" i="273" s="1"/>
  <c r="AG46" i="273"/>
  <c r="AG37" i="273"/>
  <c r="AH13" i="273"/>
  <c r="AH14" i="273" s="1"/>
  <c r="AI10" i="273"/>
  <c r="AI64" i="281" s="1"/>
  <c r="AH5" i="273"/>
  <c r="AH5" i="265"/>
  <c r="AH5" i="275"/>
  <c r="AD56" i="273"/>
  <c r="AD57" i="273" s="1"/>
  <c r="AC3" i="265"/>
  <c r="AC3" i="275"/>
  <c r="AC3" i="273"/>
  <c r="AC70" i="281" l="1"/>
  <c r="AC71" i="281" s="1"/>
  <c r="AC80" i="281" s="1"/>
  <c r="AF2" i="275"/>
  <c r="AC30" i="265"/>
  <c r="AD80" i="281"/>
  <c r="AD30" i="265"/>
  <c r="AE13" i="281"/>
  <c r="AF32" i="273"/>
  <c r="AF33" i="273" s="1"/>
  <c r="AF113" i="273" s="1"/>
  <c r="AF125" i="273"/>
  <c r="AF126" i="273" s="1"/>
  <c r="AF29" i="281" s="1"/>
  <c r="AF30" i="281" s="1"/>
  <c r="AF37" i="281" s="1"/>
  <c r="AE22" i="280"/>
  <c r="AE109" i="273"/>
  <c r="R78" i="281"/>
  <c r="AE103" i="273"/>
  <c r="AE45" i="281"/>
  <c r="AE50" i="273"/>
  <c r="AE56" i="273" s="1"/>
  <c r="AE57" i="273" s="1"/>
  <c r="AE76" i="281"/>
  <c r="Q30" i="280"/>
  <c r="AE114" i="273"/>
  <c r="AE90" i="273"/>
  <c r="AE91" i="273" s="1"/>
  <c r="AE58" i="281" s="1"/>
  <c r="AE60" i="281" s="1"/>
  <c r="AE70" i="281" s="1"/>
  <c r="Q53" i="265"/>
  <c r="Q27" i="280"/>
  <c r="R24" i="280" s="1"/>
  <c r="AF2" i="265"/>
  <c r="AE11" i="280"/>
  <c r="AF2" i="280"/>
  <c r="AC44" i="281"/>
  <c r="AC46" i="281" s="1"/>
  <c r="AE69" i="273"/>
  <c r="AF70" i="273" s="1"/>
  <c r="AF48" i="273" s="1"/>
  <c r="AE15" i="275"/>
  <c r="AE20" i="275" s="1"/>
  <c r="AF17" i="275" s="1"/>
  <c r="AD44" i="281"/>
  <c r="AD46" i="281" s="1"/>
  <c r="AE99" i="281"/>
  <c r="AF86" i="273"/>
  <c r="AF87" i="273" s="1"/>
  <c r="AF59" i="281" s="1"/>
  <c r="AF39" i="273"/>
  <c r="AF41" i="273" s="1"/>
  <c r="AF42" i="273" s="1"/>
  <c r="AF4" i="265" s="1"/>
  <c r="AF65" i="273"/>
  <c r="AF66" i="273" s="1"/>
  <c r="AF76" i="281" s="1"/>
  <c r="AE42" i="273"/>
  <c r="AE4" i="280" s="1"/>
  <c r="AE90" i="281"/>
  <c r="Q63" i="265"/>
  <c r="Q65" i="265" s="1"/>
  <c r="Q67" i="265" s="1"/>
  <c r="Q80" i="265" s="1"/>
  <c r="P83" i="265"/>
  <c r="P82" i="265"/>
  <c r="AA94" i="281"/>
  <c r="AA96" i="281" s="1"/>
  <c r="AA103" i="281" s="1"/>
  <c r="AA104" i="281" s="1"/>
  <c r="AB101" i="281" s="1"/>
  <c r="AI5" i="281"/>
  <c r="AI5" i="280"/>
  <c r="AB25" i="265"/>
  <c r="AB14" i="280"/>
  <c r="AG24" i="273"/>
  <c r="AG25" i="273" s="1"/>
  <c r="AG119" i="273"/>
  <c r="AD104" i="273"/>
  <c r="AE115" i="273"/>
  <c r="AE12" i="281" s="1"/>
  <c r="AF2" i="281"/>
  <c r="AF120" i="273"/>
  <c r="AF121" i="273" s="1"/>
  <c r="AF2" i="273"/>
  <c r="X74" i="265"/>
  <c r="X75" i="265" s="1"/>
  <c r="X81" i="265" s="1"/>
  <c r="Y13" i="280"/>
  <c r="Y16" i="280" s="1"/>
  <c r="AD3" i="280"/>
  <c r="AD3" i="281"/>
  <c r="AE4" i="281"/>
  <c r="AH19" i="273"/>
  <c r="AH20" i="273" s="1"/>
  <c r="AH46" i="273"/>
  <c r="AH37" i="273"/>
  <c r="AI5" i="275"/>
  <c r="AI5" i="265"/>
  <c r="AI13" i="273"/>
  <c r="AI14" i="273" s="1"/>
  <c r="AJ10" i="273"/>
  <c r="AJ64" i="281" s="1"/>
  <c r="AI5" i="273"/>
  <c r="AD3" i="275"/>
  <c r="AD3" i="273"/>
  <c r="AD3" i="265"/>
  <c r="AE14" i="281" l="1"/>
  <c r="AE36" i="281" s="1"/>
  <c r="AE38" i="281" s="1"/>
  <c r="AF38" i="273"/>
  <c r="AG39" i="273" s="1"/>
  <c r="AG41" i="273" s="1"/>
  <c r="AG42" i="273" s="1"/>
  <c r="AG4" i="280" s="1"/>
  <c r="AG65" i="273"/>
  <c r="AG66" i="273" s="1"/>
  <c r="AG125" i="273"/>
  <c r="AG126" i="273" s="1"/>
  <c r="AG29" i="281" s="1"/>
  <c r="AG30" i="281" s="1"/>
  <c r="AG37" i="281" s="1"/>
  <c r="AE4" i="265"/>
  <c r="AF4" i="275"/>
  <c r="AF103" i="273"/>
  <c r="AF90" i="273"/>
  <c r="AF91" i="273" s="1"/>
  <c r="AF58" i="281" s="1"/>
  <c r="AF60" i="281" s="1"/>
  <c r="AF70" i="281" s="1"/>
  <c r="AF69" i="273"/>
  <c r="AG70" i="273" s="1"/>
  <c r="AG48" i="273" s="1"/>
  <c r="AG2" i="280"/>
  <c r="R33" i="265"/>
  <c r="R37" i="265" s="1"/>
  <c r="R42" i="265" s="1"/>
  <c r="R47" i="265" s="1"/>
  <c r="R50" i="265" s="1"/>
  <c r="R30" i="280" s="1"/>
  <c r="R81" i="281"/>
  <c r="R64" i="265" s="1"/>
  <c r="AC102" i="281"/>
  <c r="AC9" i="265"/>
  <c r="AC11" i="265" s="1"/>
  <c r="AC14" i="265" s="1"/>
  <c r="AC19" i="265" s="1"/>
  <c r="AC22" i="265" s="1"/>
  <c r="AC14" i="280" s="1"/>
  <c r="AC89" i="281"/>
  <c r="AC91" i="281" s="1"/>
  <c r="AC95" i="281" s="1"/>
  <c r="AC79" i="281"/>
  <c r="AC65" i="281"/>
  <c r="AE69" i="281" s="1"/>
  <c r="AE71" i="281" s="1"/>
  <c r="AD89" i="281"/>
  <c r="AD91" i="281" s="1"/>
  <c r="AD95" i="281" s="1"/>
  <c r="AD102" i="281"/>
  <c r="AD9" i="265"/>
  <c r="AD11" i="265" s="1"/>
  <c r="AD14" i="265" s="1"/>
  <c r="AD19" i="265" s="1"/>
  <c r="AD22" i="265" s="1"/>
  <c r="AD25" i="265" s="1"/>
  <c r="AD79" i="281"/>
  <c r="AD65" i="281"/>
  <c r="AF69" i="281" s="1"/>
  <c r="AF71" i="281" s="1"/>
  <c r="AF22" i="280"/>
  <c r="AF99" i="281"/>
  <c r="AF15" i="275"/>
  <c r="AF20" i="275" s="1"/>
  <c r="AG17" i="275" s="1"/>
  <c r="AF47" i="273"/>
  <c r="AF50" i="273" s="1"/>
  <c r="AF56" i="273" s="1"/>
  <c r="AF57" i="273" s="1"/>
  <c r="AG2" i="265"/>
  <c r="AG86" i="273"/>
  <c r="AG87" i="273" s="1"/>
  <c r="AG59" i="281" s="1"/>
  <c r="AF11" i="280"/>
  <c r="AF13" i="281"/>
  <c r="AF45" i="281"/>
  <c r="AE4" i="273"/>
  <c r="AE4" i="275"/>
  <c r="AF108" i="273"/>
  <c r="AF109" i="273" s="1"/>
  <c r="AF114" i="273"/>
  <c r="AF115" i="273" s="1"/>
  <c r="AF12" i="281" s="1"/>
  <c r="AF90" i="281"/>
  <c r="Q82" i="265"/>
  <c r="Q83" i="265"/>
  <c r="AB94" i="281"/>
  <c r="AB96" i="281" s="1"/>
  <c r="AB103" i="281" s="1"/>
  <c r="AB104" i="281" s="1"/>
  <c r="AC101" i="281" s="1"/>
  <c r="AE44" i="281"/>
  <c r="AE46" i="281" s="1"/>
  <c r="AE79" i="281" s="1"/>
  <c r="AE104" i="273"/>
  <c r="AD107" i="273"/>
  <c r="AG2" i="281"/>
  <c r="AG120" i="273"/>
  <c r="AG121" i="273" s="1"/>
  <c r="AG2" i="273"/>
  <c r="AJ5" i="281"/>
  <c r="AJ5" i="280"/>
  <c r="AG2" i="275"/>
  <c r="AH24" i="273"/>
  <c r="AH25" i="273" s="1"/>
  <c r="AH119" i="273"/>
  <c r="AG80" i="273"/>
  <c r="AG81" i="273" s="1"/>
  <c r="AG95" i="273" s="1"/>
  <c r="AH96" i="273" s="1"/>
  <c r="AH49" i="273" s="1"/>
  <c r="AG32" i="273"/>
  <c r="AG33" i="273" s="1"/>
  <c r="Z13" i="280"/>
  <c r="Z16" i="280" s="1"/>
  <c r="Y74" i="265"/>
  <c r="Y75" i="265" s="1"/>
  <c r="Y81" i="265" s="1"/>
  <c r="AF4" i="280"/>
  <c r="AF4" i="281"/>
  <c r="AE3" i="280"/>
  <c r="AE3" i="281"/>
  <c r="AF4" i="273"/>
  <c r="AJ13" i="273"/>
  <c r="AJ14" i="273" s="1"/>
  <c r="AK10" i="273"/>
  <c r="AK64" i="281" s="1"/>
  <c r="AJ5" i="265"/>
  <c r="AJ5" i="273"/>
  <c r="AJ5" i="275"/>
  <c r="AI19" i="273"/>
  <c r="AI20" i="273" s="1"/>
  <c r="AI37" i="273"/>
  <c r="AI46" i="273"/>
  <c r="AE3" i="273"/>
  <c r="AE3" i="265"/>
  <c r="AE3" i="275"/>
  <c r="AG45" i="281" l="1"/>
  <c r="AE80" i="281"/>
  <c r="AE30" i="265"/>
  <c r="AG99" i="281"/>
  <c r="AG47" i="273"/>
  <c r="AG50" i="273" s="1"/>
  <c r="AG103" i="273"/>
  <c r="AG13" i="281"/>
  <c r="AG108" i="273"/>
  <c r="AG109" i="273" s="1"/>
  <c r="AH2" i="275"/>
  <c r="AH125" i="273"/>
  <c r="AH126" i="273" s="1"/>
  <c r="AH29" i="281" s="1"/>
  <c r="AH30" i="281" s="1"/>
  <c r="AH37" i="281" s="1"/>
  <c r="AG69" i="273"/>
  <c r="AH70" i="273" s="1"/>
  <c r="AH48" i="273" s="1"/>
  <c r="AG22" i="280"/>
  <c r="AG76" i="281"/>
  <c r="AG4" i="273"/>
  <c r="AG15" i="275"/>
  <c r="AG11" i="280"/>
  <c r="AC25" i="265"/>
  <c r="S78" i="281"/>
  <c r="AG114" i="273"/>
  <c r="AG90" i="273"/>
  <c r="AG91" i="273" s="1"/>
  <c r="AG58" i="281" s="1"/>
  <c r="AG60" i="281" s="1"/>
  <c r="AG70" i="281" s="1"/>
  <c r="AH80" i="273"/>
  <c r="AH81" i="273" s="1"/>
  <c r="AH95" i="273" s="1"/>
  <c r="AI96" i="273" s="1"/>
  <c r="AI49" i="273" s="1"/>
  <c r="R53" i="265"/>
  <c r="R25" i="280"/>
  <c r="R27" i="280" s="1"/>
  <c r="R63" i="265" s="1"/>
  <c r="R65" i="265" s="1"/>
  <c r="R67" i="265" s="1"/>
  <c r="R80" i="265" s="1"/>
  <c r="R82" i="265" s="1"/>
  <c r="AD14" i="280"/>
  <c r="AF14" i="281"/>
  <c r="AF36" i="281" s="1"/>
  <c r="AG4" i="275"/>
  <c r="AG4" i="265"/>
  <c r="AG20" i="275"/>
  <c r="AH17" i="275" s="1"/>
  <c r="AH2" i="280"/>
  <c r="AH2" i="273"/>
  <c r="AG4" i="281"/>
  <c r="AG115" i="273"/>
  <c r="AG12" i="281" s="1"/>
  <c r="AG90" i="281"/>
  <c r="AE65" i="281"/>
  <c r="AG69" i="281" s="1"/>
  <c r="AC94" i="281"/>
  <c r="AC96" i="281" s="1"/>
  <c r="AC103" i="281" s="1"/>
  <c r="AC104" i="281" s="1"/>
  <c r="AD101" i="281" s="1"/>
  <c r="AE102" i="281"/>
  <c r="AE89" i="281"/>
  <c r="AE91" i="281" s="1"/>
  <c r="AE95" i="281" s="1"/>
  <c r="AE9" i="265"/>
  <c r="AE11" i="265" s="1"/>
  <c r="AE14" i="265" s="1"/>
  <c r="AE19" i="265" s="1"/>
  <c r="AE22" i="265" s="1"/>
  <c r="AK5" i="281"/>
  <c r="AK5" i="280"/>
  <c r="AH2" i="281"/>
  <c r="AH120" i="273"/>
  <c r="AH121" i="273" s="1"/>
  <c r="AF104" i="273"/>
  <c r="AE107" i="273"/>
  <c r="AI24" i="273"/>
  <c r="AI25" i="273" s="1"/>
  <c r="AI119" i="273"/>
  <c r="AH86" i="273"/>
  <c r="AH87" i="273" s="1"/>
  <c r="AH59" i="281" s="1"/>
  <c r="AH32" i="273"/>
  <c r="AH33" i="273" s="1"/>
  <c r="AH2" i="265"/>
  <c r="AH65" i="273"/>
  <c r="AH66" i="273" s="1"/>
  <c r="AH15" i="275" s="1"/>
  <c r="AG113" i="273"/>
  <c r="AG38" i="273"/>
  <c r="AH39" i="273" s="1"/>
  <c r="AH41" i="273" s="1"/>
  <c r="Z74" i="265"/>
  <c r="Z75" i="265" s="1"/>
  <c r="Z81" i="265" s="1"/>
  <c r="AA13" i="280"/>
  <c r="AA16" i="280" s="1"/>
  <c r="AF3" i="280"/>
  <c r="AF3" i="281"/>
  <c r="AH114" i="273"/>
  <c r="AJ19" i="273"/>
  <c r="AJ20" i="273" s="1"/>
  <c r="AJ46" i="273"/>
  <c r="AJ37" i="273"/>
  <c r="AK5" i="265"/>
  <c r="AK5" i="275"/>
  <c r="AL10" i="273"/>
  <c r="AL64" i="281" s="1"/>
  <c r="AK5" i="273"/>
  <c r="AK13" i="273"/>
  <c r="AK14" i="273" s="1"/>
  <c r="AF3" i="265"/>
  <c r="AF3" i="275"/>
  <c r="AF3" i="273"/>
  <c r="AG56" i="273"/>
  <c r="AG57" i="273" s="1"/>
  <c r="AG71" i="281" l="1"/>
  <c r="AF80" i="281"/>
  <c r="AF30" i="265"/>
  <c r="AG14" i="281"/>
  <c r="AG36" i="281" s="1"/>
  <c r="AG38" i="281" s="1"/>
  <c r="AG44" i="281" s="1"/>
  <c r="AG46" i="281" s="1"/>
  <c r="AG102" i="281" s="1"/>
  <c r="AH115" i="273"/>
  <c r="AH12" i="281" s="1"/>
  <c r="AI2" i="280"/>
  <c r="AI125" i="273"/>
  <c r="AI126" i="273" s="1"/>
  <c r="AI29" i="281" s="1"/>
  <c r="AI30" i="281" s="1"/>
  <c r="AI37" i="281" s="1"/>
  <c r="AF38" i="281"/>
  <c r="AF44" i="281" s="1"/>
  <c r="AF46" i="281" s="1"/>
  <c r="AI2" i="273"/>
  <c r="AI65" i="273"/>
  <c r="AI66" i="273" s="1"/>
  <c r="AI99" i="281" s="1"/>
  <c r="AH103" i="273"/>
  <c r="AH90" i="273"/>
  <c r="AH91" i="273" s="1"/>
  <c r="AH58" i="281" s="1"/>
  <c r="AH60" i="281" s="1"/>
  <c r="AH70" i="281" s="1"/>
  <c r="AI2" i="275"/>
  <c r="AI80" i="273"/>
  <c r="AI81" i="273" s="1"/>
  <c r="AI95" i="273" s="1"/>
  <c r="AJ96" i="273" s="1"/>
  <c r="AJ49" i="273" s="1"/>
  <c r="S24" i="280"/>
  <c r="S33" i="265"/>
  <c r="S37" i="265" s="1"/>
  <c r="S42" i="265" s="1"/>
  <c r="S47" i="265" s="1"/>
  <c r="S50" i="265" s="1"/>
  <c r="S30" i="280" s="1"/>
  <c r="S81" i="281"/>
  <c r="T78" i="281" s="1"/>
  <c r="AH11" i="280"/>
  <c r="R83" i="265"/>
  <c r="AI86" i="273"/>
  <c r="AI87" i="273" s="1"/>
  <c r="AI59" i="281" s="1"/>
  <c r="AH108" i="273"/>
  <c r="AH109" i="273" s="1"/>
  <c r="AI2" i="265"/>
  <c r="AH13" i="281"/>
  <c r="AH45" i="281"/>
  <c r="AH20" i="275"/>
  <c r="AI17" i="275" s="1"/>
  <c r="AH76" i="281"/>
  <c r="AH99" i="281"/>
  <c r="AH90" i="281"/>
  <c r="AD94" i="281"/>
  <c r="AD96" i="281" s="1"/>
  <c r="AD103" i="281" s="1"/>
  <c r="AD104" i="281" s="1"/>
  <c r="AE101" i="281" s="1"/>
  <c r="AE25" i="265"/>
  <c r="AE14" i="280"/>
  <c r="AL5" i="281"/>
  <c r="AL5" i="280"/>
  <c r="AH42" i="273"/>
  <c r="AH38" i="273"/>
  <c r="AI39" i="273" s="1"/>
  <c r="AI41" i="273" s="1"/>
  <c r="AH113" i="273"/>
  <c r="AJ24" i="273"/>
  <c r="AJ25" i="273" s="1"/>
  <c r="AJ119" i="273"/>
  <c r="AH69" i="273"/>
  <c r="AI70" i="273" s="1"/>
  <c r="AI48" i="273" s="1"/>
  <c r="AH22" i="280"/>
  <c r="AH47" i="273"/>
  <c r="AH50" i="273" s="1"/>
  <c r="AH56" i="273" s="1"/>
  <c r="AH57" i="273" s="1"/>
  <c r="AI2" i="281"/>
  <c r="AI120" i="273"/>
  <c r="AI121" i="273" s="1"/>
  <c r="AI32" i="273"/>
  <c r="AI33" i="273" s="1"/>
  <c r="AG104" i="273"/>
  <c r="AF107" i="273"/>
  <c r="AA74" i="265"/>
  <c r="AA75" i="265" s="1"/>
  <c r="AA81" i="265" s="1"/>
  <c r="AB13" i="280"/>
  <c r="AB16" i="280" s="1"/>
  <c r="AG3" i="280"/>
  <c r="AG3" i="281"/>
  <c r="AK37" i="273"/>
  <c r="AK46" i="273"/>
  <c r="AK19" i="273"/>
  <c r="AK20" i="273" s="1"/>
  <c r="AL13" i="273"/>
  <c r="AL14" i="273" s="1"/>
  <c r="AM10" i="273"/>
  <c r="AM64" i="281" s="1"/>
  <c r="AL5" i="273"/>
  <c r="AL5" i="265"/>
  <c r="AL5" i="275"/>
  <c r="AG3" i="273"/>
  <c r="AG3" i="265"/>
  <c r="AG3" i="275"/>
  <c r="AG80" i="281" l="1"/>
  <c r="AG30" i="265"/>
  <c r="AF89" i="281"/>
  <c r="AF91" i="281" s="1"/>
  <c r="AF95" i="281" s="1"/>
  <c r="AF65" i="281"/>
  <c r="AH69" i="281" s="1"/>
  <c r="AH71" i="281" s="1"/>
  <c r="AF102" i="281"/>
  <c r="AF9" i="265"/>
  <c r="AF11" i="265" s="1"/>
  <c r="AF14" i="265" s="1"/>
  <c r="AF19" i="265" s="1"/>
  <c r="AF22" i="265" s="1"/>
  <c r="AF14" i="280" s="1"/>
  <c r="AG65" i="281"/>
  <c r="AI69" i="281" s="1"/>
  <c r="AH14" i="281"/>
  <c r="AH36" i="281" s="1"/>
  <c r="AH38" i="281" s="1"/>
  <c r="AH44" i="281" s="1"/>
  <c r="AH46" i="281" s="1"/>
  <c r="AI103" i="273"/>
  <c r="AF79" i="281"/>
  <c r="AJ2" i="275"/>
  <c r="AJ125" i="273"/>
  <c r="AJ126" i="273" s="1"/>
  <c r="AJ29" i="281" s="1"/>
  <c r="AJ30" i="281" s="1"/>
  <c r="AJ37" i="281" s="1"/>
  <c r="AI114" i="273"/>
  <c r="AI115" i="273" s="1"/>
  <c r="AI12" i="281" s="1"/>
  <c r="S64" i="265"/>
  <c r="AG89" i="281"/>
  <c r="AG91" i="281" s="1"/>
  <c r="AG95" i="281" s="1"/>
  <c r="AI45" i="281"/>
  <c r="AI90" i="273"/>
  <c r="AI91" i="273" s="1"/>
  <c r="AI58" i="281" s="1"/>
  <c r="AI60" i="281" s="1"/>
  <c r="AJ80" i="273"/>
  <c r="AJ81" i="273" s="1"/>
  <c r="AJ95" i="273" s="1"/>
  <c r="AK96" i="273" s="1"/>
  <c r="AK49" i="273" s="1"/>
  <c r="AJ65" i="273"/>
  <c r="AJ66" i="273" s="1"/>
  <c r="AJ99" i="281" s="1"/>
  <c r="S25" i="280"/>
  <c r="S27" i="280" s="1"/>
  <c r="S63" i="265" s="1"/>
  <c r="S53" i="265"/>
  <c r="AG79" i="281"/>
  <c r="AG9" i="265"/>
  <c r="AG11" i="265" s="1"/>
  <c r="AG14" i="265" s="1"/>
  <c r="AG19" i="265" s="1"/>
  <c r="AG22" i="265" s="1"/>
  <c r="AG14" i="280" s="1"/>
  <c r="AI22" i="280"/>
  <c r="AI108" i="273"/>
  <c r="AI109" i="273" s="1"/>
  <c r="AI13" i="281"/>
  <c r="AJ76" i="281"/>
  <c r="AI90" i="281"/>
  <c r="AE94" i="281"/>
  <c r="AE96" i="281" s="1"/>
  <c r="AE103" i="281" s="1"/>
  <c r="AE104" i="281" s="1"/>
  <c r="AF101" i="281" s="1"/>
  <c r="AM5" i="281"/>
  <c r="AM5" i="280"/>
  <c r="AK24" i="273"/>
  <c r="AK25" i="273" s="1"/>
  <c r="AK119" i="273"/>
  <c r="AI113" i="273"/>
  <c r="AI38" i="273"/>
  <c r="AJ39" i="273" s="1"/>
  <c r="AJ41" i="273" s="1"/>
  <c r="AI76" i="281"/>
  <c r="AI69" i="273"/>
  <c r="AJ70" i="273" s="1"/>
  <c r="AJ48" i="273" s="1"/>
  <c r="AI47" i="273"/>
  <c r="AI50" i="273" s="1"/>
  <c r="AI56" i="273" s="1"/>
  <c r="AI57" i="273" s="1"/>
  <c r="AI15" i="275"/>
  <c r="AI20" i="275" s="1"/>
  <c r="AJ17" i="275" s="1"/>
  <c r="AJ2" i="281"/>
  <c r="AJ120" i="273"/>
  <c r="AJ121" i="273" s="1"/>
  <c r="AJ2" i="265"/>
  <c r="AJ2" i="273"/>
  <c r="AI42" i="273"/>
  <c r="AH4" i="280"/>
  <c r="AH4" i="275"/>
  <c r="AH4" i="281"/>
  <c r="AH4" i="265"/>
  <c r="AH4" i="273"/>
  <c r="AJ86" i="273"/>
  <c r="AJ87" i="273" s="1"/>
  <c r="AJ59" i="281" s="1"/>
  <c r="AJ32" i="273"/>
  <c r="AJ33" i="273" s="1"/>
  <c r="AI11" i="280"/>
  <c r="AJ2" i="280"/>
  <c r="AH104" i="273"/>
  <c r="AG107" i="273"/>
  <c r="AC13" i="280"/>
  <c r="AC16" i="280" s="1"/>
  <c r="AB74" i="265"/>
  <c r="AB75" i="265" s="1"/>
  <c r="AB81" i="265" s="1"/>
  <c r="AH3" i="280"/>
  <c r="AH3" i="281"/>
  <c r="AJ22" i="280"/>
  <c r="AJ15" i="275"/>
  <c r="AK65" i="273"/>
  <c r="AK66" i="273" s="1"/>
  <c r="AK15" i="275" s="1"/>
  <c r="AM5" i="275"/>
  <c r="AM5" i="265"/>
  <c r="AM13" i="273"/>
  <c r="AM14" i="273" s="1"/>
  <c r="AM5" i="273"/>
  <c r="AN10" i="273"/>
  <c r="AN64" i="281" s="1"/>
  <c r="AL19" i="273"/>
  <c r="AL20" i="273" s="1"/>
  <c r="AL46" i="273"/>
  <c r="AL37" i="273"/>
  <c r="AH3" i="273"/>
  <c r="AH3" i="275"/>
  <c r="AH3" i="265"/>
  <c r="AJ47" i="273" l="1"/>
  <c r="AJ11" i="280"/>
  <c r="AJ69" i="273"/>
  <c r="AK70" i="273" s="1"/>
  <c r="AK48" i="273" s="1"/>
  <c r="AF25" i="265"/>
  <c r="AI70" i="281"/>
  <c r="AI71" i="281" s="1"/>
  <c r="AH80" i="281"/>
  <c r="AH30" i="265"/>
  <c r="AJ20" i="275"/>
  <c r="AK17" i="275" s="1"/>
  <c r="AK2" i="280"/>
  <c r="AK125" i="273"/>
  <c r="AK126" i="273" s="1"/>
  <c r="AK29" i="281" s="1"/>
  <c r="AK30" i="281" s="1"/>
  <c r="AK37" i="281" s="1"/>
  <c r="T24" i="280"/>
  <c r="S65" i="265"/>
  <c r="S67" i="265" s="1"/>
  <c r="S80" i="265" s="1"/>
  <c r="S82" i="265" s="1"/>
  <c r="AJ114" i="273"/>
  <c r="AJ115" i="273" s="1"/>
  <c r="AJ12" i="281" s="1"/>
  <c r="AJ90" i="273"/>
  <c r="AJ91" i="273" s="1"/>
  <c r="AJ58" i="281" s="1"/>
  <c r="AJ60" i="281" s="1"/>
  <c r="AJ70" i="281" s="1"/>
  <c r="AK32" i="273"/>
  <c r="AK33" i="273" s="1"/>
  <c r="T81" i="281"/>
  <c r="T33" i="265"/>
  <c r="T37" i="265" s="1"/>
  <c r="T42" i="265" s="1"/>
  <c r="T47" i="265" s="1"/>
  <c r="T50" i="265" s="1"/>
  <c r="T30" i="280" s="1"/>
  <c r="AG25" i="265"/>
  <c r="T25" i="280"/>
  <c r="T27" i="280" s="1"/>
  <c r="AK47" i="273"/>
  <c r="AK2" i="273"/>
  <c r="AK80" i="273"/>
  <c r="AK81" i="273" s="1"/>
  <c r="AK95" i="273" s="1"/>
  <c r="AL96" i="273" s="1"/>
  <c r="AL49" i="273" s="1"/>
  <c r="AJ45" i="281"/>
  <c r="AJ108" i="273"/>
  <c r="AJ109" i="273" s="1"/>
  <c r="AI14" i="281"/>
  <c r="AI36" i="281" s="1"/>
  <c r="AK86" i="273"/>
  <c r="AK87" i="273" s="1"/>
  <c r="AK59" i="281" s="1"/>
  <c r="AK2" i="265"/>
  <c r="AJ13" i="281"/>
  <c r="AJ90" i="281"/>
  <c r="AK76" i="281"/>
  <c r="AK99" i="281"/>
  <c r="AJ50" i="273"/>
  <c r="AK50" i="273" s="1"/>
  <c r="AF94" i="281"/>
  <c r="AF96" i="281" s="1"/>
  <c r="AF103" i="281" s="1"/>
  <c r="AF104" i="281" s="1"/>
  <c r="AG101" i="281" s="1"/>
  <c r="AH102" i="281"/>
  <c r="AH89" i="281"/>
  <c r="AH91" i="281" s="1"/>
  <c r="AH95" i="281" s="1"/>
  <c r="AL24" i="273"/>
  <c r="AL25" i="273" s="1"/>
  <c r="AL119" i="273"/>
  <c r="AH9" i="265"/>
  <c r="AH11" i="265" s="1"/>
  <c r="AH14" i="265" s="1"/>
  <c r="AH19" i="265" s="1"/>
  <c r="AH22" i="265" s="1"/>
  <c r="AH25" i="265" s="1"/>
  <c r="AH79" i="281"/>
  <c r="AH65" i="281"/>
  <c r="AJ69" i="281" s="1"/>
  <c r="AJ71" i="281" s="1"/>
  <c r="AI104" i="273"/>
  <c r="AH107" i="273"/>
  <c r="AK69" i="273"/>
  <c r="AL70" i="273" s="1"/>
  <c r="AL48" i="273" s="1"/>
  <c r="AN5" i="281"/>
  <c r="AN5" i="280"/>
  <c r="AJ103" i="273"/>
  <c r="AJ38" i="273"/>
  <c r="AK39" i="273" s="1"/>
  <c r="AK41" i="273" s="1"/>
  <c r="AK42" i="273" s="1"/>
  <c r="AK4" i="280" s="1"/>
  <c r="AJ113" i="273"/>
  <c r="AI4" i="281"/>
  <c r="AI4" i="275"/>
  <c r="AI4" i="280"/>
  <c r="AI4" i="273"/>
  <c r="AI4" i="265"/>
  <c r="AJ42" i="273"/>
  <c r="AK2" i="281"/>
  <c r="AK120" i="273"/>
  <c r="AK121" i="273" s="1"/>
  <c r="AK2" i="275"/>
  <c r="AC74" i="265"/>
  <c r="AC75" i="265" s="1"/>
  <c r="AC81" i="265" s="1"/>
  <c r="AD13" i="280"/>
  <c r="AD16" i="280" s="1"/>
  <c r="AI3" i="280"/>
  <c r="AI3" i="281"/>
  <c r="AK114" i="273"/>
  <c r="AK11" i="280"/>
  <c r="AK22" i="280"/>
  <c r="AM19" i="273"/>
  <c r="AM20" i="273" s="1"/>
  <c r="AM37" i="273"/>
  <c r="AM46" i="273"/>
  <c r="AN13" i="273"/>
  <c r="AN14" i="273" s="1"/>
  <c r="AO10" i="273"/>
  <c r="AO64" i="281" s="1"/>
  <c r="AN5" i="273"/>
  <c r="AN5" i="265"/>
  <c r="AN5" i="275"/>
  <c r="AI3" i="275"/>
  <c r="AI3" i="273"/>
  <c r="AI3" i="265"/>
  <c r="AK20" i="275"/>
  <c r="AL17" i="275" s="1"/>
  <c r="AI30" i="265" l="1"/>
  <c r="AI80" i="281"/>
  <c r="AI38" i="281"/>
  <c r="AI44" i="281" s="1"/>
  <c r="AI46" i="281" s="1"/>
  <c r="AK115" i="273"/>
  <c r="AK12" i="281" s="1"/>
  <c r="AL65" i="273"/>
  <c r="AL66" i="273" s="1"/>
  <c r="AL15" i="275" s="1"/>
  <c r="AL20" i="275" s="1"/>
  <c r="AM17" i="275" s="1"/>
  <c r="AL125" i="273"/>
  <c r="AL126" i="273" s="1"/>
  <c r="AL29" i="281" s="1"/>
  <c r="AL30" i="281" s="1"/>
  <c r="AL37" i="281" s="1"/>
  <c r="AJ14" i="281"/>
  <c r="AJ36" i="281" s="1"/>
  <c r="AJ38" i="281" s="1"/>
  <c r="AJ44" i="281" s="1"/>
  <c r="AJ46" i="281" s="1"/>
  <c r="S83" i="265"/>
  <c r="AJ56" i="273"/>
  <c r="AJ57" i="273" s="1"/>
  <c r="AJ3" i="280" s="1"/>
  <c r="AL2" i="275"/>
  <c r="AL2" i="280"/>
  <c r="AK45" i="281"/>
  <c r="AK90" i="273"/>
  <c r="AK91" i="273" s="1"/>
  <c r="AK58" i="281" s="1"/>
  <c r="AK60" i="281" s="1"/>
  <c r="AK70" i="281" s="1"/>
  <c r="AK38" i="273"/>
  <c r="AL39" i="273" s="1"/>
  <c r="AL41" i="273" s="1"/>
  <c r="AL42" i="273" s="1"/>
  <c r="AK113" i="273"/>
  <c r="AK4" i="275"/>
  <c r="T53" i="265"/>
  <c r="T63" i="265"/>
  <c r="U24" i="280"/>
  <c r="T64" i="265"/>
  <c r="U78" i="281"/>
  <c r="AK108" i="273"/>
  <c r="AK109" i="273" s="1"/>
  <c r="AL80" i="273"/>
  <c r="AL81" i="273" s="1"/>
  <c r="AL95" i="273" s="1"/>
  <c r="AM96" i="273" s="1"/>
  <c r="AM49" i="273" s="1"/>
  <c r="AK103" i="273"/>
  <c r="AK13" i="281"/>
  <c r="AK4" i="265"/>
  <c r="AL47" i="273"/>
  <c r="AL50" i="273" s="1"/>
  <c r="AK4" i="281"/>
  <c r="AL99" i="281"/>
  <c r="AK90" i="281"/>
  <c r="AG94" i="281"/>
  <c r="AG96" i="281" s="1"/>
  <c r="AG103" i="281" s="1"/>
  <c r="AG104" i="281" s="1"/>
  <c r="AH101" i="281" s="1"/>
  <c r="AH14" i="280"/>
  <c r="AO5" i="281"/>
  <c r="AO5" i="280"/>
  <c r="AM24" i="273"/>
  <c r="AM25" i="273" s="1"/>
  <c r="AM119" i="273"/>
  <c r="AJ4" i="280"/>
  <c r="AJ4" i="275"/>
  <c r="AJ4" i="281"/>
  <c r="AJ4" i="273"/>
  <c r="AJ4" i="265"/>
  <c r="AI107" i="273"/>
  <c r="AJ104" i="273"/>
  <c r="AJ107" i="273" s="1"/>
  <c r="AK4" i="273"/>
  <c r="AL2" i="281"/>
  <c r="AL120" i="273"/>
  <c r="AL121" i="273" s="1"/>
  <c r="AL2" i="265"/>
  <c r="AL2" i="273"/>
  <c r="AL32" i="273"/>
  <c r="AL33" i="273" s="1"/>
  <c r="AL86" i="273"/>
  <c r="AL87" i="273" s="1"/>
  <c r="AD74" i="265"/>
  <c r="AD75" i="265" s="1"/>
  <c r="AD81" i="265" s="1"/>
  <c r="AE13" i="280"/>
  <c r="AE16" i="280" s="1"/>
  <c r="AJ3" i="281"/>
  <c r="AL22" i="280"/>
  <c r="AN37" i="273"/>
  <c r="AN46" i="273"/>
  <c r="AN19" i="273"/>
  <c r="AN20" i="273" s="1"/>
  <c r="AO5" i="265"/>
  <c r="AP10" i="273"/>
  <c r="AP64" i="281" s="1"/>
  <c r="AO5" i="275"/>
  <c r="AO5" i="273"/>
  <c r="AO13" i="273"/>
  <c r="AO14" i="273" s="1"/>
  <c r="AJ3" i="275"/>
  <c r="AK56" i="273"/>
  <c r="AK57" i="273" s="1"/>
  <c r="AK104" i="273" l="1"/>
  <c r="AK107" i="273" s="1"/>
  <c r="AL69" i="273"/>
  <c r="AM70" i="273" s="1"/>
  <c r="AM48" i="273" s="1"/>
  <c r="AJ80" i="281"/>
  <c r="AJ30" i="265"/>
  <c r="AK14" i="281"/>
  <c r="AK36" i="281" s="1"/>
  <c r="AK38" i="281" s="1"/>
  <c r="AK44" i="281" s="1"/>
  <c r="AK46" i="281" s="1"/>
  <c r="AJ89" i="281"/>
  <c r="AJ91" i="281" s="1"/>
  <c r="AJ95" i="281" s="1"/>
  <c r="AJ65" i="281"/>
  <c r="AL69" i="281" s="1"/>
  <c r="AJ102" i="281"/>
  <c r="AJ9" i="265"/>
  <c r="AJ11" i="265" s="1"/>
  <c r="AJ14" i="265" s="1"/>
  <c r="AJ19" i="265" s="1"/>
  <c r="AJ22" i="265" s="1"/>
  <c r="AJ25" i="265" s="1"/>
  <c r="AI102" i="281"/>
  <c r="AI65" i="281"/>
  <c r="AK69" i="281" s="1"/>
  <c r="AK71" i="281" s="1"/>
  <c r="AI79" i="281"/>
  <c r="AI89" i="281"/>
  <c r="AI91" i="281" s="1"/>
  <c r="AI95" i="281" s="1"/>
  <c r="AI9" i="265"/>
  <c r="AI11" i="265" s="1"/>
  <c r="AI14" i="265" s="1"/>
  <c r="AI19" i="265" s="1"/>
  <c r="AI22" i="265" s="1"/>
  <c r="AI14" i="280" s="1"/>
  <c r="AM2" i="280"/>
  <c r="AM125" i="273"/>
  <c r="AM126" i="273" s="1"/>
  <c r="AM29" i="281" s="1"/>
  <c r="AM30" i="281" s="1"/>
  <c r="AM37" i="281" s="1"/>
  <c r="AL11" i="280"/>
  <c r="AL76" i="281"/>
  <c r="AJ79" i="281"/>
  <c r="AL4" i="280"/>
  <c r="AL4" i="275"/>
  <c r="AL4" i="281"/>
  <c r="AJ3" i="273"/>
  <c r="AJ3" i="265"/>
  <c r="AM86" i="273"/>
  <c r="AM87" i="273" s="1"/>
  <c r="AM59" i="281" s="1"/>
  <c r="AL90" i="273"/>
  <c r="AL91" i="273" s="1"/>
  <c r="AL59" i="281"/>
  <c r="AM2" i="273"/>
  <c r="AM32" i="273"/>
  <c r="AM33" i="273" s="1"/>
  <c r="AM38" i="273" s="1"/>
  <c r="T65" i="265"/>
  <c r="T67" i="265" s="1"/>
  <c r="T80" i="265" s="1"/>
  <c r="AM2" i="265"/>
  <c r="AM80" i="273"/>
  <c r="AM81" i="273" s="1"/>
  <c r="AM95" i="273" s="1"/>
  <c r="AN96" i="273" s="1"/>
  <c r="AN49" i="273" s="1"/>
  <c r="AL4" i="273"/>
  <c r="AL4" i="265"/>
  <c r="AM113" i="273"/>
  <c r="AL90" i="281"/>
  <c r="AH94" i="281"/>
  <c r="AH96" i="281" s="1"/>
  <c r="AH103" i="281" s="1"/>
  <c r="AH104" i="281" s="1"/>
  <c r="AI101" i="281" s="1"/>
  <c r="AP5" i="281"/>
  <c r="AP5" i="280"/>
  <c r="AL113" i="273"/>
  <c r="AL38" i="273"/>
  <c r="AM39" i="273" s="1"/>
  <c r="AM41" i="273" s="1"/>
  <c r="AN24" i="273"/>
  <c r="AN25" i="273" s="1"/>
  <c r="AN119" i="273"/>
  <c r="AL45" i="281"/>
  <c r="AL13" i="281"/>
  <c r="AL108" i="273"/>
  <c r="AL109" i="273" s="1"/>
  <c r="AL103" i="273"/>
  <c r="AL104" i="273" s="1"/>
  <c r="AL107" i="273" s="1"/>
  <c r="AL114" i="273"/>
  <c r="AL115" i="273" s="1"/>
  <c r="AL12" i="281" s="1"/>
  <c r="AM2" i="281"/>
  <c r="AM120" i="273"/>
  <c r="AM121" i="273" s="1"/>
  <c r="AM2" i="275"/>
  <c r="AM65" i="273"/>
  <c r="AM66" i="273" s="1"/>
  <c r="AE74" i="265"/>
  <c r="AE75" i="265" s="1"/>
  <c r="AE81" i="265" s="1"/>
  <c r="AF13" i="280"/>
  <c r="AF16" i="280" s="1"/>
  <c r="AK3" i="280"/>
  <c r="AK3" i="281"/>
  <c r="AM114" i="273"/>
  <c r="AM22" i="280"/>
  <c r="AM11" i="280"/>
  <c r="AN2" i="280"/>
  <c r="AO37" i="273"/>
  <c r="AO46" i="273"/>
  <c r="AO19" i="273"/>
  <c r="AO20" i="273" s="1"/>
  <c r="AP13" i="273"/>
  <c r="AP14" i="273" s="1"/>
  <c r="AQ10" i="273"/>
  <c r="AQ64" i="281" s="1"/>
  <c r="AP5" i="265"/>
  <c r="AP5" i="273"/>
  <c r="AP5" i="275"/>
  <c r="AL56" i="273"/>
  <c r="AL57" i="273" s="1"/>
  <c r="AK3" i="275"/>
  <c r="AK3" i="265"/>
  <c r="AK3" i="273"/>
  <c r="AM47" i="273"/>
  <c r="AM50" i="273" s="1"/>
  <c r="AM69" i="273"/>
  <c r="AN70" i="273" s="1"/>
  <c r="AN48" i="273" s="1"/>
  <c r="AM15" i="275"/>
  <c r="AM20" i="275" s="1"/>
  <c r="AN17" i="275" s="1"/>
  <c r="AI25" i="265" l="1"/>
  <c r="AM45" i="281"/>
  <c r="AM108" i="273"/>
  <c r="AK80" i="281"/>
  <c r="AK30" i="265"/>
  <c r="AM13" i="281"/>
  <c r="AM103" i="273"/>
  <c r="AM104" i="273" s="1"/>
  <c r="AM107" i="273" s="1"/>
  <c r="AN2" i="265"/>
  <c r="AN125" i="273"/>
  <c r="AN126" i="273" s="1"/>
  <c r="AN29" i="281" s="1"/>
  <c r="AN30" i="281" s="1"/>
  <c r="AN37" i="281" s="1"/>
  <c r="AJ14" i="280"/>
  <c r="AM90" i="273"/>
  <c r="AM91" i="273" s="1"/>
  <c r="AM58" i="281" s="1"/>
  <c r="AM60" i="281" s="1"/>
  <c r="AM70" i="281" s="1"/>
  <c r="AL58" i="281"/>
  <c r="AN39" i="273"/>
  <c r="AN41" i="273" s="1"/>
  <c r="AL60" i="281"/>
  <c r="T83" i="265"/>
  <c r="T82" i="265"/>
  <c r="U81" i="281"/>
  <c r="U33" i="265"/>
  <c r="U37" i="265" s="1"/>
  <c r="U42" i="265" s="1"/>
  <c r="U47" i="265" s="1"/>
  <c r="U50" i="265" s="1"/>
  <c r="AN2" i="273"/>
  <c r="AM115" i="273"/>
  <c r="AM12" i="281" s="1"/>
  <c r="AM76" i="281"/>
  <c r="AM99" i="281"/>
  <c r="AM90" i="281"/>
  <c r="AI94" i="281"/>
  <c r="AI96" i="281" s="1"/>
  <c r="AI103" i="281" s="1"/>
  <c r="AI104" i="281" s="1"/>
  <c r="AJ101" i="281" s="1"/>
  <c r="AK102" i="281"/>
  <c r="AK89" i="281"/>
  <c r="AK91" i="281" s="1"/>
  <c r="AK95" i="281" s="1"/>
  <c r="AQ5" i="281"/>
  <c r="AQ5" i="280"/>
  <c r="AO24" i="273"/>
  <c r="AO25" i="273" s="1"/>
  <c r="AO119" i="273"/>
  <c r="AK9" i="265"/>
  <c r="AK11" i="265" s="1"/>
  <c r="AK14" i="265" s="1"/>
  <c r="AK19" i="265" s="1"/>
  <c r="AK22" i="265" s="1"/>
  <c r="AK25" i="265" s="1"/>
  <c r="AK79" i="281"/>
  <c r="AK65" i="281"/>
  <c r="AM69" i="281" s="1"/>
  <c r="AM71" i="281" s="1"/>
  <c r="AN2" i="281"/>
  <c r="AN120" i="273"/>
  <c r="AN121" i="273" s="1"/>
  <c r="AN32" i="273"/>
  <c r="AN33" i="273" s="1"/>
  <c r="AN80" i="273"/>
  <c r="AN81" i="273" s="1"/>
  <c r="AN95" i="273" s="1"/>
  <c r="AO96" i="273" s="1"/>
  <c r="AO49" i="273" s="1"/>
  <c r="AN86" i="273"/>
  <c r="AN87" i="273" s="1"/>
  <c r="AN59" i="281" s="1"/>
  <c r="AN2" i="275"/>
  <c r="AN65" i="273"/>
  <c r="AN66" i="273" s="1"/>
  <c r="AN47" i="273" s="1"/>
  <c r="AN50" i="273" s="1"/>
  <c r="AL14" i="281"/>
  <c r="AL36" i="281" s="1"/>
  <c r="AL38" i="281" s="1"/>
  <c r="AM42" i="273"/>
  <c r="AM109" i="273"/>
  <c r="AG13" i="280"/>
  <c r="AG16" i="280" s="1"/>
  <c r="AF74" i="265"/>
  <c r="AF75" i="265" s="1"/>
  <c r="AF81" i="265" s="1"/>
  <c r="AL3" i="280"/>
  <c r="AL3" i="281"/>
  <c r="AM14" i="281"/>
  <c r="AM36" i="281" s="1"/>
  <c r="AM38" i="281" s="1"/>
  <c r="AN42" i="273"/>
  <c r="AN4" i="281" s="1"/>
  <c r="AQ5" i="275"/>
  <c r="AQ5" i="265"/>
  <c r="AQ13" i="273"/>
  <c r="AQ14" i="273" s="1"/>
  <c r="AQ5" i="273"/>
  <c r="AR10" i="273"/>
  <c r="AR64" i="281" s="1"/>
  <c r="AP37" i="273"/>
  <c r="AP19" i="273"/>
  <c r="AP20" i="273" s="1"/>
  <c r="AP46" i="273"/>
  <c r="AM56" i="273"/>
  <c r="AM57" i="273" s="1"/>
  <c r="AN15" i="275"/>
  <c r="AN20" i="275" s="1"/>
  <c r="AO17" i="275" s="1"/>
  <c r="AL3" i="275"/>
  <c r="AL3" i="273"/>
  <c r="AL3" i="265"/>
  <c r="AN11" i="280" l="1"/>
  <c r="AL70" i="281"/>
  <c r="AL71" i="281" s="1"/>
  <c r="AL80" i="281" s="1"/>
  <c r="AN45" i="281"/>
  <c r="AL30" i="265"/>
  <c r="AO2" i="280"/>
  <c r="AO125" i="273"/>
  <c r="AO126" i="273" s="1"/>
  <c r="AO29" i="281" s="1"/>
  <c r="AO30" i="281" s="1"/>
  <c r="AO37" i="281" s="1"/>
  <c r="AN13" i="281"/>
  <c r="AN90" i="273"/>
  <c r="AN91" i="273" s="1"/>
  <c r="AN58" i="281" s="1"/>
  <c r="AN60" i="281" s="1"/>
  <c r="AN70" i="281" s="1"/>
  <c r="U30" i="280"/>
  <c r="U25" i="280"/>
  <c r="U27" i="280" s="1"/>
  <c r="U53" i="265"/>
  <c r="U64" i="265"/>
  <c r="V78" i="281"/>
  <c r="AO32" i="273"/>
  <c r="AO33" i="273" s="1"/>
  <c r="AO2" i="273"/>
  <c r="AO86" i="273"/>
  <c r="AO87" i="273" s="1"/>
  <c r="AO59" i="281" s="1"/>
  <c r="AO2" i="265"/>
  <c r="AN90" i="281"/>
  <c r="AO2" i="275"/>
  <c r="AO80" i="273"/>
  <c r="AO81" i="273" s="1"/>
  <c r="AO95" i="273" s="1"/>
  <c r="AP96" i="273" s="1"/>
  <c r="AP49" i="273" s="1"/>
  <c r="AN76" i="281"/>
  <c r="AN99" i="281"/>
  <c r="AJ94" i="281"/>
  <c r="AJ96" i="281" s="1"/>
  <c r="AJ103" i="281" s="1"/>
  <c r="AJ104" i="281" s="1"/>
  <c r="AK101" i="281" s="1"/>
  <c r="AK14" i="280"/>
  <c r="AL44" i="281"/>
  <c r="AL46" i="281" s="1"/>
  <c r="AL9" i="265" s="1"/>
  <c r="AL11" i="265" s="1"/>
  <c r="AL14" i="265" s="1"/>
  <c r="AL19" i="265" s="1"/>
  <c r="AL22" i="265" s="1"/>
  <c r="AR5" i="281"/>
  <c r="AR5" i="280"/>
  <c r="AM44" i="281"/>
  <c r="AM46" i="281" s="1"/>
  <c r="AN114" i="273"/>
  <c r="AN115" i="273" s="1"/>
  <c r="AN12" i="281" s="1"/>
  <c r="AN103" i="273"/>
  <c r="AN104" i="273" s="1"/>
  <c r="AN107" i="273" s="1"/>
  <c r="AN113" i="273"/>
  <c r="AN38" i="273"/>
  <c r="AO39" i="273" s="1"/>
  <c r="AO41" i="273" s="1"/>
  <c r="AN69" i="273"/>
  <c r="AO70" i="273" s="1"/>
  <c r="AO48" i="273" s="1"/>
  <c r="AP24" i="273"/>
  <c r="AP25" i="273" s="1"/>
  <c r="AP119" i="273"/>
  <c r="AN22" i="280"/>
  <c r="AN108" i="273"/>
  <c r="AN109" i="273" s="1"/>
  <c r="AM4" i="280"/>
  <c r="AM4" i="273"/>
  <c r="AM4" i="281"/>
  <c r="AM4" i="265"/>
  <c r="AM4" i="275"/>
  <c r="AL65" i="281"/>
  <c r="AN69" i="281" s="1"/>
  <c r="AO2" i="281"/>
  <c r="AO120" i="273"/>
  <c r="AO121" i="273" s="1"/>
  <c r="AO65" i="273"/>
  <c r="AO66" i="273" s="1"/>
  <c r="AO99" i="281" s="1"/>
  <c r="AH13" i="280"/>
  <c r="AH16" i="280" s="1"/>
  <c r="AG74" i="265"/>
  <c r="AG75" i="265" s="1"/>
  <c r="AG81" i="265" s="1"/>
  <c r="AM3" i="280"/>
  <c r="AM3" i="281"/>
  <c r="AO45" i="281"/>
  <c r="AN4" i="265"/>
  <c r="AN4" i="280"/>
  <c r="AN4" i="275"/>
  <c r="AP32" i="273"/>
  <c r="AP33" i="273" s="1"/>
  <c r="AP113" i="273" s="1"/>
  <c r="AN4" i="273"/>
  <c r="AO103" i="273"/>
  <c r="AQ19" i="273"/>
  <c r="AQ20" i="273" s="1"/>
  <c r="AQ37" i="273"/>
  <c r="AQ46" i="273"/>
  <c r="AR13" i="273"/>
  <c r="AR14" i="273" s="1"/>
  <c r="AS10" i="273"/>
  <c r="AS64" i="281" s="1"/>
  <c r="AR5" i="265"/>
  <c r="AR5" i="273"/>
  <c r="AR5" i="275"/>
  <c r="AN56" i="273"/>
  <c r="AN57" i="273" s="1"/>
  <c r="AM3" i="265"/>
  <c r="AM3" i="275"/>
  <c r="AM3" i="273"/>
  <c r="AN71" i="281" l="1"/>
  <c r="AM80" i="281"/>
  <c r="AM30" i="265"/>
  <c r="AP2" i="273"/>
  <c r="AP125" i="273"/>
  <c r="AP126" i="273" s="1"/>
  <c r="AP29" i="281" s="1"/>
  <c r="AP30" i="281" s="1"/>
  <c r="AP37" i="281" s="1"/>
  <c r="AN14" i="281"/>
  <c r="AN36" i="281" s="1"/>
  <c r="AO114" i="273"/>
  <c r="AO115" i="273" s="1"/>
  <c r="AO12" i="281" s="1"/>
  <c r="AO90" i="273"/>
  <c r="AO91" i="273" s="1"/>
  <c r="AO58" i="281" s="1"/>
  <c r="AO60" i="281" s="1"/>
  <c r="AO70" i="281" s="1"/>
  <c r="AP2" i="275"/>
  <c r="AO108" i="273"/>
  <c r="AO109" i="273" s="1"/>
  <c r="AO13" i="281"/>
  <c r="AO14" i="281" s="1"/>
  <c r="AO36" i="281" s="1"/>
  <c r="AO38" i="281" s="1"/>
  <c r="U63" i="265"/>
  <c r="U65" i="265" s="1"/>
  <c r="U67" i="265" s="1"/>
  <c r="U80" i="265" s="1"/>
  <c r="V24" i="280"/>
  <c r="V81" i="281"/>
  <c r="V33" i="265"/>
  <c r="V37" i="265" s="1"/>
  <c r="V42" i="265" s="1"/>
  <c r="V47" i="265" s="1"/>
  <c r="V50" i="265" s="1"/>
  <c r="AO113" i="273"/>
  <c r="AO38" i="273"/>
  <c r="AP39" i="273" s="1"/>
  <c r="AP41" i="273" s="1"/>
  <c r="AO104" i="273"/>
  <c r="AO107" i="273" s="1"/>
  <c r="AP38" i="273"/>
  <c r="AQ39" i="273" s="1"/>
  <c r="AQ41" i="273" s="1"/>
  <c r="AQ42" i="273" s="1"/>
  <c r="AP86" i="273"/>
  <c r="AP87" i="273" s="1"/>
  <c r="AP59" i="281" s="1"/>
  <c r="AL79" i="281"/>
  <c r="AO90" i="281"/>
  <c r="AK94" i="281"/>
  <c r="AK96" i="281" s="1"/>
  <c r="AK103" i="281" s="1"/>
  <c r="AK104" i="281" s="1"/>
  <c r="AL101" i="281" s="1"/>
  <c r="AM102" i="281"/>
  <c r="AM89" i="281"/>
  <c r="AM91" i="281" s="1"/>
  <c r="AM95" i="281" s="1"/>
  <c r="AL102" i="281"/>
  <c r="AL89" i="281"/>
  <c r="AL91" i="281" s="1"/>
  <c r="AL95" i="281" s="1"/>
  <c r="AO76" i="281"/>
  <c r="AO22" i="280"/>
  <c r="AO69" i="273"/>
  <c r="AP70" i="273" s="1"/>
  <c r="AP48" i="273" s="1"/>
  <c r="AO11" i="280"/>
  <c r="AO47" i="273"/>
  <c r="AO50" i="273" s="1"/>
  <c r="AO56" i="273" s="1"/>
  <c r="AO57" i="273" s="1"/>
  <c r="AO15" i="275"/>
  <c r="AO20" i="275" s="1"/>
  <c r="AP17" i="275" s="1"/>
  <c r="AQ24" i="273"/>
  <c r="AQ25" i="273" s="1"/>
  <c r="AQ119" i="273"/>
  <c r="AL14" i="280"/>
  <c r="AL25" i="265"/>
  <c r="AP2" i="281"/>
  <c r="AP120" i="273"/>
  <c r="AP121" i="273" s="1"/>
  <c r="AP65" i="273"/>
  <c r="AP66" i="273" s="1"/>
  <c r="AP99" i="281" s="1"/>
  <c r="AM9" i="265"/>
  <c r="AM11" i="265" s="1"/>
  <c r="AM14" i="265" s="1"/>
  <c r="AM19" i="265" s="1"/>
  <c r="AM22" i="265" s="1"/>
  <c r="AM79" i="281"/>
  <c r="AM65" i="281"/>
  <c r="AO69" i="281" s="1"/>
  <c r="AS5" i="281"/>
  <c r="AS5" i="280"/>
  <c r="AP2" i="265"/>
  <c r="AP80" i="273"/>
  <c r="AP81" i="273" s="1"/>
  <c r="AP95" i="273" s="1"/>
  <c r="AQ96" i="273" s="1"/>
  <c r="AQ49" i="273" s="1"/>
  <c r="AP2" i="280"/>
  <c r="AO42" i="273"/>
  <c r="AI13" i="280"/>
  <c r="AI16" i="280" s="1"/>
  <c r="AH74" i="265"/>
  <c r="AH75" i="265" s="1"/>
  <c r="AH81" i="265" s="1"/>
  <c r="AN3" i="280"/>
  <c r="AN3" i="281"/>
  <c r="AP103" i="273"/>
  <c r="AP104" i="273" s="1"/>
  <c r="AR37" i="273"/>
  <c r="AR46" i="273"/>
  <c r="AR19" i="273"/>
  <c r="AR20" i="273" s="1"/>
  <c r="AS5" i="265"/>
  <c r="AS5" i="275"/>
  <c r="AT10" i="273"/>
  <c r="AT64" i="281" s="1"/>
  <c r="AS13" i="273"/>
  <c r="AS14" i="273" s="1"/>
  <c r="AS5" i="273"/>
  <c r="AN3" i="275"/>
  <c r="AN3" i="265"/>
  <c r="AN3" i="273"/>
  <c r="AO71" i="281" l="1"/>
  <c r="AN80" i="281"/>
  <c r="AN30" i="265"/>
  <c r="AP45" i="281"/>
  <c r="AQ2" i="273"/>
  <c r="AQ125" i="273"/>
  <c r="AQ126" i="273" s="1"/>
  <c r="AQ29" i="281" s="1"/>
  <c r="AQ30" i="281" s="1"/>
  <c r="AQ37" i="281" s="1"/>
  <c r="AN38" i="281"/>
  <c r="AN44" i="281" s="1"/>
  <c r="AN46" i="281" s="1"/>
  <c r="AP13" i="281"/>
  <c r="AP114" i="273"/>
  <c r="AP115" i="273" s="1"/>
  <c r="AP12" i="281" s="1"/>
  <c r="AP14" i="281" s="1"/>
  <c r="AP36" i="281" s="1"/>
  <c r="AP90" i="273"/>
  <c r="AP91" i="273" s="1"/>
  <c r="AP58" i="281" s="1"/>
  <c r="AP60" i="281" s="1"/>
  <c r="AP70" i="281" s="1"/>
  <c r="V30" i="280"/>
  <c r="V53" i="265"/>
  <c r="V25" i="280"/>
  <c r="V27" i="280" s="1"/>
  <c r="V64" i="265"/>
  <c r="W78" i="281"/>
  <c r="U82" i="265"/>
  <c r="U83" i="265"/>
  <c r="AQ86" i="273"/>
  <c r="AQ87" i="273" s="1"/>
  <c r="AQ59" i="281" s="1"/>
  <c r="AQ2" i="280"/>
  <c r="AP42" i="273"/>
  <c r="AP108" i="273"/>
  <c r="AP109" i="273" s="1"/>
  <c r="AP90" i="281"/>
  <c r="AL94" i="281"/>
  <c r="AL96" i="281" s="1"/>
  <c r="AL103" i="281" s="1"/>
  <c r="AL104" i="281" s="1"/>
  <c r="AM101" i="281" s="1"/>
  <c r="AO44" i="281"/>
  <c r="AO46" i="281" s="1"/>
  <c r="AO79" i="281" s="1"/>
  <c r="AR24" i="273"/>
  <c r="AR25" i="273" s="1"/>
  <c r="AR32" i="273" s="1"/>
  <c r="AR33" i="273" s="1"/>
  <c r="AR38" i="273" s="1"/>
  <c r="AR119" i="273"/>
  <c r="AP76" i="281"/>
  <c r="AP11" i="280"/>
  <c r="AP47" i="273"/>
  <c r="AP50" i="273" s="1"/>
  <c r="AP56" i="273" s="1"/>
  <c r="AP57" i="273" s="1"/>
  <c r="AP15" i="275"/>
  <c r="AP20" i="275" s="1"/>
  <c r="AQ17" i="275" s="1"/>
  <c r="AP22" i="280"/>
  <c r="AP69" i="273"/>
  <c r="AQ70" i="273" s="1"/>
  <c r="AQ48" i="273" s="1"/>
  <c r="AQ2" i="281"/>
  <c r="AQ120" i="273"/>
  <c r="AQ121" i="273" s="1"/>
  <c r="AT5" i="281"/>
  <c r="AT5" i="280"/>
  <c r="AQ32" i="273"/>
  <c r="AQ33" i="273" s="1"/>
  <c r="AQ2" i="275"/>
  <c r="AQ2" i="265"/>
  <c r="AQ65" i="273"/>
  <c r="AQ66" i="273" s="1"/>
  <c r="AQ99" i="281" s="1"/>
  <c r="AQ80" i="273"/>
  <c r="AQ81" i="273" s="1"/>
  <c r="AQ95" i="273" s="1"/>
  <c r="AR96" i="273" s="1"/>
  <c r="AR49" i="273" s="1"/>
  <c r="AO4" i="281"/>
  <c r="AO4" i="265"/>
  <c r="AO4" i="273"/>
  <c r="AO4" i="280"/>
  <c r="AO4" i="275"/>
  <c r="AM14" i="280"/>
  <c r="AM25" i="265"/>
  <c r="AI74" i="265"/>
  <c r="AI75" i="265" s="1"/>
  <c r="AI81" i="265" s="1"/>
  <c r="AJ13" i="280"/>
  <c r="AJ16" i="280" s="1"/>
  <c r="AQ4" i="280"/>
  <c r="AQ4" i="281"/>
  <c r="AQ45" i="281"/>
  <c r="AO3" i="280"/>
  <c r="AO3" i="281"/>
  <c r="AQ114" i="273"/>
  <c r="AS19" i="273"/>
  <c r="AS20" i="273" s="1"/>
  <c r="AS37" i="273"/>
  <c r="AS46" i="273"/>
  <c r="AT13" i="273"/>
  <c r="AT14" i="273" s="1"/>
  <c r="AU10" i="273"/>
  <c r="AU64" i="281" s="1"/>
  <c r="AT5" i="273"/>
  <c r="AT5" i="265"/>
  <c r="AT5" i="275"/>
  <c r="AQ4" i="265"/>
  <c r="AQ4" i="273"/>
  <c r="AQ4" i="275"/>
  <c r="AP107" i="273"/>
  <c r="AO3" i="273"/>
  <c r="AO3" i="265"/>
  <c r="AO3" i="275"/>
  <c r="AQ115" i="273" l="1"/>
  <c r="AQ12" i="281" s="1"/>
  <c r="AO80" i="281"/>
  <c r="AO30" i="265"/>
  <c r="AN89" i="281"/>
  <c r="AN91" i="281" s="1"/>
  <c r="AN95" i="281" s="1"/>
  <c r="AN9" i="265"/>
  <c r="AN11" i="265" s="1"/>
  <c r="AN14" i="265" s="1"/>
  <c r="AN19" i="265" s="1"/>
  <c r="AN22" i="265" s="1"/>
  <c r="AN25" i="265" s="1"/>
  <c r="AN65" i="281"/>
  <c r="AP69" i="281" s="1"/>
  <c r="AP71" i="281" s="1"/>
  <c r="AN102" i="281"/>
  <c r="AN79" i="281"/>
  <c r="AR2" i="280"/>
  <c r="AR125" i="273"/>
  <c r="AR126" i="273" s="1"/>
  <c r="AR29" i="281" s="1"/>
  <c r="AR30" i="281" s="1"/>
  <c r="AR37" i="281" s="1"/>
  <c r="AR2" i="265"/>
  <c r="AR2" i="275"/>
  <c r="AQ13" i="281"/>
  <c r="AQ14" i="281" s="1"/>
  <c r="AQ36" i="281" s="1"/>
  <c r="AQ38" i="281" s="1"/>
  <c r="AQ108" i="273"/>
  <c r="AQ109" i="273" s="1"/>
  <c r="AP38" i="281"/>
  <c r="AP44" i="281" s="1"/>
  <c r="AP46" i="281" s="1"/>
  <c r="AQ103" i="273"/>
  <c r="AQ104" i="273" s="1"/>
  <c r="AQ90" i="273"/>
  <c r="AQ91" i="273" s="1"/>
  <c r="AQ58" i="281" s="1"/>
  <c r="AQ60" i="281" s="1"/>
  <c r="AQ70" i="281" s="1"/>
  <c r="AR86" i="273"/>
  <c r="AR87" i="273" s="1"/>
  <c r="AR59" i="281" s="1"/>
  <c r="AQ22" i="280"/>
  <c r="W24" i="280"/>
  <c r="V63" i="265"/>
  <c r="V65" i="265" s="1"/>
  <c r="V67" i="265" s="1"/>
  <c r="V80" i="265" s="1"/>
  <c r="AP4" i="281"/>
  <c r="AP4" i="280"/>
  <c r="AP4" i="275"/>
  <c r="AP4" i="265"/>
  <c r="AP4" i="273"/>
  <c r="AR113" i="273"/>
  <c r="AR2" i="273"/>
  <c r="AR65" i="273"/>
  <c r="AR80" i="273"/>
  <c r="AR81" i="273" s="1"/>
  <c r="AR95" i="273" s="1"/>
  <c r="AS96" i="273" s="1"/>
  <c r="AS49" i="273" s="1"/>
  <c r="AQ90" i="281"/>
  <c r="AO65" i="281"/>
  <c r="AQ69" i="281" s="1"/>
  <c r="AM94" i="281"/>
  <c r="AM96" i="281" s="1"/>
  <c r="AM103" i="281" s="1"/>
  <c r="AM104" i="281" s="1"/>
  <c r="AN101" i="281" s="1"/>
  <c r="AO102" i="281"/>
  <c r="AO89" i="281"/>
  <c r="AO91" i="281" s="1"/>
  <c r="AO95" i="281" s="1"/>
  <c r="AO9" i="265"/>
  <c r="AO11" i="265" s="1"/>
  <c r="AO14" i="265" s="1"/>
  <c r="AO19" i="265" s="1"/>
  <c r="AO22" i="265" s="1"/>
  <c r="AQ76" i="281"/>
  <c r="AQ47" i="273"/>
  <c r="AQ50" i="273" s="1"/>
  <c r="AQ56" i="273" s="1"/>
  <c r="AQ57" i="273" s="1"/>
  <c r="AQ15" i="275"/>
  <c r="AQ20" i="275" s="1"/>
  <c r="AR17" i="275" s="1"/>
  <c r="AQ69" i="273"/>
  <c r="AR70" i="273" s="1"/>
  <c r="AR48" i="273" s="1"/>
  <c r="AQ113" i="273"/>
  <c r="AQ38" i="273"/>
  <c r="AR39" i="273" s="1"/>
  <c r="AR41" i="273" s="1"/>
  <c r="AR66" i="273"/>
  <c r="AR11" i="280" s="1"/>
  <c r="AU5" i="281"/>
  <c r="AU5" i="280"/>
  <c r="AS24" i="273"/>
  <c r="AS25" i="273" s="1"/>
  <c r="AS119" i="273"/>
  <c r="AQ11" i="280"/>
  <c r="AR2" i="281"/>
  <c r="AR120" i="273"/>
  <c r="AR121" i="273" s="1"/>
  <c r="AN14" i="280"/>
  <c r="AK13" i="280"/>
  <c r="AK16" i="280" s="1"/>
  <c r="AJ74" i="265"/>
  <c r="AJ75" i="265" s="1"/>
  <c r="AJ81" i="265" s="1"/>
  <c r="AP3" i="280"/>
  <c r="AP3" i="281"/>
  <c r="AR108" i="273"/>
  <c r="AR109" i="273" s="1"/>
  <c r="AR45" i="281"/>
  <c r="AR13" i="281"/>
  <c r="AR114" i="273"/>
  <c r="AR115" i="273" s="1"/>
  <c r="AR12" i="281" s="1"/>
  <c r="AT19" i="273"/>
  <c r="AT20" i="273" s="1"/>
  <c r="AT46" i="273"/>
  <c r="AT37" i="273"/>
  <c r="AU13" i="273"/>
  <c r="AU14" i="273" s="1"/>
  <c r="AU5" i="275"/>
  <c r="AU5" i="265"/>
  <c r="AV10" i="273"/>
  <c r="AV64" i="281" s="1"/>
  <c r="AU5" i="273"/>
  <c r="AQ107" i="273"/>
  <c r="AR15" i="275"/>
  <c r="AR20" i="275" s="1"/>
  <c r="AS17" i="275" s="1"/>
  <c r="AP3" i="265"/>
  <c r="AP3" i="275"/>
  <c r="AP3" i="273"/>
  <c r="AQ71" i="281" l="1"/>
  <c r="AP80" i="281"/>
  <c r="AP30" i="265"/>
  <c r="AP102" i="281"/>
  <c r="AP89" i="281"/>
  <c r="AP91" i="281" s="1"/>
  <c r="AP95" i="281" s="1"/>
  <c r="AP9" i="265"/>
  <c r="AP11" i="265" s="1"/>
  <c r="AP14" i="265" s="1"/>
  <c r="AP19" i="265" s="1"/>
  <c r="AP22" i="265" s="1"/>
  <c r="AP14" i="280" s="1"/>
  <c r="AP65" i="281"/>
  <c r="AR69" i="281" s="1"/>
  <c r="AS39" i="273"/>
  <c r="AS41" i="273" s="1"/>
  <c r="AR47" i="273"/>
  <c r="AR50" i="273" s="1"/>
  <c r="AR22" i="280"/>
  <c r="AP79" i="281"/>
  <c r="AS2" i="280"/>
  <c r="AS125" i="273"/>
  <c r="AS126" i="273" s="1"/>
  <c r="AS29" i="281" s="1"/>
  <c r="AS30" i="281" s="1"/>
  <c r="AS37" i="281" s="1"/>
  <c r="AR103" i="273"/>
  <c r="AR104" i="273" s="1"/>
  <c r="AR107" i="273" s="1"/>
  <c r="AR90" i="273"/>
  <c r="AR91" i="273" s="1"/>
  <c r="W81" i="281"/>
  <c r="W33" i="265"/>
  <c r="W37" i="265" s="1"/>
  <c r="W42" i="265" s="1"/>
  <c r="W47" i="265" s="1"/>
  <c r="W50" i="265" s="1"/>
  <c r="V82" i="265"/>
  <c r="V83" i="265"/>
  <c r="AP25" i="265"/>
  <c r="AQ44" i="281"/>
  <c r="AQ46" i="281" s="1"/>
  <c r="AR69" i="273"/>
  <c r="AS70" i="273" s="1"/>
  <c r="AS48" i="273" s="1"/>
  <c r="AS2" i="273"/>
  <c r="AR76" i="281"/>
  <c r="AR99" i="281"/>
  <c r="AR90" i="281"/>
  <c r="AN94" i="281"/>
  <c r="AN96" i="281" s="1"/>
  <c r="AN103" i="281" s="1"/>
  <c r="AN104" i="281" s="1"/>
  <c r="AO101" i="281" s="1"/>
  <c r="AO25" i="265"/>
  <c r="AO14" i="280"/>
  <c r="AT24" i="273"/>
  <c r="AT25" i="273" s="1"/>
  <c r="AT80" i="273" s="1"/>
  <c r="AT81" i="273" s="1"/>
  <c r="AT95" i="273" s="1"/>
  <c r="AU96" i="273" s="1"/>
  <c r="AU49" i="273" s="1"/>
  <c r="AT119" i="273"/>
  <c r="AS2" i="281"/>
  <c r="AS120" i="273"/>
  <c r="AS121" i="273" s="1"/>
  <c r="AS2" i="275"/>
  <c r="AS32" i="273"/>
  <c r="AS33" i="273" s="1"/>
  <c r="AR42" i="273"/>
  <c r="AV5" i="281"/>
  <c r="AV5" i="280"/>
  <c r="AS80" i="273"/>
  <c r="AS81" i="273" s="1"/>
  <c r="AS95" i="273" s="1"/>
  <c r="AT96" i="273" s="1"/>
  <c r="AT49" i="273" s="1"/>
  <c r="AS86" i="273"/>
  <c r="AS87" i="273" s="1"/>
  <c r="AS2" i="265"/>
  <c r="AS65" i="273"/>
  <c r="AS66" i="273" s="1"/>
  <c r="AS22" i="280" s="1"/>
  <c r="AL13" i="280"/>
  <c r="AL16" i="280" s="1"/>
  <c r="AK74" i="265"/>
  <c r="AK75" i="265" s="1"/>
  <c r="AK81" i="265" s="1"/>
  <c r="AQ3" i="280"/>
  <c r="AQ3" i="281"/>
  <c r="AR14" i="281"/>
  <c r="AR36" i="281" s="1"/>
  <c r="AR38" i="281" s="1"/>
  <c r="AT2" i="280"/>
  <c r="AS42" i="273"/>
  <c r="AS4" i="265" s="1"/>
  <c r="AU37" i="273"/>
  <c r="AU46" i="273"/>
  <c r="AU19" i="273"/>
  <c r="AU20" i="273" s="1"/>
  <c r="AT2" i="275"/>
  <c r="AT2" i="265"/>
  <c r="AV13" i="273"/>
  <c r="AV14" i="273" s="1"/>
  <c r="AW10" i="273"/>
  <c r="AW64" i="281" s="1"/>
  <c r="AV5" i="273"/>
  <c r="AV5" i="275"/>
  <c r="AV5" i="265"/>
  <c r="AR56" i="273"/>
  <c r="AR57" i="273" s="1"/>
  <c r="AQ3" i="265"/>
  <c r="AQ3" i="273"/>
  <c r="AQ3" i="275"/>
  <c r="AS69" i="273" l="1"/>
  <c r="AT70" i="273" s="1"/>
  <c r="AT48" i="273" s="1"/>
  <c r="AT2" i="273"/>
  <c r="AQ80" i="281"/>
  <c r="AQ30" i="265"/>
  <c r="AT32" i="273"/>
  <c r="AT33" i="273" s="1"/>
  <c r="AT38" i="273" s="1"/>
  <c r="AT125" i="273"/>
  <c r="AT126" i="273" s="1"/>
  <c r="AT29" i="281" s="1"/>
  <c r="AT30" i="281" s="1"/>
  <c r="AT37" i="281" s="1"/>
  <c r="AR58" i="281"/>
  <c r="AR60" i="281" s="1"/>
  <c r="AS90" i="273"/>
  <c r="AS91" i="273" s="1"/>
  <c r="AS58" i="281" s="1"/>
  <c r="AS59" i="281"/>
  <c r="AT113" i="273"/>
  <c r="AT86" i="273"/>
  <c r="AT87" i="273" s="1"/>
  <c r="AT59" i="281" s="1"/>
  <c r="W30" i="280"/>
  <c r="W25" i="280"/>
  <c r="W27" i="280" s="1"/>
  <c r="W53" i="265"/>
  <c r="W64" i="265"/>
  <c r="X78" i="281"/>
  <c r="AQ102" i="281"/>
  <c r="AQ9" i="265"/>
  <c r="AQ11" i="265" s="1"/>
  <c r="AQ14" i="265" s="1"/>
  <c r="AQ19" i="265" s="1"/>
  <c r="AQ22" i="265" s="1"/>
  <c r="AQ25" i="265" s="1"/>
  <c r="AQ89" i="281"/>
  <c r="AQ91" i="281" s="1"/>
  <c r="AQ95" i="281" s="1"/>
  <c r="AQ79" i="281"/>
  <c r="AQ65" i="281"/>
  <c r="AS69" i="281" s="1"/>
  <c r="AR44" i="281"/>
  <c r="AR46" i="281" s="1"/>
  <c r="AS76" i="281"/>
  <c r="AS99" i="281"/>
  <c r="AS90" i="281"/>
  <c r="AQ14" i="280"/>
  <c r="AO94" i="281"/>
  <c r="AO96" i="281" s="1"/>
  <c r="AO103" i="281" s="1"/>
  <c r="AO104" i="281" s="1"/>
  <c r="AP101" i="281" s="1"/>
  <c r="AW5" i="281"/>
  <c r="AW5" i="280"/>
  <c r="AU24" i="273"/>
  <c r="AU25" i="273" s="1"/>
  <c r="AU119" i="273"/>
  <c r="AS114" i="273"/>
  <c r="AS115" i="273" s="1"/>
  <c r="AS12" i="281" s="1"/>
  <c r="AS103" i="273"/>
  <c r="AS104" i="273" s="1"/>
  <c r="AS107" i="273" s="1"/>
  <c r="AS108" i="273"/>
  <c r="AS109" i="273" s="1"/>
  <c r="AS38" i="273"/>
  <c r="AT39" i="273" s="1"/>
  <c r="AT41" i="273" s="1"/>
  <c r="AT42" i="273" s="1"/>
  <c r="AS113" i="273"/>
  <c r="AS15" i="275"/>
  <c r="AS20" i="275" s="1"/>
  <c r="AT17" i="275" s="1"/>
  <c r="AS47" i="273"/>
  <c r="AS50" i="273" s="1"/>
  <c r="AS56" i="273" s="1"/>
  <c r="AS57" i="273" s="1"/>
  <c r="AS11" i="280"/>
  <c r="AS13" i="281"/>
  <c r="AS14" i="281" s="1"/>
  <c r="AS36" i="281" s="1"/>
  <c r="AS38" i="281" s="1"/>
  <c r="AS45" i="281"/>
  <c r="AR4" i="281"/>
  <c r="AR4" i="273"/>
  <c r="AR4" i="275"/>
  <c r="AR4" i="280"/>
  <c r="AR4" i="265"/>
  <c r="AT2" i="281"/>
  <c r="AT120" i="273"/>
  <c r="AT121" i="273" s="1"/>
  <c r="AT65" i="273"/>
  <c r="AT66" i="273" s="1"/>
  <c r="AT99" i="281" s="1"/>
  <c r="AM13" i="280"/>
  <c r="AM16" i="280" s="1"/>
  <c r="AL74" i="265"/>
  <c r="AL75" i="265" s="1"/>
  <c r="AL81" i="265" s="1"/>
  <c r="AS4" i="280"/>
  <c r="AS4" i="281"/>
  <c r="AR3" i="280"/>
  <c r="AR3" i="281"/>
  <c r="AS4" i="273"/>
  <c r="AS4" i="275"/>
  <c r="AU32" i="273"/>
  <c r="AU33" i="273" s="1"/>
  <c r="AU38" i="273" s="1"/>
  <c r="AV37" i="273"/>
  <c r="AV46" i="273"/>
  <c r="AV19" i="273"/>
  <c r="AV20" i="273" s="1"/>
  <c r="AW5" i="265"/>
  <c r="AX10" i="273"/>
  <c r="AX64" i="281" s="1"/>
  <c r="AW5" i="275"/>
  <c r="AW5" i="273"/>
  <c r="AW13" i="273"/>
  <c r="AW14" i="273" s="1"/>
  <c r="AR3" i="273"/>
  <c r="AR3" i="275"/>
  <c r="AR3" i="265"/>
  <c r="AR70" i="281" l="1"/>
  <c r="AR71" i="281" s="1"/>
  <c r="AR30" i="265" s="1"/>
  <c r="AU39" i="273"/>
  <c r="AU41" i="273" s="1"/>
  <c r="AU42" i="273" s="1"/>
  <c r="AS60" i="281"/>
  <c r="AS70" i="281" s="1"/>
  <c r="AS71" i="281" s="1"/>
  <c r="AT108" i="273"/>
  <c r="AT45" i="281"/>
  <c r="AU2" i="280"/>
  <c r="AU125" i="273"/>
  <c r="AU126" i="273" s="1"/>
  <c r="AU29" i="281" s="1"/>
  <c r="AU30" i="281" s="1"/>
  <c r="AU37" i="281" s="1"/>
  <c r="AT4" i="275"/>
  <c r="AT4" i="273"/>
  <c r="AT13" i="281"/>
  <c r="AT103" i="273"/>
  <c r="AT104" i="273" s="1"/>
  <c r="AT4" i="265"/>
  <c r="AT114" i="273"/>
  <c r="AT115" i="273" s="1"/>
  <c r="AT12" i="281" s="1"/>
  <c r="AT90" i="273"/>
  <c r="AT91" i="273" s="1"/>
  <c r="AT58" i="281" s="1"/>
  <c r="AT60" i="281" s="1"/>
  <c r="AT70" i="281" s="1"/>
  <c r="X24" i="280"/>
  <c r="W63" i="265"/>
  <c r="W65" i="265" s="1"/>
  <c r="W67" i="265" s="1"/>
  <c r="W80" i="265" s="1"/>
  <c r="X33" i="265"/>
  <c r="X37" i="265" s="1"/>
  <c r="X42" i="265" s="1"/>
  <c r="X47" i="265" s="1"/>
  <c r="X50" i="265" s="1"/>
  <c r="X81" i="281"/>
  <c r="AR89" i="281"/>
  <c r="AR91" i="281" s="1"/>
  <c r="AR95" i="281" s="1"/>
  <c r="AR9" i="265"/>
  <c r="AR11" i="265" s="1"/>
  <c r="AR14" i="265" s="1"/>
  <c r="AR19" i="265" s="1"/>
  <c r="AR22" i="265" s="1"/>
  <c r="AR102" i="281"/>
  <c r="AR79" i="281"/>
  <c r="AR65" i="281"/>
  <c r="AT69" i="281" s="1"/>
  <c r="AT109" i="273"/>
  <c r="AU2" i="273"/>
  <c r="AT90" i="281"/>
  <c r="AP94" i="281"/>
  <c r="AP96" i="281" s="1"/>
  <c r="AP103" i="281" s="1"/>
  <c r="AP104" i="281" s="1"/>
  <c r="AQ101" i="281" s="1"/>
  <c r="AT76" i="281"/>
  <c r="AT22" i="280"/>
  <c r="AT69" i="273"/>
  <c r="AU70" i="273" s="1"/>
  <c r="AU48" i="273" s="1"/>
  <c r="AT11" i="280"/>
  <c r="AT47" i="273"/>
  <c r="AT15" i="275"/>
  <c r="AT20" i="275" s="1"/>
  <c r="AU17" i="275" s="1"/>
  <c r="AT50" i="273"/>
  <c r="AT56" i="273" s="1"/>
  <c r="AT57" i="273" s="1"/>
  <c r="AX5" i="281"/>
  <c r="AX5" i="280"/>
  <c r="AS44" i="281"/>
  <c r="AS46" i="281" s="1"/>
  <c r="AU2" i="281"/>
  <c r="AU120" i="273"/>
  <c r="AU121" i="273" s="1"/>
  <c r="AU65" i="273"/>
  <c r="AU66" i="273" s="1"/>
  <c r="AU99" i="281" s="1"/>
  <c r="AU113" i="273"/>
  <c r="AV24" i="273"/>
  <c r="AV25" i="273" s="1"/>
  <c r="AV65" i="273" s="1"/>
  <c r="AV119" i="273"/>
  <c r="AU86" i="273"/>
  <c r="AU87" i="273" s="1"/>
  <c r="AU59" i="281" s="1"/>
  <c r="AU2" i="275"/>
  <c r="AU80" i="273"/>
  <c r="AU81" i="273" s="1"/>
  <c r="AU95" i="273" s="1"/>
  <c r="AV96" i="273" s="1"/>
  <c r="AV49" i="273" s="1"/>
  <c r="AU2" i="265"/>
  <c r="AN13" i="280"/>
  <c r="AN16" i="280" s="1"/>
  <c r="AM74" i="265"/>
  <c r="AM75" i="265" s="1"/>
  <c r="AM81" i="265" s="1"/>
  <c r="AS3" i="280"/>
  <c r="AS3" i="281"/>
  <c r="AU4" i="280"/>
  <c r="AU4" i="281"/>
  <c r="AT4" i="280"/>
  <c r="AT4" i="281"/>
  <c r="AV2" i="280"/>
  <c r="AX13" i="273"/>
  <c r="AX14" i="273" s="1"/>
  <c r="AY10" i="273"/>
  <c r="AY64" i="281" s="1"/>
  <c r="AX5" i="273"/>
  <c r="AX5" i="275"/>
  <c r="AX5" i="265"/>
  <c r="AV39" i="273"/>
  <c r="AV41" i="273" s="1"/>
  <c r="AW19" i="273"/>
  <c r="AW20" i="273" s="1"/>
  <c r="AW46" i="273"/>
  <c r="AW37" i="273"/>
  <c r="AU4" i="273"/>
  <c r="AU4" i="275"/>
  <c r="AU4" i="265"/>
  <c r="AS3" i="265"/>
  <c r="AS3" i="275"/>
  <c r="AS3" i="273"/>
  <c r="AV42" i="273"/>
  <c r="AT107" i="273"/>
  <c r="AT71" i="281" l="1"/>
  <c r="AR80" i="281"/>
  <c r="AS80" i="281"/>
  <c r="AS30" i="265"/>
  <c r="AV32" i="273"/>
  <c r="AV33" i="273" s="1"/>
  <c r="AV125" i="273"/>
  <c r="AV126" i="273" s="1"/>
  <c r="AV29" i="281" s="1"/>
  <c r="AV30" i="281" s="1"/>
  <c r="AV37" i="281" s="1"/>
  <c r="AV2" i="265"/>
  <c r="AV80" i="273"/>
  <c r="AV81" i="273" s="1"/>
  <c r="AV95" i="273" s="1"/>
  <c r="AW96" i="273" s="1"/>
  <c r="AW49" i="273" s="1"/>
  <c r="AT14" i="281"/>
  <c r="AT36" i="281" s="1"/>
  <c r="AT38" i="281" s="1"/>
  <c r="AU45" i="281"/>
  <c r="AU90" i="273"/>
  <c r="AU91" i="273" s="1"/>
  <c r="AU58" i="281" s="1"/>
  <c r="AU60" i="281" s="1"/>
  <c r="AU70" i="281" s="1"/>
  <c r="X64" i="265"/>
  <c r="Y78" i="281"/>
  <c r="W83" i="265"/>
  <c r="W82" i="265"/>
  <c r="X30" i="280"/>
  <c r="X25" i="280"/>
  <c r="X27" i="280" s="1"/>
  <c r="X53" i="265"/>
  <c r="AR25" i="265"/>
  <c r="AR14" i="280"/>
  <c r="AV113" i="273"/>
  <c r="AV38" i="273"/>
  <c r="AW39" i="273" s="1"/>
  <c r="AW41" i="273" s="1"/>
  <c r="AV2" i="275"/>
  <c r="AV86" i="273"/>
  <c r="AV87" i="273" s="1"/>
  <c r="AV59" i="281" s="1"/>
  <c r="AV2" i="273"/>
  <c r="AU13" i="281"/>
  <c r="AU90" i="281"/>
  <c r="AQ94" i="281"/>
  <c r="AQ96" i="281" s="1"/>
  <c r="AQ103" i="281" s="1"/>
  <c r="AQ104" i="281" s="1"/>
  <c r="AR101" i="281" s="1"/>
  <c r="AS102" i="281"/>
  <c r="AS89" i="281"/>
  <c r="AS91" i="281" s="1"/>
  <c r="AS95" i="281" s="1"/>
  <c r="AU76" i="281"/>
  <c r="AU11" i="280"/>
  <c r="AU47" i="273"/>
  <c r="AU50" i="273" s="1"/>
  <c r="AU56" i="273" s="1"/>
  <c r="AU57" i="273" s="1"/>
  <c r="AU15" i="275"/>
  <c r="AU20" i="275" s="1"/>
  <c r="AV17" i="275" s="1"/>
  <c r="AU22" i="280"/>
  <c r="AU69" i="273"/>
  <c r="AV70" i="273" s="1"/>
  <c r="AV48" i="273" s="1"/>
  <c r="AY5" i="281"/>
  <c r="AY5" i="280"/>
  <c r="AS9" i="265"/>
  <c r="AS11" i="265" s="1"/>
  <c r="AS14" i="265" s="1"/>
  <c r="AS19" i="265" s="1"/>
  <c r="AS22" i="265" s="1"/>
  <c r="AS79" i="281"/>
  <c r="AS65" i="281"/>
  <c r="AU69" i="281" s="1"/>
  <c r="AU71" i="281" s="1"/>
  <c r="AV66" i="273"/>
  <c r="AV22" i="280" s="1"/>
  <c r="AW24" i="273"/>
  <c r="AW25" i="273" s="1"/>
  <c r="AW119" i="273"/>
  <c r="AT44" i="281"/>
  <c r="AT46" i="281" s="1"/>
  <c r="AU114" i="273"/>
  <c r="AU115" i="273" s="1"/>
  <c r="AU12" i="281" s="1"/>
  <c r="AU14" i="281" s="1"/>
  <c r="AU36" i="281" s="1"/>
  <c r="AU38" i="281" s="1"/>
  <c r="AU103" i="273"/>
  <c r="AU104" i="273" s="1"/>
  <c r="AU108" i="273"/>
  <c r="AU109" i="273" s="1"/>
  <c r="AV2" i="281"/>
  <c r="AV120" i="273"/>
  <c r="AV121" i="273" s="1"/>
  <c r="AN74" i="265"/>
  <c r="AN75" i="265" s="1"/>
  <c r="AN81" i="265" s="1"/>
  <c r="AO13" i="280"/>
  <c r="AO16" i="280" s="1"/>
  <c r="AV4" i="280"/>
  <c r="AV4" i="281"/>
  <c r="AT3" i="280"/>
  <c r="AT3" i="281"/>
  <c r="AW32" i="273"/>
  <c r="AW33" i="273" s="1"/>
  <c r="AW38" i="273" s="1"/>
  <c r="AX37" i="273"/>
  <c r="AX19" i="273"/>
  <c r="AX20" i="273" s="1"/>
  <c r="AX46" i="273"/>
  <c r="AY5" i="275"/>
  <c r="AY5" i="265"/>
  <c r="AY13" i="273"/>
  <c r="AY14" i="273" s="1"/>
  <c r="AY5" i="273"/>
  <c r="AZ10" i="273"/>
  <c r="AZ64" i="281" s="1"/>
  <c r="AV4" i="275"/>
  <c r="AV4" i="265"/>
  <c r="AV4" i="273"/>
  <c r="AT3" i="265"/>
  <c r="AT3" i="273"/>
  <c r="AT3" i="275"/>
  <c r="AV69" i="273"/>
  <c r="AW70" i="273" s="1"/>
  <c r="AW48" i="273" s="1"/>
  <c r="AT80" i="281" l="1"/>
  <c r="AT30" i="265"/>
  <c r="AW2" i="280"/>
  <c r="AW125" i="273"/>
  <c r="AW126" i="273" s="1"/>
  <c r="AW29" i="281" s="1"/>
  <c r="AW30" i="281" s="1"/>
  <c r="AW37" i="281" s="1"/>
  <c r="AV11" i="280"/>
  <c r="AV15" i="275"/>
  <c r="AV20" i="275" s="1"/>
  <c r="AW17" i="275" s="1"/>
  <c r="AV47" i="273"/>
  <c r="AV50" i="273" s="1"/>
  <c r="AV56" i="273" s="1"/>
  <c r="AV57" i="273" s="1"/>
  <c r="AV45" i="281"/>
  <c r="AV90" i="273"/>
  <c r="AV91" i="273" s="1"/>
  <c r="AV58" i="281" s="1"/>
  <c r="AV60" i="281" s="1"/>
  <c r="AV70" i="281" s="1"/>
  <c r="AW86" i="273"/>
  <c r="AW87" i="273" s="1"/>
  <c r="AW59" i="281" s="1"/>
  <c r="Y24" i="280"/>
  <c r="X63" i="265"/>
  <c r="X65" i="265" s="1"/>
  <c r="X67" i="265" s="1"/>
  <c r="X80" i="265" s="1"/>
  <c r="AV13" i="281"/>
  <c r="AW113" i="273"/>
  <c r="AU107" i="273"/>
  <c r="AW2" i="265"/>
  <c r="AV108" i="273"/>
  <c r="AV109" i="273" s="1"/>
  <c r="AV103" i="273"/>
  <c r="AV104" i="273" s="1"/>
  <c r="AV114" i="273"/>
  <c r="AV115" i="273" s="1"/>
  <c r="AV12" i="281" s="1"/>
  <c r="AW42" i="273"/>
  <c r="AW4" i="280" s="1"/>
  <c r="AV76" i="281"/>
  <c r="AV99" i="281"/>
  <c r="AV90" i="281"/>
  <c r="AR94" i="281"/>
  <c r="AR96" i="281" s="1"/>
  <c r="AR103" i="281" s="1"/>
  <c r="AR104" i="281" s="1"/>
  <c r="AS101" i="281" s="1"/>
  <c r="AT102" i="281"/>
  <c r="AT89" i="281"/>
  <c r="AT91" i="281" s="1"/>
  <c r="AT95" i="281" s="1"/>
  <c r="AU44" i="281"/>
  <c r="AU46" i="281" s="1"/>
  <c r="AU79" i="281" s="1"/>
  <c r="AT9" i="265"/>
  <c r="AT11" i="265" s="1"/>
  <c r="AT14" i="265" s="1"/>
  <c r="AT19" i="265" s="1"/>
  <c r="AT22" i="265" s="1"/>
  <c r="AT79" i="281"/>
  <c r="AT65" i="281"/>
  <c r="AV69" i="281" s="1"/>
  <c r="AZ5" i="281"/>
  <c r="AZ5" i="280"/>
  <c r="AX24" i="273"/>
  <c r="AX25" i="273" s="1"/>
  <c r="AX119" i="273"/>
  <c r="AW2" i="281"/>
  <c r="AW120" i="273"/>
  <c r="AW121" i="273" s="1"/>
  <c r="AW65" i="273"/>
  <c r="AW66" i="273" s="1"/>
  <c r="AW15" i="275" s="1"/>
  <c r="AW2" i="273"/>
  <c r="AW80" i="273"/>
  <c r="AW81" i="273" s="1"/>
  <c r="AW95" i="273" s="1"/>
  <c r="AX96" i="273" s="1"/>
  <c r="AX49" i="273" s="1"/>
  <c r="AW2" i="275"/>
  <c r="AS14" i="280"/>
  <c r="AS25" i="265"/>
  <c r="AP13" i="280"/>
  <c r="AP16" i="280" s="1"/>
  <c r="AO74" i="265"/>
  <c r="AO75" i="265" s="1"/>
  <c r="AO81" i="265" s="1"/>
  <c r="AW4" i="281"/>
  <c r="AU3" i="280"/>
  <c r="AU3" i="281"/>
  <c r="AW114" i="273"/>
  <c r="AX86" i="273"/>
  <c r="AX87" i="273" s="1"/>
  <c r="AX59" i="281" s="1"/>
  <c r="AX39" i="273"/>
  <c r="AX41" i="273" s="1"/>
  <c r="AY19" i="273"/>
  <c r="AY20" i="273" s="1"/>
  <c r="AY37" i="273"/>
  <c r="AY46" i="273"/>
  <c r="AZ13" i="273"/>
  <c r="AZ14" i="273" s="1"/>
  <c r="BA10" i="273"/>
  <c r="BA64" i="281" s="1"/>
  <c r="AZ5" i="273"/>
  <c r="AZ5" i="265"/>
  <c r="AZ5" i="275"/>
  <c r="AW4" i="275"/>
  <c r="AU3" i="275"/>
  <c r="AU3" i="273"/>
  <c r="AU3" i="265"/>
  <c r="AV71" i="281" l="1"/>
  <c r="AU80" i="281"/>
  <c r="AU30" i="265"/>
  <c r="AX65" i="273"/>
  <c r="AX66" i="273" s="1"/>
  <c r="AX125" i="273"/>
  <c r="AX126" i="273" s="1"/>
  <c r="AX29" i="281" s="1"/>
  <c r="AX30" i="281" s="1"/>
  <c r="AX37" i="281" s="1"/>
  <c r="AX80" i="273"/>
  <c r="AX81" i="273" s="1"/>
  <c r="AX95" i="273" s="1"/>
  <c r="AY96" i="273" s="1"/>
  <c r="AY49" i="273" s="1"/>
  <c r="AX2" i="280"/>
  <c r="AW45" i="281"/>
  <c r="AW20" i="275"/>
  <c r="AX17" i="275" s="1"/>
  <c r="AX108" i="273"/>
  <c r="AX90" i="273"/>
  <c r="AW108" i="273"/>
  <c r="AW109" i="273" s="1"/>
  <c r="AW90" i="273"/>
  <c r="AW91" i="273" s="1"/>
  <c r="AW4" i="265"/>
  <c r="AX2" i="273"/>
  <c r="AX2" i="265"/>
  <c r="AX2" i="275"/>
  <c r="AW13" i="281"/>
  <c r="AW103" i="273"/>
  <c r="AW104" i="273" s="1"/>
  <c r="AW107" i="273" s="1"/>
  <c r="AV14" i="281"/>
  <c r="AV36" i="281" s="1"/>
  <c r="AV38" i="281" s="1"/>
  <c r="AV44" i="281" s="1"/>
  <c r="AV46" i="281" s="1"/>
  <c r="AV102" i="281" s="1"/>
  <c r="Y33" i="265"/>
  <c r="Y37" i="265" s="1"/>
  <c r="Y42" i="265" s="1"/>
  <c r="Y47" i="265" s="1"/>
  <c r="Y50" i="265" s="1"/>
  <c r="Y81" i="281"/>
  <c r="X82" i="265"/>
  <c r="X83" i="265"/>
  <c r="AW115" i="273"/>
  <c r="AW12" i="281" s="1"/>
  <c r="AU65" i="281"/>
  <c r="AW69" i="281" s="1"/>
  <c r="AW22" i="280"/>
  <c r="AV107" i="273"/>
  <c r="AW4" i="273"/>
  <c r="AX42" i="273"/>
  <c r="AX4" i="281" s="1"/>
  <c r="AW76" i="281"/>
  <c r="AW99" i="281"/>
  <c r="AW47" i="273"/>
  <c r="AW50" i="273" s="1"/>
  <c r="AW56" i="273" s="1"/>
  <c r="AW57" i="273" s="1"/>
  <c r="AX114" i="273"/>
  <c r="AW90" i="281"/>
  <c r="AS94" i="281"/>
  <c r="AS96" i="281" s="1"/>
  <c r="AS103" i="281" s="1"/>
  <c r="AS104" i="281" s="1"/>
  <c r="AT101" i="281" s="1"/>
  <c r="AU102" i="281"/>
  <c r="AU89" i="281"/>
  <c r="AU91" i="281" s="1"/>
  <c r="AU95" i="281" s="1"/>
  <c r="AU9" i="265"/>
  <c r="AU11" i="265" s="1"/>
  <c r="AU14" i="265" s="1"/>
  <c r="AU19" i="265" s="1"/>
  <c r="AU22" i="265" s="1"/>
  <c r="BA5" i="281"/>
  <c r="BA5" i="280"/>
  <c r="AT25" i="265"/>
  <c r="AT14" i="280"/>
  <c r="AW69" i="273"/>
  <c r="AX70" i="273" s="1"/>
  <c r="AX48" i="273" s="1"/>
  <c r="AX103" i="273"/>
  <c r="AY24" i="273"/>
  <c r="AY25" i="273" s="1"/>
  <c r="AY119" i="273"/>
  <c r="AW11" i="280"/>
  <c r="AX2" i="281"/>
  <c r="AX120" i="273"/>
  <c r="AX121" i="273" s="1"/>
  <c r="AX32" i="273"/>
  <c r="AX33" i="273" s="1"/>
  <c r="AQ13" i="280"/>
  <c r="AQ16" i="280" s="1"/>
  <c r="AP74" i="265"/>
  <c r="AP75" i="265" s="1"/>
  <c r="AP81" i="265" s="1"/>
  <c r="AV3" i="280"/>
  <c r="AV3" i="281"/>
  <c r="AX45" i="281"/>
  <c r="AX13" i="281"/>
  <c r="AY2" i="273"/>
  <c r="BA5" i="265"/>
  <c r="BA5" i="275"/>
  <c r="BB10" i="273"/>
  <c r="BB64" i="281" s="1"/>
  <c r="BA5" i="273"/>
  <c r="BA13" i="273"/>
  <c r="BA14" i="273" s="1"/>
  <c r="AY86" i="273"/>
  <c r="AY87" i="273" s="1"/>
  <c r="AZ19" i="273"/>
  <c r="AZ20" i="273" s="1"/>
  <c r="AZ46" i="273"/>
  <c r="AZ37" i="273"/>
  <c r="AV3" i="275"/>
  <c r="AV3" i="273"/>
  <c r="AV3" i="265"/>
  <c r="AX4" i="273"/>
  <c r="AX115" i="273" l="1"/>
  <c r="AX12" i="281" s="1"/>
  <c r="AX22" i="280"/>
  <c r="AX15" i="275"/>
  <c r="AX20" i="275" s="1"/>
  <c r="AY17" i="275" s="1"/>
  <c r="AX4" i="280"/>
  <c r="AW14" i="281"/>
  <c r="AW36" i="281" s="1"/>
  <c r="AW38" i="281" s="1"/>
  <c r="AW44" i="281" s="1"/>
  <c r="AW46" i="281" s="1"/>
  <c r="AV80" i="281"/>
  <c r="AV30" i="265"/>
  <c r="AY80" i="273"/>
  <c r="AY81" i="273" s="1"/>
  <c r="AY95" i="273" s="1"/>
  <c r="AZ96" i="273" s="1"/>
  <c r="AZ49" i="273" s="1"/>
  <c r="AY125" i="273"/>
  <c r="AY126" i="273" s="1"/>
  <c r="AY29" i="281" s="1"/>
  <c r="AY30" i="281" s="1"/>
  <c r="AY37" i="281" s="1"/>
  <c r="AX4" i="275"/>
  <c r="AX4" i="265"/>
  <c r="AX69" i="273"/>
  <c r="AY70" i="273" s="1"/>
  <c r="AY48" i="273" s="1"/>
  <c r="AX11" i="280"/>
  <c r="AV79" i="281"/>
  <c r="AV89" i="281"/>
  <c r="AV91" i="281" s="1"/>
  <c r="AV95" i="281" s="1"/>
  <c r="AX91" i="273"/>
  <c r="AX58" i="281" s="1"/>
  <c r="AX60" i="281" s="1"/>
  <c r="AX70" i="281" s="1"/>
  <c r="AW58" i="281"/>
  <c r="AW60" i="281" s="1"/>
  <c r="AY90" i="273"/>
  <c r="AY59" i="281"/>
  <c r="AX47" i="273"/>
  <c r="AX50" i="273" s="1"/>
  <c r="AX56" i="273" s="1"/>
  <c r="AX57" i="273" s="1"/>
  <c r="AY2" i="265"/>
  <c r="AY2" i="280"/>
  <c r="Y64" i="265"/>
  <c r="Z78" i="281"/>
  <c r="AV65" i="281"/>
  <c r="AX69" i="281" s="1"/>
  <c r="AX71" i="281" s="1"/>
  <c r="AV9" i="265"/>
  <c r="AV11" i="265" s="1"/>
  <c r="AV14" i="265" s="1"/>
  <c r="AV19" i="265" s="1"/>
  <c r="AV22" i="265" s="1"/>
  <c r="AV14" i="280" s="1"/>
  <c r="Y30" i="280"/>
  <c r="Y25" i="280"/>
  <c r="Y27" i="280" s="1"/>
  <c r="Y53" i="265"/>
  <c r="AX14" i="281"/>
  <c r="AX36" i="281" s="1"/>
  <c r="AX38" i="281" s="1"/>
  <c r="AX104" i="273"/>
  <c r="AX107" i="273" s="1"/>
  <c r="AY32" i="273"/>
  <c r="AY33" i="273" s="1"/>
  <c r="AY38" i="273" s="1"/>
  <c r="AY65" i="273"/>
  <c r="AY66" i="273" s="1"/>
  <c r="AY99" i="281" s="1"/>
  <c r="AY76" i="281"/>
  <c r="AX90" i="281"/>
  <c r="AX76" i="281"/>
  <c r="AX99" i="281"/>
  <c r="AX109" i="273"/>
  <c r="AT94" i="281"/>
  <c r="AT96" i="281" s="1"/>
  <c r="AT103" i="281" s="1"/>
  <c r="AT104" i="281" s="1"/>
  <c r="AU101" i="281" s="1"/>
  <c r="AU25" i="265"/>
  <c r="AU14" i="280"/>
  <c r="BB5" i="281"/>
  <c r="BB5" i="280"/>
  <c r="AZ24" i="273"/>
  <c r="AZ25" i="273" s="1"/>
  <c r="AZ119" i="273"/>
  <c r="AX113" i="273"/>
  <c r="AX38" i="273"/>
  <c r="AY39" i="273" s="1"/>
  <c r="AY41" i="273" s="1"/>
  <c r="AY2" i="281"/>
  <c r="AY120" i="273"/>
  <c r="AY121" i="273" s="1"/>
  <c r="AY2" i="275"/>
  <c r="AQ74" i="265"/>
  <c r="AQ75" i="265" s="1"/>
  <c r="AQ81" i="265" s="1"/>
  <c r="AR13" i="280"/>
  <c r="AR16" i="280" s="1"/>
  <c r="AW3" i="280"/>
  <c r="AW3" i="281"/>
  <c r="AY103" i="273"/>
  <c r="AY45" i="281"/>
  <c r="AY13" i="281"/>
  <c r="AY22" i="280"/>
  <c r="AY114" i="273"/>
  <c r="AY108" i="273"/>
  <c r="BB13" i="273"/>
  <c r="BB14" i="273" s="1"/>
  <c r="BC10" i="273"/>
  <c r="BC64" i="281" s="1"/>
  <c r="BB5" i="265"/>
  <c r="BB5" i="273"/>
  <c r="BB5" i="275"/>
  <c r="BA37" i="273"/>
  <c r="BA46" i="273"/>
  <c r="BA19" i="273"/>
  <c r="BA20" i="273" s="1"/>
  <c r="AY47" i="273"/>
  <c r="AY15" i="275"/>
  <c r="AY20" i="275" s="1"/>
  <c r="AZ17" i="275" s="1"/>
  <c r="AW3" i="265"/>
  <c r="AW3" i="273"/>
  <c r="AW3" i="275"/>
  <c r="AY50" i="273" l="1"/>
  <c r="AY69" i="273"/>
  <c r="AZ70" i="273" s="1"/>
  <c r="AZ48" i="273" s="1"/>
  <c r="AY11" i="280"/>
  <c r="AY104" i="273"/>
  <c r="AY91" i="273"/>
  <c r="AY58" i="281" s="1"/>
  <c r="AY60" i="281" s="1"/>
  <c r="AY70" i="281" s="1"/>
  <c r="AW70" i="281"/>
  <c r="AW71" i="281" s="1"/>
  <c r="AW30" i="265" s="1"/>
  <c r="AX80" i="281"/>
  <c r="AX30" i="265"/>
  <c r="AZ2" i="280"/>
  <c r="AZ125" i="273"/>
  <c r="AZ126" i="273" s="1"/>
  <c r="AZ29" i="281" s="1"/>
  <c r="AZ30" i="281" s="1"/>
  <c r="AZ37" i="281" s="1"/>
  <c r="AZ2" i="273"/>
  <c r="AY113" i="273"/>
  <c r="AZ80" i="273"/>
  <c r="AZ81" i="273" s="1"/>
  <c r="AZ95" i="273" s="1"/>
  <c r="BA96" i="273" s="1"/>
  <c r="BA49" i="273" s="1"/>
  <c r="AZ65" i="273"/>
  <c r="AZ66" i="273" s="1"/>
  <c r="AZ99" i="281" s="1"/>
  <c r="AZ32" i="273"/>
  <c r="AZ33" i="273" s="1"/>
  <c r="AZ113" i="273" s="1"/>
  <c r="Y63" i="265"/>
  <c r="Y65" i="265" s="1"/>
  <c r="Y67" i="265" s="1"/>
  <c r="Y80" i="265" s="1"/>
  <c r="Z24" i="280"/>
  <c r="AV25" i="265"/>
  <c r="AX44" i="281"/>
  <c r="AX46" i="281" s="1"/>
  <c r="AX89" i="281" s="1"/>
  <c r="AX91" i="281" s="1"/>
  <c r="AX95" i="281" s="1"/>
  <c r="AY115" i="273"/>
  <c r="AY12" i="281" s="1"/>
  <c r="AY14" i="281" s="1"/>
  <c r="AY36" i="281" s="1"/>
  <c r="AY38" i="281" s="1"/>
  <c r="AZ38" i="273"/>
  <c r="AY109" i="273"/>
  <c r="AZ2" i="265"/>
  <c r="AZ39" i="273"/>
  <c r="AZ41" i="273" s="1"/>
  <c r="AZ86" i="273"/>
  <c r="AZ87" i="273" s="1"/>
  <c r="AZ76" i="281"/>
  <c r="AY90" i="281"/>
  <c r="AU94" i="281"/>
  <c r="AU96" i="281" s="1"/>
  <c r="AU103" i="281" s="1"/>
  <c r="AU104" i="281" s="1"/>
  <c r="AV101" i="281" s="1"/>
  <c r="AW102" i="281"/>
  <c r="AW89" i="281"/>
  <c r="AW91" i="281" s="1"/>
  <c r="AW95" i="281" s="1"/>
  <c r="BA24" i="273"/>
  <c r="BA25" i="273" s="1"/>
  <c r="BA119" i="273"/>
  <c r="AZ47" i="273"/>
  <c r="AZ50" i="273" s="1"/>
  <c r="BC5" i="281"/>
  <c r="BC5" i="280"/>
  <c r="AX79" i="281"/>
  <c r="AY42" i="273"/>
  <c r="AW9" i="265"/>
  <c r="AW11" i="265" s="1"/>
  <c r="AW14" i="265" s="1"/>
  <c r="AW19" i="265" s="1"/>
  <c r="AW22" i="265" s="1"/>
  <c r="AW79" i="281"/>
  <c r="AW65" i="281"/>
  <c r="AY69" i="281" s="1"/>
  <c r="AY71" i="281" s="1"/>
  <c r="AZ2" i="281"/>
  <c r="AZ120" i="273"/>
  <c r="AZ121" i="273" s="1"/>
  <c r="AZ2" i="275"/>
  <c r="AS13" i="280"/>
  <c r="AS16" i="280" s="1"/>
  <c r="AR74" i="265"/>
  <c r="AR75" i="265" s="1"/>
  <c r="AR81" i="265" s="1"/>
  <c r="AX3" i="280"/>
  <c r="AX3" i="281"/>
  <c r="AZ45" i="281"/>
  <c r="AZ13" i="281"/>
  <c r="AZ22" i="280"/>
  <c r="BA80" i="273"/>
  <c r="BA81" i="273" s="1"/>
  <c r="BA95" i="273" s="1"/>
  <c r="BB96" i="273" s="1"/>
  <c r="BB49" i="273" s="1"/>
  <c r="BB19" i="273"/>
  <c r="BB20" i="273" s="1"/>
  <c r="BB46" i="273"/>
  <c r="BB37" i="273"/>
  <c r="BC5" i="265"/>
  <c r="BC13" i="273"/>
  <c r="BC14" i="273" s="1"/>
  <c r="BD10" i="273"/>
  <c r="BD64" i="281" s="1"/>
  <c r="BC5" i="273"/>
  <c r="BC5" i="275"/>
  <c r="AY107" i="273"/>
  <c r="AY56" i="273"/>
  <c r="AY57" i="273" s="1"/>
  <c r="AX3" i="273"/>
  <c r="AX3" i="275"/>
  <c r="AX3" i="265"/>
  <c r="AZ15" i="275" l="1"/>
  <c r="AZ20" i="275" s="1"/>
  <c r="BA17" i="275" s="1"/>
  <c r="AW80" i="281"/>
  <c r="AY80" i="281"/>
  <c r="AY30" i="265"/>
  <c r="AX102" i="281"/>
  <c r="BA32" i="273"/>
  <c r="BA33" i="273" s="1"/>
  <c r="BA125" i="273"/>
  <c r="BA126" i="273" s="1"/>
  <c r="BA29" i="281" s="1"/>
  <c r="BA30" i="281" s="1"/>
  <c r="BA37" i="281" s="1"/>
  <c r="AZ11" i="280"/>
  <c r="AZ69" i="273"/>
  <c r="BA70" i="273" s="1"/>
  <c r="BA48" i="273" s="1"/>
  <c r="AZ90" i="273"/>
  <c r="AZ91" i="273" s="1"/>
  <c r="AZ58" i="281" s="1"/>
  <c r="AZ59" i="281"/>
  <c r="Z33" i="265"/>
  <c r="Z37" i="265" s="1"/>
  <c r="Z42" i="265" s="1"/>
  <c r="Z47" i="265" s="1"/>
  <c r="Z50" i="265" s="1"/>
  <c r="Z81" i="281"/>
  <c r="AX65" i="281"/>
  <c r="AZ69" i="281" s="1"/>
  <c r="AX9" i="265"/>
  <c r="AX11" i="265" s="1"/>
  <c r="AX14" i="265" s="1"/>
  <c r="AX19" i="265" s="1"/>
  <c r="AX22" i="265" s="1"/>
  <c r="AX14" i="280" s="1"/>
  <c r="Y83" i="265"/>
  <c r="Y82" i="265"/>
  <c r="BA86" i="273"/>
  <c r="BA87" i="273" s="1"/>
  <c r="BA59" i="281" s="1"/>
  <c r="BA2" i="275"/>
  <c r="BA2" i="280"/>
  <c r="BA38" i="273"/>
  <c r="BA113" i="273"/>
  <c r="AZ42" i="273"/>
  <c r="BA39" i="273"/>
  <c r="BA41" i="273" s="1"/>
  <c r="BA42" i="273" s="1"/>
  <c r="BA4" i="265" s="1"/>
  <c r="BA2" i="273"/>
  <c r="BA65" i="273"/>
  <c r="BA66" i="273" s="1"/>
  <c r="BA76" i="281" s="1"/>
  <c r="BA2" i="265"/>
  <c r="AZ108" i="273"/>
  <c r="AZ109" i="273" s="1"/>
  <c r="AZ103" i="273"/>
  <c r="AZ104" i="273" s="1"/>
  <c r="AZ107" i="273" s="1"/>
  <c r="AZ114" i="273"/>
  <c r="AZ115" i="273" s="1"/>
  <c r="AZ12" i="281" s="1"/>
  <c r="AZ14" i="281" s="1"/>
  <c r="AZ36" i="281" s="1"/>
  <c r="AZ38" i="281" s="1"/>
  <c r="AZ90" i="281"/>
  <c r="AX25" i="265"/>
  <c r="AV94" i="281"/>
  <c r="AV96" i="281" s="1"/>
  <c r="AV103" i="281" s="1"/>
  <c r="AV104" i="281" s="1"/>
  <c r="AW101" i="281" s="1"/>
  <c r="BD5" i="281"/>
  <c r="BD5" i="280"/>
  <c r="BB24" i="273"/>
  <c r="BB25" i="273" s="1"/>
  <c r="BB119" i="273"/>
  <c r="AW25" i="265"/>
  <c r="AW14" i="280"/>
  <c r="AY4" i="281"/>
  <c r="AY4" i="275"/>
  <c r="AY4" i="273"/>
  <c r="AY4" i="280"/>
  <c r="AY4" i="265"/>
  <c r="BA2" i="281"/>
  <c r="BA120" i="273"/>
  <c r="BA121" i="273" s="1"/>
  <c r="AS74" i="265"/>
  <c r="AS75" i="265" s="1"/>
  <c r="AS81" i="265" s="1"/>
  <c r="AT13" i="280"/>
  <c r="AT16" i="280" s="1"/>
  <c r="AY3" i="280"/>
  <c r="AY3" i="281"/>
  <c r="AY44" i="281"/>
  <c r="AY46" i="281" s="1"/>
  <c r="BA22" i="280"/>
  <c r="BC19" i="273"/>
  <c r="BC20" i="273" s="1"/>
  <c r="BC46" i="273"/>
  <c r="BC37" i="273"/>
  <c r="BD13" i="273"/>
  <c r="BD14" i="273" s="1"/>
  <c r="BD5" i="275"/>
  <c r="BE10" i="273"/>
  <c r="BE64" i="281" s="1"/>
  <c r="BD5" i="273"/>
  <c r="BD5" i="265"/>
  <c r="AY3" i="265"/>
  <c r="AY3" i="273"/>
  <c r="AY3" i="275"/>
  <c r="AZ56" i="273"/>
  <c r="AZ57" i="273" s="1"/>
  <c r="BA69" i="273" l="1"/>
  <c r="BB70" i="273" s="1"/>
  <c r="BB48" i="273" s="1"/>
  <c r="BB39" i="273"/>
  <c r="BB41" i="273" s="1"/>
  <c r="BA13" i="281"/>
  <c r="BA99" i="281"/>
  <c r="BB32" i="273"/>
  <c r="BB33" i="273" s="1"/>
  <c r="BB38" i="273" s="1"/>
  <c r="BC39" i="273" s="1"/>
  <c r="BC41" i="273" s="1"/>
  <c r="BC42" i="273" s="1"/>
  <c r="BB125" i="273"/>
  <c r="BB126" i="273" s="1"/>
  <c r="BB29" i="281" s="1"/>
  <c r="BB30" i="281" s="1"/>
  <c r="BB37" i="281" s="1"/>
  <c r="AZ60" i="281"/>
  <c r="BB113" i="273"/>
  <c r="BA114" i="273"/>
  <c r="BA115" i="273" s="1"/>
  <c r="BA12" i="281" s="1"/>
  <c r="BA90" i="273"/>
  <c r="BA91" i="273" s="1"/>
  <c r="BA58" i="281" s="1"/>
  <c r="BA60" i="281" s="1"/>
  <c r="BA70" i="281" s="1"/>
  <c r="BA15" i="275"/>
  <c r="BA20" i="275" s="1"/>
  <c r="BB17" i="275" s="1"/>
  <c r="BA47" i="273"/>
  <c r="BA50" i="273" s="1"/>
  <c r="BB2" i="265"/>
  <c r="BB80" i="273"/>
  <c r="BB81" i="273" s="1"/>
  <c r="BB95" i="273" s="1"/>
  <c r="BC96" i="273" s="1"/>
  <c r="BC49" i="273" s="1"/>
  <c r="BA11" i="280"/>
  <c r="BA45" i="281"/>
  <c r="AA78" i="281"/>
  <c r="Z64" i="265"/>
  <c r="Z30" i="280"/>
  <c r="Z53" i="265"/>
  <c r="Z25" i="280"/>
  <c r="Z27" i="280" s="1"/>
  <c r="BA108" i="273"/>
  <c r="BA109" i="273" s="1"/>
  <c r="BA103" i="273"/>
  <c r="BA104" i="273" s="1"/>
  <c r="BA107" i="273" s="1"/>
  <c r="AZ44" i="281"/>
  <c r="AZ46" i="281" s="1"/>
  <c r="AZ89" i="281" s="1"/>
  <c r="AZ91" i="281" s="1"/>
  <c r="AZ95" i="281" s="1"/>
  <c r="BA4" i="273"/>
  <c r="AZ4" i="281"/>
  <c r="AZ4" i="273"/>
  <c r="AZ4" i="280"/>
  <c r="AZ4" i="265"/>
  <c r="AZ4" i="275"/>
  <c r="BA4" i="275"/>
  <c r="BA90" i="281"/>
  <c r="AW94" i="281"/>
  <c r="AW96" i="281" s="1"/>
  <c r="AW103" i="281" s="1"/>
  <c r="AW104" i="281" s="1"/>
  <c r="AX101" i="281" s="1"/>
  <c r="AY102" i="281"/>
  <c r="AY89" i="281"/>
  <c r="AY91" i="281" s="1"/>
  <c r="AY95" i="281" s="1"/>
  <c r="BE5" i="281"/>
  <c r="BE5" i="280"/>
  <c r="BB2" i="281"/>
  <c r="BB120" i="273"/>
  <c r="BB121" i="273" s="1"/>
  <c r="BB65" i="273"/>
  <c r="BB66" i="273" s="1"/>
  <c r="BB11" i="280" s="1"/>
  <c r="BB2" i="273"/>
  <c r="BB2" i="275"/>
  <c r="BC24" i="273"/>
  <c r="BC25" i="273" s="1"/>
  <c r="BC119" i="273"/>
  <c r="BB86" i="273"/>
  <c r="BB87" i="273" s="1"/>
  <c r="BB59" i="281" s="1"/>
  <c r="BB2" i="280"/>
  <c r="AY9" i="265"/>
  <c r="AY11" i="265" s="1"/>
  <c r="AY14" i="265" s="1"/>
  <c r="AY19" i="265" s="1"/>
  <c r="AY22" i="265" s="1"/>
  <c r="AY14" i="280" s="1"/>
  <c r="AY79" i="281"/>
  <c r="AY65" i="281"/>
  <c r="BA69" i="281" s="1"/>
  <c r="BA71" i="281" s="1"/>
  <c r="AT74" i="265"/>
  <c r="AT75" i="265" s="1"/>
  <c r="AT81" i="265" s="1"/>
  <c r="AU13" i="280"/>
  <c r="AU16" i="280" s="1"/>
  <c r="AZ3" i="280"/>
  <c r="AZ3" i="281"/>
  <c r="BA4" i="280"/>
  <c r="BA4" i="281"/>
  <c r="BB22" i="280"/>
  <c r="BB42" i="273"/>
  <c r="BB4" i="281" s="1"/>
  <c r="BD19" i="273"/>
  <c r="BD20" i="273" s="1"/>
  <c r="BD46" i="273"/>
  <c r="BD37" i="273"/>
  <c r="BE13" i="273"/>
  <c r="BE14" i="273" s="1"/>
  <c r="BF10" i="273"/>
  <c r="BF64" i="281" s="1"/>
  <c r="BE5" i="273"/>
  <c r="BE5" i="275"/>
  <c r="BE5" i="265"/>
  <c r="AZ3" i="273"/>
  <c r="AZ3" i="275"/>
  <c r="AZ3" i="265"/>
  <c r="BA56" i="273"/>
  <c r="BA57" i="273" s="1"/>
  <c r="BB15" i="275" l="1"/>
  <c r="BA14" i="281"/>
  <c r="BA36" i="281" s="1"/>
  <c r="BA38" i="281" s="1"/>
  <c r="BA44" i="281" s="1"/>
  <c r="BA46" i="281" s="1"/>
  <c r="AZ70" i="281"/>
  <c r="AZ71" i="281" s="1"/>
  <c r="AZ80" i="281" s="1"/>
  <c r="BB47" i="273"/>
  <c r="BB50" i="273" s="1"/>
  <c r="BC80" i="273"/>
  <c r="BC81" i="273" s="1"/>
  <c r="BC95" i="273" s="1"/>
  <c r="BD96" i="273" s="1"/>
  <c r="BD49" i="273" s="1"/>
  <c r="BC125" i="273"/>
  <c r="BC126" i="273" s="1"/>
  <c r="BC29" i="281" s="1"/>
  <c r="BC30" i="281" s="1"/>
  <c r="BC37" i="281" s="1"/>
  <c r="AZ9" i="265"/>
  <c r="AZ11" i="265" s="1"/>
  <c r="AZ14" i="265" s="1"/>
  <c r="AZ19" i="265" s="1"/>
  <c r="AZ22" i="265" s="1"/>
  <c r="AZ102" i="281"/>
  <c r="BB20" i="275"/>
  <c r="BC17" i="275" s="1"/>
  <c r="BB69" i="273"/>
  <c r="BC70" i="273" s="1"/>
  <c r="BC48" i="273" s="1"/>
  <c r="BB4" i="275"/>
  <c r="BB114" i="273"/>
  <c r="BB115" i="273" s="1"/>
  <c r="BB12" i="281" s="1"/>
  <c r="BB90" i="273"/>
  <c r="BB91" i="273" s="1"/>
  <c r="BB58" i="281" s="1"/>
  <c r="BB60" i="281" s="1"/>
  <c r="BB70" i="281" s="1"/>
  <c r="BB4" i="265"/>
  <c r="BC32" i="273"/>
  <c r="BC33" i="273" s="1"/>
  <c r="BC38" i="273" s="1"/>
  <c r="BD39" i="273" s="1"/>
  <c r="BD41" i="273" s="1"/>
  <c r="BB103" i="273"/>
  <c r="BB104" i="273" s="1"/>
  <c r="BB107" i="273" s="1"/>
  <c r="BC2" i="280"/>
  <c r="Z63" i="265"/>
  <c r="Z65" i="265" s="1"/>
  <c r="Z67" i="265" s="1"/>
  <c r="Z80" i="265" s="1"/>
  <c r="AA24" i="280"/>
  <c r="BB45" i="281"/>
  <c r="BC86" i="273"/>
  <c r="BC87" i="273" s="1"/>
  <c r="BC59" i="281" s="1"/>
  <c r="BB13" i="281"/>
  <c r="AZ65" i="281"/>
  <c r="BB69" i="281" s="1"/>
  <c r="AZ79" i="281"/>
  <c r="BB90" i="281"/>
  <c r="BB76" i="281"/>
  <c r="BB99" i="281"/>
  <c r="AY25" i="265"/>
  <c r="AX94" i="281"/>
  <c r="AX96" i="281" s="1"/>
  <c r="AX103" i="281" s="1"/>
  <c r="AX104" i="281" s="1"/>
  <c r="AY101" i="281" s="1"/>
  <c r="BF5" i="281"/>
  <c r="BF5" i="280"/>
  <c r="BD24" i="273"/>
  <c r="BD25" i="273" s="1"/>
  <c r="BD119" i="273"/>
  <c r="BC2" i="281"/>
  <c r="BC120" i="273"/>
  <c r="BC121" i="273" s="1"/>
  <c r="BC2" i="265"/>
  <c r="BC2" i="273"/>
  <c r="BC2" i="275"/>
  <c r="BC65" i="273"/>
  <c r="BC66" i="273" s="1"/>
  <c r="BC99" i="281" s="1"/>
  <c r="BB108" i="273"/>
  <c r="BB109" i="273" s="1"/>
  <c r="AV13" i="280"/>
  <c r="AV16" i="280" s="1"/>
  <c r="AU74" i="265"/>
  <c r="AU75" i="265" s="1"/>
  <c r="AU81" i="265" s="1"/>
  <c r="BD86" i="273"/>
  <c r="BD87" i="273" s="1"/>
  <c r="BD59" i="281" s="1"/>
  <c r="BC108" i="273"/>
  <c r="BC113" i="273"/>
  <c r="BA3" i="280"/>
  <c r="BA3" i="281"/>
  <c r="BC4" i="280"/>
  <c r="BC4" i="281"/>
  <c r="BB4" i="273"/>
  <c r="BB4" i="280"/>
  <c r="BF13" i="273"/>
  <c r="BF14" i="273" s="1"/>
  <c r="BG10" i="273"/>
  <c r="BG64" i="281" s="1"/>
  <c r="BF5" i="273"/>
  <c r="BF5" i="265"/>
  <c r="BF5" i="275"/>
  <c r="BE19" i="273"/>
  <c r="BE20" i="273" s="1"/>
  <c r="BE46" i="273"/>
  <c r="BE37" i="273"/>
  <c r="BA3" i="275"/>
  <c r="BA3" i="273"/>
  <c r="BA3" i="265"/>
  <c r="BC4" i="265"/>
  <c r="BC4" i="273"/>
  <c r="BC4" i="275"/>
  <c r="BB56" i="273"/>
  <c r="BB57" i="273" s="1"/>
  <c r="BA89" i="281" l="1"/>
  <c r="BA91" i="281" s="1"/>
  <c r="BA95" i="281" s="1"/>
  <c r="BA9" i="265"/>
  <c r="BA11" i="265" s="1"/>
  <c r="BA14" i="265" s="1"/>
  <c r="BA19" i="265" s="1"/>
  <c r="BA22" i="265" s="1"/>
  <c r="BA14" i="280" s="1"/>
  <c r="AZ30" i="265"/>
  <c r="BB71" i="281"/>
  <c r="BA80" i="281"/>
  <c r="BA30" i="265"/>
  <c r="BD65" i="273"/>
  <c r="BD66" i="273" s="1"/>
  <c r="BD69" i="273" s="1"/>
  <c r="BE70" i="273" s="1"/>
  <c r="BE48" i="273" s="1"/>
  <c r="BD125" i="273"/>
  <c r="BD126" i="273" s="1"/>
  <c r="BD29" i="281" s="1"/>
  <c r="BD30" i="281" s="1"/>
  <c r="BD37" i="281" s="1"/>
  <c r="BD2" i="273"/>
  <c r="BD32" i="273"/>
  <c r="BD33" i="273" s="1"/>
  <c r="BD113" i="273" s="1"/>
  <c r="AZ14" i="280"/>
  <c r="AZ25" i="265"/>
  <c r="BD108" i="273"/>
  <c r="BD90" i="273"/>
  <c r="BB14" i="281"/>
  <c r="BB36" i="281" s="1"/>
  <c r="BD2" i="265"/>
  <c r="BD2" i="275"/>
  <c r="BD2" i="280"/>
  <c r="BD80" i="273"/>
  <c r="BD81" i="273" s="1"/>
  <c r="BD95" i="273" s="1"/>
  <c r="BE96" i="273" s="1"/>
  <c r="BE49" i="273" s="1"/>
  <c r="BC103" i="273"/>
  <c r="BC104" i="273" s="1"/>
  <c r="BC107" i="273" s="1"/>
  <c r="BC90" i="273"/>
  <c r="BC91" i="273" s="1"/>
  <c r="BC114" i="273"/>
  <c r="BC115" i="273" s="1"/>
  <c r="BC12" i="281" s="1"/>
  <c r="BC13" i="281"/>
  <c r="AA33" i="265"/>
  <c r="AA37" i="265" s="1"/>
  <c r="AA42" i="265" s="1"/>
  <c r="AA47" i="265" s="1"/>
  <c r="AA50" i="265" s="1"/>
  <c r="AA81" i="281"/>
  <c r="Z83" i="265"/>
  <c r="Z82" i="265"/>
  <c r="BA102" i="281"/>
  <c r="BA25" i="265"/>
  <c r="BA65" i="281"/>
  <c r="BC69" i="281" s="1"/>
  <c r="BA79" i="281"/>
  <c r="BD114" i="273"/>
  <c r="BD103" i="273"/>
  <c r="BC22" i="280"/>
  <c r="BC45" i="281"/>
  <c r="BC90" i="281"/>
  <c r="AY94" i="281"/>
  <c r="AY96" i="281" s="1"/>
  <c r="AY103" i="281" s="1"/>
  <c r="AY104" i="281" s="1"/>
  <c r="AZ101" i="281" s="1"/>
  <c r="BE24" i="273"/>
  <c r="BE25" i="273" s="1"/>
  <c r="BE119" i="273"/>
  <c r="BG5" i="281"/>
  <c r="BG5" i="280"/>
  <c r="BC76" i="281"/>
  <c r="BC47" i="273"/>
  <c r="BC50" i="273" s="1"/>
  <c r="BC56" i="273" s="1"/>
  <c r="BC57" i="273" s="1"/>
  <c r="BC15" i="275"/>
  <c r="BC20" i="275" s="1"/>
  <c r="BD17" i="275" s="1"/>
  <c r="BC69" i="273"/>
  <c r="BD70" i="273" s="1"/>
  <c r="BD48" i="273" s="1"/>
  <c r="BD115" i="273"/>
  <c r="BD12" i="281" s="1"/>
  <c r="BD42" i="273"/>
  <c r="BD4" i="280" s="1"/>
  <c r="BC11" i="280"/>
  <c r="BC109" i="273"/>
  <c r="BD2" i="281"/>
  <c r="BD120" i="273"/>
  <c r="BD121" i="273" s="1"/>
  <c r="AV74" i="265"/>
  <c r="AV75" i="265" s="1"/>
  <c r="AV81" i="265" s="1"/>
  <c r="AW13" i="280"/>
  <c r="AW16" i="280" s="1"/>
  <c r="BB3" i="280"/>
  <c r="BB3" i="281"/>
  <c r="BD45" i="281"/>
  <c r="BD13" i="281"/>
  <c r="BE2" i="273"/>
  <c r="BF19" i="273"/>
  <c r="BF20" i="273" s="1"/>
  <c r="BF46" i="273"/>
  <c r="BF37" i="273"/>
  <c r="BG13" i="273"/>
  <c r="BG14" i="273" s="1"/>
  <c r="BH10" i="273"/>
  <c r="BH64" i="281" s="1"/>
  <c r="BG5" i="273"/>
  <c r="BG5" i="275"/>
  <c r="BG5" i="265"/>
  <c r="BB3" i="273"/>
  <c r="BB3" i="275"/>
  <c r="BB3" i="265"/>
  <c r="BB80" i="281" l="1"/>
  <c r="BB30" i="265"/>
  <c r="BB38" i="281"/>
  <c r="BB44" i="281" s="1"/>
  <c r="BB46" i="281" s="1"/>
  <c r="BD4" i="281"/>
  <c r="BE2" i="280"/>
  <c r="BE125" i="273"/>
  <c r="BE126" i="273" s="1"/>
  <c r="BE29" i="281" s="1"/>
  <c r="BE30" i="281" s="1"/>
  <c r="BE37" i="281" s="1"/>
  <c r="BD38" i="273"/>
  <c r="BE39" i="273" s="1"/>
  <c r="BE41" i="273" s="1"/>
  <c r="BE42" i="273" s="1"/>
  <c r="BE4" i="281" s="1"/>
  <c r="BD91" i="273"/>
  <c r="BD58" i="281" s="1"/>
  <c r="BD60" i="281" s="1"/>
  <c r="BD70" i="281" s="1"/>
  <c r="BC58" i="281"/>
  <c r="BC60" i="281" s="1"/>
  <c r="BE2" i="275"/>
  <c r="BC14" i="281"/>
  <c r="BC36" i="281" s="1"/>
  <c r="BD4" i="273"/>
  <c r="AB78" i="281"/>
  <c r="AA64" i="265"/>
  <c r="AA30" i="280"/>
  <c r="AA53" i="265"/>
  <c r="AA25" i="280"/>
  <c r="AA27" i="280" s="1"/>
  <c r="BD104" i="273"/>
  <c r="BD14" i="281"/>
  <c r="BD36" i="281" s="1"/>
  <c r="BD38" i="281" s="1"/>
  <c r="BD4" i="275"/>
  <c r="BD11" i="280"/>
  <c r="BD76" i="281"/>
  <c r="BD99" i="281"/>
  <c r="BD22" i="280"/>
  <c r="BD15" i="275"/>
  <c r="BD20" i="275" s="1"/>
  <c r="BE17" i="275" s="1"/>
  <c r="BD47" i="273"/>
  <c r="BD50" i="273" s="1"/>
  <c r="BD56" i="273" s="1"/>
  <c r="BD57" i="273" s="1"/>
  <c r="BD90" i="281"/>
  <c r="AZ94" i="281"/>
  <c r="AZ96" i="281" s="1"/>
  <c r="AZ103" i="281" s="1"/>
  <c r="AZ104" i="281" s="1"/>
  <c r="BA101" i="281" s="1"/>
  <c r="BF24" i="273"/>
  <c r="BF25" i="273" s="1"/>
  <c r="BF86" i="273" s="1"/>
  <c r="BF87" i="273" s="1"/>
  <c r="BF59" i="281" s="1"/>
  <c r="BF119" i="273"/>
  <c r="BE2" i="281"/>
  <c r="BE120" i="273"/>
  <c r="BE121" i="273" s="1"/>
  <c r="BE80" i="273"/>
  <c r="BE81" i="273" s="1"/>
  <c r="BE95" i="273" s="1"/>
  <c r="BF96" i="273" s="1"/>
  <c r="BF49" i="273" s="1"/>
  <c r="BD4" i="265"/>
  <c r="BH5" i="281"/>
  <c r="BH5" i="280"/>
  <c r="BE2" i="265"/>
  <c r="BE65" i="273"/>
  <c r="BE66" i="273" s="1"/>
  <c r="BE99" i="281" s="1"/>
  <c r="BE86" i="273"/>
  <c r="BE87" i="273" s="1"/>
  <c r="BE59" i="281" s="1"/>
  <c r="BE32" i="273"/>
  <c r="BE33" i="273" s="1"/>
  <c r="BD109" i="273"/>
  <c r="AX13" i="280"/>
  <c r="AX16" i="280" s="1"/>
  <c r="AW74" i="265"/>
  <c r="AW75" i="265" s="1"/>
  <c r="AW81" i="265" s="1"/>
  <c r="BC3" i="280"/>
  <c r="BC3" i="281"/>
  <c r="BF32" i="273"/>
  <c r="BF33" i="273" s="1"/>
  <c r="BF113" i="273" s="1"/>
  <c r="BG19" i="273"/>
  <c r="BG20" i="273" s="1"/>
  <c r="BG46" i="273"/>
  <c r="BG37" i="273"/>
  <c r="BF2" i="273"/>
  <c r="BH13" i="273"/>
  <c r="BH14" i="273" s="1"/>
  <c r="BI10" i="273"/>
  <c r="BI64" i="281" s="1"/>
  <c r="BH5" i="275"/>
  <c r="BH5" i="273"/>
  <c r="BH5" i="265"/>
  <c r="BE4" i="265"/>
  <c r="BD107" i="273"/>
  <c r="BC3" i="273"/>
  <c r="BC3" i="265"/>
  <c r="BC3" i="275"/>
  <c r="BE4" i="280" l="1"/>
  <c r="BC70" i="281"/>
  <c r="BC71" i="281" s="1"/>
  <c r="BC30" i="265" s="1"/>
  <c r="BB89" i="281"/>
  <c r="BB91" i="281" s="1"/>
  <c r="BB95" i="281" s="1"/>
  <c r="BB79" i="281"/>
  <c r="BB102" i="281"/>
  <c r="BB9" i="265"/>
  <c r="BB11" i="265" s="1"/>
  <c r="BB14" i="265" s="1"/>
  <c r="BB19" i="265" s="1"/>
  <c r="BB22" i="265" s="1"/>
  <c r="BB25" i="265" s="1"/>
  <c r="BB65" i="281"/>
  <c r="BD69" i="281" s="1"/>
  <c r="BD71" i="281" s="1"/>
  <c r="BF2" i="280"/>
  <c r="BF125" i="273"/>
  <c r="BF126" i="273" s="1"/>
  <c r="BF29" i="281" s="1"/>
  <c r="BF30" i="281" s="1"/>
  <c r="BF37" i="281" s="1"/>
  <c r="BC38" i="281"/>
  <c r="BC44" i="281" s="1"/>
  <c r="BC46" i="281" s="1"/>
  <c r="BE4" i="273"/>
  <c r="BE4" i="275"/>
  <c r="BF2" i="265"/>
  <c r="BE22" i="280"/>
  <c r="BF114" i="273"/>
  <c r="BF90" i="273"/>
  <c r="BE45" i="281"/>
  <c r="BE90" i="273"/>
  <c r="BE91" i="273" s="1"/>
  <c r="AA63" i="265"/>
  <c r="AA65" i="265" s="1"/>
  <c r="AA67" i="265" s="1"/>
  <c r="AA80" i="265" s="1"/>
  <c r="AB24" i="280"/>
  <c r="AB81" i="281"/>
  <c r="AB33" i="265"/>
  <c r="AB37" i="265" s="1"/>
  <c r="AB42" i="265" s="1"/>
  <c r="AB47" i="265" s="1"/>
  <c r="AB50" i="265" s="1"/>
  <c r="BE69" i="273"/>
  <c r="BF70" i="273" s="1"/>
  <c r="BF48" i="273" s="1"/>
  <c r="BD44" i="281"/>
  <c r="BD46" i="281" s="1"/>
  <c r="BD89" i="281" s="1"/>
  <c r="BD91" i="281" s="1"/>
  <c r="BD95" i="281" s="1"/>
  <c r="BF38" i="273"/>
  <c r="BF2" i="275"/>
  <c r="BF80" i="273"/>
  <c r="BF81" i="273" s="1"/>
  <c r="BF95" i="273" s="1"/>
  <c r="BG96" i="273" s="1"/>
  <c r="BG49" i="273" s="1"/>
  <c r="BE13" i="281"/>
  <c r="BE90" i="281"/>
  <c r="BA94" i="281"/>
  <c r="BA96" i="281" s="1"/>
  <c r="BA103" i="281" s="1"/>
  <c r="BA104" i="281" s="1"/>
  <c r="BB101" i="281" s="1"/>
  <c r="BE38" i="273"/>
  <c r="BF39" i="273" s="1"/>
  <c r="BF41" i="273" s="1"/>
  <c r="BE113" i="273"/>
  <c r="BE15" i="275"/>
  <c r="BE20" i="275" s="1"/>
  <c r="BF17" i="275" s="1"/>
  <c r="BE76" i="281"/>
  <c r="BE47" i="273"/>
  <c r="BE50" i="273" s="1"/>
  <c r="BE56" i="273" s="1"/>
  <c r="BE57" i="273" s="1"/>
  <c r="BI5" i="281"/>
  <c r="BI5" i="280"/>
  <c r="BG24" i="273"/>
  <c r="BG25" i="273" s="1"/>
  <c r="BG125" i="273" s="1"/>
  <c r="BG126" i="273" s="1"/>
  <c r="BG29" i="281" s="1"/>
  <c r="BG30" i="281" s="1"/>
  <c r="BG37" i="281" s="1"/>
  <c r="BG119" i="273"/>
  <c r="BE11" i="280"/>
  <c r="BE114" i="273"/>
  <c r="BE115" i="273" s="1"/>
  <c r="BE12" i="281" s="1"/>
  <c r="BE103" i="273"/>
  <c r="BE104" i="273" s="1"/>
  <c r="BE107" i="273" s="1"/>
  <c r="BE108" i="273"/>
  <c r="BE109" i="273" s="1"/>
  <c r="BB14" i="280"/>
  <c r="BF2" i="281"/>
  <c r="BF120" i="273"/>
  <c r="BF121" i="273" s="1"/>
  <c r="BF65" i="273"/>
  <c r="BF66" i="273" s="1"/>
  <c r="AX74" i="265"/>
  <c r="AX75" i="265" s="1"/>
  <c r="AX81" i="265" s="1"/>
  <c r="AY13" i="280"/>
  <c r="AY16" i="280" s="1"/>
  <c r="BD3" i="280"/>
  <c r="BD3" i="281"/>
  <c r="BF108" i="273"/>
  <c r="BF45" i="281"/>
  <c r="BF13" i="281"/>
  <c r="BF22" i="280"/>
  <c r="BG65" i="273"/>
  <c r="BG66" i="273" s="1"/>
  <c r="BG69" i="273" s="1"/>
  <c r="BH70" i="273" s="1"/>
  <c r="BH48" i="273" s="1"/>
  <c r="BF103" i="273"/>
  <c r="BG2" i="265"/>
  <c r="BI13" i="273"/>
  <c r="BI14" i="273" s="1"/>
  <c r="BJ10" i="273"/>
  <c r="BJ64" i="281" s="1"/>
  <c r="BI5" i="275"/>
  <c r="BI5" i="265"/>
  <c r="BI5" i="273"/>
  <c r="BG32" i="273"/>
  <c r="BG33" i="273" s="1"/>
  <c r="BG38" i="273" s="1"/>
  <c r="BH19" i="273"/>
  <c r="BH20" i="273" s="1"/>
  <c r="BH46" i="273"/>
  <c r="BH37" i="273"/>
  <c r="BD3" i="265"/>
  <c r="BD3" i="275"/>
  <c r="BD3" i="273"/>
  <c r="BF69" i="273"/>
  <c r="BG70" i="273" s="1"/>
  <c r="BG48" i="273" s="1"/>
  <c r="BC80" i="281" l="1"/>
  <c r="BF104" i="273"/>
  <c r="BD80" i="281"/>
  <c r="BD30" i="265"/>
  <c r="BC102" i="281"/>
  <c r="BC89" i="281"/>
  <c r="BC91" i="281" s="1"/>
  <c r="BC95" i="281" s="1"/>
  <c r="BC79" i="281"/>
  <c r="BC65" i="281"/>
  <c r="BE69" i="281" s="1"/>
  <c r="BC9" i="265"/>
  <c r="BC11" i="265" s="1"/>
  <c r="BC14" i="265" s="1"/>
  <c r="BC19" i="265" s="1"/>
  <c r="BC22" i="265" s="1"/>
  <c r="BC14" i="280" s="1"/>
  <c r="BF91" i="273"/>
  <c r="BF58" i="281" s="1"/>
  <c r="BF60" i="281" s="1"/>
  <c r="BF70" i="281" s="1"/>
  <c r="BE58" i="281"/>
  <c r="BE60" i="281" s="1"/>
  <c r="BE14" i="281"/>
  <c r="BE36" i="281" s="1"/>
  <c r="BE38" i="281" s="1"/>
  <c r="BD65" i="281"/>
  <c r="BF69" i="281" s="1"/>
  <c r="BD9" i="265"/>
  <c r="BD11" i="265" s="1"/>
  <c r="BD14" i="265" s="1"/>
  <c r="BD19" i="265" s="1"/>
  <c r="BD22" i="265" s="1"/>
  <c r="BD14" i="280" s="1"/>
  <c r="BD79" i="281"/>
  <c r="BD102" i="281"/>
  <c r="AB30" i="280"/>
  <c r="AB25" i="280"/>
  <c r="AB27" i="280" s="1"/>
  <c r="AB53" i="265"/>
  <c r="AC78" i="281"/>
  <c r="AB64" i="265"/>
  <c r="AA83" i="265"/>
  <c r="AA82" i="265"/>
  <c r="BD25" i="265"/>
  <c r="BF109" i="273"/>
  <c r="BF76" i="281"/>
  <c r="BF99" i="281"/>
  <c r="BG76" i="281"/>
  <c r="BG99" i="281"/>
  <c r="BF90" i="281"/>
  <c r="BF115" i="273"/>
  <c r="BF12" i="281" s="1"/>
  <c r="BF14" i="281" s="1"/>
  <c r="BF36" i="281" s="1"/>
  <c r="BF38" i="281" s="1"/>
  <c r="BE44" i="281"/>
  <c r="BE46" i="281" s="1"/>
  <c r="BE65" i="281" s="1"/>
  <c r="BG69" i="281" s="1"/>
  <c r="BB94" i="281"/>
  <c r="BB96" i="281" s="1"/>
  <c r="BB103" i="281" s="1"/>
  <c r="BB104" i="281" s="1"/>
  <c r="BC101" i="281" s="1"/>
  <c r="BE79" i="281"/>
  <c r="BG2" i="281"/>
  <c r="BG120" i="273"/>
  <c r="BG121" i="273" s="1"/>
  <c r="BG2" i="273"/>
  <c r="BF15" i="275"/>
  <c r="BF20" i="275" s="1"/>
  <c r="BG17" i="275" s="1"/>
  <c r="BF47" i="273"/>
  <c r="BF50" i="273" s="1"/>
  <c r="BF56" i="273" s="1"/>
  <c r="BF57" i="273" s="1"/>
  <c r="BG15" i="275"/>
  <c r="BG20" i="275" s="1"/>
  <c r="BH17" i="275" s="1"/>
  <c r="BG47" i="273"/>
  <c r="BH24" i="273"/>
  <c r="BH25" i="273" s="1"/>
  <c r="BH119" i="273"/>
  <c r="BG2" i="275"/>
  <c r="BJ5" i="281"/>
  <c r="BJ5" i="280"/>
  <c r="BG80" i="273"/>
  <c r="BG81" i="273" s="1"/>
  <c r="BG95" i="273" s="1"/>
  <c r="BH96" i="273" s="1"/>
  <c r="BH49" i="273" s="1"/>
  <c r="BG86" i="273"/>
  <c r="BG87" i="273" s="1"/>
  <c r="BG2" i="280"/>
  <c r="BF11" i="280"/>
  <c r="BF42" i="273"/>
  <c r="BG39" i="273"/>
  <c r="BG41" i="273" s="1"/>
  <c r="AZ13" i="280"/>
  <c r="AZ16" i="280" s="1"/>
  <c r="AY74" i="265"/>
  <c r="AY75" i="265" s="1"/>
  <c r="AY81" i="265" s="1"/>
  <c r="BE3" i="280"/>
  <c r="BE3" i="281"/>
  <c r="BG22" i="280"/>
  <c r="BG11" i="280"/>
  <c r="BG113" i="273"/>
  <c r="BI37" i="273"/>
  <c r="BI19" i="273"/>
  <c r="BI20" i="273" s="1"/>
  <c r="BI46" i="273"/>
  <c r="BJ13" i="273"/>
  <c r="BJ14" i="273" s="1"/>
  <c r="BK10" i="273"/>
  <c r="BK64" i="281" s="1"/>
  <c r="BJ5" i="273"/>
  <c r="BJ5" i="265"/>
  <c r="BJ5" i="275"/>
  <c r="BE3" i="273"/>
  <c r="BE3" i="265"/>
  <c r="BE3" i="275"/>
  <c r="BF107" i="273"/>
  <c r="BF71" i="281" l="1"/>
  <c r="BE70" i="281"/>
  <c r="BE71" i="281" s="1"/>
  <c r="BC25" i="265"/>
  <c r="BH2" i="280"/>
  <c r="BH125" i="273"/>
  <c r="BH126" i="273" s="1"/>
  <c r="BH29" i="281" s="1"/>
  <c r="BH30" i="281" s="1"/>
  <c r="BH37" i="281" s="1"/>
  <c r="BG50" i="273"/>
  <c r="BG56" i="273" s="1"/>
  <c r="BG57" i="273" s="1"/>
  <c r="BG90" i="273"/>
  <c r="BG91" i="273" s="1"/>
  <c r="BG58" i="281" s="1"/>
  <c r="BG59" i="281"/>
  <c r="AC81" i="281"/>
  <c r="AC33" i="265"/>
  <c r="AC37" i="265" s="1"/>
  <c r="AC42" i="265" s="1"/>
  <c r="AC47" i="265" s="1"/>
  <c r="AC50" i="265" s="1"/>
  <c r="AB63" i="265"/>
  <c r="AB65" i="265" s="1"/>
  <c r="AB67" i="265" s="1"/>
  <c r="AB80" i="265" s="1"/>
  <c r="AC24" i="280"/>
  <c r="BH2" i="265"/>
  <c r="BF44" i="281"/>
  <c r="BF46" i="281" s="1"/>
  <c r="BF102" i="281" s="1"/>
  <c r="BH2" i="275"/>
  <c r="BG90" i="281"/>
  <c r="BC94" i="281"/>
  <c r="BC96" i="281" s="1"/>
  <c r="BC103" i="281" s="1"/>
  <c r="BC104" i="281" s="1"/>
  <c r="BD101" i="281" s="1"/>
  <c r="BE102" i="281"/>
  <c r="BE89" i="281"/>
  <c r="BE91" i="281" s="1"/>
  <c r="BE95" i="281" s="1"/>
  <c r="BE9" i="265"/>
  <c r="BE11" i="265" s="1"/>
  <c r="BE14" i="265" s="1"/>
  <c r="BE19" i="265" s="1"/>
  <c r="BE22" i="265" s="1"/>
  <c r="BK5" i="281"/>
  <c r="BK5" i="280"/>
  <c r="BG42" i="273"/>
  <c r="BG114" i="273"/>
  <c r="BG115" i="273" s="1"/>
  <c r="BG12" i="281" s="1"/>
  <c r="BG103" i="273"/>
  <c r="BG104" i="273" s="1"/>
  <c r="BG107" i="273" s="1"/>
  <c r="BG108" i="273"/>
  <c r="BG109" i="273" s="1"/>
  <c r="BH2" i="281"/>
  <c r="BH120" i="273"/>
  <c r="BH121" i="273" s="1"/>
  <c r="BH80" i="273"/>
  <c r="BH81" i="273" s="1"/>
  <c r="BH95" i="273" s="1"/>
  <c r="BI96" i="273" s="1"/>
  <c r="BI49" i="273" s="1"/>
  <c r="BH65" i="273"/>
  <c r="BH66" i="273" s="1"/>
  <c r="BH99" i="281" s="1"/>
  <c r="BH2" i="273"/>
  <c r="BH86" i="273"/>
  <c r="BH87" i="273" s="1"/>
  <c r="BH59" i="281" s="1"/>
  <c r="BI24" i="273"/>
  <c r="BI25" i="273" s="1"/>
  <c r="BI119" i="273"/>
  <c r="BH32" i="273"/>
  <c r="BH33" i="273" s="1"/>
  <c r="BG13" i="281"/>
  <c r="BG14" i="281" s="1"/>
  <c r="BG36" i="281" s="1"/>
  <c r="BG38" i="281" s="1"/>
  <c r="BG45" i="281"/>
  <c r="BF4" i="281"/>
  <c r="BF4" i="273"/>
  <c r="BF4" i="280"/>
  <c r="BF4" i="275"/>
  <c r="BF4" i="265"/>
  <c r="BH39" i="273"/>
  <c r="BH41" i="273" s="1"/>
  <c r="AZ74" i="265"/>
  <c r="AZ75" i="265" s="1"/>
  <c r="AZ81" i="265" s="1"/>
  <c r="BA13" i="280"/>
  <c r="BA16" i="280" s="1"/>
  <c r="BF3" i="280"/>
  <c r="BF3" i="281"/>
  <c r="BI65" i="273"/>
  <c r="BI2" i="275"/>
  <c r="BI2" i="280"/>
  <c r="BI2" i="265"/>
  <c r="BL10" i="273"/>
  <c r="BL64" i="281" s="1"/>
  <c r="BK5" i="273"/>
  <c r="BK13" i="273"/>
  <c r="BK14" i="273" s="1"/>
  <c r="BK5" i="265"/>
  <c r="BK5" i="275"/>
  <c r="BJ19" i="273"/>
  <c r="BJ20" i="273" s="1"/>
  <c r="BJ46" i="273"/>
  <c r="BJ37" i="273"/>
  <c r="BF3" i="265"/>
  <c r="BF3" i="273"/>
  <c r="BF3" i="275"/>
  <c r="BE30" i="265" l="1"/>
  <c r="BE80" i="281"/>
  <c r="BF80" i="281"/>
  <c r="BF30" i="265"/>
  <c r="BI2" i="281"/>
  <c r="BI125" i="273"/>
  <c r="BI126" i="273" s="1"/>
  <c r="BI29" i="281" s="1"/>
  <c r="BI30" i="281" s="1"/>
  <c r="BI37" i="281" s="1"/>
  <c r="BG60" i="281"/>
  <c r="BF65" i="281"/>
  <c r="BH69" i="281" s="1"/>
  <c r="BH103" i="273"/>
  <c r="BH90" i="273"/>
  <c r="BH91" i="273" s="1"/>
  <c r="BH58" i="281" s="1"/>
  <c r="BH60" i="281" s="1"/>
  <c r="BH70" i="281" s="1"/>
  <c r="BF9" i="265"/>
  <c r="BF11" i="265" s="1"/>
  <c r="BF14" i="265" s="1"/>
  <c r="BF19" i="265" s="1"/>
  <c r="BF22" i="265" s="1"/>
  <c r="BF14" i="280" s="1"/>
  <c r="BI86" i="273"/>
  <c r="BI87" i="273" s="1"/>
  <c r="BI59" i="281" s="1"/>
  <c r="BI2" i="273"/>
  <c r="BI32" i="273"/>
  <c r="BI33" i="273" s="1"/>
  <c r="BI113" i="273" s="1"/>
  <c r="BH104" i="273"/>
  <c r="BH107" i="273" s="1"/>
  <c r="BF79" i="281"/>
  <c r="BF89" i="281"/>
  <c r="BF91" i="281" s="1"/>
  <c r="BF95" i="281" s="1"/>
  <c r="AC30" i="280"/>
  <c r="AC53" i="265"/>
  <c r="AC25" i="280"/>
  <c r="AC27" i="280" s="1"/>
  <c r="AB83" i="265"/>
  <c r="AB82" i="265"/>
  <c r="AD78" i="281"/>
  <c r="AC64" i="265"/>
  <c r="BH13" i="281"/>
  <c r="BH45" i="281"/>
  <c r="BH90" i="281"/>
  <c r="BD94" i="281"/>
  <c r="BD96" i="281" s="1"/>
  <c r="BD103" i="281" s="1"/>
  <c r="BD104" i="281" s="1"/>
  <c r="BE101" i="281" s="1"/>
  <c r="BG44" i="281"/>
  <c r="BG46" i="281" s="1"/>
  <c r="BG79" i="281" s="1"/>
  <c r="BE14" i="280"/>
  <c r="BE25" i="265"/>
  <c r="BH76" i="281"/>
  <c r="BH22" i="280"/>
  <c r="BH47" i="273"/>
  <c r="BH50" i="273" s="1"/>
  <c r="BH56" i="273" s="1"/>
  <c r="BH57" i="273" s="1"/>
  <c r="BH15" i="275"/>
  <c r="BH20" i="275" s="1"/>
  <c r="BI17" i="275" s="1"/>
  <c r="BH11" i="280"/>
  <c r="BH69" i="273"/>
  <c r="BI70" i="273" s="1"/>
  <c r="BI48" i="273" s="1"/>
  <c r="BG4" i="280"/>
  <c r="BG4" i="273"/>
  <c r="BG4" i="281"/>
  <c r="BG4" i="265"/>
  <c r="BG4" i="275"/>
  <c r="BJ24" i="273"/>
  <c r="BJ25" i="273" s="1"/>
  <c r="BJ2" i="275" s="1"/>
  <c r="BJ119" i="273"/>
  <c r="BL5" i="281"/>
  <c r="BL5" i="280"/>
  <c r="BH108" i="273"/>
  <c r="BH109" i="273" s="1"/>
  <c r="BI66" i="273"/>
  <c r="BI99" i="281" s="1"/>
  <c r="BH114" i="273"/>
  <c r="BH115" i="273" s="1"/>
  <c r="BH12" i="281" s="1"/>
  <c r="BH42" i="273"/>
  <c r="BH38" i="273"/>
  <c r="BI39" i="273" s="1"/>
  <c r="BI41" i="273" s="1"/>
  <c r="BH113" i="273"/>
  <c r="BI80" i="273"/>
  <c r="BI81" i="273" s="1"/>
  <c r="BI95" i="273" s="1"/>
  <c r="BJ96" i="273" s="1"/>
  <c r="BJ49" i="273" s="1"/>
  <c r="BI120" i="273"/>
  <c r="BI121" i="273" s="1"/>
  <c r="BA74" i="265"/>
  <c r="BA75" i="265" s="1"/>
  <c r="BA81" i="265" s="1"/>
  <c r="BB13" i="280"/>
  <c r="BB16" i="280" s="1"/>
  <c r="BG3" i="280"/>
  <c r="BG3" i="281"/>
  <c r="BJ65" i="273"/>
  <c r="BJ66" i="273" s="1"/>
  <c r="BJ69" i="273" s="1"/>
  <c r="BK70" i="273" s="1"/>
  <c r="BK48" i="273" s="1"/>
  <c r="BK19" i="273"/>
  <c r="BK20" i="273" s="1"/>
  <c r="BK46" i="273"/>
  <c r="BK37" i="273"/>
  <c r="BL13" i="273"/>
  <c r="BL14" i="273" s="1"/>
  <c r="BM10" i="273"/>
  <c r="BM64" i="281" s="1"/>
  <c r="BL5" i="275"/>
  <c r="BL5" i="273"/>
  <c r="BL5" i="265"/>
  <c r="BG3" i="275"/>
  <c r="BG3" i="273"/>
  <c r="BG3" i="265"/>
  <c r="BI114" i="273" l="1"/>
  <c r="BH71" i="281"/>
  <c r="BG70" i="281"/>
  <c r="BG71" i="281" s="1"/>
  <c r="BG80" i="281" s="1"/>
  <c r="BF25" i="265"/>
  <c r="BG30" i="265"/>
  <c r="BJ2" i="280"/>
  <c r="BJ125" i="273"/>
  <c r="BJ126" i="273" s="1"/>
  <c r="BJ29" i="281" s="1"/>
  <c r="BJ30" i="281" s="1"/>
  <c r="BJ37" i="281" s="1"/>
  <c r="BI13" i="281"/>
  <c r="BI108" i="273"/>
  <c r="BI90" i="273"/>
  <c r="BI91" i="273" s="1"/>
  <c r="BI58" i="281" s="1"/>
  <c r="BI60" i="281" s="1"/>
  <c r="BI70" i="281" s="1"/>
  <c r="BI103" i="273"/>
  <c r="BI104" i="273" s="1"/>
  <c r="BI107" i="273" s="1"/>
  <c r="BI45" i="281"/>
  <c r="BI38" i="273"/>
  <c r="AC63" i="265"/>
  <c r="AC65" i="265" s="1"/>
  <c r="AC67" i="265" s="1"/>
  <c r="AC80" i="265" s="1"/>
  <c r="AD24" i="280"/>
  <c r="BH14" i="281"/>
  <c r="BH36" i="281" s="1"/>
  <c r="BJ2" i="265"/>
  <c r="BI90" i="281"/>
  <c r="BJ76" i="281"/>
  <c r="BJ99" i="281"/>
  <c r="BG65" i="281"/>
  <c r="BI69" i="281" s="1"/>
  <c r="BE94" i="281"/>
  <c r="BE96" i="281" s="1"/>
  <c r="BE103" i="281" s="1"/>
  <c r="BE104" i="281" s="1"/>
  <c r="BF101" i="281" s="1"/>
  <c r="BG102" i="281"/>
  <c r="BG89" i="281"/>
  <c r="BG91" i="281" s="1"/>
  <c r="BG95" i="281" s="1"/>
  <c r="BG9" i="265"/>
  <c r="BG11" i="265" s="1"/>
  <c r="BG14" i="265" s="1"/>
  <c r="BG19" i="265" s="1"/>
  <c r="BG22" i="265" s="1"/>
  <c r="BM5" i="281"/>
  <c r="BM5" i="280"/>
  <c r="BJ2" i="281"/>
  <c r="BJ120" i="273"/>
  <c r="BJ121" i="273" s="1"/>
  <c r="BJ80" i="273"/>
  <c r="BJ81" i="273" s="1"/>
  <c r="BJ95" i="273" s="1"/>
  <c r="BK96" i="273" s="1"/>
  <c r="BK49" i="273" s="1"/>
  <c r="BJ39" i="273"/>
  <c r="BJ41" i="273" s="1"/>
  <c r="BJ2" i="273"/>
  <c r="BK24" i="273"/>
  <c r="BK25" i="273" s="1"/>
  <c r="BK119" i="273"/>
  <c r="BJ86" i="273"/>
  <c r="BJ87" i="273" s="1"/>
  <c r="BJ59" i="281" s="1"/>
  <c r="BI42" i="273"/>
  <c r="BI4" i="281" s="1"/>
  <c r="BJ32" i="273"/>
  <c r="BJ33" i="273" s="1"/>
  <c r="BH4" i="280"/>
  <c r="BH4" i="275"/>
  <c r="BH4" i="281"/>
  <c r="BH4" i="265"/>
  <c r="BH4" i="273"/>
  <c r="BI76" i="281"/>
  <c r="BI11" i="280"/>
  <c r="BI47" i="273"/>
  <c r="BI50" i="273" s="1"/>
  <c r="BI56" i="273" s="1"/>
  <c r="BI57" i="273" s="1"/>
  <c r="BI15" i="275"/>
  <c r="BI20" i="275" s="1"/>
  <c r="BJ17" i="275" s="1"/>
  <c r="BI22" i="280"/>
  <c r="BI69" i="273"/>
  <c r="BJ70" i="273" s="1"/>
  <c r="BJ48" i="273" s="1"/>
  <c r="BI115" i="273"/>
  <c r="BI12" i="281" s="1"/>
  <c r="BI109" i="273"/>
  <c r="BC13" i="280"/>
  <c r="BC16" i="280" s="1"/>
  <c r="BB74" i="265"/>
  <c r="BB75" i="265" s="1"/>
  <c r="BB81" i="265" s="1"/>
  <c r="BH3" i="280"/>
  <c r="BH3" i="281"/>
  <c r="BK2" i="273"/>
  <c r="BI4" i="280"/>
  <c r="BJ47" i="273"/>
  <c r="BJ22" i="280"/>
  <c r="BJ11" i="280"/>
  <c r="BJ15" i="275"/>
  <c r="BL19" i="273"/>
  <c r="BL20" i="273" s="1"/>
  <c r="BL46" i="273"/>
  <c r="BL37" i="273"/>
  <c r="BM13" i="273"/>
  <c r="BM14" i="273" s="1"/>
  <c r="BN10" i="273"/>
  <c r="BN64" i="281" s="1"/>
  <c r="BM5" i="275"/>
  <c r="BM5" i="265"/>
  <c r="BM5" i="273"/>
  <c r="BH3" i="275"/>
  <c r="BH3" i="273"/>
  <c r="BH3" i="265"/>
  <c r="BI71" i="281" l="1"/>
  <c r="BH80" i="281"/>
  <c r="BH30" i="265"/>
  <c r="BH38" i="281"/>
  <c r="BH44" i="281" s="1"/>
  <c r="BH46" i="281" s="1"/>
  <c r="BI14" i="281"/>
  <c r="BI36" i="281" s="1"/>
  <c r="BI38" i="281" s="1"/>
  <c r="BK2" i="275"/>
  <c r="BK125" i="273"/>
  <c r="BK126" i="273" s="1"/>
  <c r="BK29" i="281" s="1"/>
  <c r="BK30" i="281" s="1"/>
  <c r="BK37" i="281" s="1"/>
  <c r="BJ114" i="273"/>
  <c r="BJ90" i="273"/>
  <c r="BJ91" i="273" s="1"/>
  <c r="BJ58" i="281" s="1"/>
  <c r="BJ60" i="281" s="1"/>
  <c r="BJ70" i="281" s="1"/>
  <c r="AD33" i="265"/>
  <c r="AD37" i="265" s="1"/>
  <c r="AD42" i="265" s="1"/>
  <c r="AD47" i="265" s="1"/>
  <c r="AD50" i="265" s="1"/>
  <c r="AD81" i="281"/>
  <c r="AC82" i="265"/>
  <c r="AC83" i="265"/>
  <c r="BJ20" i="275"/>
  <c r="BK17" i="275" s="1"/>
  <c r="BK65" i="273"/>
  <c r="BK66" i="273" s="1"/>
  <c r="BK99" i="281" s="1"/>
  <c r="BJ13" i="281"/>
  <c r="BJ115" i="273"/>
  <c r="BJ12" i="281" s="1"/>
  <c r="BJ90" i="281"/>
  <c r="BJ50" i="273"/>
  <c r="BJ56" i="273" s="1"/>
  <c r="BJ57" i="273" s="1"/>
  <c r="BK86" i="273"/>
  <c r="BK87" i="273" s="1"/>
  <c r="BK59" i="281" s="1"/>
  <c r="BJ45" i="281"/>
  <c r="BF94" i="281"/>
  <c r="BF96" i="281" s="1"/>
  <c r="BF103" i="281" s="1"/>
  <c r="BF104" i="281" s="1"/>
  <c r="BG101" i="281" s="1"/>
  <c r="BG14" i="280"/>
  <c r="BG25" i="265"/>
  <c r="BI44" i="281"/>
  <c r="BI46" i="281" s="1"/>
  <c r="BL24" i="273"/>
  <c r="BL25" i="273" s="1"/>
  <c r="BL119" i="273"/>
  <c r="BK2" i="281"/>
  <c r="BK120" i="273"/>
  <c r="BK121" i="273" s="1"/>
  <c r="BK80" i="273"/>
  <c r="BK81" i="273" s="1"/>
  <c r="BK95" i="273" s="1"/>
  <c r="BL96" i="273" s="1"/>
  <c r="BL49" i="273" s="1"/>
  <c r="BJ42" i="273"/>
  <c r="BN5" i="281"/>
  <c r="BN5" i="280"/>
  <c r="BK32" i="273"/>
  <c r="BK33" i="273" s="1"/>
  <c r="BK2" i="265"/>
  <c r="BJ103" i="273"/>
  <c r="BJ104" i="273" s="1"/>
  <c r="BJ107" i="273" s="1"/>
  <c r="BK2" i="280"/>
  <c r="BJ108" i="273"/>
  <c r="BJ109" i="273" s="1"/>
  <c r="BJ113" i="273"/>
  <c r="BJ38" i="273"/>
  <c r="BK39" i="273" s="1"/>
  <c r="BK41" i="273" s="1"/>
  <c r="BK42" i="273" s="1"/>
  <c r="BK4" i="281" s="1"/>
  <c r="BI4" i="273"/>
  <c r="BI4" i="265"/>
  <c r="BI4" i="275"/>
  <c r="BC74" i="265"/>
  <c r="BC75" i="265" s="1"/>
  <c r="BC81" i="265" s="1"/>
  <c r="BD13" i="280"/>
  <c r="BD16" i="280" s="1"/>
  <c r="BI3" i="280"/>
  <c r="BI3" i="281"/>
  <c r="BK108" i="273"/>
  <c r="BK109" i="273" s="1"/>
  <c r="BK114" i="273"/>
  <c r="BM19" i="273"/>
  <c r="BM20" i="273" s="1"/>
  <c r="BM46" i="273"/>
  <c r="BM37" i="273"/>
  <c r="BN13" i="273"/>
  <c r="BN14" i="273" s="1"/>
  <c r="BO10" i="273"/>
  <c r="BO64" i="281" s="1"/>
  <c r="BN5" i="273"/>
  <c r="BN5" i="265"/>
  <c r="BN5" i="275"/>
  <c r="BI3" i="275"/>
  <c r="BI3" i="265"/>
  <c r="BI3" i="273"/>
  <c r="BK69" i="273" l="1"/>
  <c r="BL70" i="273" s="1"/>
  <c r="BL48" i="273" s="1"/>
  <c r="BI80" i="281"/>
  <c r="BI30" i="265"/>
  <c r="BH79" i="281"/>
  <c r="BH65" i="281"/>
  <c r="BJ69" i="281" s="1"/>
  <c r="BJ71" i="281" s="1"/>
  <c r="BH89" i="281"/>
  <c r="BH91" i="281" s="1"/>
  <c r="BH95" i="281" s="1"/>
  <c r="BH9" i="265"/>
  <c r="BH11" i="265" s="1"/>
  <c r="BH14" i="265" s="1"/>
  <c r="BH19" i="265" s="1"/>
  <c r="BH22" i="265" s="1"/>
  <c r="BH14" i="280" s="1"/>
  <c r="BH102" i="281"/>
  <c r="BL86" i="273"/>
  <c r="BL87" i="273" s="1"/>
  <c r="BL59" i="281" s="1"/>
  <c r="BL125" i="273"/>
  <c r="BL126" i="273" s="1"/>
  <c r="BL29" i="281" s="1"/>
  <c r="BL30" i="281" s="1"/>
  <c r="BL37" i="281" s="1"/>
  <c r="BK15" i="275"/>
  <c r="BK20" i="275" s="1"/>
  <c r="BL17" i="275" s="1"/>
  <c r="BK11" i="280"/>
  <c r="BK47" i="273"/>
  <c r="BK50" i="273" s="1"/>
  <c r="BK56" i="273" s="1"/>
  <c r="BK57" i="273" s="1"/>
  <c r="BK22" i="280"/>
  <c r="BL90" i="273"/>
  <c r="BK76" i="281"/>
  <c r="BK45" i="281"/>
  <c r="BK90" i="273"/>
  <c r="BK91" i="273" s="1"/>
  <c r="AD64" i="265"/>
  <c r="AE78" i="281"/>
  <c r="AD30" i="280"/>
  <c r="AD25" i="280"/>
  <c r="AD27" i="280" s="1"/>
  <c r="AD53" i="265"/>
  <c r="BK4" i="280"/>
  <c r="BJ14" i="281"/>
  <c r="BJ36" i="281" s="1"/>
  <c r="BL2" i="265"/>
  <c r="BK4" i="265"/>
  <c r="BL65" i="273"/>
  <c r="BL66" i="273" s="1"/>
  <c r="BL99" i="281" s="1"/>
  <c r="BK4" i="273"/>
  <c r="BK4" i="275"/>
  <c r="BK103" i="273"/>
  <c r="BK104" i="273" s="1"/>
  <c r="BK13" i="281"/>
  <c r="BK90" i="281"/>
  <c r="BG94" i="281"/>
  <c r="BG96" i="281" s="1"/>
  <c r="BG103" i="281" s="1"/>
  <c r="BG104" i="281" s="1"/>
  <c r="BH101" i="281" s="1"/>
  <c r="BI102" i="281"/>
  <c r="BI89" i="281"/>
  <c r="BI91" i="281" s="1"/>
  <c r="BI95" i="281" s="1"/>
  <c r="BH25" i="265"/>
  <c r="BK38" i="273"/>
  <c r="BL39" i="273" s="1"/>
  <c r="BL41" i="273" s="1"/>
  <c r="BK113" i="273"/>
  <c r="BJ4" i="280"/>
  <c r="BJ4" i="273"/>
  <c r="BJ4" i="281"/>
  <c r="BJ4" i="265"/>
  <c r="BJ4" i="275"/>
  <c r="BL2" i="281"/>
  <c r="BL120" i="273"/>
  <c r="BL121" i="273" s="1"/>
  <c r="BL2" i="275"/>
  <c r="BL32" i="273"/>
  <c r="BL33" i="273" s="1"/>
  <c r="BO5" i="281"/>
  <c r="BO5" i="280"/>
  <c r="BL80" i="273"/>
  <c r="BL81" i="273" s="1"/>
  <c r="BL95" i="273" s="1"/>
  <c r="BM96" i="273" s="1"/>
  <c r="BM49" i="273" s="1"/>
  <c r="BM24" i="273"/>
  <c r="BM25" i="273" s="1"/>
  <c r="BM119" i="273"/>
  <c r="BL2" i="273"/>
  <c r="BK115" i="273"/>
  <c r="BK12" i="281" s="1"/>
  <c r="BL2" i="280"/>
  <c r="BI9" i="265"/>
  <c r="BI11" i="265" s="1"/>
  <c r="BI14" i="265" s="1"/>
  <c r="BI19" i="265" s="1"/>
  <c r="BI22" i="265" s="1"/>
  <c r="BI79" i="281"/>
  <c r="BI65" i="281"/>
  <c r="BK69" i="281" s="1"/>
  <c r="BE13" i="280"/>
  <c r="BE16" i="280" s="1"/>
  <c r="BD74" i="265"/>
  <c r="BD75" i="265" s="1"/>
  <c r="BD81" i="265" s="1"/>
  <c r="BJ3" i="280"/>
  <c r="BJ3" i="281"/>
  <c r="BL45" i="281"/>
  <c r="BM65" i="273"/>
  <c r="BM66" i="273" s="1"/>
  <c r="BL108" i="273"/>
  <c r="BL109" i="273" s="1"/>
  <c r="BN19" i="273"/>
  <c r="BN20" i="273" s="1"/>
  <c r="BN46" i="273"/>
  <c r="BN37" i="273"/>
  <c r="BO13" i="273"/>
  <c r="BO14" i="273" s="1"/>
  <c r="BP10" i="273"/>
  <c r="BP64" i="281" s="1"/>
  <c r="BO5" i="275"/>
  <c r="BO5" i="265"/>
  <c r="BO5" i="273"/>
  <c r="BJ3" i="275"/>
  <c r="BJ3" i="273"/>
  <c r="BJ3" i="265"/>
  <c r="BK107" i="273"/>
  <c r="BL11" i="280" l="1"/>
  <c r="BL47" i="273"/>
  <c r="BL50" i="273" s="1"/>
  <c r="BJ80" i="281"/>
  <c r="BJ30" i="265"/>
  <c r="BJ38" i="281"/>
  <c r="BJ44" i="281" s="1"/>
  <c r="BJ46" i="281" s="1"/>
  <c r="BL13" i="281"/>
  <c r="BL103" i="273"/>
  <c r="BL104" i="273" s="1"/>
  <c r="BL107" i="273" s="1"/>
  <c r="BM32" i="273"/>
  <c r="BM33" i="273" s="1"/>
  <c r="BM113" i="273" s="1"/>
  <c r="BM125" i="273"/>
  <c r="BM126" i="273" s="1"/>
  <c r="BM29" i="281" s="1"/>
  <c r="BM30" i="281" s="1"/>
  <c r="BM37" i="281" s="1"/>
  <c r="BL114" i="273"/>
  <c r="BL115" i="273" s="1"/>
  <c r="BL12" i="281" s="1"/>
  <c r="BL14" i="281" s="1"/>
  <c r="BL36" i="281" s="1"/>
  <c r="BL38" i="281" s="1"/>
  <c r="BL91" i="273"/>
  <c r="BL58" i="281" s="1"/>
  <c r="BL60" i="281" s="1"/>
  <c r="BL70" i="281" s="1"/>
  <c r="BK58" i="281"/>
  <c r="BK60" i="281" s="1"/>
  <c r="BM2" i="265"/>
  <c r="BL22" i="280"/>
  <c r="BL15" i="275"/>
  <c r="BL20" i="275" s="1"/>
  <c r="BM17" i="275" s="1"/>
  <c r="BL76" i="281"/>
  <c r="AE24" i="280"/>
  <c r="AD63" i="265"/>
  <c r="AD65" i="265" s="1"/>
  <c r="AD67" i="265" s="1"/>
  <c r="AD80" i="265" s="1"/>
  <c r="BL69" i="273"/>
  <c r="BM70" i="273" s="1"/>
  <c r="BM48" i="273" s="1"/>
  <c r="BM38" i="273"/>
  <c r="BM76" i="281"/>
  <c r="BM99" i="281"/>
  <c r="BL90" i="281"/>
  <c r="BL42" i="273"/>
  <c r="BL4" i="280" s="1"/>
  <c r="BK14" i="281"/>
  <c r="BK36" i="281" s="1"/>
  <c r="BK38" i="281" s="1"/>
  <c r="BH94" i="281"/>
  <c r="BH96" i="281" s="1"/>
  <c r="BH103" i="281" s="1"/>
  <c r="BH104" i="281" s="1"/>
  <c r="BI101" i="281" s="1"/>
  <c r="BP5" i="281"/>
  <c r="BP5" i="280"/>
  <c r="BM2" i="281"/>
  <c r="BM120" i="273"/>
  <c r="BM121" i="273" s="1"/>
  <c r="BM86" i="273"/>
  <c r="BM87" i="273" s="1"/>
  <c r="BM2" i="273"/>
  <c r="BN24" i="273"/>
  <c r="BN25" i="273" s="1"/>
  <c r="BN2" i="275" s="1"/>
  <c r="BN119" i="273"/>
  <c r="BM2" i="275"/>
  <c r="BM80" i="273"/>
  <c r="BM81" i="273" s="1"/>
  <c r="BM95" i="273" s="1"/>
  <c r="BN96" i="273" s="1"/>
  <c r="BN49" i="273" s="1"/>
  <c r="BM2" i="280"/>
  <c r="BI14" i="280"/>
  <c r="BI25" i="265"/>
  <c r="BL38" i="273"/>
  <c r="BM39" i="273" s="1"/>
  <c r="BM41" i="273" s="1"/>
  <c r="BL113" i="273"/>
  <c r="BF13" i="280"/>
  <c r="BF16" i="280" s="1"/>
  <c r="BE74" i="265"/>
  <c r="BE75" i="265" s="1"/>
  <c r="BE81" i="265" s="1"/>
  <c r="BK3" i="280"/>
  <c r="BK3" i="281"/>
  <c r="BL4" i="281"/>
  <c r="BM22" i="280"/>
  <c r="BM11" i="280"/>
  <c r="BP13" i="273"/>
  <c r="BP14" i="273" s="1"/>
  <c r="BQ10" i="273"/>
  <c r="BQ64" i="281" s="1"/>
  <c r="BP5" i="273"/>
  <c r="BP5" i="265"/>
  <c r="BP5" i="275"/>
  <c r="BO19" i="273"/>
  <c r="BO20" i="273" s="1"/>
  <c r="BO46" i="273"/>
  <c r="BO37" i="273"/>
  <c r="BM47" i="273"/>
  <c r="BM69" i="273"/>
  <c r="BN70" i="273" s="1"/>
  <c r="BN48" i="273" s="1"/>
  <c r="BM15" i="275"/>
  <c r="BL56" i="273"/>
  <c r="BL57" i="273" s="1"/>
  <c r="BK3" i="275"/>
  <c r="BK3" i="273"/>
  <c r="BK3" i="265"/>
  <c r="BM20" i="275" l="1"/>
  <c r="BN17" i="275" s="1"/>
  <c r="BM50" i="273"/>
  <c r="BN86" i="273"/>
  <c r="BN87" i="273" s="1"/>
  <c r="BN59" i="281" s="1"/>
  <c r="BK70" i="281"/>
  <c r="BK71" i="281" s="1"/>
  <c r="BK30" i="265" s="1"/>
  <c r="BJ102" i="281"/>
  <c r="BJ89" i="281"/>
  <c r="BJ91" i="281" s="1"/>
  <c r="BJ95" i="281" s="1"/>
  <c r="BJ65" i="281"/>
  <c r="BL69" i="281" s="1"/>
  <c r="BL71" i="281" s="1"/>
  <c r="BJ9" i="265"/>
  <c r="BJ11" i="265" s="1"/>
  <c r="BJ14" i="265" s="1"/>
  <c r="BJ19" i="265" s="1"/>
  <c r="BJ22" i="265" s="1"/>
  <c r="BJ25" i="265" s="1"/>
  <c r="BJ79" i="281"/>
  <c r="BN32" i="273"/>
  <c r="BN33" i="273" s="1"/>
  <c r="BN38" i="273" s="1"/>
  <c r="BN125" i="273"/>
  <c r="BN126" i="273" s="1"/>
  <c r="BN29" i="281" s="1"/>
  <c r="BN30" i="281" s="1"/>
  <c r="BN37" i="281" s="1"/>
  <c r="BM90" i="273"/>
  <c r="BM91" i="273" s="1"/>
  <c r="BM58" i="281" s="1"/>
  <c r="BM59" i="281"/>
  <c r="BN90" i="273"/>
  <c r="BN91" i="273" s="1"/>
  <c r="BN58" i="281" s="1"/>
  <c r="BN60" i="281" s="1"/>
  <c r="BN70" i="281" s="1"/>
  <c r="AE33" i="265"/>
  <c r="AE37" i="265" s="1"/>
  <c r="AE42" i="265" s="1"/>
  <c r="AE47" i="265" s="1"/>
  <c r="AE50" i="265" s="1"/>
  <c r="AE81" i="281"/>
  <c r="AD83" i="265"/>
  <c r="AD82" i="265"/>
  <c r="BK44" i="281"/>
  <c r="BK46" i="281" s="1"/>
  <c r="BN65" i="273"/>
  <c r="BN66" i="273" s="1"/>
  <c r="BN99" i="281" s="1"/>
  <c r="BN113" i="273"/>
  <c r="BM90" i="281"/>
  <c r="BL4" i="273"/>
  <c r="BL4" i="275"/>
  <c r="BL4" i="265"/>
  <c r="BJ14" i="280"/>
  <c r="BI94" i="281"/>
  <c r="BI96" i="281" s="1"/>
  <c r="BI103" i="281" s="1"/>
  <c r="BI104" i="281" s="1"/>
  <c r="BJ101" i="281" s="1"/>
  <c r="BO24" i="273"/>
  <c r="BO25" i="273" s="1"/>
  <c r="BO119" i="273"/>
  <c r="BL44" i="281"/>
  <c r="BL46" i="281" s="1"/>
  <c r="BN2" i="281"/>
  <c r="BN120" i="273"/>
  <c r="BN121" i="273" s="1"/>
  <c r="BM108" i="273"/>
  <c r="BM109" i="273" s="1"/>
  <c r="BM45" i="281"/>
  <c r="BM13" i="281"/>
  <c r="BM114" i="273"/>
  <c r="BM115" i="273" s="1"/>
  <c r="BM12" i="281" s="1"/>
  <c r="BM103" i="273"/>
  <c r="BM104" i="273" s="1"/>
  <c r="BN2" i="265"/>
  <c r="BN2" i="273"/>
  <c r="BQ5" i="281"/>
  <c r="BQ5" i="280"/>
  <c r="BN80" i="273"/>
  <c r="BN81" i="273" s="1"/>
  <c r="BN95" i="273" s="1"/>
  <c r="BO96" i="273" s="1"/>
  <c r="BO49" i="273" s="1"/>
  <c r="BN2" i="280"/>
  <c r="BM42" i="273"/>
  <c r="BN39" i="273"/>
  <c r="BN41" i="273" s="1"/>
  <c r="BF74" i="265"/>
  <c r="BF75" i="265" s="1"/>
  <c r="BF81" i="265" s="1"/>
  <c r="BG13" i="280"/>
  <c r="BG16" i="280" s="1"/>
  <c r="BL3" i="280"/>
  <c r="BL3" i="281"/>
  <c r="BN45" i="281"/>
  <c r="BP19" i="273"/>
  <c r="BP20" i="273" s="1"/>
  <c r="BP46" i="273"/>
  <c r="BP37" i="273"/>
  <c r="BQ13" i="273"/>
  <c r="BQ14" i="273" s="1"/>
  <c r="BR10" i="273"/>
  <c r="BR64" i="281" s="1"/>
  <c r="BQ5" i="275"/>
  <c r="BQ5" i="265"/>
  <c r="BQ5" i="273"/>
  <c r="BN69" i="273"/>
  <c r="BO70" i="273" s="1"/>
  <c r="BO48" i="273" s="1"/>
  <c r="BM56" i="273"/>
  <c r="BM57" i="273" s="1"/>
  <c r="BM107" i="273"/>
  <c r="BL3" i="273"/>
  <c r="BL3" i="265"/>
  <c r="BL3" i="275"/>
  <c r="BN13" i="281" l="1"/>
  <c r="BN108" i="273"/>
  <c r="BN103" i="273"/>
  <c r="BN104" i="273" s="1"/>
  <c r="BN107" i="273" s="1"/>
  <c r="BN114" i="273"/>
  <c r="BK80" i="281"/>
  <c r="BL80" i="281"/>
  <c r="BL30" i="265"/>
  <c r="BM60" i="281"/>
  <c r="BM70" i="281" s="1"/>
  <c r="BN76" i="281"/>
  <c r="BO80" i="273"/>
  <c r="BO81" i="273" s="1"/>
  <c r="BO95" i="273" s="1"/>
  <c r="BP96" i="273" s="1"/>
  <c r="BP49" i="273" s="1"/>
  <c r="BO125" i="273"/>
  <c r="BO126" i="273" s="1"/>
  <c r="BO29" i="281" s="1"/>
  <c r="BO30" i="281" s="1"/>
  <c r="BO37" i="281" s="1"/>
  <c r="BO2" i="280"/>
  <c r="BO2" i="273"/>
  <c r="BN22" i="280"/>
  <c r="BN15" i="275"/>
  <c r="BN20" i="275" s="1"/>
  <c r="BO17" i="275" s="1"/>
  <c r="BN47" i="273"/>
  <c r="BN50" i="273" s="1"/>
  <c r="BN56" i="273" s="1"/>
  <c r="BN57" i="273" s="1"/>
  <c r="BO2" i="275"/>
  <c r="BN11" i="280"/>
  <c r="AF78" i="281"/>
  <c r="AE64" i="265"/>
  <c r="AE30" i="280"/>
  <c r="AE53" i="265"/>
  <c r="AE25" i="280"/>
  <c r="AE27" i="280" s="1"/>
  <c r="BK89" i="281"/>
  <c r="BK91" i="281" s="1"/>
  <c r="BK95" i="281" s="1"/>
  <c r="BK65" i="281"/>
  <c r="BM69" i="281" s="1"/>
  <c r="BK9" i="265"/>
  <c r="BK11" i="265" s="1"/>
  <c r="BK14" i="265" s="1"/>
  <c r="BK19" i="265" s="1"/>
  <c r="BK22" i="265" s="1"/>
  <c r="BK14" i="280" s="1"/>
  <c r="BK102" i="281"/>
  <c r="BK79" i="281"/>
  <c r="BN109" i="273"/>
  <c r="BO39" i="273"/>
  <c r="BO41" i="273" s="1"/>
  <c r="BN90" i="281"/>
  <c r="BJ94" i="281"/>
  <c r="BJ96" i="281" s="1"/>
  <c r="BJ103" i="281" s="1"/>
  <c r="BJ104" i="281" s="1"/>
  <c r="BK101" i="281" s="1"/>
  <c r="BL102" i="281"/>
  <c r="BL89" i="281"/>
  <c r="BL91" i="281" s="1"/>
  <c r="BL95" i="281" s="1"/>
  <c r="BR5" i="281"/>
  <c r="BR5" i="280"/>
  <c r="BM4" i="281"/>
  <c r="BM4" i="265"/>
  <c r="BM4" i="280"/>
  <c r="BM4" i="273"/>
  <c r="BM4" i="275"/>
  <c r="BN115" i="273"/>
  <c r="BN12" i="281" s="1"/>
  <c r="BP24" i="273"/>
  <c r="BP25" i="273" s="1"/>
  <c r="BP80" i="273" s="1"/>
  <c r="BP81" i="273" s="1"/>
  <c r="BP95" i="273" s="1"/>
  <c r="BQ96" i="273" s="1"/>
  <c r="BQ49" i="273" s="1"/>
  <c r="BP119" i="273"/>
  <c r="BN42" i="273"/>
  <c r="BM14" i="281"/>
  <c r="BM36" i="281" s="1"/>
  <c r="BM38" i="281" s="1"/>
  <c r="BL9" i="265"/>
  <c r="BL11" i="265" s="1"/>
  <c r="BL14" i="265" s="1"/>
  <c r="BL19" i="265" s="1"/>
  <c r="BL22" i="265" s="1"/>
  <c r="BL79" i="281"/>
  <c r="BL65" i="281"/>
  <c r="BN69" i="281" s="1"/>
  <c r="BN71" i="281" s="1"/>
  <c r="BO2" i="281"/>
  <c r="BO120" i="273"/>
  <c r="BO121" i="273" s="1"/>
  <c r="BO32" i="273"/>
  <c r="BO33" i="273" s="1"/>
  <c r="BO86" i="273"/>
  <c r="BO87" i="273" s="1"/>
  <c r="BO65" i="273"/>
  <c r="BO66" i="273" s="1"/>
  <c r="BO99" i="281" s="1"/>
  <c r="BO2" i="265"/>
  <c r="BG74" i="265"/>
  <c r="BG75" i="265" s="1"/>
  <c r="BG81" i="265" s="1"/>
  <c r="BH13" i="280"/>
  <c r="BH16" i="280" s="1"/>
  <c r="BM3" i="280"/>
  <c r="BM3" i="281"/>
  <c r="BQ37" i="273"/>
  <c r="BQ46" i="273"/>
  <c r="BQ19" i="273"/>
  <c r="BQ20" i="273" s="1"/>
  <c r="BR13" i="273"/>
  <c r="BR14" i="273" s="1"/>
  <c r="BS10" i="273"/>
  <c r="BS64" i="281" s="1"/>
  <c r="BR5" i="275"/>
  <c r="BR5" i="273"/>
  <c r="BR5" i="265"/>
  <c r="BM3" i="265"/>
  <c r="BM3" i="275"/>
  <c r="BM3" i="273"/>
  <c r="BP2" i="273" l="1"/>
  <c r="BN14" i="281"/>
  <c r="BN36" i="281" s="1"/>
  <c r="BN38" i="281" s="1"/>
  <c r="BM71" i="281"/>
  <c r="BN80" i="281"/>
  <c r="BN30" i="265"/>
  <c r="BP32" i="273"/>
  <c r="BP33" i="273" s="1"/>
  <c r="BP113" i="273" s="1"/>
  <c r="BP125" i="273"/>
  <c r="BP126" i="273" s="1"/>
  <c r="BP29" i="281" s="1"/>
  <c r="BP30" i="281" s="1"/>
  <c r="BP37" i="281" s="1"/>
  <c r="BP2" i="265"/>
  <c r="BP2" i="280"/>
  <c r="BO90" i="273"/>
  <c r="BO91" i="273" s="1"/>
  <c r="BO58" i="281" s="1"/>
  <c r="BO59" i="281"/>
  <c r="BP86" i="273"/>
  <c r="BP87" i="273" s="1"/>
  <c r="BP59" i="281" s="1"/>
  <c r="BP2" i="275"/>
  <c r="BK25" i="265"/>
  <c r="AF24" i="280"/>
  <c r="AE63" i="265"/>
  <c r="AE65" i="265" s="1"/>
  <c r="AE67" i="265" s="1"/>
  <c r="AE80" i="265" s="1"/>
  <c r="AF81" i="281"/>
  <c r="AF33" i="265"/>
  <c r="AF37" i="265" s="1"/>
  <c r="AF42" i="265" s="1"/>
  <c r="AF47" i="265" s="1"/>
  <c r="AF50" i="265" s="1"/>
  <c r="BO42" i="273"/>
  <c r="BN44" i="281"/>
  <c r="BN46" i="281" s="1"/>
  <c r="BN102" i="281" s="1"/>
  <c r="BO4" i="265"/>
  <c r="BP38" i="273"/>
  <c r="BO90" i="281"/>
  <c r="BK94" i="281"/>
  <c r="BK96" i="281" s="1"/>
  <c r="BK103" i="281" s="1"/>
  <c r="BK104" i="281" s="1"/>
  <c r="BL101" i="281" s="1"/>
  <c r="BM44" i="281"/>
  <c r="BM46" i="281" s="1"/>
  <c r="BM9" i="265" s="1"/>
  <c r="BM11" i="265" s="1"/>
  <c r="BM14" i="265" s="1"/>
  <c r="BM19" i="265" s="1"/>
  <c r="BM22" i="265" s="1"/>
  <c r="BS5" i="281"/>
  <c r="BS5" i="280"/>
  <c r="BQ24" i="273"/>
  <c r="BQ25" i="273" s="1"/>
  <c r="BQ119" i="273"/>
  <c r="BO114" i="273"/>
  <c r="BO115" i="273" s="1"/>
  <c r="BO12" i="281" s="1"/>
  <c r="BO103" i="273"/>
  <c r="BO104" i="273" s="1"/>
  <c r="BO45" i="281"/>
  <c r="BO13" i="281"/>
  <c r="BO108" i="273"/>
  <c r="BO109" i="273" s="1"/>
  <c r="BO76" i="281"/>
  <c r="BO11" i="280"/>
  <c r="BO47" i="273"/>
  <c r="BO50" i="273" s="1"/>
  <c r="BO56" i="273" s="1"/>
  <c r="BO57" i="273" s="1"/>
  <c r="BO15" i="275"/>
  <c r="BO20" i="275" s="1"/>
  <c r="BP17" i="275" s="1"/>
  <c r="BO22" i="280"/>
  <c r="BO69" i="273"/>
  <c r="BP70" i="273" s="1"/>
  <c r="BP48" i="273" s="1"/>
  <c r="BO113" i="273"/>
  <c r="BO38" i="273"/>
  <c r="BP39" i="273" s="1"/>
  <c r="BP41" i="273" s="1"/>
  <c r="BL14" i="280"/>
  <c r="BL25" i="265"/>
  <c r="BN4" i="280"/>
  <c r="BN4" i="265"/>
  <c r="BN4" i="281"/>
  <c r="BN4" i="275"/>
  <c r="BN4" i="273"/>
  <c r="BP2" i="281"/>
  <c r="BP120" i="273"/>
  <c r="BP121" i="273" s="1"/>
  <c r="BP65" i="273"/>
  <c r="BP66" i="273" s="1"/>
  <c r="BP99" i="281" s="1"/>
  <c r="BH74" i="265"/>
  <c r="BH75" i="265" s="1"/>
  <c r="BH81" i="265" s="1"/>
  <c r="BI13" i="280"/>
  <c r="BI16" i="280" s="1"/>
  <c r="BN3" i="280"/>
  <c r="BN3" i="281"/>
  <c r="BQ2" i="280"/>
  <c r="BS13" i="273"/>
  <c r="BS14" i="273" s="1"/>
  <c r="BT10" i="273"/>
  <c r="BT64" i="281" s="1"/>
  <c r="BS5" i="273"/>
  <c r="BS5" i="275"/>
  <c r="BS5" i="265"/>
  <c r="BR19" i="273"/>
  <c r="BR20" i="273" s="1"/>
  <c r="BR46" i="273"/>
  <c r="BR37" i="273"/>
  <c r="BN3" i="275"/>
  <c r="BN3" i="265"/>
  <c r="BN3" i="273"/>
  <c r="BP45" i="281" l="1"/>
  <c r="BM80" i="281"/>
  <c r="BM30" i="265"/>
  <c r="BQ86" i="273"/>
  <c r="BQ87" i="273" s="1"/>
  <c r="BQ59" i="281" s="1"/>
  <c r="BQ125" i="273"/>
  <c r="BQ126" i="273" s="1"/>
  <c r="BQ29" i="281" s="1"/>
  <c r="BQ30" i="281" s="1"/>
  <c r="BQ37" i="281" s="1"/>
  <c r="BQ90" i="273"/>
  <c r="BO60" i="281"/>
  <c r="BO70" i="281" s="1"/>
  <c r="BP103" i="273"/>
  <c r="BP90" i="273"/>
  <c r="BP91" i="273" s="1"/>
  <c r="BQ80" i="273"/>
  <c r="BQ81" i="273" s="1"/>
  <c r="BQ95" i="273" s="1"/>
  <c r="BR96" i="273" s="1"/>
  <c r="BR49" i="273" s="1"/>
  <c r="BP108" i="273"/>
  <c r="BP109" i="273" s="1"/>
  <c r="BP13" i="281"/>
  <c r="BP114" i="273"/>
  <c r="BP115" i="273" s="1"/>
  <c r="BP12" i="281" s="1"/>
  <c r="BP104" i="273"/>
  <c r="BN9" i="265"/>
  <c r="BN11" i="265" s="1"/>
  <c r="BN14" i="265" s="1"/>
  <c r="BN19" i="265" s="1"/>
  <c r="BN22" i="265" s="1"/>
  <c r="BN25" i="265" s="1"/>
  <c r="BN89" i="281"/>
  <c r="BN91" i="281" s="1"/>
  <c r="BN95" i="281" s="1"/>
  <c r="AF64" i="265"/>
  <c r="AG78" i="281"/>
  <c r="AF30" i="280"/>
  <c r="AF25" i="280"/>
  <c r="AF27" i="280" s="1"/>
  <c r="AF53" i="265"/>
  <c r="AE83" i="265"/>
  <c r="AE82" i="265"/>
  <c r="BO4" i="281"/>
  <c r="BO4" i="273"/>
  <c r="BO4" i="280"/>
  <c r="BO4" i="275"/>
  <c r="BN65" i="281"/>
  <c r="BP69" i="281" s="1"/>
  <c r="BN79" i="281"/>
  <c r="BO107" i="273"/>
  <c r="BN14" i="280"/>
  <c r="BP90" i="281"/>
  <c r="BL94" i="281"/>
  <c r="BL96" i="281" s="1"/>
  <c r="BL103" i="281" s="1"/>
  <c r="BL104" i="281" s="1"/>
  <c r="BM101" i="281" s="1"/>
  <c r="BM89" i="281"/>
  <c r="BM91" i="281" s="1"/>
  <c r="BM95" i="281" s="1"/>
  <c r="BM102" i="281"/>
  <c r="BM65" i="281"/>
  <c r="BO69" i="281" s="1"/>
  <c r="BM79" i="281"/>
  <c r="BO14" i="281"/>
  <c r="BO36" i="281" s="1"/>
  <c r="BO38" i="281" s="1"/>
  <c r="BT5" i="281"/>
  <c r="BT5" i="280"/>
  <c r="BM14" i="280"/>
  <c r="BM25" i="265"/>
  <c r="BQ2" i="281"/>
  <c r="BQ120" i="273"/>
  <c r="BQ121" i="273" s="1"/>
  <c r="BQ2" i="265"/>
  <c r="BQ32" i="273"/>
  <c r="BQ33" i="273" s="1"/>
  <c r="BQ2" i="275"/>
  <c r="BR24" i="273"/>
  <c r="BR25" i="273" s="1"/>
  <c r="BR119" i="273"/>
  <c r="BQ2" i="273"/>
  <c r="BQ65" i="273"/>
  <c r="BP76" i="281"/>
  <c r="BP11" i="280"/>
  <c r="BP47" i="273"/>
  <c r="BP50" i="273" s="1"/>
  <c r="BP56" i="273" s="1"/>
  <c r="BP57" i="273" s="1"/>
  <c r="BP15" i="275"/>
  <c r="BP20" i="275" s="1"/>
  <c r="BQ17" i="275" s="1"/>
  <c r="BP22" i="280"/>
  <c r="BP69" i="273"/>
  <c r="BQ70" i="273" s="1"/>
  <c r="BQ48" i="273" s="1"/>
  <c r="BP42" i="273"/>
  <c r="BQ39" i="273"/>
  <c r="BQ41" i="273" s="1"/>
  <c r="BI74" i="265"/>
  <c r="BI75" i="265" s="1"/>
  <c r="BI81" i="265" s="1"/>
  <c r="BJ13" i="280"/>
  <c r="BJ16" i="280" s="1"/>
  <c r="BQ103" i="273"/>
  <c r="BQ104" i="273" s="1"/>
  <c r="BQ45" i="281"/>
  <c r="BQ13" i="281"/>
  <c r="BO3" i="280"/>
  <c r="BO3" i="281"/>
  <c r="BQ108" i="273"/>
  <c r="BQ114" i="273"/>
  <c r="BS19" i="273"/>
  <c r="BS20" i="273" s="1"/>
  <c r="BS46" i="273"/>
  <c r="BS37" i="273"/>
  <c r="BT13" i="273"/>
  <c r="BT14" i="273" s="1"/>
  <c r="BU10" i="273"/>
  <c r="BU64" i="281" s="1"/>
  <c r="BT5" i="273"/>
  <c r="BT5" i="265"/>
  <c r="BT5" i="275"/>
  <c r="BP107" i="273"/>
  <c r="BO3" i="265"/>
  <c r="BO3" i="275"/>
  <c r="BO3" i="273"/>
  <c r="BO71" i="281" l="1"/>
  <c r="BR2" i="265"/>
  <c r="BR125" i="273"/>
  <c r="BR126" i="273" s="1"/>
  <c r="BR29" i="281" s="1"/>
  <c r="BR30" i="281" s="1"/>
  <c r="BR37" i="281" s="1"/>
  <c r="BR32" i="273"/>
  <c r="BR33" i="273" s="1"/>
  <c r="BR113" i="273" s="1"/>
  <c r="BR2" i="281"/>
  <c r="BQ91" i="273"/>
  <c r="BQ58" i="281" s="1"/>
  <c r="BQ60" i="281" s="1"/>
  <c r="BQ70" i="281" s="1"/>
  <c r="BP58" i="281"/>
  <c r="BP60" i="281" s="1"/>
  <c r="BP14" i="281"/>
  <c r="BP36" i="281" s="1"/>
  <c r="BQ115" i="273"/>
  <c r="BQ12" i="281" s="1"/>
  <c r="BQ109" i="273"/>
  <c r="AF63" i="265"/>
  <c r="AF65" i="265" s="1"/>
  <c r="AF67" i="265" s="1"/>
  <c r="AF80" i="265" s="1"/>
  <c r="AG24" i="280"/>
  <c r="BQ90" i="281"/>
  <c r="BO44" i="281"/>
  <c r="BO46" i="281" s="1"/>
  <c r="BO79" i="281" s="1"/>
  <c r="BM94" i="281"/>
  <c r="BM96" i="281" s="1"/>
  <c r="BM103" i="281" s="1"/>
  <c r="BM104" i="281" s="1"/>
  <c r="BN101" i="281" s="1"/>
  <c r="BO102" i="281"/>
  <c r="BU5" i="281"/>
  <c r="BU5" i="280"/>
  <c r="BQ42" i="273"/>
  <c r="BQ66" i="273"/>
  <c r="BQ99" i="281" s="1"/>
  <c r="BR120" i="273"/>
  <c r="BR121" i="273" s="1"/>
  <c r="BR65" i="273"/>
  <c r="BR66" i="273" s="1"/>
  <c r="BR99" i="281" s="1"/>
  <c r="BR2" i="275"/>
  <c r="BR2" i="273"/>
  <c r="BQ38" i="273"/>
  <c r="BR39" i="273" s="1"/>
  <c r="BR41" i="273" s="1"/>
  <c r="BQ113" i="273"/>
  <c r="BR86" i="273"/>
  <c r="BR87" i="273" s="1"/>
  <c r="BS24" i="273"/>
  <c r="BS25" i="273" s="1"/>
  <c r="BS119" i="273"/>
  <c r="BR2" i="280"/>
  <c r="BR80" i="273"/>
  <c r="BR81" i="273" s="1"/>
  <c r="BR95" i="273" s="1"/>
  <c r="BS96" i="273" s="1"/>
  <c r="BS49" i="273" s="1"/>
  <c r="BP4" i="280"/>
  <c r="BP4" i="273"/>
  <c r="BP4" i="281"/>
  <c r="BP4" i="265"/>
  <c r="BP4" i="275"/>
  <c r="BK13" i="280"/>
  <c r="BK16" i="280" s="1"/>
  <c r="BJ74" i="265"/>
  <c r="BJ75" i="265" s="1"/>
  <c r="BJ81" i="265" s="1"/>
  <c r="BP3" i="280"/>
  <c r="BP3" i="281"/>
  <c r="BR45" i="281"/>
  <c r="BQ14" i="281"/>
  <c r="BQ36" i="281" s="1"/>
  <c r="BQ38" i="281" s="1"/>
  <c r="BU5" i="265"/>
  <c r="BU5" i="273"/>
  <c r="BV10" i="273"/>
  <c r="BV64" i="281" s="1"/>
  <c r="BU13" i="273"/>
  <c r="BU14" i="273" s="1"/>
  <c r="BU5" i="275"/>
  <c r="BT37" i="273"/>
  <c r="BT19" i="273"/>
  <c r="BT20" i="273" s="1"/>
  <c r="BT46" i="273"/>
  <c r="BP3" i="275"/>
  <c r="BP3" i="265"/>
  <c r="BP3" i="273"/>
  <c r="BQ107" i="273"/>
  <c r="BR38" i="273" l="1"/>
  <c r="BS39" i="273" s="1"/>
  <c r="BS41" i="273" s="1"/>
  <c r="BP70" i="281"/>
  <c r="BP71" i="281" s="1"/>
  <c r="BP30" i="265" s="1"/>
  <c r="BO80" i="281"/>
  <c r="BO30" i="265"/>
  <c r="BP38" i="281"/>
  <c r="BP44" i="281" s="1"/>
  <c r="BP46" i="281" s="1"/>
  <c r="BS2" i="280"/>
  <c r="BS125" i="273"/>
  <c r="BS126" i="273" s="1"/>
  <c r="BS29" i="281" s="1"/>
  <c r="BS30" i="281" s="1"/>
  <c r="BS37" i="281" s="1"/>
  <c r="BR90" i="273"/>
  <c r="BR91" i="273" s="1"/>
  <c r="BR58" i="281" s="1"/>
  <c r="BR59" i="281"/>
  <c r="BR103" i="273"/>
  <c r="BR104" i="273" s="1"/>
  <c r="BR108" i="273"/>
  <c r="BR109" i="273" s="1"/>
  <c r="BR13" i="281"/>
  <c r="BR114" i="273"/>
  <c r="BR115" i="273" s="1"/>
  <c r="BS2" i="273"/>
  <c r="BS65" i="273"/>
  <c r="BS66" i="273" s="1"/>
  <c r="BS76" i="281" s="1"/>
  <c r="AG33" i="265"/>
  <c r="AG37" i="265" s="1"/>
  <c r="AG42" i="265" s="1"/>
  <c r="AG47" i="265" s="1"/>
  <c r="AG50" i="265" s="1"/>
  <c r="AG81" i="281"/>
  <c r="AF82" i="265"/>
  <c r="AF83" i="265"/>
  <c r="BR90" i="281"/>
  <c r="BO9" i="265"/>
  <c r="BO11" i="265" s="1"/>
  <c r="BO14" i="265" s="1"/>
  <c r="BO19" i="265" s="1"/>
  <c r="BO22" i="265" s="1"/>
  <c r="BO65" i="281"/>
  <c r="BQ69" i="281" s="1"/>
  <c r="BQ71" i="281" s="1"/>
  <c r="BO89" i="281"/>
  <c r="BO91" i="281" s="1"/>
  <c r="BO95" i="281" s="1"/>
  <c r="BN94" i="281"/>
  <c r="BN96" i="281" s="1"/>
  <c r="BN103" i="281" s="1"/>
  <c r="BN104" i="281" s="1"/>
  <c r="BO101" i="281" s="1"/>
  <c r="BR76" i="281"/>
  <c r="BR22" i="280"/>
  <c r="BR69" i="273"/>
  <c r="BS70" i="273" s="1"/>
  <c r="BS48" i="273" s="1"/>
  <c r="BR11" i="280"/>
  <c r="BR47" i="273"/>
  <c r="BR15" i="275"/>
  <c r="BS2" i="281"/>
  <c r="BS120" i="273"/>
  <c r="BS121" i="273" s="1"/>
  <c r="BS86" i="273"/>
  <c r="BS87" i="273" s="1"/>
  <c r="BQ4" i="280"/>
  <c r="BQ4" i="265"/>
  <c r="BQ4" i="281"/>
  <c r="BQ4" i="275"/>
  <c r="BQ4" i="273"/>
  <c r="BT24" i="273"/>
  <c r="BT25" i="273" s="1"/>
  <c r="BT2" i="275" s="1"/>
  <c r="BT119" i="273"/>
  <c r="BS2" i="265"/>
  <c r="BV5" i="281"/>
  <c r="BV5" i="280"/>
  <c r="BS2" i="275"/>
  <c r="BS32" i="273"/>
  <c r="BS33" i="273" s="1"/>
  <c r="BS80" i="273"/>
  <c r="BS81" i="273" s="1"/>
  <c r="BS95" i="273" s="1"/>
  <c r="BT96" i="273" s="1"/>
  <c r="BT49" i="273" s="1"/>
  <c r="BR42" i="273"/>
  <c r="BQ76" i="281"/>
  <c r="BQ47" i="273"/>
  <c r="BQ50" i="273" s="1"/>
  <c r="BQ15" i="275"/>
  <c r="BQ20" i="275" s="1"/>
  <c r="BR17" i="275" s="1"/>
  <c r="BQ69" i="273"/>
  <c r="BR70" i="273" s="1"/>
  <c r="BR48" i="273" s="1"/>
  <c r="BQ11" i="280"/>
  <c r="BQ22" i="280"/>
  <c r="BK74" i="265"/>
  <c r="BK75" i="265" s="1"/>
  <c r="BK81" i="265" s="1"/>
  <c r="BL13" i="280"/>
  <c r="BL16" i="280" s="1"/>
  <c r="BQ44" i="281"/>
  <c r="BQ46" i="281" s="1"/>
  <c r="BV5" i="275"/>
  <c r="BV5" i="265"/>
  <c r="BV13" i="273"/>
  <c r="BV14" i="273" s="1"/>
  <c r="BV5" i="273"/>
  <c r="BW10" i="273"/>
  <c r="BW64" i="281" s="1"/>
  <c r="BU37" i="273"/>
  <c r="BU46" i="273"/>
  <c r="BU19" i="273"/>
  <c r="BU20" i="273" s="1"/>
  <c r="BR107" i="273"/>
  <c r="BS15" i="275" l="1"/>
  <c r="BP80" i="281"/>
  <c r="BR60" i="281"/>
  <c r="BR70" i="281" s="1"/>
  <c r="BS11" i="280"/>
  <c r="BQ80" i="281"/>
  <c r="BQ30" i="265"/>
  <c r="BP102" i="281"/>
  <c r="BP79" i="281"/>
  <c r="BP89" i="281"/>
  <c r="BP91" i="281" s="1"/>
  <c r="BP95" i="281" s="1"/>
  <c r="BP9" i="265"/>
  <c r="BP11" i="265" s="1"/>
  <c r="BP14" i="265" s="1"/>
  <c r="BP19" i="265" s="1"/>
  <c r="BP22" i="265" s="1"/>
  <c r="BP14" i="280" s="1"/>
  <c r="BP65" i="281"/>
  <c r="BR69" i="281" s="1"/>
  <c r="BR71" i="281" s="1"/>
  <c r="BS47" i="273"/>
  <c r="BT2" i="280"/>
  <c r="BT125" i="273"/>
  <c r="BT126" i="273" s="1"/>
  <c r="BT29" i="281" s="1"/>
  <c r="BT30" i="281" s="1"/>
  <c r="BT37" i="281" s="1"/>
  <c r="BS99" i="281"/>
  <c r="BS90" i="273"/>
  <c r="BS91" i="273" s="1"/>
  <c r="BS58" i="281" s="1"/>
  <c r="BS59" i="281"/>
  <c r="BS69" i="273"/>
  <c r="BT70" i="273" s="1"/>
  <c r="BT48" i="273" s="1"/>
  <c r="BT65" i="273"/>
  <c r="BT66" i="273" s="1"/>
  <c r="BT99" i="281" s="1"/>
  <c r="BS22" i="280"/>
  <c r="AH78" i="281"/>
  <c r="AG64" i="265"/>
  <c r="AG30" i="280"/>
  <c r="AG53" i="265"/>
  <c r="AG25" i="280"/>
  <c r="AG27" i="280" s="1"/>
  <c r="BT80" i="273"/>
  <c r="BT81" i="273" s="1"/>
  <c r="BT95" i="273" s="1"/>
  <c r="BU96" i="273" s="1"/>
  <c r="BU49" i="273" s="1"/>
  <c r="BS90" i="281"/>
  <c r="BR20" i="275"/>
  <c r="BS17" i="275" s="1"/>
  <c r="BO25" i="265"/>
  <c r="BO14" i="280"/>
  <c r="BO94" i="281"/>
  <c r="BO96" i="281" s="1"/>
  <c r="BO103" i="281" s="1"/>
  <c r="BO104" i="281" s="1"/>
  <c r="BP101" i="281" s="1"/>
  <c r="BQ89" i="281"/>
  <c r="BQ91" i="281" s="1"/>
  <c r="BQ95" i="281" s="1"/>
  <c r="BQ102" i="281"/>
  <c r="BQ56" i="273"/>
  <c r="BQ57" i="273" s="1"/>
  <c r="BR50" i="273"/>
  <c r="BR56" i="273" s="1"/>
  <c r="BR57" i="273" s="1"/>
  <c r="BR3" i="280" s="1"/>
  <c r="BR4" i="281"/>
  <c r="BR4" i="275"/>
  <c r="BR4" i="280"/>
  <c r="BR4" i="273"/>
  <c r="BR4" i="265"/>
  <c r="BR12" i="281"/>
  <c r="BR14" i="281" s="1"/>
  <c r="BR36" i="281" s="1"/>
  <c r="BR38" i="281" s="1"/>
  <c r="BS20" i="275"/>
  <c r="BT17" i="275" s="1"/>
  <c r="BU24" i="273"/>
  <c r="BU25" i="273" s="1"/>
  <c r="BU119" i="273"/>
  <c r="BW5" i="281"/>
  <c r="BW5" i="280"/>
  <c r="BQ9" i="265"/>
  <c r="BQ11" i="265" s="1"/>
  <c r="BQ14" i="265" s="1"/>
  <c r="BQ19" i="265" s="1"/>
  <c r="BQ22" i="265" s="1"/>
  <c r="BQ14" i="280" s="1"/>
  <c r="BQ79" i="281"/>
  <c r="BQ65" i="281"/>
  <c r="BS69" i="281" s="1"/>
  <c r="BS42" i="273"/>
  <c r="BP25" i="265"/>
  <c r="BS113" i="273"/>
  <c r="BS38" i="273"/>
  <c r="BT39" i="273" s="1"/>
  <c r="BT41" i="273" s="1"/>
  <c r="BT2" i="281"/>
  <c r="BT120" i="273"/>
  <c r="BT121" i="273" s="1"/>
  <c r="BT32" i="273"/>
  <c r="BT33" i="273" s="1"/>
  <c r="BT2" i="273"/>
  <c r="BT2" i="265"/>
  <c r="BT86" i="273"/>
  <c r="BT87" i="273" s="1"/>
  <c r="BS108" i="273"/>
  <c r="BS109" i="273" s="1"/>
  <c r="BS103" i="273"/>
  <c r="BS104" i="273" s="1"/>
  <c r="BS107" i="273" s="1"/>
  <c r="BS45" i="281"/>
  <c r="BS13" i="281"/>
  <c r="BS114" i="273"/>
  <c r="BS115" i="273" s="1"/>
  <c r="BS12" i="281" s="1"/>
  <c r="BM13" i="280"/>
  <c r="BM16" i="280" s="1"/>
  <c r="BL74" i="265"/>
  <c r="BL75" i="265" s="1"/>
  <c r="BL81" i="265" s="1"/>
  <c r="BT11" i="280"/>
  <c r="BU32" i="273"/>
  <c r="BU33" i="273" s="1"/>
  <c r="BU38" i="273" s="1"/>
  <c r="BT15" i="275"/>
  <c r="BU2" i="265"/>
  <c r="BW5" i="275"/>
  <c r="BW5" i="265"/>
  <c r="BX10" i="273"/>
  <c r="BX64" i="281" s="1"/>
  <c r="BW5" i="273"/>
  <c r="BW13" i="273"/>
  <c r="BW14" i="273" s="1"/>
  <c r="BV37" i="273"/>
  <c r="BV19" i="273"/>
  <c r="BV20" i="273" s="1"/>
  <c r="BV46" i="273"/>
  <c r="BU2" i="273"/>
  <c r="BR3" i="265"/>
  <c r="BT47" i="273" l="1"/>
  <c r="BT69" i="273"/>
  <c r="BU70" i="273" s="1"/>
  <c r="BU48" i="273" s="1"/>
  <c r="BR80" i="281"/>
  <c r="BR30" i="265"/>
  <c r="BT20" i="275"/>
  <c r="BU17" i="275" s="1"/>
  <c r="BU2" i="280"/>
  <c r="BU125" i="273"/>
  <c r="BU126" i="273" s="1"/>
  <c r="BU29" i="281" s="1"/>
  <c r="BU30" i="281" s="1"/>
  <c r="BU37" i="281" s="1"/>
  <c r="BT90" i="273"/>
  <c r="BT91" i="273" s="1"/>
  <c r="BT58" i="281" s="1"/>
  <c r="BT59" i="281"/>
  <c r="BT22" i="280"/>
  <c r="BT76" i="281"/>
  <c r="BS60" i="281"/>
  <c r="AG63" i="265"/>
  <c r="AG65" i="265" s="1"/>
  <c r="AG67" i="265" s="1"/>
  <c r="AG80" i="265" s="1"/>
  <c r="AH24" i="280"/>
  <c r="AH81" i="281"/>
  <c r="AH33" i="265"/>
  <c r="AH37" i="265" s="1"/>
  <c r="AH42" i="265" s="1"/>
  <c r="AH47" i="265" s="1"/>
  <c r="AH50" i="265" s="1"/>
  <c r="BQ25" i="265"/>
  <c r="BR44" i="281"/>
  <c r="BR46" i="281" s="1"/>
  <c r="BR3" i="273"/>
  <c r="BR3" i="281"/>
  <c r="BR3" i="275"/>
  <c r="BU113" i="273"/>
  <c r="BU86" i="273"/>
  <c r="BU87" i="273" s="1"/>
  <c r="BU59" i="281" s="1"/>
  <c r="BU65" i="273"/>
  <c r="BU66" i="273" s="1"/>
  <c r="BU69" i="273" s="1"/>
  <c r="BV70" i="273" s="1"/>
  <c r="BV48" i="273" s="1"/>
  <c r="BU2" i="275"/>
  <c r="BT90" i="281"/>
  <c r="BS50" i="273"/>
  <c r="BP94" i="281"/>
  <c r="BP96" i="281" s="1"/>
  <c r="BP103" i="281" s="1"/>
  <c r="BP104" i="281" s="1"/>
  <c r="BQ101" i="281" s="1"/>
  <c r="BS14" i="281"/>
  <c r="BS36" i="281" s="1"/>
  <c r="BS38" i="281" s="1"/>
  <c r="BV24" i="273"/>
  <c r="BV25" i="273" s="1"/>
  <c r="BV2" i="273" s="1"/>
  <c r="BV119" i="273"/>
  <c r="BT113" i="273"/>
  <c r="BT38" i="273"/>
  <c r="BU39" i="273" s="1"/>
  <c r="BU41" i="273" s="1"/>
  <c r="BQ3" i="280"/>
  <c r="BQ3" i="273"/>
  <c r="BQ3" i="265"/>
  <c r="BQ3" i="281"/>
  <c r="BQ3" i="275"/>
  <c r="BX5" i="281"/>
  <c r="BX5" i="280"/>
  <c r="BT103" i="273"/>
  <c r="BT104" i="273" s="1"/>
  <c r="BT107" i="273" s="1"/>
  <c r="BT114" i="273"/>
  <c r="BT115" i="273" s="1"/>
  <c r="BT12" i="281" s="1"/>
  <c r="BT45" i="281"/>
  <c r="BT13" i="281"/>
  <c r="BT14" i="281" s="1"/>
  <c r="BT36" i="281" s="1"/>
  <c r="BT38" i="281" s="1"/>
  <c r="BT108" i="273"/>
  <c r="BT109" i="273" s="1"/>
  <c r="BT42" i="273"/>
  <c r="BS4" i="280"/>
  <c r="BS4" i="265"/>
  <c r="BS4" i="281"/>
  <c r="BS4" i="273"/>
  <c r="BS4" i="275"/>
  <c r="BU2" i="281"/>
  <c r="BU120" i="273"/>
  <c r="BU121" i="273" s="1"/>
  <c r="BU80" i="273"/>
  <c r="BU81" i="273" s="1"/>
  <c r="BU95" i="273" s="1"/>
  <c r="BV96" i="273" s="1"/>
  <c r="BV49" i="273" s="1"/>
  <c r="BM74" i="265"/>
  <c r="BM75" i="265" s="1"/>
  <c r="BM81" i="265" s="1"/>
  <c r="BN13" i="280"/>
  <c r="BN16" i="280" s="1"/>
  <c r="BU45" i="281"/>
  <c r="BU47" i="273"/>
  <c r="BW37" i="273"/>
  <c r="BW19" i="273"/>
  <c r="BW20" i="273" s="1"/>
  <c r="BW46" i="273"/>
  <c r="BX5" i="275"/>
  <c r="BX5" i="265"/>
  <c r="BX13" i="273"/>
  <c r="BX14" i="273" s="1"/>
  <c r="BX5" i="273"/>
  <c r="BY10" i="273"/>
  <c r="BY64" i="281" s="1"/>
  <c r="BS70" i="281" l="1"/>
  <c r="BS71" i="281" s="1"/>
  <c r="BS80" i="281" s="1"/>
  <c r="BV39" i="273"/>
  <c r="BV41" i="273" s="1"/>
  <c r="BV42" i="273" s="1"/>
  <c r="BS30" i="265"/>
  <c r="BV32" i="273"/>
  <c r="BV33" i="273" s="1"/>
  <c r="BV113" i="273" s="1"/>
  <c r="BV125" i="273"/>
  <c r="BV126" i="273" s="1"/>
  <c r="BV29" i="281" s="1"/>
  <c r="BV30" i="281" s="1"/>
  <c r="BV37" i="281" s="1"/>
  <c r="BU15" i="275"/>
  <c r="BU20" i="275" s="1"/>
  <c r="BV17" i="275" s="1"/>
  <c r="BU11" i="280"/>
  <c r="BT60" i="281"/>
  <c r="BT70" i="281" s="1"/>
  <c r="BV38" i="273"/>
  <c r="BW39" i="273" s="1"/>
  <c r="BW41" i="273" s="1"/>
  <c r="BW42" i="273" s="1"/>
  <c r="BV2" i="265"/>
  <c r="BV65" i="273"/>
  <c r="BV66" i="273" s="1"/>
  <c r="BV99" i="281" s="1"/>
  <c r="BU22" i="280"/>
  <c r="BU114" i="273"/>
  <c r="BU90" i="273"/>
  <c r="BU91" i="273" s="1"/>
  <c r="AH30" i="280"/>
  <c r="AH53" i="265"/>
  <c r="AH25" i="280"/>
  <c r="AH27" i="280" s="1"/>
  <c r="AH64" i="265"/>
  <c r="AI78" i="281"/>
  <c r="AG82" i="265"/>
  <c r="AG83" i="265"/>
  <c r="BR102" i="281"/>
  <c r="BR9" i="265"/>
  <c r="BR11" i="265" s="1"/>
  <c r="BR14" i="265" s="1"/>
  <c r="BR19" i="265" s="1"/>
  <c r="BR22" i="265" s="1"/>
  <c r="BR14" i="280" s="1"/>
  <c r="BR89" i="281"/>
  <c r="BR91" i="281" s="1"/>
  <c r="BR95" i="281" s="1"/>
  <c r="BR79" i="281"/>
  <c r="BR65" i="281"/>
  <c r="BT69" i="281" s="1"/>
  <c r="BU103" i="273"/>
  <c r="BU104" i="273" s="1"/>
  <c r="BU107" i="273" s="1"/>
  <c r="BU13" i="281"/>
  <c r="BV76" i="281"/>
  <c r="BU108" i="273"/>
  <c r="BU109" i="273" s="1"/>
  <c r="BU90" i="281"/>
  <c r="BT50" i="273"/>
  <c r="BS56" i="273"/>
  <c r="BS57" i="273" s="1"/>
  <c r="BU76" i="281"/>
  <c r="BU99" i="281"/>
  <c r="BS44" i="281"/>
  <c r="BS46" i="281" s="1"/>
  <c r="BS102" i="281" s="1"/>
  <c r="BQ94" i="281"/>
  <c r="BQ96" i="281" s="1"/>
  <c r="BQ103" i="281" s="1"/>
  <c r="BQ104" i="281" s="1"/>
  <c r="BR101" i="281" s="1"/>
  <c r="BS89" i="281"/>
  <c r="BS91" i="281" s="1"/>
  <c r="BS95" i="281" s="1"/>
  <c r="BT4" i="280"/>
  <c r="BT4" i="265"/>
  <c r="BT4" i="275"/>
  <c r="BT4" i="281"/>
  <c r="BT4" i="273"/>
  <c r="BU42" i="273"/>
  <c r="BV2" i="281"/>
  <c r="BV120" i="273"/>
  <c r="BV121" i="273" s="1"/>
  <c r="BV80" i="273"/>
  <c r="BV81" i="273" s="1"/>
  <c r="BV95" i="273" s="1"/>
  <c r="BW96" i="273" s="1"/>
  <c r="BW49" i="273" s="1"/>
  <c r="BY5" i="281"/>
  <c r="BY5" i="280"/>
  <c r="BW24" i="273"/>
  <c r="BW25" i="273" s="1"/>
  <c r="BW119" i="273"/>
  <c r="BV2" i="275"/>
  <c r="BV86" i="273"/>
  <c r="BV87" i="273" s="1"/>
  <c r="BV2" i="280"/>
  <c r="BT44" i="281"/>
  <c r="BT46" i="281" s="1"/>
  <c r="BU115" i="273"/>
  <c r="BU12" i="281" s="1"/>
  <c r="BO13" i="280"/>
  <c r="BO16" i="280" s="1"/>
  <c r="BN74" i="265"/>
  <c r="BN75" i="265" s="1"/>
  <c r="BN81" i="265" s="1"/>
  <c r="BV103" i="273"/>
  <c r="BV11" i="280"/>
  <c r="BV69" i="273"/>
  <c r="BW70" i="273" s="1"/>
  <c r="BW48" i="273" s="1"/>
  <c r="BV15" i="275"/>
  <c r="BV20" i="275" s="1"/>
  <c r="BW17" i="275" s="1"/>
  <c r="BY5" i="265"/>
  <c r="BY5" i="273"/>
  <c r="BZ10" i="273"/>
  <c r="BZ64" i="281" s="1"/>
  <c r="BY13" i="273"/>
  <c r="BY14" i="273" s="1"/>
  <c r="BY5" i="275"/>
  <c r="BX37" i="273"/>
  <c r="BX19" i="273"/>
  <c r="BX20" i="273" s="1"/>
  <c r="BX46" i="273"/>
  <c r="BV47" i="273" l="1"/>
  <c r="BV22" i="280"/>
  <c r="BR25" i="265"/>
  <c r="BT71" i="281"/>
  <c r="BV4" i="280"/>
  <c r="BV4" i="265"/>
  <c r="BV4" i="273"/>
  <c r="BV4" i="281"/>
  <c r="BV4" i="275"/>
  <c r="BW80" i="273"/>
  <c r="BW81" i="273" s="1"/>
  <c r="BW95" i="273" s="1"/>
  <c r="BX96" i="273" s="1"/>
  <c r="BX49" i="273" s="1"/>
  <c r="BW125" i="273"/>
  <c r="BW126" i="273" s="1"/>
  <c r="BW29" i="281" s="1"/>
  <c r="BW30" i="281" s="1"/>
  <c r="BW37" i="281" s="1"/>
  <c r="BV90" i="273"/>
  <c r="BV59" i="281"/>
  <c r="BV60" i="281" s="1"/>
  <c r="BV70" i="281" s="1"/>
  <c r="BV91" i="273"/>
  <c r="BV58" i="281" s="1"/>
  <c r="BU58" i="281"/>
  <c r="BU60" i="281" s="1"/>
  <c r="BU70" i="281" s="1"/>
  <c r="BW86" i="273"/>
  <c r="BW87" i="273" s="1"/>
  <c r="BW59" i="281" s="1"/>
  <c r="BW60" i="281" s="1"/>
  <c r="BW70" i="281" s="1"/>
  <c r="BU14" i="281"/>
  <c r="BU36" i="281" s="1"/>
  <c r="AI24" i="280"/>
  <c r="AH63" i="265"/>
  <c r="AH65" i="265" s="1"/>
  <c r="AH67" i="265" s="1"/>
  <c r="AH80" i="265" s="1"/>
  <c r="BW32" i="273"/>
  <c r="BW33" i="273" s="1"/>
  <c r="BW38" i="273" s="1"/>
  <c r="BX39" i="273" s="1"/>
  <c r="BX41" i="273" s="1"/>
  <c r="BX42" i="273" s="1"/>
  <c r="BV104" i="273"/>
  <c r="BV107" i="273" s="1"/>
  <c r="BS65" i="281"/>
  <c r="BU69" i="281" s="1"/>
  <c r="BT56" i="273"/>
  <c r="BT57" i="273" s="1"/>
  <c r="BU50" i="273"/>
  <c r="BU56" i="273" s="1"/>
  <c r="BU57" i="273" s="1"/>
  <c r="BU3" i="280" s="1"/>
  <c r="BV90" i="281"/>
  <c r="BS79" i="281"/>
  <c r="BS3" i="280"/>
  <c r="BS3" i="275"/>
  <c r="BS3" i="281"/>
  <c r="BS3" i="273"/>
  <c r="BS3" i="265"/>
  <c r="BS9" i="265"/>
  <c r="BS11" i="265" s="1"/>
  <c r="BS14" i="265" s="1"/>
  <c r="BS19" i="265" s="1"/>
  <c r="BS22" i="265" s="1"/>
  <c r="BS14" i="280" s="1"/>
  <c r="BR94" i="281"/>
  <c r="BR96" i="281" s="1"/>
  <c r="BR103" i="281" s="1"/>
  <c r="BR104" i="281" s="1"/>
  <c r="BS101" i="281" s="1"/>
  <c r="BT102" i="281"/>
  <c r="BT89" i="281"/>
  <c r="BT91" i="281" s="1"/>
  <c r="BT95" i="281" s="1"/>
  <c r="BT9" i="265"/>
  <c r="BT11" i="265" s="1"/>
  <c r="BT14" i="265" s="1"/>
  <c r="BT19" i="265" s="1"/>
  <c r="BT22" i="265" s="1"/>
  <c r="BT79" i="281"/>
  <c r="BT65" i="281"/>
  <c r="BV69" i="281" s="1"/>
  <c r="BV71" i="281" s="1"/>
  <c r="BX24" i="273"/>
  <c r="BX25" i="273" s="1"/>
  <c r="BX119" i="273"/>
  <c r="BV108" i="273"/>
  <c r="BV109" i="273" s="1"/>
  <c r="BV114" i="273"/>
  <c r="BV115" i="273" s="1"/>
  <c r="BV12" i="281" s="1"/>
  <c r="BW2" i="281"/>
  <c r="BW120" i="273"/>
  <c r="BW121" i="273" s="1"/>
  <c r="BW2" i="275"/>
  <c r="BS25" i="265"/>
  <c r="BW2" i="265"/>
  <c r="BZ5" i="281"/>
  <c r="BZ5" i="280"/>
  <c r="BW2" i="273"/>
  <c r="BW2" i="280"/>
  <c r="BV13" i="281"/>
  <c r="BV45" i="281"/>
  <c r="BW65" i="273"/>
  <c r="BW66" i="273" s="1"/>
  <c r="BW99" i="281" s="1"/>
  <c r="BU4" i="280"/>
  <c r="BU4" i="265"/>
  <c r="BU4" i="273"/>
  <c r="BU4" i="281"/>
  <c r="BU4" i="275"/>
  <c r="BP13" i="280"/>
  <c r="BP16" i="280" s="1"/>
  <c r="BO74" i="265"/>
  <c r="BO75" i="265" s="1"/>
  <c r="BO81" i="265" s="1"/>
  <c r="BW4" i="280"/>
  <c r="BW4" i="281"/>
  <c r="BW45" i="281"/>
  <c r="BZ5" i="275"/>
  <c r="BZ5" i="265"/>
  <c r="BZ13" i="273"/>
  <c r="BZ14" i="273" s="1"/>
  <c r="BZ5" i="273"/>
  <c r="CA10" i="273"/>
  <c r="CA64" i="281" s="1"/>
  <c r="BY46" i="273"/>
  <c r="BY19" i="273"/>
  <c r="BY20" i="273" s="1"/>
  <c r="BY37" i="273"/>
  <c r="BW4" i="265"/>
  <c r="BW4" i="275"/>
  <c r="BW4" i="273"/>
  <c r="BW103" i="273" l="1"/>
  <c r="BW104" i="273" s="1"/>
  <c r="BW107" i="273" s="1"/>
  <c r="BU3" i="281"/>
  <c r="BV50" i="273"/>
  <c r="BV56" i="273" s="1"/>
  <c r="BV57" i="273" s="1"/>
  <c r="BV3" i="281" s="1"/>
  <c r="BU71" i="281"/>
  <c r="BU3" i="273"/>
  <c r="BW13" i="281"/>
  <c r="BW14" i="281" s="1"/>
  <c r="BW36" i="281" s="1"/>
  <c r="BW38" i="281" s="1"/>
  <c r="BW114" i="273"/>
  <c r="BW113" i="273"/>
  <c r="BT80" i="281"/>
  <c r="BT30" i="265"/>
  <c r="BX2" i="280"/>
  <c r="BX125" i="273"/>
  <c r="BX126" i="273" s="1"/>
  <c r="BX29" i="281" s="1"/>
  <c r="BX30" i="281" s="1"/>
  <c r="BX37" i="281" s="1"/>
  <c r="BU38" i="281"/>
  <c r="BU44" i="281" s="1"/>
  <c r="BU46" i="281" s="1"/>
  <c r="BW108" i="273"/>
  <c r="BW109" i="273" s="1"/>
  <c r="BW90" i="273"/>
  <c r="BW91" i="273" s="1"/>
  <c r="BW58" i="281" s="1"/>
  <c r="AI81" i="281"/>
  <c r="AI33" i="265"/>
  <c r="AI37" i="265" s="1"/>
  <c r="AI42" i="265" s="1"/>
  <c r="AI47" i="265" s="1"/>
  <c r="AI50" i="265" s="1"/>
  <c r="AH83" i="265"/>
  <c r="AH82" i="265"/>
  <c r="BV14" i="281"/>
  <c r="BV36" i="281" s="1"/>
  <c r="BW11" i="280"/>
  <c r="BW115" i="273"/>
  <c r="BW12" i="281" s="1"/>
  <c r="BW69" i="273"/>
  <c r="BX70" i="273" s="1"/>
  <c r="BX48" i="273" s="1"/>
  <c r="BU3" i="265"/>
  <c r="BU3" i="275"/>
  <c r="BX2" i="275"/>
  <c r="BW90" i="281"/>
  <c r="BT3" i="280"/>
  <c r="BT3" i="265"/>
  <c r="BT3" i="275"/>
  <c r="BT3" i="281"/>
  <c r="BT3" i="273"/>
  <c r="BS94" i="281"/>
  <c r="BS96" i="281" s="1"/>
  <c r="BS103" i="281" s="1"/>
  <c r="BS104" i="281" s="1"/>
  <c r="BT101" i="281" s="1"/>
  <c r="BY24" i="273"/>
  <c r="BY25" i="273" s="1"/>
  <c r="BY32" i="273" s="1"/>
  <c r="BY33" i="273" s="1"/>
  <c r="BY113" i="273" s="1"/>
  <c r="BY119" i="273"/>
  <c r="CA5" i="281"/>
  <c r="CA5" i="280"/>
  <c r="BW76" i="281"/>
  <c r="BW15" i="275"/>
  <c r="BW20" i="275" s="1"/>
  <c r="BX17" i="275" s="1"/>
  <c r="BW47" i="273"/>
  <c r="BW50" i="273" s="1"/>
  <c r="BW56" i="273" s="1"/>
  <c r="BW57" i="273" s="1"/>
  <c r="BX2" i="281"/>
  <c r="BX120" i="273"/>
  <c r="BX121" i="273" s="1"/>
  <c r="BX80" i="273"/>
  <c r="BX81" i="273" s="1"/>
  <c r="BX95" i="273" s="1"/>
  <c r="BY96" i="273" s="1"/>
  <c r="BY49" i="273" s="1"/>
  <c r="BX2" i="273"/>
  <c r="BX65" i="273"/>
  <c r="BX66" i="273" s="1"/>
  <c r="BX22" i="280" s="1"/>
  <c r="BX86" i="273"/>
  <c r="BX87" i="273" s="1"/>
  <c r="BX2" i="265"/>
  <c r="BX32" i="273"/>
  <c r="BX33" i="273" s="1"/>
  <c r="BW22" i="280"/>
  <c r="BT14" i="280"/>
  <c r="BT25" i="265"/>
  <c r="BP74" i="265"/>
  <c r="BP75" i="265" s="1"/>
  <c r="BP81" i="265" s="1"/>
  <c r="BQ13" i="280"/>
  <c r="BQ16" i="280" s="1"/>
  <c r="BV3" i="280"/>
  <c r="BX4" i="280"/>
  <c r="BX4" i="281"/>
  <c r="BY2" i="265"/>
  <c r="CA13" i="273"/>
  <c r="CA14" i="273" s="1"/>
  <c r="CA5" i="265"/>
  <c r="CA5" i="273"/>
  <c r="CB10" i="273"/>
  <c r="CB64" i="281" s="1"/>
  <c r="CA5" i="275"/>
  <c r="BZ37" i="273"/>
  <c r="BZ46" i="273"/>
  <c r="BZ19" i="273"/>
  <c r="BZ20" i="273" s="1"/>
  <c r="BX47" i="273"/>
  <c r="BX15" i="275"/>
  <c r="BX20" i="275" s="1"/>
  <c r="BY17" i="275" s="1"/>
  <c r="BV3" i="273"/>
  <c r="BV3" i="275"/>
  <c r="BX4" i="275"/>
  <c r="BX4" i="273"/>
  <c r="BX4" i="265"/>
  <c r="BV3" i="265" l="1"/>
  <c r="BY86" i="273"/>
  <c r="BY87" i="273" s="1"/>
  <c r="BY59" i="281" s="1"/>
  <c r="BY60" i="281" s="1"/>
  <c r="BY70" i="281" s="1"/>
  <c r="BY80" i="273"/>
  <c r="BY81" i="273" s="1"/>
  <c r="BY95" i="273" s="1"/>
  <c r="BZ96" i="273" s="1"/>
  <c r="BZ49" i="273" s="1"/>
  <c r="BU80" i="281"/>
  <c r="BU30" i="265"/>
  <c r="BV80" i="281"/>
  <c r="BV30" i="265"/>
  <c r="BU79" i="281"/>
  <c r="BU89" i="281"/>
  <c r="BU91" i="281" s="1"/>
  <c r="BU95" i="281" s="1"/>
  <c r="BU102" i="281"/>
  <c r="BU65" i="281"/>
  <c r="BW69" i="281" s="1"/>
  <c r="BW71" i="281" s="1"/>
  <c r="BU9" i="265"/>
  <c r="BU11" i="265" s="1"/>
  <c r="BU14" i="265" s="1"/>
  <c r="BU19" i="265" s="1"/>
  <c r="BU22" i="265" s="1"/>
  <c r="BU14" i="280" s="1"/>
  <c r="BV38" i="281"/>
  <c r="BV44" i="281" s="1"/>
  <c r="BV46" i="281" s="1"/>
  <c r="BX69" i="273"/>
  <c r="BY70" i="273" s="1"/>
  <c r="BY48" i="273" s="1"/>
  <c r="BY2" i="280"/>
  <c r="BY125" i="273"/>
  <c r="BY126" i="273" s="1"/>
  <c r="BY29" i="281" s="1"/>
  <c r="BY30" i="281" s="1"/>
  <c r="BY37" i="281" s="1"/>
  <c r="BX90" i="273"/>
  <c r="BX59" i="281"/>
  <c r="BX60" i="281" s="1"/>
  <c r="BX70" i="281" s="1"/>
  <c r="BX91" i="273"/>
  <c r="BX58" i="281" s="1"/>
  <c r="BY103" i="273"/>
  <c r="BY90" i="273"/>
  <c r="BY2" i="273"/>
  <c r="BY2" i="275"/>
  <c r="AI30" i="280"/>
  <c r="AI53" i="265"/>
  <c r="AI25" i="280"/>
  <c r="AI27" i="280" s="1"/>
  <c r="AJ78" i="281"/>
  <c r="AI64" i="265"/>
  <c r="BX11" i="280"/>
  <c r="BX90" i="281"/>
  <c r="BY38" i="273"/>
  <c r="BX76" i="281"/>
  <c r="BX99" i="281"/>
  <c r="BT94" i="281"/>
  <c r="BT96" i="281" s="1"/>
  <c r="BT103" i="281" s="1"/>
  <c r="BT104" i="281" s="1"/>
  <c r="BU101" i="281" s="1"/>
  <c r="BZ24" i="273"/>
  <c r="BZ25" i="273" s="1"/>
  <c r="BZ2" i="265" s="1"/>
  <c r="BZ119" i="273"/>
  <c r="BW44" i="281"/>
  <c r="BW46" i="281" s="1"/>
  <c r="BX38" i="273"/>
  <c r="BY39" i="273" s="1"/>
  <c r="BY41" i="273" s="1"/>
  <c r="BX113" i="273"/>
  <c r="BX45" i="281"/>
  <c r="BX13" i="281"/>
  <c r="BX103" i="273"/>
  <c r="BX104" i="273" s="1"/>
  <c r="BX107" i="273" s="1"/>
  <c r="BX108" i="273"/>
  <c r="BX109" i="273" s="1"/>
  <c r="BX114" i="273"/>
  <c r="BX115" i="273" s="1"/>
  <c r="BX12" i="281" s="1"/>
  <c r="BX50" i="273"/>
  <c r="BX56" i="273" s="1"/>
  <c r="BX57" i="273" s="1"/>
  <c r="CB5" i="281"/>
  <c r="CB5" i="280"/>
  <c r="BY2" i="281"/>
  <c r="BY120" i="273"/>
  <c r="BY121" i="273" s="1"/>
  <c r="BY65" i="273"/>
  <c r="BR13" i="280"/>
  <c r="BR16" i="280" s="1"/>
  <c r="BQ74" i="265"/>
  <c r="BQ75" i="265" s="1"/>
  <c r="BQ81" i="265" s="1"/>
  <c r="BW3" i="280"/>
  <c r="BW3" i="281"/>
  <c r="BY114" i="273"/>
  <c r="BY45" i="281"/>
  <c r="BY13" i="281"/>
  <c r="CA37" i="273"/>
  <c r="CA19" i="273"/>
  <c r="CA20" i="273" s="1"/>
  <c r="CA46" i="273"/>
  <c r="BZ2" i="273"/>
  <c r="BY108" i="273"/>
  <c r="CB5" i="275"/>
  <c r="CB5" i="265"/>
  <c r="CB13" i="273"/>
  <c r="CB14" i="273" s="1"/>
  <c r="CB5" i="273"/>
  <c r="CC10" i="273"/>
  <c r="CC64" i="281" s="1"/>
  <c r="BW3" i="273"/>
  <c r="BW3" i="265"/>
  <c r="BW3" i="275"/>
  <c r="BU25" i="265" l="1"/>
  <c r="BV89" i="281"/>
  <c r="BV91" i="281" s="1"/>
  <c r="BV95" i="281" s="1"/>
  <c r="BV102" i="281"/>
  <c r="BW80" i="281"/>
  <c r="BW30" i="265"/>
  <c r="BV65" i="281"/>
  <c r="BX69" i="281" s="1"/>
  <c r="BX71" i="281" s="1"/>
  <c r="BZ2" i="280"/>
  <c r="BZ125" i="273"/>
  <c r="BZ126" i="273" s="1"/>
  <c r="BZ29" i="281" s="1"/>
  <c r="BZ30" i="281" s="1"/>
  <c r="BZ37" i="281" s="1"/>
  <c r="BV9" i="265"/>
  <c r="BV11" i="265" s="1"/>
  <c r="BV14" i="265" s="1"/>
  <c r="BV19" i="265" s="1"/>
  <c r="BV22" i="265" s="1"/>
  <c r="BV25" i="265" s="1"/>
  <c r="BV79" i="281"/>
  <c r="BY115" i="273"/>
  <c r="BY12" i="281" s="1"/>
  <c r="BY91" i="273"/>
  <c r="BY58" i="281" s="1"/>
  <c r="BZ2" i="275"/>
  <c r="BZ32" i="273"/>
  <c r="BZ33" i="273" s="1"/>
  <c r="AI63" i="265"/>
  <c r="AI65" i="265" s="1"/>
  <c r="AI67" i="265" s="1"/>
  <c r="AI80" i="265" s="1"/>
  <c r="AJ24" i="280"/>
  <c r="BV14" i="280"/>
  <c r="BY104" i="273"/>
  <c r="BY107" i="273" s="1"/>
  <c r="BY90" i="281"/>
  <c r="BU94" i="281"/>
  <c r="BU96" i="281" s="1"/>
  <c r="BU103" i="281" s="1"/>
  <c r="BU104" i="281" s="1"/>
  <c r="BV101" i="281" s="1"/>
  <c r="BW102" i="281"/>
  <c r="BW89" i="281"/>
  <c r="BW91" i="281" s="1"/>
  <c r="BW95" i="281" s="1"/>
  <c r="CC5" i="281"/>
  <c r="CC5" i="280"/>
  <c r="CA24" i="273"/>
  <c r="CA25" i="273" s="1"/>
  <c r="CA119" i="273"/>
  <c r="BY42" i="273"/>
  <c r="BY109" i="273"/>
  <c r="BZ39" i="273"/>
  <c r="BZ41" i="273" s="1"/>
  <c r="BY66" i="273"/>
  <c r="BY99" i="281" s="1"/>
  <c r="BX14" i="281"/>
  <c r="BX36" i="281" s="1"/>
  <c r="BX38" i="281" s="1"/>
  <c r="BW9" i="265"/>
  <c r="BW11" i="265" s="1"/>
  <c r="BW14" i="265" s="1"/>
  <c r="BW19" i="265" s="1"/>
  <c r="BW22" i="265" s="1"/>
  <c r="BW79" i="281"/>
  <c r="BW65" i="281"/>
  <c r="BY69" i="281" s="1"/>
  <c r="BY71" i="281" s="1"/>
  <c r="BZ2" i="281"/>
  <c r="BZ120" i="273"/>
  <c r="BZ121" i="273" s="1"/>
  <c r="BZ80" i="273"/>
  <c r="BZ81" i="273" s="1"/>
  <c r="BZ95" i="273" s="1"/>
  <c r="CA96" i="273" s="1"/>
  <c r="CA49" i="273" s="1"/>
  <c r="BZ65" i="273"/>
  <c r="BZ86" i="273"/>
  <c r="BZ87" i="273" s="1"/>
  <c r="BY14" i="281"/>
  <c r="BY36" i="281" s="1"/>
  <c r="BY38" i="281" s="1"/>
  <c r="BR74" i="265"/>
  <c r="BR75" i="265" s="1"/>
  <c r="BR81" i="265" s="1"/>
  <c r="BS13" i="280"/>
  <c r="BS16" i="280" s="1"/>
  <c r="BX3" i="280"/>
  <c r="BX3" i="281"/>
  <c r="CA32" i="273"/>
  <c r="CA33" i="273" s="1"/>
  <c r="CA113" i="273" s="1"/>
  <c r="CC5" i="275"/>
  <c r="CC5" i="265"/>
  <c r="CD10" i="273"/>
  <c r="CD64" i="281" s="1"/>
  <c r="CC5" i="273"/>
  <c r="CC13" i="273"/>
  <c r="CC14" i="273" s="1"/>
  <c r="CB37" i="273"/>
  <c r="CB46" i="273"/>
  <c r="CB19" i="273"/>
  <c r="CB20" i="273" s="1"/>
  <c r="CA2" i="265"/>
  <c r="BX3" i="265"/>
  <c r="BX3" i="273"/>
  <c r="BX3" i="275"/>
  <c r="BY80" i="281" l="1"/>
  <c r="BY30" i="265"/>
  <c r="BX80" i="281"/>
  <c r="BX30" i="265"/>
  <c r="CA80" i="273"/>
  <c r="CA81" i="273" s="1"/>
  <c r="CA95" i="273" s="1"/>
  <c r="CB96" i="273" s="1"/>
  <c r="CB49" i="273" s="1"/>
  <c r="CA125" i="273"/>
  <c r="CA126" i="273" s="1"/>
  <c r="CA29" i="281" s="1"/>
  <c r="CA30" i="281" s="1"/>
  <c r="CA37" i="281" s="1"/>
  <c r="BZ90" i="273"/>
  <c r="BZ59" i="281"/>
  <c r="BZ60" i="281" s="1"/>
  <c r="BZ70" i="281" s="1"/>
  <c r="BZ91" i="273"/>
  <c r="BZ58" i="281" s="1"/>
  <c r="CA2" i="280"/>
  <c r="BZ113" i="273"/>
  <c r="BZ38" i="273"/>
  <c r="AJ33" i="265"/>
  <c r="AJ37" i="265" s="1"/>
  <c r="AJ42" i="265" s="1"/>
  <c r="AJ47" i="265" s="1"/>
  <c r="AJ50" i="265" s="1"/>
  <c r="AJ81" i="281"/>
  <c r="AI82" i="265"/>
  <c r="AI83" i="265"/>
  <c r="CA38" i="273"/>
  <c r="BZ90" i="281"/>
  <c r="CA86" i="273"/>
  <c r="CA87" i="273" s="1"/>
  <c r="CA59" i="281" s="1"/>
  <c r="CA60" i="281" s="1"/>
  <c r="CA70" i="281" s="1"/>
  <c r="CA2" i="273"/>
  <c r="BX44" i="281"/>
  <c r="BX46" i="281" s="1"/>
  <c r="BX89" i="281" s="1"/>
  <c r="BX91" i="281" s="1"/>
  <c r="BX95" i="281" s="1"/>
  <c r="BV94" i="281"/>
  <c r="BV96" i="281" s="1"/>
  <c r="BV103" i="281" s="1"/>
  <c r="BV104" i="281" s="1"/>
  <c r="BW101" i="281" s="1"/>
  <c r="BY44" i="281"/>
  <c r="BY46" i="281" s="1"/>
  <c r="CB24" i="273"/>
  <c r="CB25" i="273" s="1"/>
  <c r="CB119" i="273"/>
  <c r="CD5" i="281"/>
  <c r="CD5" i="280"/>
  <c r="BY76" i="281"/>
  <c r="BY22" i="280"/>
  <c r="BY69" i="273"/>
  <c r="BZ70" i="273" s="1"/>
  <c r="BZ48" i="273" s="1"/>
  <c r="BY11" i="280"/>
  <c r="BY47" i="273"/>
  <c r="BY50" i="273" s="1"/>
  <c r="BY15" i="275"/>
  <c r="BY20" i="275" s="1"/>
  <c r="BZ17" i="275" s="1"/>
  <c r="BZ42" i="273"/>
  <c r="BY4" i="280"/>
  <c r="BY4" i="273"/>
  <c r="BY4" i="265"/>
  <c r="BY4" i="281"/>
  <c r="BY4" i="275"/>
  <c r="CA39" i="273"/>
  <c r="CA41" i="273" s="1"/>
  <c r="BZ103" i="273"/>
  <c r="BZ104" i="273" s="1"/>
  <c r="BZ107" i="273" s="1"/>
  <c r="BZ45" i="281"/>
  <c r="BZ13" i="281"/>
  <c r="BZ108" i="273"/>
  <c r="BZ109" i="273" s="1"/>
  <c r="BZ114" i="273"/>
  <c r="BZ115" i="273" s="1"/>
  <c r="BZ12" i="281" s="1"/>
  <c r="BW14" i="280"/>
  <c r="BW25" i="265"/>
  <c r="BZ66" i="273"/>
  <c r="BZ99" i="281" s="1"/>
  <c r="CA2" i="281"/>
  <c r="CA120" i="273"/>
  <c r="CA121" i="273" s="1"/>
  <c r="CA2" i="275"/>
  <c r="CA65" i="273"/>
  <c r="CA66" i="273" s="1"/>
  <c r="CA99" i="281" s="1"/>
  <c r="BT13" i="280"/>
  <c r="BT16" i="280" s="1"/>
  <c r="BS74" i="265"/>
  <c r="BS75" i="265" s="1"/>
  <c r="BS81" i="265" s="1"/>
  <c r="CA13" i="281"/>
  <c r="CC37" i="273"/>
  <c r="CC19" i="273"/>
  <c r="CC20" i="273" s="1"/>
  <c r="CC46" i="273"/>
  <c r="CD5" i="265"/>
  <c r="CD5" i="273"/>
  <c r="CD13" i="273"/>
  <c r="CD14" i="273" s="1"/>
  <c r="CD5" i="275"/>
  <c r="CB120" i="273" l="1"/>
  <c r="CB121" i="273" s="1"/>
  <c r="CB125" i="273"/>
  <c r="CB126" i="273" s="1"/>
  <c r="CB29" i="281" s="1"/>
  <c r="CB30" i="281" s="1"/>
  <c r="CB37" i="281" s="1"/>
  <c r="CB2" i="273"/>
  <c r="CB2" i="281"/>
  <c r="CA114" i="273"/>
  <c r="CA115" i="273" s="1"/>
  <c r="CA12" i="281" s="1"/>
  <c r="CA90" i="273"/>
  <c r="CA91" i="273" s="1"/>
  <c r="CA58" i="281" s="1"/>
  <c r="AK78" i="281"/>
  <c r="AJ64" i="265"/>
  <c r="AJ30" i="280"/>
  <c r="AJ53" i="265"/>
  <c r="AJ25" i="280"/>
  <c r="AJ27" i="280" s="1"/>
  <c r="CA45" i="281"/>
  <c r="BX65" i="281"/>
  <c r="BZ69" i="281" s="1"/>
  <c r="BZ71" i="281" s="1"/>
  <c r="CA108" i="273"/>
  <c r="CA109" i="273" s="1"/>
  <c r="CA103" i="273"/>
  <c r="CA104" i="273" s="1"/>
  <c r="CA107" i="273" s="1"/>
  <c r="BY9" i="265"/>
  <c r="BY11" i="265" s="1"/>
  <c r="BY14" i="265" s="1"/>
  <c r="BY19" i="265" s="1"/>
  <c r="BY22" i="265" s="1"/>
  <c r="BY25" i="265" s="1"/>
  <c r="CA90" i="281"/>
  <c r="CB2" i="265"/>
  <c r="CB86" i="273"/>
  <c r="CB87" i="273" s="1"/>
  <c r="CB59" i="281" s="1"/>
  <c r="CB60" i="281" s="1"/>
  <c r="CB70" i="281" s="1"/>
  <c r="CB2" i="280"/>
  <c r="BX79" i="281"/>
  <c r="BX102" i="281"/>
  <c r="BX9" i="265"/>
  <c r="BX11" i="265" s="1"/>
  <c r="BX14" i="265" s="1"/>
  <c r="BX19" i="265" s="1"/>
  <c r="BX22" i="265" s="1"/>
  <c r="BX25" i="265" s="1"/>
  <c r="BW94" i="281"/>
  <c r="BW96" i="281" s="1"/>
  <c r="BW103" i="281" s="1"/>
  <c r="BW104" i="281" s="1"/>
  <c r="BX101" i="281" s="1"/>
  <c r="BY89" i="281"/>
  <c r="BY91" i="281" s="1"/>
  <c r="BY95" i="281" s="1"/>
  <c r="BY102" i="281"/>
  <c r="BY65" i="281"/>
  <c r="CA69" i="281" s="1"/>
  <c r="CA71" i="281" s="1"/>
  <c r="BY79" i="281"/>
  <c r="CA76" i="281"/>
  <c r="CA11" i="280"/>
  <c r="CA69" i="273"/>
  <c r="CB70" i="273" s="1"/>
  <c r="CB48" i="273" s="1"/>
  <c r="CA22" i="280"/>
  <c r="CA47" i="273"/>
  <c r="CA15" i="275"/>
  <c r="CC24" i="273"/>
  <c r="CC25" i="273" s="1"/>
  <c r="CC119" i="273"/>
  <c r="BZ76" i="281"/>
  <c r="BZ11" i="280"/>
  <c r="BZ69" i="273"/>
  <c r="CA70" i="273" s="1"/>
  <c r="CA48" i="273" s="1"/>
  <c r="BZ22" i="280"/>
  <c r="BZ47" i="273"/>
  <c r="BZ50" i="273" s="1"/>
  <c r="BZ15" i="275"/>
  <c r="BZ20" i="275" s="1"/>
  <c r="CA17" i="275" s="1"/>
  <c r="BY56" i="273"/>
  <c r="BY57" i="273" s="1"/>
  <c r="CB2" i="275"/>
  <c r="CB65" i="273"/>
  <c r="CB66" i="273" s="1"/>
  <c r="CB99" i="281" s="1"/>
  <c r="CB32" i="273"/>
  <c r="CB33" i="273" s="1"/>
  <c r="CB80" i="273"/>
  <c r="CB81" i="273" s="1"/>
  <c r="CB95" i="273" s="1"/>
  <c r="CC96" i="273" s="1"/>
  <c r="CC49" i="273" s="1"/>
  <c r="BZ14" i="281"/>
  <c r="BZ36" i="281" s="1"/>
  <c r="BZ38" i="281" s="1"/>
  <c r="CA42" i="273"/>
  <c r="BZ4" i="280"/>
  <c r="BZ4" i="273"/>
  <c r="BZ4" i="265"/>
  <c r="BZ4" i="281"/>
  <c r="BZ4" i="275"/>
  <c r="CB39" i="273"/>
  <c r="CB41" i="273" s="1"/>
  <c r="BU13" i="280"/>
  <c r="BU16" i="280" s="1"/>
  <c r="BT74" i="265"/>
  <c r="BT75" i="265" s="1"/>
  <c r="BT81" i="265" s="1"/>
  <c r="CA14" i="281"/>
  <c r="CA36" i="281" s="1"/>
  <c r="CA38" i="281" s="1"/>
  <c r="CD37" i="273"/>
  <c r="CD46" i="273"/>
  <c r="CD19" i="273"/>
  <c r="CD20" i="273" s="1"/>
  <c r="BY14" i="280" l="1"/>
  <c r="CA80" i="281"/>
  <c r="CA30" i="265"/>
  <c r="BZ80" i="281"/>
  <c r="BZ30" i="265"/>
  <c r="CC32" i="273"/>
  <c r="CC33" i="273" s="1"/>
  <c r="CC113" i="273" s="1"/>
  <c r="CC125" i="273"/>
  <c r="CC126" i="273" s="1"/>
  <c r="CC29" i="281" s="1"/>
  <c r="CC30" i="281" s="1"/>
  <c r="CC37" i="281" s="1"/>
  <c r="CB114" i="273"/>
  <c r="CB115" i="273" s="1"/>
  <c r="CB12" i="281" s="1"/>
  <c r="CB90" i="273"/>
  <c r="CB91" i="273" s="1"/>
  <c r="CB58" i="281" s="1"/>
  <c r="CB22" i="280"/>
  <c r="BX14" i="280"/>
  <c r="AJ63" i="265"/>
  <c r="AJ65" i="265" s="1"/>
  <c r="AJ67" i="265" s="1"/>
  <c r="AJ80" i="265" s="1"/>
  <c r="AK24" i="280"/>
  <c r="AK33" i="265"/>
  <c r="AK37" i="265" s="1"/>
  <c r="AK42" i="265" s="1"/>
  <c r="AK47" i="265" s="1"/>
  <c r="AK50" i="265" s="1"/>
  <c r="AK81" i="281"/>
  <c r="CB108" i="273"/>
  <c r="CB90" i="281"/>
  <c r="CC38" i="273"/>
  <c r="CC2" i="265"/>
  <c r="CC65" i="273"/>
  <c r="CC66" i="273" s="1"/>
  <c r="CC99" i="281" s="1"/>
  <c r="CB109" i="273"/>
  <c r="CC15" i="275"/>
  <c r="CB103" i="273"/>
  <c r="CB104" i="273" s="1"/>
  <c r="CB107" i="273" s="1"/>
  <c r="CB13" i="281"/>
  <c r="CB14" i="281" s="1"/>
  <c r="CB36" i="281" s="1"/>
  <c r="CB38" i="281" s="1"/>
  <c r="CB45" i="281"/>
  <c r="CA20" i="275"/>
  <c r="CB17" i="275" s="1"/>
  <c r="BX94" i="281"/>
  <c r="BX96" i="281" s="1"/>
  <c r="BX103" i="281" s="1"/>
  <c r="BX104" i="281" s="1"/>
  <c r="BY101" i="281" s="1"/>
  <c r="CA50" i="273"/>
  <c r="BZ56" i="273"/>
  <c r="BZ57" i="273" s="1"/>
  <c r="CD24" i="273"/>
  <c r="CD25" i="273" s="1"/>
  <c r="CD119" i="273"/>
  <c r="CC69" i="273"/>
  <c r="CD70" i="273" s="1"/>
  <c r="CD48" i="273" s="1"/>
  <c r="CB69" i="273"/>
  <c r="CC70" i="273" s="1"/>
  <c r="CC48" i="273" s="1"/>
  <c r="CB76" i="281"/>
  <c r="BY3" i="280"/>
  <c r="BY3" i="275"/>
  <c r="BY3" i="281"/>
  <c r="BY3" i="273"/>
  <c r="BY3" i="265"/>
  <c r="CC2" i="281"/>
  <c r="CC120" i="273"/>
  <c r="CC121" i="273" s="1"/>
  <c r="CC80" i="273"/>
  <c r="CC81" i="273" s="1"/>
  <c r="CC95" i="273" s="1"/>
  <c r="CD96" i="273" s="1"/>
  <c r="CD49" i="273" s="1"/>
  <c r="CC2" i="273"/>
  <c r="CC47" i="273"/>
  <c r="CC86" i="273"/>
  <c r="CC87" i="273" s="1"/>
  <c r="CC59" i="281" s="1"/>
  <c r="CC60" i="281" s="1"/>
  <c r="CC70" i="281" s="1"/>
  <c r="CB15" i="275"/>
  <c r="CC2" i="275"/>
  <c r="CB11" i="280"/>
  <c r="CB47" i="273"/>
  <c r="CC2" i="280"/>
  <c r="CB42" i="273"/>
  <c r="CA4" i="280"/>
  <c r="CA4" i="265"/>
  <c r="CA4" i="281"/>
  <c r="CA4" i="273"/>
  <c r="CA4" i="275"/>
  <c r="BZ44" i="281"/>
  <c r="BZ46" i="281" s="1"/>
  <c r="CB113" i="273"/>
  <c r="CB38" i="273"/>
  <c r="CC39" i="273" s="1"/>
  <c r="CC41" i="273" s="1"/>
  <c r="CA44" i="281"/>
  <c r="CA46" i="281" s="1"/>
  <c r="BV13" i="280"/>
  <c r="BV16" i="280" s="1"/>
  <c r="BU74" i="265"/>
  <c r="BU75" i="265" s="1"/>
  <c r="BU81" i="265" s="1"/>
  <c r="CC11" i="280"/>
  <c r="CD2" i="280" l="1"/>
  <c r="CD125" i="273"/>
  <c r="CD126" i="273" s="1"/>
  <c r="CD29" i="281" s="1"/>
  <c r="CD30" i="281" s="1"/>
  <c r="CD37" i="281" s="1"/>
  <c r="CC22" i="280"/>
  <c r="CD86" i="273"/>
  <c r="CD87" i="273" s="1"/>
  <c r="CD108" i="273" s="1"/>
  <c r="CC103" i="273"/>
  <c r="CC104" i="273" s="1"/>
  <c r="CC90" i="273"/>
  <c r="CC91" i="273" s="1"/>
  <c r="CD2" i="275"/>
  <c r="CC76" i="281"/>
  <c r="AK30" i="280"/>
  <c r="AK25" i="280"/>
  <c r="AK27" i="280" s="1"/>
  <c r="AK53" i="265"/>
  <c r="AJ82" i="265"/>
  <c r="AJ83" i="265"/>
  <c r="AL78" i="281"/>
  <c r="AK64" i="265"/>
  <c r="CB44" i="281"/>
  <c r="CB46" i="281" s="1"/>
  <c r="CB20" i="275"/>
  <c r="CC17" i="275" s="1"/>
  <c r="CC20" i="275" s="1"/>
  <c r="CD17" i="275" s="1"/>
  <c r="CD2" i="273"/>
  <c r="CC90" i="281"/>
  <c r="CC114" i="273"/>
  <c r="CC115" i="273" s="1"/>
  <c r="CC12" i="281" s="1"/>
  <c r="BY94" i="281"/>
  <c r="BY96" i="281" s="1"/>
  <c r="BY103" i="281" s="1"/>
  <c r="BY104" i="281" s="1"/>
  <c r="BZ101" i="281" s="1"/>
  <c r="CA102" i="281"/>
  <c r="CA89" i="281"/>
  <c r="CA91" i="281" s="1"/>
  <c r="CA95" i="281" s="1"/>
  <c r="BZ102" i="281"/>
  <c r="BZ89" i="281"/>
  <c r="BZ91" i="281" s="1"/>
  <c r="BZ95" i="281" s="1"/>
  <c r="CA9" i="265"/>
  <c r="CA11" i="265" s="1"/>
  <c r="CA14" i="265" s="1"/>
  <c r="CA19" i="265" s="1"/>
  <c r="CA22" i="265" s="1"/>
  <c r="CA25" i="265" s="1"/>
  <c r="CA79" i="281"/>
  <c r="CA65" i="281"/>
  <c r="CC69" i="281" s="1"/>
  <c r="CC71" i="281" s="1"/>
  <c r="CD2" i="281"/>
  <c r="CD120" i="273"/>
  <c r="CD121" i="273" s="1"/>
  <c r="CA56" i="273"/>
  <c r="CA57" i="273" s="1"/>
  <c r="CB50" i="273"/>
  <c r="CD80" i="273"/>
  <c r="CD81" i="273" s="1"/>
  <c r="CD95" i="273" s="1"/>
  <c r="CD32" i="273"/>
  <c r="CD33" i="273" s="1"/>
  <c r="CC108" i="273"/>
  <c r="CC109" i="273" s="1"/>
  <c r="CD65" i="273"/>
  <c r="CD66" i="273" s="1"/>
  <c r="CD99" i="281" s="1"/>
  <c r="CC13" i="281"/>
  <c r="CC45" i="281"/>
  <c r="CD2" i="265"/>
  <c r="CC42" i="273"/>
  <c r="BZ9" i="265"/>
  <c r="BZ11" i="265" s="1"/>
  <c r="BZ14" i="265" s="1"/>
  <c r="BZ19" i="265" s="1"/>
  <c r="BZ22" i="265" s="1"/>
  <c r="BZ79" i="281"/>
  <c r="BZ65" i="281"/>
  <c r="CB69" i="281" s="1"/>
  <c r="CB71" i="281" s="1"/>
  <c r="CB4" i="281"/>
  <c r="CB4" i="265"/>
  <c r="CB4" i="275"/>
  <c r="CB4" i="280"/>
  <c r="CB4" i="273"/>
  <c r="BZ3" i="281"/>
  <c r="BZ3" i="273"/>
  <c r="BZ3" i="280"/>
  <c r="BZ3" i="265"/>
  <c r="BZ3" i="275"/>
  <c r="CD39" i="273"/>
  <c r="CD41" i="273" s="1"/>
  <c r="BV74" i="265"/>
  <c r="BV75" i="265" s="1"/>
  <c r="BV81" i="265" s="1"/>
  <c r="BW13" i="280"/>
  <c r="BW16" i="280" s="1"/>
  <c r="CD11" i="280"/>
  <c r="CC107" i="273"/>
  <c r="CD114" i="273" l="1"/>
  <c r="CD45" i="281"/>
  <c r="CB80" i="281"/>
  <c r="CB30" i="265"/>
  <c r="CC80" i="281"/>
  <c r="CC30" i="265"/>
  <c r="CD103" i="273"/>
  <c r="CD104" i="273" s="1"/>
  <c r="CD13" i="281"/>
  <c r="CC58" i="281"/>
  <c r="CD90" i="273"/>
  <c r="CD91" i="273" s="1"/>
  <c r="CD58" i="281" s="1"/>
  <c r="CD59" i="281"/>
  <c r="CD60" i="281" s="1"/>
  <c r="CD70" i="281" s="1"/>
  <c r="AL81" i="281"/>
  <c r="AL33" i="265"/>
  <c r="AL37" i="265" s="1"/>
  <c r="AL42" i="265" s="1"/>
  <c r="AL47" i="265" s="1"/>
  <c r="AL50" i="265" s="1"/>
  <c r="AK63" i="265"/>
  <c r="AK65" i="265" s="1"/>
  <c r="AK67" i="265" s="1"/>
  <c r="AK80" i="265" s="1"/>
  <c r="AL24" i="280"/>
  <c r="CA14" i="280"/>
  <c r="CB102" i="281"/>
  <c r="CB65" i="281"/>
  <c r="CB79" i="281"/>
  <c r="CB89" i="281"/>
  <c r="CB91" i="281" s="1"/>
  <c r="CB95" i="281" s="1"/>
  <c r="CB9" i="265"/>
  <c r="CB11" i="265" s="1"/>
  <c r="CB14" i="265" s="1"/>
  <c r="CB19" i="265" s="1"/>
  <c r="CB22" i="265" s="1"/>
  <c r="CB25" i="265" s="1"/>
  <c r="CD109" i="273"/>
  <c r="CB14" i="280"/>
  <c r="CD90" i="281"/>
  <c r="CD115" i="273"/>
  <c r="CD12" i="281" s="1"/>
  <c r="CD22" i="280"/>
  <c r="CC14" i="281"/>
  <c r="CC36" i="281" s="1"/>
  <c r="BZ94" i="281"/>
  <c r="BZ96" i="281" s="1"/>
  <c r="BZ103" i="281" s="1"/>
  <c r="BZ104" i="281" s="1"/>
  <c r="CA101" i="281" s="1"/>
  <c r="CD42" i="273"/>
  <c r="CA3" i="281"/>
  <c r="CA3" i="273"/>
  <c r="CA3" i="275"/>
  <c r="CA3" i="280"/>
  <c r="CA3" i="265"/>
  <c r="BZ25" i="265"/>
  <c r="BZ14" i="280"/>
  <c r="CC4" i="281"/>
  <c r="CC4" i="273"/>
  <c r="CC4" i="265"/>
  <c r="CC4" i="280"/>
  <c r="CC4" i="275"/>
  <c r="CD76" i="281"/>
  <c r="CD69" i="273"/>
  <c r="CD47" i="273"/>
  <c r="CD15" i="275"/>
  <c r="CD20" i="275" s="1"/>
  <c r="CD38" i="273"/>
  <c r="CD113" i="273"/>
  <c r="CB56" i="273"/>
  <c r="CB57" i="273" s="1"/>
  <c r="CC50" i="273"/>
  <c r="BW74" i="265"/>
  <c r="BW75" i="265" s="1"/>
  <c r="BW81" i="265" s="1"/>
  <c r="BX13" i="280"/>
  <c r="BX16" i="280" s="1"/>
  <c r="CD14" i="281"/>
  <c r="CD36" i="281" s="1"/>
  <c r="CD38" i="281" s="1"/>
  <c r="CD107" i="273"/>
  <c r="CD69" i="281" l="1"/>
  <c r="H66" i="281"/>
  <c r="H69" i="281" s="1"/>
  <c r="CD71" i="281"/>
  <c r="H60" i="281"/>
  <c r="H70" i="281" s="1"/>
  <c r="CD30" i="265"/>
  <c r="CC38" i="281"/>
  <c r="CC44" i="281" s="1"/>
  <c r="CC46" i="281" s="1"/>
  <c r="CD80" i="281"/>
  <c r="AL30" i="280"/>
  <c r="AL53" i="265"/>
  <c r="AL25" i="280"/>
  <c r="AL27" i="280" s="1"/>
  <c r="AK83" i="265"/>
  <c r="AK82" i="265"/>
  <c r="AM78" i="281"/>
  <c r="AL64" i="265"/>
  <c r="CD44" i="281"/>
  <c r="CD46" i="281" s="1"/>
  <c r="CD102" i="281" s="1"/>
  <c r="CA94" i="281"/>
  <c r="CA96" i="281" s="1"/>
  <c r="CA103" i="281" s="1"/>
  <c r="CA104" i="281" s="1"/>
  <c r="CB101" i="281" s="1"/>
  <c r="CD89" i="281"/>
  <c r="CD91" i="281" s="1"/>
  <c r="CD95" i="281" s="1"/>
  <c r="CB3" i="281"/>
  <c r="CB3" i="273"/>
  <c r="CB3" i="275"/>
  <c r="CB3" i="280"/>
  <c r="CB3" i="265"/>
  <c r="CD50" i="273"/>
  <c r="CC56" i="273"/>
  <c r="CC57" i="273" s="1"/>
  <c r="CD4" i="280"/>
  <c r="CD4" i="265"/>
  <c r="CD4" i="275"/>
  <c r="CD4" i="281"/>
  <c r="CD4" i="273"/>
  <c r="BX74" i="265"/>
  <c r="BX75" i="265" s="1"/>
  <c r="BX81" i="265" s="1"/>
  <c r="BY13" i="280"/>
  <c r="BY16" i="280" s="1"/>
  <c r="H71" i="281" l="1"/>
  <c r="CC102" i="281"/>
  <c r="CC79" i="281"/>
  <c r="CC89" i="281"/>
  <c r="CC91" i="281" s="1"/>
  <c r="CC95" i="281" s="1"/>
  <c r="CC9" i="265"/>
  <c r="CC11" i="265" s="1"/>
  <c r="CC14" i="265" s="1"/>
  <c r="CC19" i="265" s="1"/>
  <c r="CC22" i="265" s="1"/>
  <c r="CC14" i="280" s="1"/>
  <c r="CC65" i="281"/>
  <c r="AM24" i="280"/>
  <c r="AL63" i="265"/>
  <c r="AL65" i="265" s="1"/>
  <c r="AL67" i="265" s="1"/>
  <c r="AL80" i="265" s="1"/>
  <c r="CD65" i="281"/>
  <c r="CD79" i="281"/>
  <c r="CD9" i="265"/>
  <c r="CD11" i="265" s="1"/>
  <c r="CD14" i="265" s="1"/>
  <c r="CD19" i="265" s="1"/>
  <c r="CD22" i="265" s="1"/>
  <c r="CD25" i="265" s="1"/>
  <c r="CB94" i="281"/>
  <c r="CB96" i="281" s="1"/>
  <c r="CB103" i="281" s="1"/>
  <c r="CB104" i="281" s="1"/>
  <c r="CC101" i="281" s="1"/>
  <c r="CC3" i="280"/>
  <c r="CC3" i="275"/>
  <c r="CC3" i="281"/>
  <c r="CC3" i="273"/>
  <c r="CC3" i="265"/>
  <c r="CD56" i="273"/>
  <c r="CD57" i="273" s="1"/>
  <c r="BY74" i="265"/>
  <c r="BY75" i="265" s="1"/>
  <c r="BY81" i="265" s="1"/>
  <c r="BZ13" i="280"/>
  <c r="BZ16" i="280" s="1"/>
  <c r="CC25" i="265" l="1"/>
  <c r="H80" i="281"/>
  <c r="H30" i="265"/>
  <c r="AM81" i="281"/>
  <c r="AM33" i="265"/>
  <c r="AM37" i="265" s="1"/>
  <c r="AM42" i="265" s="1"/>
  <c r="AM47" i="265" s="1"/>
  <c r="AM50" i="265" s="1"/>
  <c r="AL82" i="265"/>
  <c r="AL83" i="265"/>
  <c r="CD14" i="280"/>
  <c r="CC94" i="281"/>
  <c r="CC96" i="281" s="1"/>
  <c r="CC103" i="281" s="1"/>
  <c r="CC104" i="281" s="1"/>
  <c r="CD101" i="281" s="1"/>
  <c r="CD3" i="281"/>
  <c r="CD3" i="265"/>
  <c r="CD3" i="280"/>
  <c r="CD3" i="273"/>
  <c r="CD3" i="275"/>
  <c r="BZ74" i="265"/>
  <c r="BZ75" i="265" s="1"/>
  <c r="BZ81" i="265" s="1"/>
  <c r="CA13" i="280"/>
  <c r="CA16" i="280" s="1"/>
  <c r="AM30" i="280" l="1"/>
  <c r="AM53" i="265"/>
  <c r="AM25" i="280"/>
  <c r="AM27" i="280" s="1"/>
  <c r="AN78" i="281"/>
  <c r="AM64" i="265"/>
  <c r="CD94" i="281"/>
  <c r="CD96" i="281" s="1"/>
  <c r="CD103" i="281" s="1"/>
  <c r="CD104" i="281" s="1"/>
  <c r="CB13" i="280"/>
  <c r="CB16" i="280" s="1"/>
  <c r="CA74" i="265"/>
  <c r="CA75" i="265" s="1"/>
  <c r="CA81" i="265" s="1"/>
  <c r="AN24" i="280" l="1"/>
  <c r="AM63" i="265"/>
  <c r="AM65" i="265" s="1"/>
  <c r="AM67" i="265" s="1"/>
  <c r="AM80" i="265" s="1"/>
  <c r="CB74" i="265"/>
  <c r="CB75" i="265" s="1"/>
  <c r="CB81" i="265" s="1"/>
  <c r="CC13" i="280"/>
  <c r="CC16" i="280" s="1"/>
  <c r="AN81" i="281" l="1"/>
  <c r="AN33" i="265"/>
  <c r="AN37" i="265" s="1"/>
  <c r="AN42" i="265" s="1"/>
  <c r="AN47" i="265" s="1"/>
  <c r="AN50" i="265" s="1"/>
  <c r="AM82" i="265"/>
  <c r="AM83" i="265"/>
  <c r="CD13" i="280"/>
  <c r="CD16" i="280" s="1"/>
  <c r="CC74" i="265"/>
  <c r="CC75" i="265" s="1"/>
  <c r="CC81" i="265" s="1"/>
  <c r="AN30" i="280" l="1"/>
  <c r="AN25" i="280"/>
  <c r="AN27" i="280" s="1"/>
  <c r="AN53" i="265"/>
  <c r="AN64" i="265"/>
  <c r="AO78" i="281"/>
  <c r="CD74" i="265"/>
  <c r="CD75" i="265" s="1"/>
  <c r="CD81" i="265" s="1"/>
  <c r="AN63" i="265" l="1"/>
  <c r="AN65" i="265" s="1"/>
  <c r="AN67" i="265" s="1"/>
  <c r="AN80" i="265" s="1"/>
  <c r="AO24" i="280"/>
  <c r="AO33" i="265" l="1"/>
  <c r="AO37" i="265" s="1"/>
  <c r="AO42" i="265" s="1"/>
  <c r="AO47" i="265" s="1"/>
  <c r="AO50" i="265" s="1"/>
  <c r="AO81" i="281"/>
  <c r="AN83" i="265"/>
  <c r="AN82" i="265"/>
  <c r="AO64" i="265" l="1"/>
  <c r="AP78" i="281"/>
  <c r="AO30" i="280"/>
  <c r="AO25" i="280"/>
  <c r="AO27" i="280" s="1"/>
  <c r="AO53" i="265"/>
  <c r="AO63" i="265" l="1"/>
  <c r="AO65" i="265" s="1"/>
  <c r="AO67" i="265" s="1"/>
  <c r="AO80" i="265" s="1"/>
  <c r="AP24" i="280"/>
  <c r="AP81" i="281"/>
  <c r="AP33" i="265"/>
  <c r="AP37" i="265" s="1"/>
  <c r="AP42" i="265" s="1"/>
  <c r="AP47" i="265" s="1"/>
  <c r="AP50" i="265" s="1"/>
  <c r="AP30" i="280" l="1"/>
  <c r="AP53" i="265"/>
  <c r="AP25" i="280"/>
  <c r="AP27" i="280" s="1"/>
  <c r="AQ78" i="281"/>
  <c r="AP64" i="265"/>
  <c r="AO83" i="265"/>
  <c r="AO82" i="265"/>
  <c r="AP63" i="265" l="1"/>
  <c r="AP65" i="265" s="1"/>
  <c r="AP67" i="265" s="1"/>
  <c r="AP80" i="265" s="1"/>
  <c r="AQ24" i="280"/>
  <c r="AQ33" i="265" l="1"/>
  <c r="AQ37" i="265" s="1"/>
  <c r="AQ42" i="265" s="1"/>
  <c r="AQ47" i="265" s="1"/>
  <c r="AQ50" i="265" s="1"/>
  <c r="AQ81" i="281"/>
  <c r="AP83" i="265"/>
  <c r="AP82" i="265"/>
  <c r="AR78" i="281" l="1"/>
  <c r="AQ64" i="265"/>
  <c r="AQ30" i="280"/>
  <c r="AQ53" i="265"/>
  <c r="AQ25" i="280"/>
  <c r="AQ27" i="280" s="1"/>
  <c r="AR24" i="280" l="1"/>
  <c r="AQ63" i="265"/>
  <c r="AQ65" i="265" s="1"/>
  <c r="AQ67" i="265" s="1"/>
  <c r="AQ80" i="265" s="1"/>
  <c r="AR81" i="281" l="1"/>
  <c r="AR33" i="265"/>
  <c r="AR37" i="265" s="1"/>
  <c r="AR42" i="265" s="1"/>
  <c r="AR47" i="265" s="1"/>
  <c r="AR50" i="265" s="1"/>
  <c r="AQ83" i="265"/>
  <c r="AQ82" i="265"/>
  <c r="AR30" i="280" l="1"/>
  <c r="AR25" i="280"/>
  <c r="AR27" i="280" s="1"/>
  <c r="AR53" i="265"/>
  <c r="AR64" i="265"/>
  <c r="AS78" i="281"/>
  <c r="AR63" i="265" l="1"/>
  <c r="AR65" i="265" s="1"/>
  <c r="AR67" i="265" s="1"/>
  <c r="AR80" i="265" s="1"/>
  <c r="AS24" i="280"/>
  <c r="AS81" i="281" l="1"/>
  <c r="AS33" i="265"/>
  <c r="AS37" i="265" s="1"/>
  <c r="AS42" i="265" s="1"/>
  <c r="AS47" i="265" s="1"/>
  <c r="AS50" i="265" s="1"/>
  <c r="AR82" i="265"/>
  <c r="AR83" i="265"/>
  <c r="AS30" i="280" l="1"/>
  <c r="AS25" i="280"/>
  <c r="AS27" i="280" s="1"/>
  <c r="AS53" i="265"/>
  <c r="AS64" i="265"/>
  <c r="AT78" i="281"/>
  <c r="AS63" i="265" l="1"/>
  <c r="AS65" i="265" s="1"/>
  <c r="AS67" i="265" s="1"/>
  <c r="AS80" i="265" s="1"/>
  <c r="AT24" i="280"/>
  <c r="AT81" i="281" l="1"/>
  <c r="AT33" i="265"/>
  <c r="AT37" i="265" s="1"/>
  <c r="AT42" i="265" s="1"/>
  <c r="AT47" i="265" s="1"/>
  <c r="AT50" i="265" s="1"/>
  <c r="AS82" i="265"/>
  <c r="AS83" i="265"/>
  <c r="AT30" i="280" l="1"/>
  <c r="AT53" i="265"/>
  <c r="AT25" i="280"/>
  <c r="AT27" i="280" s="1"/>
  <c r="AU78" i="281"/>
  <c r="AT64" i="265"/>
  <c r="AT63" i="265" l="1"/>
  <c r="AT65" i="265" s="1"/>
  <c r="AT67" i="265" s="1"/>
  <c r="AT80" i="265" s="1"/>
  <c r="AU24" i="280"/>
  <c r="AU33" i="265" l="1"/>
  <c r="AU37" i="265" s="1"/>
  <c r="AU42" i="265" s="1"/>
  <c r="AU47" i="265" s="1"/>
  <c r="AU50" i="265" s="1"/>
  <c r="AU81" i="281"/>
  <c r="AT83" i="265"/>
  <c r="AT82" i="265"/>
  <c r="AV78" i="281" l="1"/>
  <c r="AU64" i="265"/>
  <c r="AU30" i="280"/>
  <c r="AU53" i="265"/>
  <c r="AU25" i="280"/>
  <c r="AU27" i="280" s="1"/>
  <c r="AV24" i="280" l="1"/>
  <c r="AU63" i="265"/>
  <c r="AU65" i="265" s="1"/>
  <c r="AU67" i="265" s="1"/>
  <c r="AU80" i="265" s="1"/>
  <c r="AV81" i="281" l="1"/>
  <c r="AV33" i="265"/>
  <c r="AV37" i="265" s="1"/>
  <c r="AV42" i="265" s="1"/>
  <c r="AV47" i="265" s="1"/>
  <c r="AV50" i="265" s="1"/>
  <c r="AU83" i="265"/>
  <c r="AU82" i="265"/>
  <c r="AV30" i="280" l="1"/>
  <c r="AV25" i="280"/>
  <c r="AV27" i="280" s="1"/>
  <c r="AV53" i="265"/>
  <c r="AV64" i="265"/>
  <c r="AW78" i="281"/>
  <c r="AW24" i="280" l="1"/>
  <c r="AV63" i="265"/>
  <c r="AV65" i="265" s="1"/>
  <c r="AV67" i="265" s="1"/>
  <c r="AV80" i="265" s="1"/>
  <c r="AW81" i="281" l="1"/>
  <c r="AW33" i="265"/>
  <c r="AW37" i="265" s="1"/>
  <c r="AW42" i="265" s="1"/>
  <c r="AW47" i="265" s="1"/>
  <c r="AW50" i="265" s="1"/>
  <c r="AV83" i="265"/>
  <c r="AV82" i="265"/>
  <c r="AW30" i="280" l="1"/>
  <c r="AW53" i="265"/>
  <c r="AW25" i="280"/>
  <c r="AW27" i="280" s="1"/>
  <c r="AX78" i="281"/>
  <c r="AW64" i="265"/>
  <c r="AX81" i="281" l="1"/>
  <c r="AX33" i="265"/>
  <c r="AX37" i="265" s="1"/>
  <c r="AX42" i="265" s="1"/>
  <c r="AX47" i="265" s="1"/>
  <c r="AX50" i="265" s="1"/>
  <c r="AX24" i="280"/>
  <c r="AW63" i="265"/>
  <c r="AW65" i="265" s="1"/>
  <c r="AW67" i="265" s="1"/>
  <c r="AW80" i="265" s="1"/>
  <c r="AW83" i="265" l="1"/>
  <c r="AW82" i="265"/>
  <c r="AX30" i="280"/>
  <c r="AX53" i="265"/>
  <c r="AX25" i="280"/>
  <c r="AX27" i="280" s="1"/>
  <c r="AY78" i="281"/>
  <c r="AX64" i="265"/>
  <c r="AX63" i="265" l="1"/>
  <c r="AX65" i="265" s="1"/>
  <c r="AX67" i="265" s="1"/>
  <c r="AX80" i="265" s="1"/>
  <c r="AY24" i="280"/>
  <c r="AY33" i="265" l="1"/>
  <c r="AY37" i="265" s="1"/>
  <c r="AY42" i="265" s="1"/>
  <c r="AY47" i="265" s="1"/>
  <c r="AY50" i="265" s="1"/>
  <c r="AY81" i="281"/>
  <c r="AX83" i="265"/>
  <c r="AX82" i="265"/>
  <c r="AZ78" i="281" l="1"/>
  <c r="AY64" i="265"/>
  <c r="AY30" i="280"/>
  <c r="AY53" i="265"/>
  <c r="AY25" i="280"/>
  <c r="AY27" i="280" s="1"/>
  <c r="AY63" i="265" l="1"/>
  <c r="AY65" i="265" s="1"/>
  <c r="AY67" i="265" s="1"/>
  <c r="AY80" i="265" s="1"/>
  <c r="AZ24" i="280"/>
  <c r="AZ81" i="281" l="1"/>
  <c r="AZ33" i="265"/>
  <c r="AZ37" i="265" s="1"/>
  <c r="AZ42" i="265" s="1"/>
  <c r="AZ47" i="265" s="1"/>
  <c r="AZ50" i="265" s="1"/>
  <c r="AY82" i="265"/>
  <c r="AY83" i="265"/>
  <c r="AZ30" i="280" l="1"/>
  <c r="AZ25" i="280"/>
  <c r="AZ27" i="280" s="1"/>
  <c r="AZ53" i="265"/>
  <c r="AZ64" i="265"/>
  <c r="BA78" i="281"/>
  <c r="AZ63" i="265" l="1"/>
  <c r="AZ65" i="265" s="1"/>
  <c r="AZ67" i="265" s="1"/>
  <c r="AZ80" i="265" s="1"/>
  <c r="BA24" i="280"/>
  <c r="BA81" i="281" l="1"/>
  <c r="BA33" i="265"/>
  <c r="BA37" i="265" s="1"/>
  <c r="BA42" i="265" s="1"/>
  <c r="BA47" i="265" s="1"/>
  <c r="BA50" i="265" s="1"/>
  <c r="AZ83" i="265"/>
  <c r="AZ82" i="265"/>
  <c r="BA30" i="280" l="1"/>
  <c r="BA53" i="265"/>
  <c r="BA25" i="280"/>
  <c r="BA27" i="280" s="1"/>
  <c r="BB78" i="281"/>
  <c r="BA64" i="265"/>
  <c r="BA63" i="265" l="1"/>
  <c r="BA65" i="265" s="1"/>
  <c r="BA67" i="265" s="1"/>
  <c r="BA80" i="265" s="1"/>
  <c r="BB24" i="280"/>
  <c r="BB33" i="265" l="1"/>
  <c r="BB37" i="265" s="1"/>
  <c r="BB42" i="265" s="1"/>
  <c r="BB47" i="265" s="1"/>
  <c r="BB50" i="265" s="1"/>
  <c r="BB81" i="281"/>
  <c r="BA82" i="265"/>
  <c r="BA83" i="265"/>
  <c r="BC78" i="281" l="1"/>
  <c r="BB64" i="265"/>
  <c r="BB30" i="280"/>
  <c r="BB53" i="265"/>
  <c r="BB25" i="280"/>
  <c r="BB27" i="280" s="1"/>
  <c r="BC24" i="280" l="1"/>
  <c r="BB63" i="265"/>
  <c r="BB65" i="265" s="1"/>
  <c r="BB67" i="265" s="1"/>
  <c r="BB80" i="265" s="1"/>
  <c r="BC81" i="281" l="1"/>
  <c r="BC33" i="265"/>
  <c r="BC37" i="265" s="1"/>
  <c r="BC42" i="265" s="1"/>
  <c r="BC47" i="265" s="1"/>
  <c r="BC50" i="265" s="1"/>
  <c r="BB83" i="265"/>
  <c r="BB82" i="265"/>
  <c r="BC30" i="280" l="1"/>
  <c r="BC25" i="280"/>
  <c r="BC27" i="280" s="1"/>
  <c r="BC53" i="265"/>
  <c r="BC64" i="265"/>
  <c r="BD78" i="281"/>
  <c r="BC63" i="265" l="1"/>
  <c r="BC65" i="265" s="1"/>
  <c r="BC67" i="265" s="1"/>
  <c r="BC80" i="265" s="1"/>
  <c r="BD24" i="280"/>
  <c r="BD33" i="265"/>
  <c r="BD37" i="265" s="1"/>
  <c r="BD42" i="265" s="1"/>
  <c r="BD47" i="265" s="1"/>
  <c r="BD50" i="265" s="1"/>
  <c r="BD81" i="281"/>
  <c r="H38" i="281"/>
  <c r="H44" i="281" s="1"/>
  <c r="F11" i="273"/>
  <c r="BE78" i="281" l="1"/>
  <c r="BD64" i="265"/>
  <c r="BD30" i="280"/>
  <c r="BD53" i="265"/>
  <c r="BD25" i="280"/>
  <c r="BD27" i="280" s="1"/>
  <c r="BC82" i="265"/>
  <c r="BC83" i="265"/>
  <c r="H46" i="281"/>
  <c r="H14" i="273"/>
  <c r="BE24" i="280" l="1"/>
  <c r="BD63" i="265"/>
  <c r="BD65" i="265" s="1"/>
  <c r="BD67" i="265" s="1"/>
  <c r="BD80" i="265" s="1"/>
  <c r="H102" i="281"/>
  <c r="H89" i="281"/>
  <c r="H11" i="265"/>
  <c r="H9" i="265"/>
  <c r="H79" i="281"/>
  <c r="H65" i="281"/>
  <c r="H46" i="273"/>
  <c r="H19" i="273"/>
  <c r="H37" i="273"/>
  <c r="BE81" i="281" l="1"/>
  <c r="BE33" i="265"/>
  <c r="BE37" i="265" s="1"/>
  <c r="BE42" i="265" s="1"/>
  <c r="BE47" i="265" s="1"/>
  <c r="BE50" i="265" s="1"/>
  <c r="BD82" i="265"/>
  <c r="BD83" i="265"/>
  <c r="H14" i="265"/>
  <c r="H87" i="273"/>
  <c r="H81" i="273"/>
  <c r="H95" i="273" s="1"/>
  <c r="H66" i="273"/>
  <c r="H90" i="273" l="1"/>
  <c r="H59" i="281"/>
  <c r="BE30" i="280"/>
  <c r="BE25" i="280"/>
  <c r="BE27" i="280" s="1"/>
  <c r="BE53" i="265"/>
  <c r="BE64" i="265"/>
  <c r="BF78" i="281"/>
  <c r="H76" i="281"/>
  <c r="H99" i="281"/>
  <c r="H19" i="265"/>
  <c r="H45" i="281"/>
  <c r="H13" i="281"/>
  <c r="H22" i="280"/>
  <c r="H11" i="280"/>
  <c r="H15" i="275"/>
  <c r="H69" i="273"/>
  <c r="H47" i="273"/>
  <c r="H108" i="273"/>
  <c r="H114" i="273"/>
  <c r="H103" i="273"/>
  <c r="H70" i="273"/>
  <c r="H48" i="273" s="1"/>
  <c r="BE63" i="265" l="1"/>
  <c r="BE65" i="265" s="1"/>
  <c r="BE67" i="265" s="1"/>
  <c r="BE80" i="265" s="1"/>
  <c r="BF24" i="280"/>
  <c r="H25" i="265"/>
  <c r="H22" i="265"/>
  <c r="BF81" i="281" l="1"/>
  <c r="BF33" i="265"/>
  <c r="BF37" i="265" s="1"/>
  <c r="BF42" i="265" s="1"/>
  <c r="BF47" i="265" s="1"/>
  <c r="BF50" i="265" s="1"/>
  <c r="BE82" i="265"/>
  <c r="BE83" i="265"/>
  <c r="H14" i="280"/>
  <c r="BF30" i="280" l="1"/>
  <c r="BF53" i="265"/>
  <c r="BF25" i="280"/>
  <c r="BF27" i="280" s="1"/>
  <c r="BG78" i="281"/>
  <c r="BF64" i="265"/>
  <c r="BG81" i="281" l="1"/>
  <c r="BG33" i="265"/>
  <c r="BG37" i="265" s="1"/>
  <c r="BG42" i="265" s="1"/>
  <c r="BG47" i="265" s="1"/>
  <c r="BG50" i="265" s="1"/>
  <c r="BG24" i="280"/>
  <c r="BF63" i="265"/>
  <c r="BF65" i="265" s="1"/>
  <c r="BF67" i="265" s="1"/>
  <c r="BF80" i="265" s="1"/>
  <c r="BF83" i="265" l="1"/>
  <c r="BF82" i="265"/>
  <c r="BG30" i="280"/>
  <c r="BG53" i="265"/>
  <c r="BG25" i="280"/>
  <c r="BG27" i="280" s="1"/>
  <c r="BH78" i="281"/>
  <c r="BG64" i="265"/>
  <c r="BH24" i="280" l="1"/>
  <c r="BG63" i="265"/>
  <c r="BG65" i="265" s="1"/>
  <c r="BG67" i="265" s="1"/>
  <c r="BG80" i="265" s="1"/>
  <c r="BH33" i="265" l="1"/>
  <c r="BH37" i="265" s="1"/>
  <c r="BH42" i="265" s="1"/>
  <c r="BH47" i="265" s="1"/>
  <c r="BH50" i="265" s="1"/>
  <c r="BH81" i="281"/>
  <c r="BG82" i="265"/>
  <c r="BG83" i="265"/>
  <c r="BI78" i="281" l="1"/>
  <c r="BH64" i="265"/>
  <c r="BH30" i="280"/>
  <c r="BH53" i="265"/>
  <c r="BH25" i="280"/>
  <c r="BH27" i="280" s="1"/>
  <c r="BH63" i="265" l="1"/>
  <c r="BH65" i="265" s="1"/>
  <c r="BH67" i="265" s="1"/>
  <c r="BH80" i="265" s="1"/>
  <c r="BI24" i="280"/>
  <c r="BI33" i="265"/>
  <c r="BI37" i="265" s="1"/>
  <c r="BI42" i="265" s="1"/>
  <c r="BI47" i="265" s="1"/>
  <c r="BI50" i="265" s="1"/>
  <c r="BI81" i="281"/>
  <c r="BI30" i="280" l="1"/>
  <c r="BI53" i="265"/>
  <c r="BI25" i="280"/>
  <c r="BI27" i="280" s="1"/>
  <c r="BJ78" i="281"/>
  <c r="BI64" i="265"/>
  <c r="BH83" i="265"/>
  <c r="BH82" i="265"/>
  <c r="BI63" i="265" l="1"/>
  <c r="BI65" i="265" s="1"/>
  <c r="BI67" i="265" s="1"/>
  <c r="BI80" i="265" s="1"/>
  <c r="BJ24" i="280"/>
  <c r="BJ33" i="265"/>
  <c r="BJ37" i="265" s="1"/>
  <c r="BJ42" i="265" s="1"/>
  <c r="BJ47" i="265" s="1"/>
  <c r="BJ50" i="265" s="1"/>
  <c r="BJ81" i="281"/>
  <c r="BJ30" i="280" l="1"/>
  <c r="BJ53" i="265"/>
  <c r="BJ25" i="280"/>
  <c r="BJ27" i="280" s="1"/>
  <c r="BI83" i="265"/>
  <c r="BI82" i="265"/>
  <c r="BK78" i="281"/>
  <c r="BJ64" i="265"/>
  <c r="BK24" i="280" l="1"/>
  <c r="BJ63" i="265"/>
  <c r="BJ65" i="265" s="1"/>
  <c r="BJ67" i="265" s="1"/>
  <c r="BJ80" i="265" s="1"/>
  <c r="BK33" i="265" l="1"/>
  <c r="BK37" i="265" s="1"/>
  <c r="BK42" i="265" s="1"/>
  <c r="BK47" i="265" s="1"/>
  <c r="BK50" i="265" s="1"/>
  <c r="BK81" i="281"/>
  <c r="BJ83" i="265"/>
  <c r="BJ82" i="265"/>
  <c r="BL78" i="281" l="1"/>
  <c r="BK64" i="265"/>
  <c r="BK30" i="280"/>
  <c r="BK53" i="265"/>
  <c r="BK25" i="280"/>
  <c r="BK27" i="280" s="1"/>
  <c r="BL24" i="280" l="1"/>
  <c r="BK63" i="265"/>
  <c r="BK65" i="265" s="1"/>
  <c r="BK67" i="265" s="1"/>
  <c r="BK80" i="265" s="1"/>
  <c r="BL33" i="265" l="1"/>
  <c r="BL37" i="265" s="1"/>
  <c r="BL42" i="265" s="1"/>
  <c r="BL47" i="265" s="1"/>
  <c r="BL50" i="265" s="1"/>
  <c r="BL81" i="281"/>
  <c r="BK83" i="265"/>
  <c r="BK82" i="265"/>
  <c r="BL64" i="265" l="1"/>
  <c r="BM78" i="281"/>
  <c r="BL30" i="280"/>
  <c r="BL25" i="280"/>
  <c r="BL27" i="280" s="1"/>
  <c r="BL53" i="265"/>
  <c r="BL63" i="265" l="1"/>
  <c r="BL65" i="265" s="1"/>
  <c r="BL67" i="265" s="1"/>
  <c r="BL80" i="265" s="1"/>
  <c r="BM24" i="280"/>
  <c r="BM81" i="281" l="1"/>
  <c r="BM33" i="265"/>
  <c r="BM37" i="265" s="1"/>
  <c r="BM42" i="265" s="1"/>
  <c r="BM47" i="265" s="1"/>
  <c r="BM50" i="265" s="1"/>
  <c r="BL83" i="265"/>
  <c r="BL82" i="265"/>
  <c r="BM30" i="280" l="1"/>
  <c r="BM53" i="265"/>
  <c r="BM25" i="280"/>
  <c r="BM27" i="280" s="1"/>
  <c r="BN78" i="281"/>
  <c r="BM64" i="265"/>
  <c r="BN24" i="280" l="1"/>
  <c r="BM63" i="265"/>
  <c r="BM65" i="265" s="1"/>
  <c r="BM67" i="265" s="1"/>
  <c r="BM80" i="265" s="1"/>
  <c r="BN33" i="265"/>
  <c r="BN37" i="265" s="1"/>
  <c r="BN42" i="265" s="1"/>
  <c r="BN47" i="265" s="1"/>
  <c r="BN50" i="265" s="1"/>
  <c r="BN81" i="281"/>
  <c r="BN64" i="265" l="1"/>
  <c r="BO78" i="281"/>
  <c r="BM82" i="265"/>
  <c r="BM83" i="265"/>
  <c r="BN30" i="280"/>
  <c r="BN25" i="280"/>
  <c r="BN27" i="280" s="1"/>
  <c r="BN53" i="265"/>
  <c r="BO24" i="280" l="1"/>
  <c r="BN63" i="265"/>
  <c r="BN65" i="265" s="1"/>
  <c r="BN67" i="265" s="1"/>
  <c r="BN80" i="265" s="1"/>
  <c r="BO81" i="281" l="1"/>
  <c r="BO33" i="265"/>
  <c r="BO37" i="265" s="1"/>
  <c r="BO42" i="265" s="1"/>
  <c r="BO47" i="265" s="1"/>
  <c r="BO50" i="265" s="1"/>
  <c r="BN82" i="265"/>
  <c r="BN83" i="265"/>
  <c r="BO30" i="280" l="1"/>
  <c r="BO53" i="265"/>
  <c r="BO25" i="280"/>
  <c r="BO27" i="280" s="1"/>
  <c r="BO64" i="265"/>
  <c r="BP78" i="281"/>
  <c r="BP81" i="281" l="1"/>
  <c r="BP33" i="265"/>
  <c r="BP37" i="265" s="1"/>
  <c r="BP42" i="265" s="1"/>
  <c r="BP47" i="265" s="1"/>
  <c r="BP50" i="265" s="1"/>
  <c r="BO63" i="265"/>
  <c r="BO65" i="265" s="1"/>
  <c r="BO67" i="265" s="1"/>
  <c r="BO80" i="265" s="1"/>
  <c r="BP24" i="280"/>
  <c r="BP30" i="280" l="1"/>
  <c r="BP25" i="280"/>
  <c r="BP27" i="280" s="1"/>
  <c r="BP53" i="265"/>
  <c r="BO83" i="265"/>
  <c r="BO82" i="265"/>
  <c r="BP64" i="265"/>
  <c r="BQ78" i="281"/>
  <c r="BP63" i="265" l="1"/>
  <c r="BP65" i="265" s="1"/>
  <c r="BP67" i="265" s="1"/>
  <c r="BP80" i="265" s="1"/>
  <c r="BQ24" i="280"/>
  <c r="BQ33" i="265" l="1"/>
  <c r="BQ37" i="265" s="1"/>
  <c r="BQ42" i="265" s="1"/>
  <c r="BQ47" i="265" s="1"/>
  <c r="BQ50" i="265" s="1"/>
  <c r="BQ81" i="281"/>
  <c r="BP83" i="265"/>
  <c r="BP82" i="265"/>
  <c r="BQ64" i="265" l="1"/>
  <c r="BR78" i="281"/>
  <c r="BQ30" i="280"/>
  <c r="BQ25" i="280"/>
  <c r="BQ27" i="280" s="1"/>
  <c r="BQ53" i="265"/>
  <c r="BQ63" i="265" l="1"/>
  <c r="BQ65" i="265" s="1"/>
  <c r="BQ67" i="265" s="1"/>
  <c r="BQ80" i="265" s="1"/>
  <c r="BR24" i="280"/>
  <c r="BQ83" i="265" l="1"/>
  <c r="BQ82" i="265"/>
  <c r="BR81" i="281"/>
  <c r="BR33" i="265"/>
  <c r="BR37" i="265" s="1"/>
  <c r="BR42" i="265" s="1"/>
  <c r="BR47" i="265" s="1"/>
  <c r="BR50" i="265" s="1"/>
  <c r="BS78" i="281" l="1"/>
  <c r="BR64" i="265"/>
  <c r="BR30" i="280"/>
  <c r="BR53" i="265"/>
  <c r="BR25" i="280"/>
  <c r="BR27" i="280" s="1"/>
  <c r="BR63" i="265" l="1"/>
  <c r="BR65" i="265" s="1"/>
  <c r="BR67" i="265" s="1"/>
  <c r="BR80" i="265" s="1"/>
  <c r="BS24" i="280"/>
  <c r="BR82" i="265" l="1"/>
  <c r="BR83" i="265"/>
  <c r="BS33" i="265"/>
  <c r="BS37" i="265" s="1"/>
  <c r="BS42" i="265" s="1"/>
  <c r="BS47" i="265" s="1"/>
  <c r="BS50" i="265" s="1"/>
  <c r="BS81" i="281"/>
  <c r="BS64" i="265" l="1"/>
  <c r="BT78" i="281"/>
  <c r="BS30" i="280"/>
  <c r="BS25" i="280"/>
  <c r="BS27" i="280" s="1"/>
  <c r="BS53" i="265"/>
  <c r="BT24" i="280" l="1"/>
  <c r="BS63" i="265"/>
  <c r="BS65" i="265" s="1"/>
  <c r="BS67" i="265" s="1"/>
  <c r="BS80" i="265" s="1"/>
  <c r="BT33" i="265" l="1"/>
  <c r="BT37" i="265" s="1"/>
  <c r="BT42" i="265" s="1"/>
  <c r="BT47" i="265" s="1"/>
  <c r="BT50" i="265" s="1"/>
  <c r="BT81" i="281"/>
  <c r="BS82" i="265"/>
  <c r="BS83" i="265"/>
  <c r="BT64" i="265" l="1"/>
  <c r="BU78" i="281"/>
  <c r="BT30" i="280"/>
  <c r="BT25" i="280"/>
  <c r="BT27" i="280" s="1"/>
  <c r="BT53" i="265"/>
  <c r="BU24" i="280" l="1"/>
  <c r="BT63" i="265"/>
  <c r="BT65" i="265" s="1"/>
  <c r="BT67" i="265" s="1"/>
  <c r="BT80" i="265" s="1"/>
  <c r="BU33" i="265" l="1"/>
  <c r="BU37" i="265" s="1"/>
  <c r="BU42" i="265" s="1"/>
  <c r="BU47" i="265" s="1"/>
  <c r="BU50" i="265" s="1"/>
  <c r="BU81" i="281"/>
  <c r="BT82" i="265"/>
  <c r="BT83" i="265"/>
  <c r="BV78" i="281" l="1"/>
  <c r="BU64" i="265"/>
  <c r="BU30" i="280"/>
  <c r="BU25" i="280"/>
  <c r="BU27" i="280" s="1"/>
  <c r="BU53" i="265"/>
  <c r="BU63" i="265" l="1"/>
  <c r="BU65" i="265" s="1"/>
  <c r="BU67" i="265" s="1"/>
  <c r="BU80" i="265" s="1"/>
  <c r="BV24" i="280"/>
  <c r="BV33" i="265"/>
  <c r="BV37" i="265" s="1"/>
  <c r="BV42" i="265" s="1"/>
  <c r="BV47" i="265" s="1"/>
  <c r="BV50" i="265" s="1"/>
  <c r="BV81" i="281"/>
  <c r="BV64" i="265" l="1"/>
  <c r="BW78" i="281"/>
  <c r="BV30" i="280"/>
  <c r="BV25" i="280"/>
  <c r="BV27" i="280" s="1"/>
  <c r="BV53" i="265"/>
  <c r="BU82" i="265"/>
  <c r="BU83" i="265"/>
  <c r="BW24" i="280" l="1"/>
  <c r="BV63" i="265"/>
  <c r="BV65" i="265" s="1"/>
  <c r="BV67" i="265" s="1"/>
  <c r="BV80" i="265" s="1"/>
  <c r="BW81" i="281" l="1"/>
  <c r="BW33" i="265"/>
  <c r="BW37" i="265" s="1"/>
  <c r="BW42" i="265" s="1"/>
  <c r="BW47" i="265" s="1"/>
  <c r="BW50" i="265" s="1"/>
  <c r="BV82" i="265"/>
  <c r="BV83" i="265"/>
  <c r="BW30" i="280" l="1"/>
  <c r="BW25" i="280"/>
  <c r="BW27" i="280" s="1"/>
  <c r="BW53" i="265"/>
  <c r="BX78" i="281"/>
  <c r="BW64" i="265"/>
  <c r="BX33" i="265" l="1"/>
  <c r="BX37" i="265" s="1"/>
  <c r="BX42" i="265" s="1"/>
  <c r="BX47" i="265" s="1"/>
  <c r="BX50" i="265" s="1"/>
  <c r="BX81" i="281"/>
  <c r="BX24" i="280"/>
  <c r="BW63" i="265"/>
  <c r="BW65" i="265" s="1"/>
  <c r="BW67" i="265" s="1"/>
  <c r="BW80" i="265" s="1"/>
  <c r="BX30" i="280" l="1"/>
  <c r="BX53" i="265"/>
  <c r="BX25" i="280"/>
  <c r="BX27" i="280" s="1"/>
  <c r="BW82" i="265"/>
  <c r="BW83" i="265"/>
  <c r="BY78" i="281"/>
  <c r="BX64" i="265"/>
  <c r="BY33" i="265" l="1"/>
  <c r="BY81" i="281"/>
  <c r="BY24" i="280"/>
  <c r="BX63" i="265"/>
  <c r="BX65" i="265" s="1"/>
  <c r="BX67" i="265" s="1"/>
  <c r="BX80" i="265" s="1"/>
  <c r="BY37" i="265" l="1"/>
  <c r="BX82" i="265"/>
  <c r="BX83" i="265"/>
  <c r="BZ78" i="281"/>
  <c r="BY64" i="265"/>
  <c r="BY42" i="265" l="1"/>
  <c r="BZ33" i="265"/>
  <c r="BZ81" i="281"/>
  <c r="BZ37" i="265" l="1"/>
  <c r="BY47" i="265"/>
  <c r="BZ64" i="265"/>
  <c r="CA78" i="281"/>
  <c r="F3" i="275"/>
  <c r="F3" i="264"/>
  <c r="F3" i="265"/>
  <c r="BY50" i="265" l="1"/>
  <c r="BZ42" i="265"/>
  <c r="BZ47" i="265" l="1"/>
  <c r="BY30" i="280"/>
  <c r="BY53" i="265"/>
  <c r="BY25" i="280"/>
  <c r="BY27" i="280" s="1"/>
  <c r="CA33" i="265"/>
  <c r="CA81" i="281"/>
  <c r="CA37" i="265" l="1"/>
  <c r="BZ24" i="280"/>
  <c r="BY63" i="265"/>
  <c r="BY65" i="265" s="1"/>
  <c r="BY67" i="265" s="1"/>
  <c r="BY80" i="265" s="1"/>
  <c r="BZ50" i="265"/>
  <c r="CA64" i="265"/>
  <c r="CB78" i="281"/>
  <c r="CA42" i="265" l="1"/>
  <c r="BZ25" i="280"/>
  <c r="BZ27" i="280" s="1"/>
  <c r="BZ30" i="280"/>
  <c r="BZ53" i="265"/>
  <c r="BY83" i="265"/>
  <c r="BY82" i="265"/>
  <c r="CA24" i="280" l="1"/>
  <c r="BZ63" i="265"/>
  <c r="BZ65" i="265" s="1"/>
  <c r="BZ67" i="265" s="1"/>
  <c r="BZ80" i="265" s="1"/>
  <c r="CA47" i="265"/>
  <c r="CB33" i="265"/>
  <c r="CB81" i="281"/>
  <c r="CB37" i="265" l="1"/>
  <c r="CA50" i="265"/>
  <c r="BZ83" i="265"/>
  <c r="BZ82" i="265"/>
  <c r="CB64" i="265"/>
  <c r="CC78" i="281"/>
  <c r="CA25" i="280" l="1"/>
  <c r="CA27" i="280" s="1"/>
  <c r="CA30" i="280"/>
  <c r="CA53" i="265"/>
  <c r="CB42" i="265"/>
  <c r="CB47" i="265" l="1"/>
  <c r="CA63" i="265"/>
  <c r="CA65" i="265" s="1"/>
  <c r="CA67" i="265" s="1"/>
  <c r="CA80" i="265" s="1"/>
  <c r="CB24" i="280"/>
  <c r="CC81" i="281"/>
  <c r="CC33" i="265"/>
  <c r="CC37" i="265" l="1"/>
  <c r="CA83" i="265"/>
  <c r="CA82" i="265"/>
  <c r="CB50" i="265"/>
  <c r="CD78" i="281"/>
  <c r="CC64" i="265"/>
  <c r="CB30" i="280" l="1"/>
  <c r="CB25" i="280"/>
  <c r="CB27" i="280" s="1"/>
  <c r="CB53" i="265"/>
  <c r="CC42" i="265"/>
  <c r="CD81" i="281"/>
  <c r="CD64" i="265" s="1"/>
  <c r="CD33" i="265"/>
  <c r="CD37" i="265" l="1"/>
  <c r="H33" i="265"/>
  <c r="CC47" i="265"/>
  <c r="CC24" i="280"/>
  <c r="CB63" i="265"/>
  <c r="CB65" i="265" s="1"/>
  <c r="CB67" i="265" s="1"/>
  <c r="CB80" i="265" s="1"/>
  <c r="CB83" i="265" l="1"/>
  <c r="CB82" i="265"/>
  <c r="CC50" i="265"/>
  <c r="CD42" i="265"/>
  <c r="H37" i="265"/>
  <c r="CD47" i="265" l="1"/>
  <c r="H42" i="265"/>
  <c r="CC53" i="265"/>
  <c r="CC30" i="280"/>
  <c r="CC25" i="280"/>
  <c r="CC27" i="280" s="1"/>
  <c r="CD24" i="280" l="1"/>
  <c r="CC63" i="265"/>
  <c r="CC65" i="265" s="1"/>
  <c r="CC67" i="265" s="1"/>
  <c r="CC80" i="265" s="1"/>
  <c r="CD50" i="265"/>
  <c r="H47" i="265"/>
  <c r="CD30" i="280" l="1"/>
  <c r="F31" i="280" s="1"/>
  <c r="CD53" i="265"/>
  <c r="H53" i="265" s="1"/>
  <c r="CD25" i="280"/>
  <c r="CD27" i="280" s="1"/>
  <c r="CD63" i="265" s="1"/>
  <c r="CD65" i="265" s="1"/>
  <c r="CD67" i="265" s="1"/>
  <c r="CD80" i="265" s="1"/>
  <c r="H50" i="265"/>
  <c r="CC82" i="265"/>
  <c r="CC83" i="265"/>
  <c r="H30" i="280" l="1"/>
  <c r="H25" i="280"/>
  <c r="CD83" i="265"/>
  <c r="H83" i="265" s="1"/>
  <c r="CD82" i="265"/>
  <c r="F82" i="265" s="1"/>
  <c r="F12" i="264" s="1"/>
  <c r="F9" i="264" s="1"/>
  <c r="F2" i="280" l="1"/>
  <c r="F2" i="273"/>
  <c r="F2" i="265"/>
  <c r="F2" i="264"/>
  <c r="F2" i="281"/>
  <c r="F2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26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<sst xmlns="http://schemas.openxmlformats.org/spreadsheetml/2006/main" count="323" uniqueCount="209">
  <si>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</si>
  <si>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</si>
  <si>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</si>
  <si>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</si>
  <si>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</si>
  <si>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</si>
  <si>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</si>
  <si>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</si>
  <si>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</si>
  <si>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</si>
  <si>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</si>
  <si>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</si>
  <si>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</si>
  <si>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</si>
  <si>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</si>
  <si>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</si>
  <si>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</si>
  <si>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</si>
  <si>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</si>
  <si>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</si>
  <si>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</si>
  <si>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</si>
  <si>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</si>
  <si>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</si>
  <si>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</si>
  <si>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</si>
  <si>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</si>
  <si>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</si>
  <si>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</si>
  <si>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</si>
  <si>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</si>
  <si>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</si>
  <si>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</si>
  <si>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</si>
  <si>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</si>
  <si>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</si>
  <si>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</si>
  <si>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</si>
  <si>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</si>
  <si>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</si>
  <si>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</si>
  <si>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</si>
  <si>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</si>
  <si>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</si>
  <si>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</si>
  <si>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</si>
  <si>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</si>
  <si>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</si>
  <si>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</si>
  <si>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</si>
  <si>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</si>
  <si>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</si>
  <si>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</si>
  <si>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</si>
  <si>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</si>
  <si>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</si>
  <si>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</si>
  <si>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</si>
  <si>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</si>
  <si>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</si>
  <si>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</si>
  <si>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</si>
  <si>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</si>
  <si>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Model check tolerance level</t>
  </si>
  <si>
    <t>BALANCE SHEET CHECK</t>
  </si>
  <si>
    <t>Balance sheet check</t>
  </si>
  <si>
    <t>Balance sheet difference</t>
  </si>
  <si>
    <t>First model column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</si>
  <si>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</si>
  <si>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</si>
  <si>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</si>
  <si>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</si>
  <si>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</si>
  <si>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</si>
  <si>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</si>
  <si>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</si>
  <si>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</si>
  <si>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</si>
  <si>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</si>
  <si>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</si>
  <si>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</si>
  <si>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</si>
  <si>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</si>
  <si>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</si>
  <si>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</si>
  <si>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</si>
  <si>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</si>
  <si>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</si>
  <si>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</si>
  <si>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</si>
  <si>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</si>
  <si>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</si>
  <si>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</si>
  <si>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</si>
  <si>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</si>
  <si>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</si>
  <si>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</si>
  <si>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</si>
  <si>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</si>
  <si>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</si>
  <si>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</si>
  <si>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</si>
  <si>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</si>
  <si>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</si>
  <si>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</si>
  <si>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</si>
  <si>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</si>
  <si>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</si>
  <si>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</si>
  <si>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</si>
  <si>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</si>
  <si>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</si>
  <si>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</si>
  <si>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</si>
  <si>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</si>
  <si>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</si>
  <si>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</si>
  <si>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</si>
  <si>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</si>
  <si>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</si>
  <si>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</si>
  <si>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</si>
  <si>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</si>
  <si>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</si>
  <si>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</si>
  <si>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</si>
  <si>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</si>
  <si>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</si>
  <si>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</si>
  <si>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</si>
  <si>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</si>
  <si>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</si>
  <si>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</si>
  <si>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</si>
  <si>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</si>
  <si>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</si>
  <si>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</si>
  <si>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</si>
  <si>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</si>
  <si>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</si>
  <si>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</si>
  <si>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</si>
  <si>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</si>
  <si>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</si>
  <si>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</si>
  <si>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</si>
  <si>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</si>
  <si>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</si>
  <si>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</si>
  <si>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</si>
  <si>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</si>
  <si>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</si>
  <si>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</si>
  <si>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</si>
  <si>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</si>
  <si>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</si>
  <si>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</si>
  <si>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</si>
  <si>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</si>
  <si>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% of annual yield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</si>
  <si>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</si>
  <si>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</si>
  <si>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</si>
  <si>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</si>
  <si>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</si>
  <si>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</si>
  <si>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</si>
  <si>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ACCOUNTS RECEIVABLE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</si>
  <si>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</si>
  <si>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</si>
  <si>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</si>
  <si>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</si>
  <si>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</si>
  <si>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</si>
  <si>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</si>
  <si>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</si>
  <si>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</si>
  <si>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</si>
  <si>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</si>
  <si>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</si>
  <si>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</si>
  <si>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Total CFADS</t>
  </si>
  <si>
    <t>Days in year</t>
  </si>
  <si>
    <t>Invoice payment lag</t>
  </si>
  <si>
    <t>Forecast invoice receipts</t>
  </si>
  <si>
    <t>Accounts receivable - month 1</t>
  </si>
  <si>
    <t>Accounts receivable - month 2</t>
  </si>
  <si>
    <t>Accounts receivable - month 3</t>
  </si>
  <si>
    <t>Accounts receivable - month 4</t>
  </si>
  <si>
    <t>Accounts receivable - month 5</t>
  </si>
  <si>
    <t>Accounts receivable - month 6</t>
  </si>
  <si>
    <t>Timeline</t>
  </si>
  <si>
    <t>Operating period counter</t>
  </si>
  <si>
    <t>Receipt of accounts receivable initial balances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</si>
  <si>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</si>
  <si>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</si>
  <si>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</si>
  <si>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</si>
  <si>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</si>
  <si>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</si>
  <si>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</si>
  <si>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</si>
  <si>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</si>
  <si>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</si>
  <si>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</si>
  <si>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</si>
  <si>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NUMBER</t>
  </si>
  <si>
    <t>Month number</t>
  </si>
  <si>
    <t>Plant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</si>
</sst>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0.00%_);\(0.00%\);&quot;- &quot;;&quot; &quot;@&quot; &quot;"/>
    <numFmt numFmtId="176" formatCode="###0.000_);\(###0.000\);&quot;-  &quot;;&quot; &quot;@&quot; &quot;"/>
    <numFmt numFmtId="177" formatCode="0.00%\ ;\-0.00%\ _);&quot;-  &quot;;&quot; &quot;@&quot; &quot;"/>
    <numFmt numFmtId="178" formatCode="#,##0.0000\ ;\(#,##0.0000\ \);&quot;-  &quot;;&quot; &quot;@&quot; &quot;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78" fontId="3" fillId="0" borderId="0" applyFont="0" applyFill="0" applyBorder="0" applyProtection="0">
      <alignment vertical="top"/>
    </xf>
    <xf numFmtId="177" fontId="3" fillId="0" borderId="0" applyFont="0" applyFill="0" applyBorder="0" applyProtection="0">
      <alignment vertical="top"/>
    </xf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2" fontId="16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351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8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0" fillId="0" borderId="0" xfId="1" applyFont="1" applyFill="1">
      <alignment vertical="top"/>
    </xf>
    <xf numFmtId="174" fontId="9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1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5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3" fillId="0" borderId="0" xfId="0" applyFont="1" applyFill="1">
      <alignment vertical="top"/>
    </xf>
    <xf numFmtId="169" fontId="14" fillId="0" borderId="0" xfId="0" applyFont="1" applyFill="1">
      <alignment vertical="top"/>
    </xf>
    <xf numFmtId="169" fontId="15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1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78" fontId="3" fillId="0" borderId="0" xfId="4" applyFont="1">
      <alignment vertical="top"/>
    </xf>
    <xf numFmtId="167" fontId="13" fillId="0" borderId="0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 applyAlignment="1">
      <alignment horizontal="right" vertical="top"/>
    </xf>
    <xf numFmtId="177" fontId="3" fillId="0" borderId="0" xfId="5" applyFont="1" applyFill="1">
      <alignment vertical="top"/>
    </xf>
    <xf numFmtId="177" fontId="3" fillId="0" borderId="0" xfId="5" applyFont="1" applyFill="1" applyBorder="1">
      <alignment vertical="top"/>
    </xf>
    <xf numFmtId="169" fontId="15" fillId="0" borderId="0" xfId="0" applyFont="1">
      <alignment vertical="top"/>
    </xf>
    <xf numFmtId="169" fontId="15" fillId="0" borderId="0" xfId="3" applyNumberFormat="1" applyFont="1">
      <alignment vertical="top"/>
    </xf>
    <xf numFmtId="174" fontId="9" fillId="0" borderId="0" xfId="3" applyFont="1" applyFill="1">
      <alignment vertical="top"/>
    </xf>
    <xf numFmtId="167" fontId="8" fillId="0" borderId="0" xfId="1" applyFont="1" applyFill="1">
      <alignment vertical="top"/>
    </xf>
    <xf numFmtId="169" fontId="15" fillId="0" borderId="0" xfId="3" applyNumberFormat="1" applyFont="1" applyFill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 applyAlignment="1">
      <alignment horizontal="right" vertical="top"/>
    </xf>
    <xf numFmtId="167" fontId="19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7" fillId="0" borderId="0" xfId="9" applyFont="1" applyFill="1" applyBorder="1">
      <alignment vertical="top"/>
    </xf>
    <xf numFmtId="172" fontId="18" fillId="0" borderId="0" xfId="9" applyFont="1" applyFill="1" applyBorder="1">
      <alignment vertical="top"/>
    </xf>
    <xf numFmtId="172" fontId="19" fillId="0" borderId="0" xfId="9" applyFont="1" applyFill="1" applyBorder="1">
      <alignment vertical="top"/>
    </xf>
    <xf numFmtId="172" fontId="19" fillId="0" borderId="0" xfId="9" applyFont="1" applyFill="1">
      <alignment vertical="top"/>
    </xf>
    <xf numFmtId="169" fontId="0" fillId="0" borderId="0" xfId="0" applyFill="1">
      <alignment vertical="top"/>
    </xf>
    <xf numFmtId="167" fontId="3" fillId="4" borderId="0" xfId="1" applyFont="1" applyFill="1">
      <alignment vertical="top"/>
    </xf>
    <xf numFmtId="167" fontId="8" fillId="4" borderId="0" xfId="1" applyFont="1" applyFill="1">
      <alignment vertical="top"/>
    </xf>
    <xf numFmtId="167" fontId="5" fillId="4" borderId="0" xfId="1" applyFont="1" applyFill="1">
      <alignment vertical="top"/>
    </xf>
    <xf numFmtId="167" fontId="0" fillId="4" borderId="0" xfId="1" applyFont="1" applyFill="1" applyBorder="1">
      <alignment vertical="top"/>
    </xf>
    <xf numFmtId="169" fontId="3" fillId="4" borderId="0" xfId="0" applyFont="1" applyFill="1">
      <alignment vertical="top"/>
    </xf>
    <xf numFmtId="167" fontId="8" fillId="5" borderId="6" xfId="1" applyFont="1" applyFill="1" applyBorder="1" applyAlignment="1">
      <alignment horizontal="center" vertical="top"/>
    </xf>
    <xf numFmtId="173" fontId="5" fillId="5" borderId="5" xfId="2" applyFont="1" applyFill="1" applyBorder="1">
      <alignment vertical="top"/>
    </xf>
    <xf numFmtId="169" fontId="3" fillId="5" borderId="5" xfId="0" applyFont="1" applyFill="1" applyBorder="1">
      <alignment vertical="top"/>
    </xf>
    <xf numFmtId="167" fontId="5" fillId="5" borderId="5" xfId="1" applyFont="1" applyFill="1" applyBorder="1" applyAlignment="1">
      <alignment horizontal="center" vertical="top"/>
    </xf>
    <xf numFmtId="169" fontId="7" fillId="5" borderId="6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5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5" fillId="4" borderId="0" xfId="9" applyFont="1" applyFill="1">
      <alignment vertical="top"/>
    </xf>
    <xf numFmtId="169" fontId="5" fillId="0" borderId="0" xfId="0" applyFont="1">
      <alignment vertical="top"/>
    </xf>
    <xf numFmtId="169" fontId="5" fillId="4" borderId="0" xfId="0" applyFont="1" applyFill="1">
      <alignment vertical="top"/>
    </xf>
    <xf numFmtId="173" fontId="5" fillId="0" borderId="0" xfId="2" applyFont="1">
      <alignment vertical="top"/>
    </xf>
    <xf numFmtId="173" fontId="5" fillId="4" borderId="0" xfId="2" applyFont="1" applyFill="1">
      <alignment vertical="top"/>
    </xf>
    <xf numFmtId="177" fontId="3" fillId="4" borderId="0" xfId="5" applyFont="1" applyFill="1">
      <alignment vertical="top"/>
    </xf>
    <xf numFmtId="169" fontId="0" fillId="4" borderId="0" xfId="0" applyFill="1">
      <alignment vertical="top"/>
    </xf>
    <xf numFmtId="167" fontId="15" fillId="0" borderId="0" xfId="1" applyFont="1">
      <alignment vertical="top"/>
    </xf>
    <xf numFmtId="167" fontId="19" fillId="0" borderId="0" xfId="1" applyFont="1">
      <alignment vertical="top"/>
    </xf>
    <xf numFmtId="169" fontId="15" fillId="0" borderId="0" xfId="1" applyNumberFormat="1" applyFont="1">
      <alignment vertical="top"/>
    </xf>
    <xf numFmtId="169" fontId="23" fillId="0" borderId="0" xfId="0" applyFont="1" applyFill="1" applyBorder="1">
      <alignment vertical="top"/>
    </xf>
    <xf numFmtId="169" fontId="23" fillId="0" borderId="0" xfId="0" applyFont="1">
      <alignment vertical="top"/>
    </xf>
    <xf numFmtId="169" fontId="23" fillId="0" borderId="0" xfId="0" applyFont="1" applyFill="1">
      <alignment vertical="top"/>
    </xf>
    <xf numFmtId="174" fontId="17" fillId="0" borderId="0" xfId="3" applyFont="1" applyFill="1" applyBorder="1">
      <alignment vertical="top"/>
    </xf>
    <xf numFmtId="174" fontId="18" fillId="0" borderId="0" xfId="3" applyFont="1" applyFill="1" applyBorder="1">
      <alignment vertical="top"/>
    </xf>
    <xf numFmtId="174" fontId="19" fillId="0" borderId="0" xfId="3" applyFont="1" applyFill="1" applyBorder="1" applyAlignment="1">
      <alignment horizontal="right" vertical="top"/>
    </xf>
    <xf numFmtId="174" fontId="19" fillId="0" borderId="0" xfId="3" applyFont="1" applyFill="1">
      <alignment vertical="top"/>
    </xf>
    <xf numFmtId="172" fontId="3" fillId="0" borderId="0" xfId="1" applyNumberFormat="1" applyFont="1">
      <alignment vertical="top"/>
    </xf>
    <xf numFmtId="167" fontId="3" fillId="5" borderId="5" xfId="1" applyFont="1" applyFill="1" applyBorder="1">
      <alignment vertical="top"/>
    </xf>
    <xf numFmtId="173" fontId="3" fillId="5" borderId="5" xfId="2" applyFont="1" applyFill="1" applyBorder="1">
      <alignment vertical="top"/>
    </xf>
    <xf numFmtId="173" fontId="15" fillId="0" borderId="0" xfId="2" applyFont="1" applyFill="1" applyBorder="1">
      <alignment vertical="top"/>
    </xf>
    <xf numFmtId="167" fontId="21" fillId="0" borderId="0" xfId="1" applyFont="1">
      <alignment vertical="top"/>
    </xf>
    <xf numFmtId="167" fontId="21" fillId="0" borderId="0" xfId="1" applyFont="1" applyFill="1">
      <alignment vertical="top"/>
    </xf>
    <xf numFmtId="167" fontId="22" fillId="0" borderId="0" xfId="1" applyFont="1" applyFill="1">
      <alignment vertical="top"/>
    </xf>
    <xf numFmtId="167" fontId="23" fillId="0" borderId="0" xfId="1" applyFont="1" applyAlignment="1">
      <alignment horizontal="right" vertical="top"/>
    </xf>
    <xf numFmtId="167" fontId="23" fillId="0" borderId="4" xfId="1" applyFont="1" applyBorder="1">
      <alignment vertical="top"/>
    </xf>
    <xf numFmtId="167" fontId="23" fillId="0" borderId="0" xfId="1" applyFont="1" applyFill="1" applyAlignment="1">
      <alignment horizontal="right" vertical="top"/>
    </xf>
    <xf numFmtId="174" fontId="24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4" borderId="0" xfId="3" applyFont="1" applyFill="1">
      <alignment vertical="top"/>
    </xf>
    <xf numFmtId="174" fontId="7" fillId="5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19" fillId="0" borderId="0" xfId="0" applyFont="1">
      <alignment vertical="top"/>
    </xf>
    <xf numFmtId="169" fontId="15" fillId="0" borderId="0" xfId="1" applyNumberFormat="1" applyFont="1" applyBorder="1">
      <alignment vertical="top"/>
    </xf>
    <xf numFmtId="169" fontId="17" fillId="0" borderId="0" xfId="0" applyFont="1" applyFill="1" applyBorder="1">
      <alignment vertical="top"/>
    </xf>
    <xf numFmtId="169" fontId="18" fillId="0" borderId="0" xfId="0" applyFont="1" applyFill="1" applyBorder="1">
      <alignment vertical="top"/>
    </xf>
    <xf numFmtId="169" fontId="19" fillId="0" borderId="0" xfId="0" applyFont="1" applyFill="1" applyBorder="1">
      <alignment vertical="top"/>
    </xf>
    <xf numFmtId="169" fontId="19" fillId="0" borderId="0" xfId="0" applyFont="1" applyFill="1">
      <alignment vertical="top"/>
    </xf>
    <xf numFmtId="167" fontId="23" fillId="0" borderId="4" xfId="1" applyFont="1" applyFill="1" applyBorder="1">
      <alignment vertical="top"/>
    </xf>
    <xf numFmtId="167" fontId="23" fillId="0" borderId="0" xfId="1" applyFont="1">
      <alignment vertical="top"/>
    </xf>
    <xf numFmtId="167" fontId="23" fillId="0" borderId="0" xfId="1" applyFont="1" applyFill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>
      <alignment vertical="top"/>
    </xf>
    <xf numFmtId="167" fontId="23" fillId="0" borderId="0" xfId="1" applyFont="1" applyFill="1" applyBorder="1" applyAlignment="1">
      <alignment horizontal="right" vertical="top"/>
    </xf>
    <xf numFmtId="169" fontId="7" fillId="4" borderId="0" xfId="0" applyFont="1" applyFill="1">
      <alignment vertical="top"/>
    </xf>
    <xf numFmtId="169" fontId="6" fillId="4" borderId="0" xfId="0" applyFont="1" applyFill="1">
      <alignment vertical="top"/>
    </xf>
    <xf numFmtId="169" fontId="3" fillId="4" borderId="0" xfId="0" applyFont="1" applyFill="1" applyAlignment="1">
      <alignment horizontal="right" vertical="top"/>
    </xf>
    <xf numFmtId="177" fontId="7" fillId="4" borderId="0" xfId="5" applyFont="1" applyFill="1">
      <alignment vertical="top"/>
    </xf>
    <xf numFmtId="177" fontId="6" fillId="4" borderId="0" xfId="5" applyFont="1" applyFill="1">
      <alignment vertical="top"/>
    </xf>
    <xf numFmtId="177" fontId="0" fillId="4" borderId="0" xfId="5" applyFont="1" applyFill="1">
      <alignment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4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5" borderId="5" xfId="0" applyFont="1" applyFill="1" applyBorder="1" applyAlignment="1">
      <alignment horizontal="center" vertical="top"/>
    </xf>
    <xf numFmtId="173" fontId="26" fillId="4" borderId="0" xfId="2" applyFont="1" applyFill="1">
      <alignment vertical="top"/>
    </xf>
    <xf numFmtId="169" fontId="26" fillId="4" borderId="0" xfId="0" applyFont="1" applyFill="1">
      <alignment vertical="top"/>
    </xf>
    <xf numFmtId="167" fontId="26" fillId="4" borderId="0" xfId="1" applyFont="1" applyFill="1">
      <alignment vertical="top"/>
    </xf>
    <xf numFmtId="172" fontId="26" fillId="4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9" fontId="23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6" borderId="0" xfId="0" applyFont="1" applyFill="1" applyBorder="1" applyAlignment="1">
      <alignment horizontal="right" vertical="top"/>
    </xf>
    <xf numFmtId="169" fontId="23" fillId="6" borderId="5" xfId="0" applyFont="1" applyFill="1" applyBorder="1" applyAlignment="1">
      <alignment horizontal="center"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Fill="1" applyAlignment="1">
      <alignment horizontal="right" vertical="top"/>
    </xf>
    <xf numFmtId="167" fontId="29" fillId="0" borderId="0" xfId="1" applyFont="1">
      <alignment vertical="top"/>
    </xf>
    <xf numFmtId="167" fontId="29" fillId="4" borderId="0" xfId="1" applyFont="1" applyFill="1">
      <alignment vertical="top"/>
    </xf>
    <xf numFmtId="167" fontId="23" fillId="0" borderId="0" xfId="1" applyFont="1" applyFill="1" applyBorder="1">
      <alignment vertical="top"/>
    </xf>
    <xf numFmtId="177" fontId="3" fillId="0" borderId="0" xfId="5" applyFont="1">
      <alignment vertical="top"/>
    </xf>
    <xf numFmtId="177" fontId="7" fillId="0" borderId="0" xfId="5" applyFont="1" applyFill="1" applyBorder="1">
      <alignment vertical="top"/>
    </xf>
    <xf numFmtId="177" fontId="0" fillId="0" borderId="0" xfId="5" applyFont="1">
      <alignment vertical="top"/>
    </xf>
    <xf numFmtId="169" fontId="23" fillId="0" borderId="0" xfId="1" applyNumberFormat="1" applyFont="1" applyFill="1">
      <alignment vertical="top"/>
    </xf>
    <xf numFmtId="167" fontId="0" fillId="5" borderId="5" xfId="1" applyFont="1" applyFill="1" applyBorder="1">
      <alignment vertical="top"/>
    </xf>
    <xf numFmtId="167" fontId="30" fillId="0" borderId="0" xfId="1" applyFont="1" applyFill="1">
      <alignment vertical="top"/>
    </xf>
    <xf numFmtId="174" fontId="21" fillId="0" borderId="0" xfId="3" applyFont="1" applyFill="1" applyBorder="1">
      <alignment vertical="top"/>
    </xf>
    <xf numFmtId="174" fontId="22" fillId="0" borderId="0" xfId="3" applyFont="1" applyFill="1" applyBorder="1">
      <alignment vertical="top"/>
    </xf>
    <xf numFmtId="174" fontId="23" fillId="0" borderId="0" xfId="3" applyFont="1" applyFill="1" applyBorder="1" applyAlignment="1">
      <alignment horizontal="right" vertical="top"/>
    </xf>
    <xf numFmtId="174" fontId="23" fillId="0" borderId="0" xfId="3" applyFont="1">
      <alignment vertical="top"/>
    </xf>
    <xf numFmtId="169" fontId="23" fillId="6" borderId="0" xfId="0" applyFont="1" applyFill="1" applyBorder="1" applyAlignment="1">
      <alignment horizontal="right" vertical="top"/>
    </xf>
    <xf numFmtId="174" fontId="31" fillId="0" borderId="0" xfId="3" applyFont="1">
      <alignment vertical="top"/>
    </xf>
    <xf numFmtId="174" fontId="21" fillId="0" borderId="0" xfId="3" applyFont="1">
      <alignment vertical="top"/>
    </xf>
    <xf numFmtId="174" fontId="21" fillId="0" borderId="0" xfId="3" applyFont="1" applyFill="1">
      <alignment vertical="top"/>
    </xf>
    <xf numFmtId="169" fontId="31" fillId="0" borderId="0" xfId="0" applyFont="1">
      <alignment vertical="top"/>
    </xf>
    <xf numFmtId="167" fontId="23" fillId="2" borderId="0" xfId="1" applyFont="1" applyFill="1" applyAlignment="1">
      <alignment horizontal="right" vertical="top"/>
    </xf>
    <xf numFmtId="172" fontId="23" fillId="0" borderId="0" xfId="1" applyNumberFormat="1" applyFont="1">
      <alignment vertical="top"/>
    </xf>
    <xf numFmtId="169" fontId="21" fillId="0" borderId="1" xfId="0" applyFont="1" applyBorder="1" applyAlignment="1">
      <alignment horizontal="right" vertical="top"/>
    </xf>
    <xf numFmtId="169" fontId="21" fillId="0" borderId="1" xfId="0" applyFont="1" applyBorder="1">
      <alignment vertical="top"/>
    </xf>
    <xf numFmtId="173" fontId="15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5" fillId="4" borderId="0" xfId="0" applyNumberFormat="1" applyFont="1" applyFill="1">
      <alignment vertical="top"/>
    </xf>
    <xf numFmtId="167" fontId="5" fillId="5" borderId="5" xfId="9" applyNumberFormat="1" applyFont="1" applyFill="1" applyBorder="1">
      <alignment vertical="top"/>
    </xf>
    <xf numFmtId="167" fontId="8" fillId="5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77" fontId="23" fillId="0" borderId="0" xfId="5" applyFont="1" applyFill="1" applyBorder="1">
      <alignment vertical="top"/>
    </xf>
    <xf numFmtId="177" fontId="23" fillId="0" borderId="0" xfId="5" applyFont="1">
      <alignment vertical="top"/>
    </xf>
    <xf numFmtId="177" fontId="23" fillId="0" borderId="0" xfId="5" applyFont="1" applyFill="1">
      <alignment vertical="top"/>
    </xf>
    <xf numFmtId="169" fontId="23" fillId="4" borderId="0" xfId="0" applyFont="1" applyFill="1">
      <alignment vertical="top"/>
    </xf>
    <xf numFmtId="172" fontId="23" fillId="4" borderId="0" xfId="9" applyFont="1" applyFill="1">
      <alignment vertical="top"/>
    </xf>
    <xf numFmtId="172" fontId="3" fillId="0" borderId="0" xfId="9" applyFont="1" applyAlignment="1">
      <alignment horizontal="center" vertical="top"/>
    </xf>
    <xf numFmtId="172" fontId="29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25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2" fillId="0" borderId="0" xfId="9" applyFont="1" applyAlignment="1">
      <alignment horizontal="center" vertical="top"/>
    </xf>
    <xf numFmtId="172" fontId="26" fillId="0" borderId="0" xfId="9" applyFont="1" applyAlignment="1">
      <alignment horizontal="center" vertical="top"/>
    </xf>
    <xf numFmtId="172" fontId="26" fillId="0" borderId="0" xfId="9" applyFont="1" applyFill="1" applyBorder="1" applyAlignment="1">
      <alignment horizontal="center" vertical="top"/>
    </xf>
    <xf numFmtId="172" fontId="3" fillId="4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3" fillId="3" borderId="0" xfId="1" applyNumberFormat="1" applyFont="1" applyFill="1">
      <alignment vertical="top"/>
    </xf>
    <xf numFmtId="172" fontId="15" fillId="0" borderId="0" xfId="1" applyNumberFormat="1" applyFont="1" applyFill="1">
      <alignment vertical="top"/>
    </xf>
    <xf numFmtId="169" fontId="21" fillId="0" borderId="0" xfId="0" applyFont="1" applyFill="1" applyBorder="1">
      <alignment vertical="top"/>
    </xf>
    <xf numFmtId="169" fontId="22" fillId="0" borderId="0" xfId="0" applyFont="1" applyFill="1" applyBorder="1">
      <alignment vertical="top"/>
    </xf>
    <xf numFmtId="172" fontId="21" fillId="0" borderId="0" xfId="9" applyFont="1" applyFill="1">
      <alignment vertical="top"/>
    </xf>
    <xf numFmtId="172" fontId="22" fillId="0" borderId="0" xfId="9" applyFont="1" applyFill="1">
      <alignment vertical="top"/>
    </xf>
    <xf numFmtId="172" fontId="23" fillId="0" borderId="0" xfId="9" applyFont="1" applyFill="1">
      <alignment vertical="top"/>
    </xf>
    <xf numFmtId="172" fontId="23" fillId="0" borderId="5" xfId="9" applyFont="1" applyFill="1" applyBorder="1">
      <alignment vertical="top"/>
    </xf>
    <xf numFmtId="172" fontId="23" fillId="0" borderId="0" xfId="9" applyFont="1">
      <alignment vertical="top"/>
    </xf>
    <xf numFmtId="172" fontId="23" fillId="5" borderId="5" xfId="9" applyFont="1" applyFill="1" applyBorder="1">
      <alignment vertical="top"/>
    </xf>
    <xf numFmtId="173" fontId="21" fillId="0" borderId="0" xfId="1" applyNumberFormat="1" applyFont="1" applyFill="1">
      <alignment vertical="top"/>
    </xf>
    <xf numFmtId="173" fontId="22" fillId="0" borderId="0" xfId="1" applyNumberFormat="1" applyFont="1" applyFill="1">
      <alignment vertical="top"/>
    </xf>
    <xf numFmtId="173" fontId="23" fillId="0" borderId="0" xfId="1" applyNumberFormat="1" applyFont="1" applyFill="1" applyAlignment="1">
      <alignment horizontal="right" vertical="top"/>
    </xf>
    <xf numFmtId="173" fontId="23" fillId="0" borderId="0" xfId="2" applyFont="1" applyFill="1">
      <alignment vertical="top"/>
    </xf>
    <xf numFmtId="173" fontId="23" fillId="0" borderId="5" xfId="2" applyFont="1" applyFill="1" applyBorder="1">
      <alignment vertical="top"/>
    </xf>
    <xf numFmtId="173" fontId="23" fillId="4" borderId="0" xfId="1" applyNumberFormat="1" applyFont="1" applyFill="1">
      <alignment vertical="top"/>
    </xf>
    <xf numFmtId="173" fontId="23" fillId="5" borderId="5" xfId="2" applyFont="1" applyFill="1" applyBorder="1">
      <alignment vertical="top"/>
    </xf>
    <xf numFmtId="173" fontId="23" fillId="0" borderId="0" xfId="1" applyNumberFormat="1" applyFont="1">
      <alignment vertical="top"/>
    </xf>
    <xf numFmtId="169" fontId="23" fillId="0" borderId="5" xfId="0" applyFont="1" applyFill="1" applyBorder="1">
      <alignment vertical="top"/>
    </xf>
    <xf numFmtId="169" fontId="23" fillId="5" borderId="5" xfId="0" applyFont="1" applyFill="1" applyBorder="1">
      <alignment vertical="top"/>
    </xf>
    <xf numFmtId="169" fontId="21" fillId="0" borderId="0" xfId="0" applyFont="1" applyFill="1">
      <alignment vertical="top"/>
    </xf>
    <xf numFmtId="169" fontId="22" fillId="0" borderId="0" xfId="0" applyFont="1" applyFill="1">
      <alignment vertical="top"/>
    </xf>
    <xf numFmtId="168" fontId="17" fillId="0" borderId="0" xfId="4" applyNumberFormat="1" applyFont="1" applyFill="1" applyBorder="1">
      <alignment vertical="top"/>
    </xf>
    <xf numFmtId="173" fontId="17" fillId="0" borderId="0" xfId="2" applyFont="1" applyFill="1" applyBorder="1">
      <alignment vertical="top"/>
    </xf>
    <xf numFmtId="168" fontId="18" fillId="0" borderId="0" xfId="4" applyNumberFormat="1" applyFont="1" applyFill="1" applyBorder="1">
      <alignment vertical="top"/>
    </xf>
    <xf numFmtId="168" fontId="19" fillId="0" borderId="0" xfId="4" applyNumberFormat="1" applyFont="1" applyFill="1" applyBorder="1" applyAlignment="1">
      <alignment horizontal="right" vertical="top"/>
    </xf>
    <xf numFmtId="168" fontId="19" fillId="0" borderId="0" xfId="4" applyNumberFormat="1" applyFont="1">
      <alignment vertical="top"/>
    </xf>
    <xf numFmtId="168" fontId="19" fillId="0" borderId="0" xfId="4" applyNumberFormat="1" applyFont="1" applyFill="1">
      <alignment vertical="top"/>
    </xf>
    <xf numFmtId="173" fontId="13" fillId="0" borderId="0" xfId="2" applyFont="1" applyFill="1" applyBorder="1">
      <alignment vertical="top"/>
    </xf>
    <xf numFmtId="173" fontId="14" fillId="0" borderId="0" xfId="2" applyFont="1" applyFill="1" applyBorder="1">
      <alignment vertical="top"/>
    </xf>
    <xf numFmtId="173" fontId="15" fillId="0" borderId="0" xfId="2" applyFont="1" applyFill="1" applyBorder="1" applyAlignment="1">
      <alignment horizontal="right" vertical="top"/>
    </xf>
    <xf numFmtId="173" fontId="15" fillId="0" borderId="0" xfId="2" applyFont="1" applyFill="1">
      <alignment vertical="top"/>
    </xf>
    <xf numFmtId="174" fontId="13" fillId="0" borderId="0" xfId="3" applyFont="1" applyFill="1" applyBorder="1">
      <alignment vertical="top"/>
    </xf>
    <xf numFmtId="174" fontId="14" fillId="0" borderId="0" xfId="3" applyFont="1" applyFill="1" applyBorder="1">
      <alignment vertical="top"/>
    </xf>
    <xf numFmtId="174" fontId="15" fillId="0" borderId="0" xfId="3" applyFont="1" applyFill="1" applyBorder="1">
      <alignment vertical="top"/>
    </xf>
    <xf numFmtId="169" fontId="13" fillId="0" borderId="0" xfId="0" applyFont="1" applyFill="1" applyBorder="1">
      <alignment vertical="top"/>
    </xf>
    <xf numFmtId="169" fontId="14" fillId="0" borderId="0" xfId="0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7" fillId="0" borderId="0" xfId="0" applyFont="1" applyFill="1" applyBorder="1" applyAlignment="1">
      <alignment horizontal="right" vertical="top"/>
    </xf>
    <xf numFmtId="169" fontId="18" fillId="0" borderId="0" xfId="0" applyFont="1" applyFill="1" applyBorder="1" applyAlignment="1">
      <alignment horizontal="right" vertical="top"/>
    </xf>
    <xf numFmtId="169" fontId="19" fillId="0" borderId="0" xfId="0" applyFont="1" applyFill="1" applyBorder="1" applyAlignment="1">
      <alignment horizontal="right" vertical="top"/>
    </xf>
    <xf numFmtId="169" fontId="19" fillId="0" borderId="0" xfId="0" applyFont="1" applyAlignment="1">
      <alignment horizontal="left" vertical="top"/>
    </xf>
    <xf numFmtId="169" fontId="19" fillId="0" borderId="0" xfId="0" applyFont="1" applyFill="1" applyAlignment="1">
      <alignment horizontal="right" vertical="top"/>
    </xf>
    <xf numFmtId="178" fontId="3" fillId="5" borderId="5" xfId="4" applyFont="1" applyFill="1" applyBorder="1">
      <alignment vertical="top"/>
    </xf>
    <xf numFmtId="169" fontId="0" fillId="5" borderId="5" xfId="1" applyNumberFormat="1" applyFont="1" applyFill="1" applyBorder="1">
      <alignment vertical="top"/>
    </xf>
    <xf numFmtId="169" fontId="3" fillId="5" borderId="5" xfId="0" applyFont="1" applyFill="1" applyBorder="1" applyAlignment="1">
      <alignment horizontal="right" vertical="top"/>
    </xf>
    <xf numFmtId="167" fontId="33" fillId="0" borderId="0" xfId="1" applyFont="1" applyBorder="1">
      <alignment vertical="top"/>
    </xf>
    <xf numFmtId="167" fontId="23" fillId="0" borderId="0" xfId="1" applyFont="1" applyBorder="1">
      <alignment vertical="top"/>
    </xf>
    <xf numFmtId="167" fontId="33" fillId="0" borderId="0" xfId="1" applyFont="1" applyFill="1" applyBorder="1">
      <alignment vertical="top"/>
    </xf>
    <xf numFmtId="169" fontId="33" fillId="0" borderId="0" xfId="0" applyFont="1">
      <alignment vertical="top"/>
    </xf>
    <xf numFmtId="168" fontId="21" fillId="0" borderId="0" xfId="4" applyNumberFormat="1" applyFont="1" applyFill="1" applyBorder="1">
      <alignment vertical="top"/>
    </xf>
    <xf numFmtId="173" fontId="21" fillId="0" borderId="0" xfId="2" applyFont="1" applyFill="1" applyBorder="1">
      <alignment vertical="top"/>
    </xf>
    <xf numFmtId="168" fontId="22" fillId="0" borderId="0" xfId="4" applyNumberFormat="1" applyFont="1" applyFill="1" applyBorder="1">
      <alignment vertical="top"/>
    </xf>
    <xf numFmtId="168" fontId="23" fillId="0" borderId="0" xfId="4" applyNumberFormat="1" applyFont="1" applyFill="1" applyBorder="1" applyAlignment="1">
      <alignment horizontal="right" vertical="top"/>
    </xf>
    <xf numFmtId="168" fontId="23" fillId="0" borderId="0" xfId="4" applyNumberFormat="1" applyFont="1">
      <alignment vertical="top"/>
    </xf>
    <xf numFmtId="168" fontId="23" fillId="0" borderId="0" xfId="4" applyNumberFormat="1" applyFont="1" applyFill="1">
      <alignment vertical="top"/>
    </xf>
    <xf numFmtId="169" fontId="23" fillId="0" borderId="0" xfId="1" applyNumberFormat="1" applyFont="1">
      <alignment vertical="top"/>
    </xf>
    <xf numFmtId="174" fontId="23" fillId="0" borderId="0" xfId="3" applyFont="1" applyFill="1">
      <alignment vertical="top"/>
    </xf>
    <xf numFmtId="169" fontId="33" fillId="0" borderId="0" xfId="0" applyFont="1" applyFill="1">
      <alignment vertical="top"/>
    </xf>
    <xf numFmtId="174" fontId="33" fillId="0" borderId="0" xfId="3" applyFont="1">
      <alignment vertical="top"/>
    </xf>
    <xf numFmtId="174" fontId="33" fillId="0" borderId="0" xfId="3" applyFont="1" applyFill="1">
      <alignment vertical="top"/>
    </xf>
    <xf numFmtId="173" fontId="33" fillId="0" borderId="0" xfId="2" applyFont="1" applyFill="1">
      <alignment vertical="top"/>
    </xf>
    <xf numFmtId="174" fontId="23" fillId="0" borderId="0" xfId="1" applyNumberFormat="1" applyFont="1" applyFill="1">
      <alignment vertical="top"/>
    </xf>
    <xf numFmtId="167" fontId="21" fillId="0" borderId="0" xfId="0" applyNumberFormat="1" applyFont="1" applyFill="1">
      <alignment vertical="top"/>
    </xf>
    <xf numFmtId="167" fontId="22" fillId="0" borderId="0" xfId="0" applyNumberFormat="1" applyFont="1" applyFill="1">
      <alignment vertical="top"/>
    </xf>
    <xf numFmtId="167" fontId="23" fillId="0" borderId="0" xfId="0" applyNumberFormat="1" applyFont="1" applyAlignment="1">
      <alignment horizontal="right" vertical="top"/>
    </xf>
    <xf numFmtId="167" fontId="23" fillId="0" borderId="0" xfId="0" applyNumberFormat="1" applyFont="1">
      <alignment vertical="top"/>
    </xf>
    <xf numFmtId="167" fontId="23" fillId="0" borderId="0" xfId="0" applyNumberFormat="1" applyFont="1" applyFill="1">
      <alignment vertical="top"/>
    </xf>
    <xf numFmtId="169" fontId="23" fillId="0" borderId="0" xfId="0" applyFont="1" applyAlignment="1">
      <alignment horizontal="right" vertical="top"/>
    </xf>
    <xf numFmtId="168" fontId="21" fillId="0" borderId="0" xfId="1" applyNumberFormat="1" applyFont="1" applyFill="1" applyBorder="1">
      <alignment vertical="top"/>
    </xf>
    <xf numFmtId="168" fontId="22" fillId="0" borderId="0" xfId="1" applyNumberFormat="1" applyFont="1" applyFill="1" applyBorder="1">
      <alignment vertical="top"/>
    </xf>
    <xf numFmtId="168" fontId="23" fillId="0" borderId="0" xfId="1" applyNumberFormat="1" applyFont="1" applyFill="1" applyBorder="1" applyAlignment="1">
      <alignment horizontal="right" vertical="top"/>
    </xf>
    <xf numFmtId="168" fontId="23" fillId="0" borderId="0" xfId="1" applyNumberFormat="1" applyFont="1" applyFill="1">
      <alignment vertical="top"/>
    </xf>
    <xf numFmtId="167" fontId="33" fillId="0" borderId="0" xfId="1" applyFont="1">
      <alignment vertical="top"/>
    </xf>
    <xf numFmtId="167" fontId="33" fillId="0" borderId="0" xfId="1" applyFont="1" applyFill="1">
      <alignment vertical="top"/>
    </xf>
    <xf numFmtId="173" fontId="21" fillId="0" borderId="0" xfId="2" applyFont="1" applyFill="1">
      <alignment vertical="top"/>
    </xf>
    <xf numFmtId="173" fontId="22" fillId="0" borderId="0" xfId="2" applyFont="1" applyFill="1">
      <alignment vertical="top"/>
    </xf>
    <xf numFmtId="173" fontId="22" fillId="0" borderId="0" xfId="2" applyFont="1" applyFill="1" applyBorder="1">
      <alignment vertical="top"/>
    </xf>
    <xf numFmtId="173" fontId="23" fillId="0" borderId="0" xfId="2" applyFont="1" applyFill="1" applyBorder="1">
      <alignment vertical="top"/>
    </xf>
    <xf numFmtId="169" fontId="23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7" fontId="15" fillId="0" borderId="0" xfId="1" applyFont="1" applyFill="1" applyBorder="1">
      <alignment vertical="top"/>
    </xf>
    <xf numFmtId="167" fontId="17" fillId="0" borderId="3" xfId="1" applyFont="1" applyFill="1" applyBorder="1">
      <alignment vertical="top"/>
    </xf>
    <xf numFmtId="167" fontId="18" fillId="0" borderId="3" xfId="1" applyFont="1" applyFill="1" applyBorder="1">
      <alignment vertical="top"/>
    </xf>
    <xf numFmtId="167" fontId="19" fillId="0" borderId="3" xfId="1" applyFont="1" applyFill="1" applyBorder="1" applyAlignment="1">
      <alignment horizontal="right" vertical="top"/>
    </xf>
    <xf numFmtId="167" fontId="19" fillId="0" borderId="3" xfId="1" applyFont="1" applyBorder="1">
      <alignment vertical="top"/>
    </xf>
    <xf numFmtId="167" fontId="19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5" fillId="0" borderId="2" xfId="1" applyFont="1" applyFill="1" applyBorder="1">
      <alignment vertical="top"/>
    </xf>
    <xf numFmtId="177" fontId="21" fillId="0" borderId="0" xfId="5" applyFont="1" applyFill="1" applyBorder="1">
      <alignment vertical="top"/>
    </xf>
    <xf numFmtId="177" fontId="22" fillId="0" borderId="0" xfId="5" applyFont="1" applyFill="1" applyBorder="1">
      <alignment vertical="top"/>
    </xf>
    <xf numFmtId="177" fontId="15" fillId="0" borderId="0" xfId="5" applyFont="1" applyFill="1" applyBorder="1">
      <alignment vertical="top"/>
    </xf>
    <xf numFmtId="169" fontId="15" fillId="0" borderId="0" xfId="1" applyNumberFormat="1" applyFont="1" applyFill="1" applyBorder="1">
      <alignment vertical="top"/>
    </xf>
    <xf numFmtId="175" fontId="15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36" fillId="0" borderId="0" xfId="0" applyFont="1">
      <alignment vertical="top"/>
    </xf>
    <xf numFmtId="169" fontId="17" fillId="0" borderId="0" xfId="0" applyFont="1">
      <alignment vertical="top"/>
    </xf>
    <xf numFmtId="177" fontId="7" fillId="0" borderId="0" xfId="1" applyNumberFormat="1" applyFont="1" applyFill="1">
      <alignment vertical="top"/>
    </xf>
    <xf numFmtId="177" fontId="6" fillId="0" borderId="0" xfId="1" applyNumberFormat="1" applyFont="1" applyFill="1">
      <alignment vertical="top"/>
    </xf>
    <xf numFmtId="177" fontId="3" fillId="0" borderId="0" xfId="1" applyNumberFormat="1" applyFont="1" applyFill="1" applyAlignment="1">
      <alignment horizontal="right" vertical="top"/>
    </xf>
    <xf numFmtId="177" fontId="0" fillId="0" borderId="0" xfId="0" applyNumberFormat="1">
      <alignment vertical="top"/>
    </xf>
    <xf numFmtId="177" fontId="0" fillId="0" borderId="0" xfId="1" applyNumberFormat="1" applyFont="1">
      <alignment vertical="top"/>
    </xf>
    <xf numFmtId="177" fontId="3" fillId="0" borderId="5" xfId="0" applyNumberFormat="1" applyFont="1" applyFill="1" applyBorder="1">
      <alignment vertical="top"/>
    </xf>
    <xf numFmtId="177" fontId="26" fillId="4" borderId="0" xfId="0" applyNumberFormat="1" applyFont="1" applyFill="1">
      <alignment vertical="top"/>
    </xf>
    <xf numFmtId="177" fontId="0" fillId="5" borderId="5" xfId="1" applyNumberFormat="1" applyFont="1" applyFill="1" applyBorder="1">
      <alignment vertical="top"/>
    </xf>
    <xf numFmtId="177" fontId="5" fillId="4" borderId="0" xfId="0" applyNumberFormat="1" applyFont="1" applyFill="1">
      <alignment vertical="top"/>
    </xf>
    <xf numFmtId="177" fontId="5" fillId="5" borderId="5" xfId="9" applyNumberFormat="1" applyFont="1" applyFill="1" applyBorder="1">
      <alignment vertical="top"/>
    </xf>
    <xf numFmtId="175" fontId="0" fillId="0" borderId="0" xfId="1" applyNumberFormat="1" applyFont="1">
      <alignment vertical="top"/>
    </xf>
    <xf numFmtId="175" fontId="3" fillId="0" borderId="5" xfId="0" applyNumberFormat="1" applyFont="1" applyFill="1" applyBorder="1">
      <alignment vertical="top"/>
    </xf>
    <xf numFmtId="175" fontId="26" fillId="4" borderId="0" xfId="0" applyNumberFormat="1" applyFont="1" applyFill="1">
      <alignment vertical="top"/>
    </xf>
    <xf numFmtId="175" fontId="0" fillId="5" borderId="5" xfId="1" applyNumberFormat="1" applyFont="1" applyFill="1" applyBorder="1">
      <alignment vertical="top"/>
    </xf>
    <xf numFmtId="175" fontId="5" fillId="4" borderId="0" xfId="0" applyNumberFormat="1" applyFont="1" applyFill="1">
      <alignment vertical="top"/>
    </xf>
    <xf numFmtId="175" fontId="5" fillId="5" borderId="5" xfId="9" applyNumberFormat="1" applyFont="1" applyFill="1" applyBorder="1">
      <alignment vertical="top"/>
    </xf>
    <xf numFmtId="176" fontId="7" fillId="0" borderId="0" xfId="1" applyNumberFormat="1" applyFont="1" applyFill="1">
      <alignment vertical="top"/>
    </xf>
    <xf numFmtId="176" fontId="6" fillId="0" borderId="0" xfId="1" applyNumberFormat="1" applyFont="1" applyFill="1">
      <alignment vertical="top"/>
    </xf>
    <xf numFmtId="176" fontId="3" fillId="0" borderId="0" xfId="1" applyNumberFormat="1" applyFont="1" applyFill="1" applyAlignment="1">
      <alignment horizontal="right" vertical="top"/>
    </xf>
    <xf numFmtId="176" fontId="0" fillId="0" borderId="0" xfId="0" applyNumberFormat="1">
      <alignment vertical="top"/>
    </xf>
    <xf numFmtId="176" fontId="0" fillId="0" borderId="0" xfId="1" applyNumberFormat="1" applyFont="1">
      <alignment vertical="top"/>
    </xf>
    <xf numFmtId="176" fontId="3" fillId="0" borderId="5" xfId="0" applyNumberFormat="1" applyFont="1" applyFill="1" applyBorder="1">
      <alignment vertical="top"/>
    </xf>
    <xf numFmtId="176" fontId="26" fillId="4" borderId="0" xfId="0" applyNumberFormat="1" applyFont="1" applyFill="1">
      <alignment vertical="top"/>
    </xf>
    <xf numFmtId="176" fontId="0" fillId="5" borderId="5" xfId="1" applyNumberFormat="1" applyFont="1" applyFill="1" applyBorder="1">
      <alignment vertical="top"/>
    </xf>
    <xf numFmtId="176" fontId="5" fillId="4" borderId="0" xfId="0" applyNumberFormat="1" applyFont="1" applyFill="1">
      <alignment vertical="top"/>
    </xf>
    <xf numFmtId="176" fontId="5" fillId="5" borderId="5" xfId="9" applyNumberFormat="1" applyFont="1" applyFill="1" applyBorder="1">
      <alignment vertical="top"/>
    </xf>
    <xf numFmtId="176" fontId="15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19" fillId="0" borderId="0" xfId="1" applyNumberFormat="1" applyFont="1" applyFill="1" applyBorder="1">
      <alignment vertical="top"/>
    </xf>
    <xf numFmtId="169" fontId="15" fillId="0" borderId="0" xfId="1" applyNumberFormat="1" applyFont="1" applyFill="1">
      <alignment vertical="top"/>
    </xf>
    <xf numFmtId="174" fontId="3" fillId="0" borderId="0" xfId="1" applyNumberFormat="1" applyFont="1">
      <alignment vertical="top"/>
    </xf>
    <xf numFmtId="169" fontId="37" fillId="0" borderId="0" xfId="0" applyFont="1">
      <alignment vertical="top"/>
    </xf>
    <xf numFmtId="177" fontId="15" fillId="0" borderId="0" xfId="1" applyNumberFormat="1" applyFont="1">
      <alignment vertical="top"/>
    </xf>
    <xf numFmtId="177" fontId="6" fillId="0" borderId="0" xfId="5" applyFont="1" applyFill="1" applyBorder="1">
      <alignment vertical="top"/>
    </xf>
    <xf numFmtId="177" fontId="15" fillId="0" borderId="0" xfId="5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49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5"/>
  <sheetViews>
    <sheetView showGridLines="0" defaultGridColor="0" colorId="22" zoomScale="110" zoomScaleNormal="110" workbookViewId="0">
      <pane xSplit="10" ySplit="9" topLeftCell="K37" activePane="bottomRight" state="frozen"/>
      <selection activeCell="E33" sqref="E33"/>
      <selection pane="topRight" activeCell="E33" sqref="E33"/>
      <selection pane="bottomLeft" activeCell="E33" sqref="E33"/>
      <selection pane="bottomRight" activeCell="G43" sqref="G43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202" customWidth="1"/>
    <col min="10" max="10" width="0.46484375" style="69" customWidth="1"/>
    <col min="11" max="13" width="12.796875" style="7" customWidth="1"/>
    <col min="14" max="14" width="0.46484375" style="69" customWidth="1"/>
    <col min="15" max="18" width="12.796875" style="7" customWidth="1"/>
    <col min="19" max="19" width="0.46484375" style="69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165"/>
      <c r="B2" s="165"/>
      <c r="C2" s="166"/>
      <c r="D2" s="167"/>
      <c r="E2" s="168"/>
      <c r="F2" s="168"/>
      <c r="G2" s="168"/>
      <c r="H2" s="168"/>
      <c r="I2" s="203"/>
      <c r="J2" s="169"/>
      <c r="K2" s="79" t="str">
        <f t="shared" ref="K2:R2" si="0" xml:space="preserve"> IF(K4 = $F4, "q", "")</f>
        <v>q</v>
      </c>
      <c r="L2" s="79" t="str">
        <f t="shared" si="0"/>
        <v/>
      </c>
      <c r="M2" s="79" t="str">
        <f t="shared" si="0"/>
        <v/>
      </c>
      <c r="N2" s="169"/>
      <c r="O2" s="79" t="str">
        <f t="shared" si="0"/>
        <v/>
      </c>
      <c r="P2" s="79" t="str">
        <f t="shared" si="0"/>
        <v/>
      </c>
      <c r="Q2" s="79" t="str">
        <f t="shared" si="0"/>
        <v/>
      </c>
      <c r="R2" s="79" t="str">
        <f t="shared" si="0"/>
        <v/>
      </c>
      <c r="S2" s="169"/>
    </row>
    <row r="3" spans="1:19" ht="30.75" customHeight="1" x14ac:dyDescent="0.35">
      <c r="A3" s="15"/>
      <c r="B3" s="15"/>
      <c r="C3" s="113"/>
      <c r="D3" s="114"/>
      <c r="E3" s="14"/>
      <c r="F3" s="152" t="str">
        <f>INDEX(J3:S3,MATCH(F4,J4:S4))</f>
        <v>Base case 1</v>
      </c>
      <c r="G3" s="5"/>
      <c r="H3" s="14"/>
      <c r="I3" s="204"/>
      <c r="J3" s="115"/>
      <c r="K3" s="116" t="s">
        <v>69</v>
      </c>
      <c r="L3" s="116" t="s">
        <v>132</v>
      </c>
      <c r="M3" s="116" t="s">
        <v>133</v>
      </c>
      <c r="N3" s="115"/>
      <c r="O3" s="116" t="s">
        <v>134</v>
      </c>
      <c r="P3" s="116" t="s">
        <v>135</v>
      </c>
      <c r="Q3" s="116" t="s">
        <v>136</v>
      </c>
      <c r="R3" s="116" t="s">
        <v>137</v>
      </c>
      <c r="S3" s="115"/>
    </row>
    <row r="4" spans="1:19" ht="13.25" customHeight="1" x14ac:dyDescent="0.35">
      <c r="E4" s="10" t="s">
        <v>68</v>
      </c>
      <c r="F4" s="153">
        <v>1</v>
      </c>
      <c r="G4" s="10"/>
      <c r="H4" s="10"/>
      <c r="I4" s="205">
        <f xml:space="preserve"> MATCH(F4, $J$4:$S$4)</f>
        <v>2</v>
      </c>
      <c r="J4" s="70"/>
      <c r="K4" s="195">
        <v>1</v>
      </c>
      <c r="L4" s="195">
        <v>2</v>
      </c>
      <c r="M4" s="195">
        <v>3</v>
      </c>
      <c r="N4" s="70"/>
      <c r="O4" s="74">
        <v>5</v>
      </c>
      <c r="P4" s="74">
        <v>6</v>
      </c>
      <c r="Q4" s="74">
        <v>7</v>
      </c>
      <c r="R4" s="74">
        <v>8</v>
      </c>
      <c r="S4" s="70"/>
    </row>
    <row r="5" spans="1:19" x14ac:dyDescent="0.35">
      <c r="E5" s="2" t="s">
        <v>84</v>
      </c>
      <c r="F5" s="78">
        <v>1</v>
      </c>
      <c r="G5" s="2"/>
      <c r="H5" s="2"/>
      <c r="I5" s="205">
        <f xml:space="preserve"> MATCH(F5, $J$4:$S$4)</f>
        <v>2</v>
      </c>
      <c r="J5" s="71"/>
      <c r="K5" s="2"/>
      <c r="L5" s="2"/>
      <c r="M5" s="2"/>
      <c r="N5" s="71"/>
      <c r="O5" s="2"/>
      <c r="P5" s="2"/>
      <c r="Q5" s="2"/>
      <c r="R5" s="2"/>
      <c r="S5" s="71"/>
    </row>
    <row r="6" spans="1:19" x14ac:dyDescent="0.35">
      <c r="E6" s="2" t="s">
        <v>70</v>
      </c>
      <c r="F6" s="158">
        <f>INDEX(J6:S6,MATCH(F4,J4:S4,0))</f>
        <v>1</v>
      </c>
      <c r="H6" s="2"/>
      <c r="I6" s="205">
        <f xml:space="preserve"> MATCH(F6, $J$4:$S$4)</f>
        <v>2</v>
      </c>
      <c r="J6" s="71"/>
      <c r="K6" s="77">
        <v>1</v>
      </c>
      <c r="L6" s="77">
        <v>2</v>
      </c>
      <c r="M6" s="77">
        <v>3</v>
      </c>
      <c r="N6" s="71"/>
      <c r="O6" s="77">
        <v>1</v>
      </c>
      <c r="P6" s="77">
        <v>1</v>
      </c>
      <c r="Q6" s="77">
        <v>2</v>
      </c>
      <c r="R6" s="77">
        <v>2</v>
      </c>
      <c r="S6" s="71"/>
    </row>
    <row r="7" spans="1:19" x14ac:dyDescent="0.35">
      <c r="E7" s="2" t="s">
        <v>85</v>
      </c>
      <c r="F7" s="164">
        <f xml:space="preserve"> COUNTIF(I10:I63, "tu")</f>
        <v>0</v>
      </c>
      <c r="H7" s="2"/>
      <c r="I7" s="206"/>
      <c r="J7" s="71"/>
      <c r="K7" s="196" t="str">
        <f xml:space="preserve"> IF(K6 = $F$6, "Base case", "")</f>
        <v>Base case</v>
      </c>
      <c r="L7" s="196" t="str">
        <f xml:space="preserve"> IF(L6 = $F$6, "Base case", "")</f>
        <v/>
      </c>
      <c r="M7" s="196" t="str">
        <f xml:space="preserve"> IF(M6 = $F$6, "Base case", "")</f>
        <v/>
      </c>
      <c r="N7" s="71"/>
      <c r="O7" s="2"/>
      <c r="P7" s="2"/>
      <c r="Q7" s="2"/>
      <c r="R7" s="2"/>
      <c r="S7" s="71"/>
    </row>
    <row r="8" spans="1:19" x14ac:dyDescent="0.35">
      <c r="E8" s="2"/>
      <c r="F8" s="159"/>
      <c r="H8" s="2"/>
      <c r="I8" s="206"/>
      <c r="J8" s="71"/>
      <c r="K8" s="151"/>
      <c r="L8" s="151"/>
      <c r="M8" s="151"/>
      <c r="N8" s="71"/>
      <c r="O8" s="2"/>
      <c r="P8" s="2"/>
      <c r="Q8" s="2"/>
      <c r="R8" s="2"/>
      <c r="S8" s="71"/>
    </row>
    <row r="9" spans="1:19" x14ac:dyDescent="0.35">
      <c r="A9" s="8"/>
      <c r="B9" s="8"/>
      <c r="C9" s="13"/>
      <c r="D9" s="33"/>
      <c r="E9" s="147"/>
      <c r="F9" s="148" t="s">
        <v>19</v>
      </c>
      <c r="G9" s="149" t="s">
        <v>17</v>
      </c>
      <c r="H9" s="3" t="s">
        <v>83</v>
      </c>
      <c r="I9" s="207"/>
      <c r="J9" s="150"/>
      <c r="K9" s="4"/>
      <c r="L9" s="4"/>
      <c r="M9" s="4"/>
      <c r="N9" s="150"/>
      <c r="O9" s="4"/>
      <c r="P9" s="4"/>
      <c r="Q9" s="4"/>
      <c r="R9" s="4"/>
      <c r="S9" s="150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8"/>
      <c r="B13" s="38"/>
      <c r="C13" s="39"/>
      <c r="D13" s="18"/>
      <c r="E13" s="89" t="s">
        <v>94</v>
      </c>
      <c r="F13" s="80">
        <f xml:space="preserve"> IF( INDEX(J13:S13, $I$4) = "", INDEX(J13:R13, $I$6), INDEX(J13:S13, $I$4))</f>
        <v>44166</v>
      </c>
      <c r="G13" s="89" t="s">
        <v>6</v>
      </c>
      <c r="H13" s="89"/>
      <c r="I13" s="208" t="str" cm="1">
        <f t="array" ref="I13" xml:space="preserve"> IF( INDEX(J13:S13, I$5) = "", IF( INDEX(J13:S13, I$6) = F13, "vw", "tu"), IF(INDEX(J13:S13, I$5) = F13, "vw", "tu"))</f>
        <v>vw</v>
      </c>
      <c r="J13" s="154"/>
      <c r="K13" s="75">
        <v>44166</v>
      </c>
      <c r="L13" s="75"/>
      <c r="M13" s="75"/>
      <c r="N13" s="90"/>
      <c r="O13" s="75"/>
      <c r="P13" s="75"/>
      <c r="Q13" s="75"/>
      <c r="R13" s="75"/>
      <c r="S13" s="90"/>
    </row>
    <row r="14" spans="1:19" x14ac:dyDescent="0.35">
      <c r="A14" s="223"/>
      <c r="B14" s="223"/>
      <c r="C14" s="224"/>
      <c r="D14" s="225"/>
      <c r="E14" s="226" t="s">
        <v>75</v>
      </c>
      <c r="F14" s="227">
        <f xml:space="preserve"> IF( INDEX(J14:S14, $I$4) = "", INDEX(J14:R14, $I$6), INDEX(J14:S14, $I$4))</f>
        <v>43921</v>
      </c>
      <c r="G14" s="226" t="s">
        <v>6</v>
      </c>
      <c r="H14" s="226"/>
      <c r="I14" s="208" t="str" cm="1">
        <f t="array" ref="I14" xml:space="preserve"> IF( INDEX(J14:S14, I$5) = "", IF( INDEX(J14:S14, I$6) = F14, "vw", "tu"), IF(INDEX(J14:S14, I$5) = F14, "vw", "tu"))</f>
        <v>vw</v>
      </c>
      <c r="J14" s="228"/>
      <c r="K14" s="229">
        <v>43921</v>
      </c>
      <c r="L14" s="229"/>
      <c r="M14" s="229"/>
      <c r="N14" s="228"/>
      <c r="O14" s="229"/>
      <c r="P14" s="229"/>
      <c r="Q14" s="229"/>
      <c r="R14" s="229"/>
      <c r="S14" s="228"/>
    </row>
    <row r="15" spans="1:19" x14ac:dyDescent="0.35">
      <c r="A15" s="233"/>
      <c r="B15" s="233"/>
      <c r="C15" s="234"/>
      <c r="D15" s="98"/>
      <c r="E15" s="97" t="s">
        <v>12</v>
      </c>
      <c r="F15" s="231">
        <f xml:space="preserve"> IF( INDEX(J15:S15, $I$4) = "", INDEX(J15:R15, $I$6), INDEX(J15:S15, $I$4))</f>
        <v>12</v>
      </c>
      <c r="G15" s="97" t="s">
        <v>13</v>
      </c>
      <c r="H15" s="97"/>
      <c r="I15" s="208" t="str" cm="1">
        <f t="array" ref="I15" xml:space="preserve"> IF( INDEX(J15:S15, I$5) = "", IF( INDEX(J15:S15, I$6) = F15, "vw", "tu"), IF(INDEX(J15:S15, I$5) = F15, "vw", "tu"))</f>
        <v>vw</v>
      </c>
      <c r="J15" s="200"/>
      <c r="K15" s="232">
        <v>12</v>
      </c>
      <c r="L15" s="232"/>
      <c r="M15" s="232"/>
      <c r="N15" s="200"/>
      <c r="O15" s="232"/>
      <c r="P15" s="232"/>
      <c r="Q15" s="232"/>
      <c r="R15" s="232"/>
      <c r="S15" s="200"/>
    </row>
    <row r="16" spans="1:19" x14ac:dyDescent="0.35">
      <c r="A16" s="233"/>
      <c r="B16" s="233"/>
      <c r="C16" s="234"/>
      <c r="D16" s="98"/>
      <c r="E16" s="97" t="s">
        <v>73</v>
      </c>
      <c r="F16" s="231">
        <f xml:space="preserve"> IF( INDEX(J16:S16, $I$4) = "", INDEX(J16:R16, $I$6), INDEX(J16:S16, $I$4))</f>
        <v>1</v>
      </c>
      <c r="G16" s="97" t="s">
        <v>10</v>
      </c>
      <c r="H16" s="97"/>
      <c r="I16" s="208" t="str" cm="1">
        <f t="array" ref="I16" xml:space="preserve"> IF( INDEX(J16:S16, I$5) = "", IF( INDEX(J16:S16, I$6) = F16, "vw", "tu"), IF(INDEX(J16:S16, I$5) = F16, "vw", "tu"))</f>
        <v>vw</v>
      </c>
      <c r="J16" s="200"/>
      <c r="K16" s="232">
        <v>1</v>
      </c>
      <c r="L16" s="232"/>
      <c r="M16" s="232"/>
      <c r="N16" s="200"/>
      <c r="O16" s="232"/>
      <c r="P16" s="232"/>
      <c r="Q16" s="232"/>
      <c r="R16" s="232"/>
      <c r="S16" s="200"/>
    </row>
    <row r="17" spans="1:19" x14ac:dyDescent="0.35">
      <c r="F17" s="6"/>
      <c r="I17" s="209"/>
      <c r="J17" s="156"/>
      <c r="K17" s="6"/>
      <c r="L17" s="6"/>
      <c r="M17" s="6"/>
    </row>
    <row r="18" spans="1:19" x14ac:dyDescent="0.35">
      <c r="A18" s="38"/>
      <c r="B18" s="38"/>
      <c r="C18" s="39"/>
      <c r="D18" s="18"/>
      <c r="E18" s="89" t="s">
        <v>97</v>
      </c>
      <c r="F18" s="80">
        <f xml:space="preserve"> IF( INDEX(J18:S18, $I$4) = "", INDEX(J18:R18, $I$6), INDEX(J18:S18, $I$4))</f>
        <v>44286</v>
      </c>
      <c r="G18" s="89" t="s">
        <v>6</v>
      </c>
      <c r="H18" s="89"/>
      <c r="I18" s="208" t="str" cm="1">
        <f t="array" ref="I18" xml:space="preserve"> IF( INDEX(J18:S18, I$5) = "", IF( INDEX(J18:S18, I$6) = F18, "vw", "tu"), IF(INDEX(J18:S18, I$5) = F18, "vw", "tu"))</f>
        <v>vw</v>
      </c>
      <c r="J18" s="154"/>
      <c r="K18" s="105">
        <v>44286</v>
      </c>
      <c r="L18" s="105"/>
      <c r="M18" s="105"/>
      <c r="N18" s="90"/>
      <c r="O18" s="75"/>
      <c r="P18" s="75"/>
      <c r="Q18" s="75"/>
      <c r="R18" s="75"/>
      <c r="S18" s="90"/>
    </row>
    <row r="19" spans="1:19" x14ac:dyDescent="0.35">
      <c r="E19" s="62"/>
      <c r="F19"/>
      <c r="G19" s="62"/>
      <c r="I19" s="209"/>
      <c r="J19" s="156"/>
    </row>
    <row r="20" spans="1:19" x14ac:dyDescent="0.35">
      <c r="A20" s="22"/>
      <c r="B20" s="22"/>
      <c r="C20" s="19"/>
      <c r="D20" s="20"/>
      <c r="E20" s="20" t="s">
        <v>98</v>
      </c>
      <c r="F20" s="81">
        <f xml:space="preserve"> IF( INDEX(J20:S20, $I$4) = "", INDEX(J20:R20, $I$6), INDEX(J20:S20, $I$4))</f>
        <v>5</v>
      </c>
      <c r="G20" s="20" t="s">
        <v>29</v>
      </c>
      <c r="H20" s="87"/>
      <c r="I20" s="208" t="str" cm="1">
        <f t="array" ref="I20" xml:space="preserve"> IF( INDEX(J20:S20, I$5) = "", IF( INDEX(J20:S20, I$6) = F20, "vw", "tu"), IF(INDEX(J20:S20, I$5) = F20, "vw", "tu"))</f>
        <v>vw</v>
      </c>
      <c r="J20" s="155"/>
      <c r="K20" s="76">
        <v>5</v>
      </c>
      <c r="L20" s="76"/>
      <c r="M20" s="76"/>
      <c r="N20" s="88"/>
      <c r="O20" s="82"/>
      <c r="P20" s="82"/>
      <c r="Q20" s="82"/>
      <c r="R20" s="82"/>
      <c r="S20" s="88"/>
    </row>
    <row r="21" spans="1:19" x14ac:dyDescent="0.35">
      <c r="A21" s="217"/>
      <c r="B21" s="217"/>
      <c r="C21" s="218"/>
      <c r="D21" s="219"/>
      <c r="E21" s="219" t="s">
        <v>71</v>
      </c>
      <c r="F21" s="220">
        <f xml:space="preserve"> IF( INDEX(J21:S21, $I$4) = "", INDEX(J21:R21, $I$6), INDEX(J21:S21, $I$4))</f>
        <v>0</v>
      </c>
      <c r="G21" s="219" t="s">
        <v>29</v>
      </c>
      <c r="H21" s="221"/>
      <c r="I21" s="208" t="str" cm="1">
        <f t="array" ref="I21" xml:space="preserve"> IF( INDEX(J21:S21, I$5) = "", IF( INDEX(J21:S21, I$6) = F21, "vw", "tu"), IF(INDEX(J21:S21, I$5) = F21, "vw", "tu"))</f>
        <v>vw</v>
      </c>
      <c r="J21" s="201"/>
      <c r="K21" s="222">
        <v>0</v>
      </c>
      <c r="L21" s="222"/>
      <c r="M21" s="222"/>
      <c r="N21" s="201"/>
      <c r="O21" s="222"/>
      <c r="P21" s="222"/>
      <c r="Q21" s="222"/>
      <c r="R21" s="222"/>
      <c r="S21" s="201"/>
    </row>
    <row r="22" spans="1:19" x14ac:dyDescent="0.35">
      <c r="A22" s="83"/>
      <c r="B22" s="83"/>
      <c r="C22" s="84"/>
      <c r="D22" s="85"/>
      <c r="E22" s="85"/>
      <c r="F22" s="160"/>
      <c r="G22" s="85"/>
      <c r="H22" s="161"/>
      <c r="I22" s="210"/>
      <c r="J22" s="157"/>
      <c r="K22" s="160"/>
      <c r="L22" s="160"/>
      <c r="M22" s="160"/>
      <c r="N22" s="86"/>
      <c r="O22" s="162"/>
      <c r="P22" s="162"/>
      <c r="Q22" s="162"/>
      <c r="R22" s="162"/>
      <c r="S22" s="86"/>
    </row>
    <row r="23" spans="1:19" x14ac:dyDescent="0.35">
      <c r="A23" s="83" t="s">
        <v>150</v>
      </c>
      <c r="B23" s="83"/>
      <c r="C23" s="84"/>
      <c r="D23" s="85"/>
      <c r="E23" s="85"/>
      <c r="F23" s="160"/>
      <c r="G23" s="85"/>
      <c r="H23" s="161"/>
      <c r="I23" s="210"/>
      <c r="J23" s="157"/>
      <c r="K23" s="160"/>
      <c r="L23" s="160"/>
      <c r="M23" s="160"/>
      <c r="N23" s="86"/>
      <c r="O23" s="162"/>
      <c r="P23" s="162"/>
      <c r="Q23" s="162"/>
      <c r="R23" s="162"/>
      <c r="S23" s="86"/>
    </row>
    <row r="24" spans="1:19" x14ac:dyDescent="0.35">
      <c r="A24" s="83"/>
      <c r="B24" s="83"/>
      <c r="C24" s="84"/>
      <c r="D24" s="85"/>
      <c r="E24" s="85"/>
      <c r="F24" s="160"/>
      <c r="G24" s="85"/>
      <c r="H24" s="161"/>
      <c r="I24" s="210"/>
      <c r="J24" s="157"/>
      <c r="K24" s="160"/>
      <c r="L24" s="160"/>
      <c r="M24" s="160"/>
      <c r="N24" s="86"/>
      <c r="O24" s="162"/>
      <c r="P24" s="162"/>
      <c r="Q24" s="162"/>
      <c r="R24" s="162"/>
      <c r="S24" s="86"/>
    </row>
    <row r="25" spans="1:19" x14ac:dyDescent="0.35">
      <c r="A25" s="83"/>
      <c r="B25" s="83" t="s">
        <v>152</v>
      </c>
      <c r="C25" s="84"/>
      <c r="D25" s="85"/>
      <c r="E25" s="85"/>
      <c r="F25" s="160"/>
      <c r="G25" s="85"/>
      <c r="H25" s="161"/>
      <c r="I25" s="210"/>
      <c r="J25" s="157"/>
      <c r="K25" s="160"/>
      <c r="L25" s="160"/>
      <c r="M25" s="160"/>
      <c r="N25" s="86"/>
      <c r="O25" s="162"/>
      <c r="P25" s="162"/>
      <c r="Q25" s="162"/>
      <c r="R25" s="162"/>
      <c r="S25" s="86"/>
    </row>
    <row r="26" spans="1:19" s="317" customFormat="1" x14ac:dyDescent="0.35">
      <c r="A26" s="314"/>
      <c r="B26" s="314"/>
      <c r="C26" s="315"/>
      <c r="D26" s="316"/>
      <c r="E26" s="318" t="s">
        <v>194</v>
      </c>
      <c r="F26" s="319">
        <f t="shared" ref="F26:F37" si="1" xml:space="preserve"> IF( INDEX(J26:S26, $I$4) = "", INDEX(J26:R26, $I$6), INDEX(J26:S26, $I$4))</f>
        <v>3.5112117879781773E-2</v>
      </c>
      <c r="G26" s="318" t="s">
        <v>159</v>
      </c>
      <c r="H26" s="318"/>
      <c r="I26" s="208" t="str" cm="1">
        <f t="array" ref="I26" xml:space="preserve"> IF( INDEX(J26:S26, I$5) = "", IF( INDEX(J26:S26, I$6) = F26, "vw", "tu"), IF(INDEX(J26:S26, I$5) = F26, "vw", "tu"))</f>
        <v>vw</v>
      </c>
      <c r="J26" s="320"/>
      <c r="K26" s="321">
        <v>3.5112117879781773E-2</v>
      </c>
      <c r="L26" s="321">
        <v>3.5112117879781773E-2</v>
      </c>
      <c r="M26" s="321">
        <v>3.5112117879781773E-2</v>
      </c>
      <c r="N26" s="322"/>
      <c r="O26" s="323"/>
      <c r="P26" s="323"/>
      <c r="Q26" s="323"/>
      <c r="R26" s="323"/>
      <c r="S26" s="322"/>
    </row>
    <row r="27" spans="1:19" x14ac:dyDescent="0.35">
      <c r="E27" s="318" t="s">
        <v>195</v>
      </c>
      <c r="F27" s="319">
        <f t="shared" si="1"/>
        <v>4.7E-2</v>
      </c>
      <c r="G27" s="318" t="s">
        <v>159</v>
      </c>
      <c r="H27" s="318"/>
      <c r="I27" s="208" t="str" cm="1">
        <f t="array" ref="I27" xml:space="preserve"> IF( INDEX(J27:S27, I$5) = "", IF( INDEX(J27:S27, I$6) = F27, "vw", "tu"), IF(INDEX(J27:S27, I$5) = F27, "vw", "tu"))</f>
        <v>vw</v>
      </c>
      <c r="J27" s="320"/>
      <c r="K27" s="321">
        <v>4.7E-2</v>
      </c>
      <c r="L27" s="321">
        <v>4.7E-2</v>
      </c>
      <c r="M27" s="321">
        <v>4.7E-2</v>
      </c>
      <c r="N27" s="322"/>
      <c r="O27" s="323"/>
      <c r="P27" s="323"/>
      <c r="Q27" s="323"/>
      <c r="R27" s="323"/>
      <c r="S27" s="322"/>
    </row>
    <row r="28" spans="1:19" x14ac:dyDescent="0.35">
      <c r="E28" s="318" t="s">
        <v>196</v>
      </c>
      <c r="F28" s="319">
        <f t="shared" si="1"/>
        <v>5.1999999999999998E-2</v>
      </c>
      <c r="G28" s="318" t="s">
        <v>159</v>
      </c>
      <c r="H28" s="318"/>
      <c r="I28" s="208" t="str" cm="1">
        <f t="array" ref="I28" xml:space="preserve"> IF( INDEX(J28:S28, I$5) = "", IF( INDEX(J28:S28, I$6) = F28, "vw", "tu"), IF(INDEX(J28:S28, I$5) = F28, "vw", "tu"))</f>
        <v>vw</v>
      </c>
      <c r="J28" s="320"/>
      <c r="K28" s="321">
        <v>5.1999999999999998E-2</v>
      </c>
      <c r="L28" s="321">
        <v>5.1999999999999998E-2</v>
      </c>
      <c r="M28" s="321">
        <v>5.1999999999999998E-2</v>
      </c>
      <c r="N28" s="322"/>
      <c r="O28" s="323"/>
      <c r="P28" s="323"/>
      <c r="Q28" s="323"/>
      <c r="R28" s="323"/>
      <c r="S28" s="322"/>
    </row>
    <row r="29" spans="1:19" x14ac:dyDescent="0.35">
      <c r="E29" s="318" t="s">
        <v>197</v>
      </c>
      <c r="F29" s="319">
        <f t="shared" si="1"/>
        <v>7.0999999999999994E-2</v>
      </c>
      <c r="G29" s="318" t="s">
        <v>159</v>
      </c>
      <c r="H29" s="318"/>
      <c r="I29" s="208" t="str" cm="1">
        <f t="array" ref="I29" xml:space="preserve"> IF( INDEX(J29:S29, I$5) = "", IF( INDEX(J29:S29, I$6) = F29, "vw", "tu"), IF(INDEX(J29:S29, I$5) = F29, "vw", "tu"))</f>
        <v>vw</v>
      </c>
      <c r="J29" s="320"/>
      <c r="K29" s="321">
        <v>7.0999999999999994E-2</v>
      </c>
      <c r="L29" s="321">
        <v>7.0999999999999994E-2</v>
      </c>
      <c r="M29" s="321">
        <v>7.0999999999999994E-2</v>
      </c>
      <c r="N29" s="322"/>
      <c r="O29" s="323"/>
      <c r="P29" s="323"/>
      <c r="Q29" s="323"/>
      <c r="R29" s="323"/>
      <c r="S29" s="322"/>
    </row>
    <row r="30" spans="1:19" x14ac:dyDescent="0.35">
      <c r="E30" s="318" t="s">
        <v>198</v>
      </c>
      <c r="F30" s="319">
        <f t="shared" si="1"/>
        <v>9.0999999999999998E-2</v>
      </c>
      <c r="G30" s="318" t="s">
        <v>159</v>
      </c>
      <c r="H30" s="318"/>
      <c r="I30" s="208" t="str" cm="1">
        <f t="array" ref="I30" xml:space="preserve"> IF( INDEX(J30:S30, I$5) = "", IF( INDEX(J30:S30, I$6) = F30, "vw", "tu"), IF(INDEX(J30:S30, I$5) = F30, "vw", "tu"))</f>
        <v>vw</v>
      </c>
      <c r="J30" s="320"/>
      <c r="K30" s="321">
        <v>9.0999999999999998E-2</v>
      </c>
      <c r="L30" s="321">
        <v>9.0999999999999998E-2</v>
      </c>
      <c r="M30" s="321">
        <v>9.0999999999999998E-2</v>
      </c>
      <c r="N30" s="322"/>
      <c r="O30" s="323"/>
      <c r="P30" s="323"/>
      <c r="Q30" s="323"/>
      <c r="R30" s="323"/>
      <c r="S30" s="322"/>
    </row>
    <row r="31" spans="1:19" x14ac:dyDescent="0.35">
      <c r="E31" s="318" t="s">
        <v>199</v>
      </c>
      <c r="F31" s="319">
        <f t="shared" si="1"/>
        <v>0.10199999999999999</v>
      </c>
      <c r="G31" s="318" t="s">
        <v>159</v>
      </c>
      <c r="H31" s="318"/>
      <c r="I31" s="208" t="str" cm="1">
        <f t="array" ref="I31" xml:space="preserve"> IF( INDEX(J31:S31, I$5) = "", IF( INDEX(J31:S31, I$6) = F31, "vw", "tu"), IF(INDEX(J31:S31, I$5) = F31, "vw", "tu"))</f>
        <v>vw</v>
      </c>
      <c r="J31" s="320"/>
      <c r="K31" s="321">
        <v>0.10199999999999999</v>
      </c>
      <c r="L31" s="321">
        <v>0.10199999999999999</v>
      </c>
      <c r="M31" s="321">
        <v>0.10199999999999999</v>
      </c>
      <c r="N31" s="322"/>
      <c r="O31" s="323"/>
      <c r="P31" s="323"/>
      <c r="Q31" s="323"/>
      <c r="R31" s="323"/>
      <c r="S31" s="322"/>
    </row>
    <row r="32" spans="1:19" x14ac:dyDescent="0.35">
      <c r="E32" s="318" t="s">
        <v>200</v>
      </c>
      <c r="F32" s="319">
        <f t="shared" si="1"/>
        <v>0.1238878821202184</v>
      </c>
      <c r="G32" s="318" t="s">
        <v>159</v>
      </c>
      <c r="H32" s="318"/>
      <c r="I32" s="208" t="str" cm="1">
        <f t="array" ref="I32" xml:space="preserve"> IF( INDEX(J32:S32, I$5) = "", IF( INDEX(J32:S32, I$6) = F32, "vw", "tu"), IF(INDEX(J32:S32, I$5) = F32, "vw", "tu"))</f>
        <v>vw</v>
      </c>
      <c r="J32" s="320"/>
      <c r="K32" s="321">
        <v>0.1238878821202184</v>
      </c>
      <c r="L32" s="321">
        <v>0.1238878821202184</v>
      </c>
      <c r="M32" s="321">
        <v>0.1238878821202184</v>
      </c>
      <c r="N32" s="322"/>
      <c r="O32" s="323"/>
      <c r="P32" s="323"/>
      <c r="Q32" s="323"/>
      <c r="R32" s="323"/>
      <c r="S32" s="322"/>
    </row>
    <row r="33" spans="1:19" x14ac:dyDescent="0.35">
      <c r="E33" s="318" t="s">
        <v>201</v>
      </c>
      <c r="F33" s="319">
        <f t="shared" si="1"/>
        <v>0.14199999999999999</v>
      </c>
      <c r="G33" s="318" t="s">
        <v>159</v>
      </c>
      <c r="H33" s="318"/>
      <c r="I33" s="208" t="str" cm="1">
        <f t="array" ref="I33" xml:space="preserve"> IF( INDEX(J33:S33, I$5) = "", IF( INDEX(J33:S33, I$6) = F33, "vw", "tu"), IF(INDEX(J33:S33, I$5) = F33, "vw", "tu"))</f>
        <v>vw</v>
      </c>
      <c r="J33" s="320"/>
      <c r="K33" s="321">
        <v>0.14199999999999999</v>
      </c>
      <c r="L33" s="321">
        <v>0.14199999999999999</v>
      </c>
      <c r="M33" s="321">
        <v>0.14199999999999999</v>
      </c>
      <c r="N33" s="322"/>
      <c r="O33" s="323"/>
      <c r="P33" s="323"/>
      <c r="Q33" s="323"/>
      <c r="R33" s="323"/>
      <c r="S33" s="322"/>
    </row>
    <row r="34" spans="1:19" x14ac:dyDescent="0.35">
      <c r="E34" s="318" t="s">
        <v>202</v>
      </c>
      <c r="F34" s="319">
        <f t="shared" si="1"/>
        <v>0.13200000000000001</v>
      </c>
      <c r="G34" s="318" t="s">
        <v>159</v>
      </c>
      <c r="H34" s="318"/>
      <c r="I34" s="208" t="str" cm="1">
        <f t="array" ref="I34" xml:space="preserve"> IF( INDEX(J34:S34, I$5) = "", IF( INDEX(J34:S34, I$6) = F34, "vw", "tu"), IF(INDEX(J34:S34, I$5) = F34, "vw", "tu"))</f>
        <v>vw</v>
      </c>
      <c r="J34" s="320"/>
      <c r="K34" s="321">
        <v>0.13200000000000001</v>
      </c>
      <c r="L34" s="321">
        <v>0.13200000000000001</v>
      </c>
      <c r="M34" s="321">
        <v>0.13200000000000001</v>
      </c>
      <c r="N34" s="322"/>
      <c r="O34" s="323"/>
      <c r="P34" s="323"/>
      <c r="Q34" s="323"/>
      <c r="R34" s="323"/>
      <c r="S34" s="322"/>
    </row>
    <row r="35" spans="1:19" x14ac:dyDescent="0.35">
      <c r="E35" s="318" t="s">
        <v>203</v>
      </c>
      <c r="F35" s="319">
        <f t="shared" si="1"/>
        <v>0.10199999999999999</v>
      </c>
      <c r="G35" s="318" t="s">
        <v>159</v>
      </c>
      <c r="H35" s="318"/>
      <c r="I35" s="208" t="str" cm="1">
        <f t="array" ref="I35" xml:space="preserve"> IF( INDEX(J35:S35, I$5) = "", IF( INDEX(J35:S35, I$6) = F35, "vw", "tu"), IF(INDEX(J35:S35, I$5) = F35, "vw", "tu"))</f>
        <v>vw</v>
      </c>
      <c r="J35" s="320"/>
      <c r="K35" s="321">
        <v>0.10199999999999999</v>
      </c>
      <c r="L35" s="321">
        <v>0.10199999999999999</v>
      </c>
      <c r="M35" s="321">
        <v>0.10199999999999999</v>
      </c>
      <c r="N35" s="322"/>
      <c r="O35" s="323"/>
      <c r="P35" s="323"/>
      <c r="Q35" s="323"/>
      <c r="R35" s="323"/>
      <c r="S35" s="322"/>
    </row>
    <row r="36" spans="1:19" x14ac:dyDescent="0.35">
      <c r="E36" s="318" t="s">
        <v>204</v>
      </c>
      <c r="F36" s="319">
        <f t="shared" si="1"/>
        <v>6.0999999999999999E-2</v>
      </c>
      <c r="G36" s="318" t="s">
        <v>159</v>
      </c>
      <c r="H36" s="318"/>
      <c r="I36" s="208" t="str" cm="1">
        <f t="array" ref="I36" xml:space="preserve"> IF( INDEX(J36:S36, I$5) = "", IF( INDEX(J36:S36, I$6) = F36, "vw", "tu"), IF(INDEX(J36:S36, I$5) = F36, "vw", "tu"))</f>
        <v>vw</v>
      </c>
      <c r="J36" s="320"/>
      <c r="K36" s="321">
        <v>6.0999999999999999E-2</v>
      </c>
      <c r="L36" s="321">
        <v>6.0999999999999999E-2</v>
      </c>
      <c r="M36" s="321">
        <v>6.0999999999999999E-2</v>
      </c>
      <c r="N36" s="322"/>
      <c r="O36" s="323"/>
      <c r="P36" s="323"/>
      <c r="Q36" s="323"/>
      <c r="R36" s="323"/>
      <c r="S36" s="322"/>
    </row>
    <row r="37" spans="1:19" x14ac:dyDescent="0.35">
      <c r="E37" s="7" t="s">
        <v>205</v>
      </c>
      <c r="F37" s="319">
        <f t="shared" si="1"/>
        <v>4.1000000000000002E-2</v>
      </c>
      <c r="G37" s="318" t="s">
        <v>159</v>
      </c>
      <c r="H37" s="318"/>
      <c r="I37" s="208" t="str" cm="1">
        <f t="array" ref="I37" xml:space="preserve"> IF( INDEX(J37:S37, I$5) = "", IF( INDEX(J37:S37, I$6) = F37, "vw", "tu"), IF(INDEX(J37:S37, I$5) = F37, "vw", "tu"))</f>
        <v>vw</v>
      </c>
      <c r="J37" s="320"/>
      <c r="K37" s="321">
        <v>4.1000000000000002E-2</v>
      </c>
      <c r="L37" s="321">
        <v>4.1000000000000002E-2</v>
      </c>
      <c r="M37" s="321">
        <v>4.1000000000000002E-2</v>
      </c>
      <c r="N37" s="322"/>
      <c r="O37" s="323"/>
      <c r="P37" s="323"/>
      <c r="Q37" s="323"/>
      <c r="R37" s="323"/>
      <c r="S37" s="322"/>
    </row>
    <row r="38" spans="1:19" x14ac:dyDescent="0.35">
      <c r="F38" s="171"/>
      <c r="G38" s="171"/>
    </row>
    <row r="39" spans="1:19" x14ac:dyDescent="0.35">
      <c r="B39" s="1" t="s">
        <v>208</v>
      </c>
      <c r="F39" s="171"/>
      <c r="G39" s="171"/>
    </row>
    <row r="40" spans="1:19" s="317" customFormat="1" x14ac:dyDescent="0.35">
      <c r="A40" s="314"/>
      <c r="B40" s="314"/>
      <c r="C40" s="315"/>
      <c r="D40" s="316"/>
      <c r="E40" s="318" t="s">
        <v>166</v>
      </c>
      <c r="F40" s="319">
        <f xml:space="preserve"> IF( INDEX(J40:S40, $I$4) = "", INDEX(J40:R40, $I$6), INDEX(J40:S40, $I$4))</f>
        <v>5.0000000000000001E-3</v>
      </c>
      <c r="G40" s="318" t="s">
        <v>158</v>
      </c>
      <c r="H40" s="318"/>
      <c r="I40" s="208" t="str" cm="1">
        <f t="array" ref="I40" xml:space="preserve"> IF( INDEX(J40:S40, I$5) = "", IF( INDEX(J40:S40, I$6) = F40, "vw", "tu"), IF(INDEX(J40:S40, I$5) = F40, "vw", "tu"))</f>
        <v>vw</v>
      </c>
      <c r="J40" s="320"/>
      <c r="K40" s="321">
        <v>5.0000000000000001E-3</v>
      </c>
      <c r="L40" s="321">
        <v>5.0000000000000001E-3</v>
      </c>
      <c r="M40" s="321">
        <v>5.0000000000000001E-3</v>
      </c>
      <c r="N40" s="322"/>
      <c r="O40" s="323"/>
      <c r="P40" s="323"/>
      <c r="Q40" s="323"/>
      <c r="R40" s="323"/>
      <c r="S40" s="322"/>
    </row>
    <row r="41" spans="1:19" s="302" customFormat="1" x14ac:dyDescent="0.35">
      <c r="A41" s="1"/>
      <c r="B41" s="1"/>
      <c r="C41" s="11"/>
      <c r="D41" s="12"/>
      <c r="E41" s="62" t="s">
        <v>160</v>
      </c>
      <c r="F41" s="191">
        <f xml:space="preserve"> IF( INDEX(J41:S41, $I$4) = "", INDEX(J41:R41, $I$6), INDEX(J41:S41, $I$4))</f>
        <v>250</v>
      </c>
      <c r="G41" s="62" t="s">
        <v>154</v>
      </c>
      <c r="H41" s="62"/>
      <c r="I41" s="208" t="str" cm="1">
        <f t="array" ref="I41" xml:space="preserve"> IF( INDEX(J41:S41, I$5) = "", IF( INDEX(J41:S41, I$6) = F41, "vw", "tu"), IF(INDEX(J41:S41, I$5) = F41, "vw", "tu"))</f>
        <v>vw</v>
      </c>
      <c r="J41" s="192"/>
      <c r="K41" s="175">
        <v>250</v>
      </c>
      <c r="L41" s="175">
        <v>250</v>
      </c>
      <c r="M41" s="175">
        <v>250</v>
      </c>
      <c r="N41" s="193"/>
      <c r="O41" s="194"/>
      <c r="P41" s="194"/>
      <c r="Q41" s="194"/>
      <c r="R41" s="194"/>
      <c r="S41" s="193"/>
    </row>
    <row r="42" spans="1:19" x14ac:dyDescent="0.35">
      <c r="E42" s="324" t="s">
        <v>161</v>
      </c>
      <c r="F42" s="325">
        <f xml:space="preserve"> IF( INDEX(J42:S42, $I$4) = "", INDEX(J42:R42, $I$6), INDEX(J42:S42, $I$4))</f>
        <v>0.97</v>
      </c>
      <c r="G42" s="324" t="s">
        <v>151</v>
      </c>
      <c r="H42" s="324"/>
      <c r="I42" s="208" t="str" cm="1">
        <f t="array" ref="I42" xml:space="preserve"> IF( INDEX(J42:S42, I$5) = "", IF( INDEX(J42:S42, I$6) = F42, "vw", "tu"), IF(INDEX(J42:S42, I$5) = F42, "vw", "tu"))</f>
        <v>vw</v>
      </c>
      <c r="J42" s="326"/>
      <c r="K42" s="327">
        <v>0.97</v>
      </c>
      <c r="L42" s="327">
        <v>0.97</v>
      </c>
      <c r="M42" s="327">
        <v>0.97</v>
      </c>
      <c r="N42" s="328"/>
      <c r="O42" s="329"/>
      <c r="P42" s="329"/>
      <c r="Q42" s="329"/>
      <c r="R42" s="329"/>
      <c r="S42" s="328"/>
    </row>
    <row r="44" spans="1:19" s="333" customFormat="1" x14ac:dyDescent="0.35">
      <c r="A44" s="330"/>
      <c r="B44" s="330"/>
      <c r="C44" s="331"/>
      <c r="D44" s="332"/>
      <c r="E44" s="334" t="s">
        <v>156</v>
      </c>
      <c r="F44" s="335">
        <f xml:space="preserve"> IF( INDEX(J44:S44, $I$4) = "", INDEX(J44:R44, $I$6), INDEX(J44:S44, $I$4))</f>
        <v>6.5000000000000002E-2</v>
      </c>
      <c r="G44" s="334" t="s">
        <v>157</v>
      </c>
      <c r="H44" s="334"/>
      <c r="I44" s="208" t="str" cm="1">
        <f t="array" ref="I44" xml:space="preserve"> IF( INDEX(J44:S44, I$5) = "", IF( INDEX(J44:S44, I$6) = F44, "vw", "tu"), IF(INDEX(J44:S44, I$5) = F44, "vw", "tu"))</f>
        <v>vw</v>
      </c>
      <c r="J44" s="336"/>
      <c r="K44" s="337">
        <v>6.5000000000000002E-2</v>
      </c>
      <c r="L44" s="337">
        <v>6.5000000000000002E-2</v>
      </c>
      <c r="M44" s="337">
        <v>6.5000000000000002E-2</v>
      </c>
      <c r="N44" s="338"/>
      <c r="O44" s="339"/>
      <c r="P44" s="339"/>
      <c r="Q44" s="339"/>
      <c r="R44" s="339"/>
      <c r="S44" s="338"/>
    </row>
    <row r="46" spans="1:19" x14ac:dyDescent="0.35">
      <c r="A46" s="1" t="s">
        <v>180</v>
      </c>
    </row>
    <row r="47" spans="1:19" s="302" customFormat="1" x14ac:dyDescent="0.35">
      <c r="A47" s="1"/>
      <c r="B47" s="1"/>
      <c r="C47" s="11"/>
      <c r="D47" s="12"/>
      <c r="E47" s="7" t="s">
        <v>183</v>
      </c>
      <c r="F47" s="191">
        <f xml:space="preserve"> IF( INDEX(J47:S47, $I$4) = "", INDEX(J47:R47, $I$6), INDEX(J47:S47, $I$4))</f>
        <v>2</v>
      </c>
      <c r="G47" s="62" t="s">
        <v>10</v>
      </c>
      <c r="H47" s="62"/>
      <c r="I47" s="208" t="str" cm="1">
        <f t="array" ref="I47" xml:space="preserve"> IF( INDEX(J47:S47, I$5) = "", IF( INDEX(J47:S47, I$6) = F47, "vw", "tu"), IF(INDEX(J47:S47, I$5) = F47, "vw", "tu"))</f>
        <v>vw</v>
      </c>
      <c r="J47" s="192"/>
      <c r="K47" s="175">
        <v>2</v>
      </c>
      <c r="L47" s="175">
        <v>2</v>
      </c>
      <c r="M47" s="175">
        <v>2</v>
      </c>
      <c r="N47" s="193"/>
      <c r="O47" s="194"/>
      <c r="P47" s="194"/>
      <c r="Q47" s="194"/>
      <c r="R47" s="194"/>
      <c r="S47" s="193"/>
    </row>
    <row r="48" spans="1:19" x14ac:dyDescent="0.35">
      <c r="A48" s="83"/>
      <c r="B48" s="83"/>
      <c r="C48" s="84"/>
      <c r="D48" s="85"/>
      <c r="E48" s="85"/>
      <c r="F48" s="160"/>
      <c r="G48" s="85"/>
      <c r="H48" s="161"/>
      <c r="I48" s="210"/>
      <c r="J48" s="157"/>
      <c r="K48" s="160"/>
      <c r="L48" s="160"/>
      <c r="M48" s="160"/>
      <c r="N48" s="86"/>
      <c r="O48" s="162"/>
      <c r="P48" s="162"/>
      <c r="Q48" s="162"/>
      <c r="R48" s="162"/>
      <c r="S48" s="86"/>
    </row>
    <row r="49" spans="1:19" x14ac:dyDescent="0.35">
      <c r="A49" s="83" t="s">
        <v>149</v>
      </c>
      <c r="B49" s="83"/>
      <c r="C49" s="84"/>
      <c r="D49" s="85"/>
      <c r="E49" s="85"/>
      <c r="F49" s="160"/>
      <c r="G49" s="85"/>
      <c r="H49" s="161"/>
      <c r="I49" s="210"/>
      <c r="J49" s="157"/>
      <c r="K49" s="160"/>
      <c r="L49" s="160"/>
      <c r="M49" s="160"/>
      <c r="N49" s="86"/>
      <c r="O49" s="162"/>
      <c r="P49" s="162"/>
      <c r="Q49" s="162"/>
      <c r="R49" s="162"/>
      <c r="S49" s="86"/>
    </row>
    <row r="50" spans="1:19" s="302" customFormat="1" x14ac:dyDescent="0.35">
      <c r="A50" s="1"/>
      <c r="B50" s="1"/>
      <c r="C50" s="11"/>
      <c r="D50" s="12"/>
      <c r="E50" s="62" t="s">
        <v>140</v>
      </c>
      <c r="F50" s="191">
        <f xml:space="preserve"> IF( INDEX(J50:S50, $I$4) = "", INDEX(J50:R50, $I$6), INDEX(J50:S50, $I$4))</f>
        <v>2608</v>
      </c>
      <c r="G50" s="62" t="str">
        <f xml:space="preserve"> SMU</f>
        <v>$ 000s</v>
      </c>
      <c r="H50" s="62"/>
      <c r="I50" s="208" t="str" cm="1">
        <f t="array" ref="I50" xml:space="preserve"> IF( INDEX(J50:S50, I$5) = "", IF( INDEX(J50:S50, I$6) = F50, "vw", "tu"), IF(INDEX(J50:S50, I$5) = F50, "vw", "tu"))</f>
        <v>vw</v>
      </c>
      <c r="J50" s="192"/>
      <c r="K50" s="175">
        <v>2608</v>
      </c>
      <c r="L50" s="175">
        <v>0</v>
      </c>
      <c r="M50" s="175">
        <v>0</v>
      </c>
      <c r="N50" s="193"/>
      <c r="O50" s="194"/>
      <c r="P50" s="194"/>
      <c r="Q50" s="194"/>
      <c r="R50" s="194"/>
      <c r="S50" s="193"/>
    </row>
    <row r="51" spans="1:19" s="302" customFormat="1" x14ac:dyDescent="0.35">
      <c r="A51" s="1"/>
      <c r="B51" s="1"/>
      <c r="C51" s="11"/>
      <c r="D51" s="12"/>
      <c r="E51" s="62" t="s">
        <v>144</v>
      </c>
      <c r="F51" s="191">
        <f xml:space="preserve"> IF( INDEX(J51:S51, $I$4) = "", INDEX(J51:R51, $I$6), INDEX(J51:S51, $I$4))</f>
        <v>0</v>
      </c>
      <c r="G51" s="62" t="str">
        <f xml:space="preserve"> SMU</f>
        <v>$ 000s</v>
      </c>
      <c r="H51" s="62"/>
      <c r="I51" s="208" t="str" cm="1">
        <f t="array" ref="I51" xml:space="preserve"> IF( INDEX(J51:S51, I$5) = "", IF( INDEX(J51:S51, I$6) = F51, "vw", "tu"), IF(INDEX(J51:S51, I$5) = F51, "vw", "tu"))</f>
        <v>vw</v>
      </c>
      <c r="J51" s="192"/>
      <c r="K51" s="175">
        <v>0</v>
      </c>
      <c r="L51" s="175">
        <v>0</v>
      </c>
      <c r="M51" s="175">
        <v>0</v>
      </c>
      <c r="N51" s="193"/>
      <c r="O51" s="194"/>
      <c r="P51" s="194"/>
      <c r="Q51" s="194"/>
      <c r="R51" s="194"/>
      <c r="S51" s="193"/>
    </row>
    <row r="52" spans="1:19" x14ac:dyDescent="0.35">
      <c r="A52" s="83"/>
      <c r="B52" s="83"/>
      <c r="C52" s="84"/>
      <c r="D52" s="85"/>
      <c r="E52" s="85"/>
      <c r="F52" s="160"/>
      <c r="G52" s="85"/>
      <c r="H52" s="161"/>
      <c r="I52" s="210"/>
      <c r="J52" s="157"/>
      <c r="K52" s="160"/>
      <c r="L52" s="160"/>
      <c r="M52" s="160"/>
      <c r="N52" s="86"/>
      <c r="O52" s="162"/>
      <c r="P52" s="162"/>
      <c r="Q52" s="162"/>
      <c r="R52" s="162"/>
      <c r="S52" s="86"/>
    </row>
    <row r="53" spans="1:19" s="302" customFormat="1" x14ac:dyDescent="0.35">
      <c r="A53" s="1"/>
      <c r="B53" s="1"/>
      <c r="C53" s="11"/>
      <c r="D53" s="12"/>
      <c r="E53" s="62" t="s">
        <v>185</v>
      </c>
      <c r="F53" s="191">
        <f t="shared" ref="F53:F58" si="2" xml:space="preserve"> IF( INDEX(J53:S53, $I$4) = "", INDEX(J53:R53, $I$6), INDEX(J53:S53, $I$4))</f>
        <v>1310</v>
      </c>
      <c r="G53" s="62" t="str">
        <f t="shared" ref="G53:G59" si="3" xml:space="preserve"> SMU</f>
        <v>$ 000s</v>
      </c>
      <c r="H53" s="62"/>
      <c r="I53" s="208" t="str" cm="1">
        <f t="array" ref="I53" xml:space="preserve"> IF( INDEX(J53:S53, I$5) = "", IF( INDEX(J53:S53, I$6) = F53, "vw", "tu"), IF(INDEX(J53:S53, I$5) = F53, "vw", "tu"))</f>
        <v>vw</v>
      </c>
      <c r="J53" s="192"/>
      <c r="K53" s="175">
        <v>1310</v>
      </c>
      <c r="L53" s="175">
        <v>1310</v>
      </c>
      <c r="M53" s="175">
        <v>1310</v>
      </c>
      <c r="N53" s="193"/>
      <c r="O53" s="194"/>
      <c r="P53" s="194"/>
      <c r="Q53" s="194"/>
      <c r="R53" s="194"/>
      <c r="S53" s="193"/>
    </row>
    <row r="54" spans="1:19" s="302" customFormat="1" x14ac:dyDescent="0.35">
      <c r="A54" s="1"/>
      <c r="B54" s="1"/>
      <c r="C54" s="11"/>
      <c r="D54" s="12"/>
      <c r="E54" s="62" t="s">
        <v>186</v>
      </c>
      <c r="F54" s="191">
        <f t="shared" si="2"/>
        <v>1298</v>
      </c>
      <c r="G54" s="62" t="str">
        <f t="shared" si="3"/>
        <v>$ 000s</v>
      </c>
      <c r="H54" s="62"/>
      <c r="I54" s="208" t="str" cm="1">
        <f t="array" ref="I54" xml:space="preserve"> IF( INDEX(J54:S54, I$5) = "", IF( INDEX(J54:S54, I$6) = F54, "vw", "tu"), IF(INDEX(J54:S54, I$5) = F54, "vw", "tu"))</f>
        <v>vw</v>
      </c>
      <c r="J54" s="192"/>
      <c r="K54" s="175">
        <v>1298</v>
      </c>
      <c r="L54" s="175">
        <v>1298</v>
      </c>
      <c r="M54" s="175">
        <v>1298</v>
      </c>
      <c r="N54" s="193"/>
      <c r="O54" s="194"/>
      <c r="P54" s="194"/>
      <c r="Q54" s="194"/>
      <c r="R54" s="194"/>
      <c r="S54" s="193"/>
    </row>
    <row r="55" spans="1:19" s="302" customFormat="1" x14ac:dyDescent="0.35">
      <c r="A55" s="1"/>
      <c r="B55" s="1"/>
      <c r="C55" s="11"/>
      <c r="D55" s="12"/>
      <c r="E55" s="62" t="s">
        <v>187</v>
      </c>
      <c r="F55" s="191">
        <f t="shared" si="2"/>
        <v>0</v>
      </c>
      <c r="G55" s="62" t="str">
        <f t="shared" si="3"/>
        <v>$ 000s</v>
      </c>
      <c r="H55" s="62"/>
      <c r="I55" s="208" t="str" cm="1">
        <f t="array" ref="I55" xml:space="preserve"> IF( INDEX(J55:S55, I$5) = "", IF( INDEX(J55:S55, I$6) = F55, "vw", "tu"), IF(INDEX(J55:S55, I$5) = F55, "vw", "tu"))</f>
        <v>vw</v>
      </c>
      <c r="J55" s="192"/>
      <c r="K55" s="175">
        <v>0</v>
      </c>
      <c r="L55" s="175"/>
      <c r="M55" s="175"/>
      <c r="N55" s="193"/>
      <c r="O55" s="194"/>
      <c r="P55" s="194"/>
      <c r="Q55" s="194"/>
      <c r="R55" s="194"/>
      <c r="S55" s="193"/>
    </row>
    <row r="56" spans="1:19" s="302" customFormat="1" x14ac:dyDescent="0.35">
      <c r="A56" s="1"/>
      <c r="B56" s="1"/>
      <c r="C56" s="11"/>
      <c r="D56" s="12"/>
      <c r="E56" s="62" t="s">
        <v>188</v>
      </c>
      <c r="F56" s="191">
        <f t="shared" si="2"/>
        <v>0</v>
      </c>
      <c r="G56" s="62" t="str">
        <f t="shared" si="3"/>
        <v>$ 000s</v>
      </c>
      <c r="H56" s="62"/>
      <c r="I56" s="208" t="str" cm="1">
        <f t="array" ref="I56" xml:space="preserve"> IF( INDEX(J56:S56, I$5) = "", IF( INDEX(J56:S56, I$6) = F56, "vw", "tu"), IF(INDEX(J56:S56, I$5) = F56, "vw", "tu"))</f>
        <v>vw</v>
      </c>
      <c r="J56" s="192"/>
      <c r="K56" s="175">
        <v>0</v>
      </c>
      <c r="L56" s="175"/>
      <c r="M56" s="175"/>
      <c r="N56" s="193"/>
      <c r="O56" s="194"/>
      <c r="P56" s="194"/>
      <c r="Q56" s="194"/>
      <c r="R56" s="194"/>
      <c r="S56" s="193"/>
    </row>
    <row r="57" spans="1:19" s="302" customFormat="1" x14ac:dyDescent="0.35">
      <c r="A57" s="1"/>
      <c r="B57" s="1"/>
      <c r="C57" s="11"/>
      <c r="D57" s="12"/>
      <c r="E57" s="62" t="s">
        <v>189</v>
      </c>
      <c r="F57" s="191">
        <f t="shared" si="2"/>
        <v>0</v>
      </c>
      <c r="G57" s="62" t="str">
        <f t="shared" si="3"/>
        <v>$ 000s</v>
      </c>
      <c r="H57" s="62"/>
      <c r="I57" s="208" t="str" cm="1">
        <f t="array" ref="I57" xml:space="preserve"> IF( INDEX(J57:S57, I$5) = "", IF( INDEX(J57:S57, I$6) = F57, "vw", "tu"), IF(INDEX(J57:S57, I$5) = F57, "vw", "tu"))</f>
        <v>vw</v>
      </c>
      <c r="J57" s="192"/>
      <c r="K57" s="175">
        <v>0</v>
      </c>
      <c r="L57" s="175"/>
      <c r="M57" s="175"/>
      <c r="N57" s="193"/>
      <c r="O57" s="194"/>
      <c r="P57" s="194"/>
      <c r="Q57" s="194"/>
      <c r="R57" s="194"/>
      <c r="S57" s="193"/>
    </row>
    <row r="58" spans="1:19" s="302" customFormat="1" x14ac:dyDescent="0.35">
      <c r="A58" s="1"/>
      <c r="B58" s="1"/>
      <c r="C58" s="11"/>
      <c r="D58" s="12"/>
      <c r="E58" s="62" t="s">
        <v>190</v>
      </c>
      <c r="F58" s="191">
        <f t="shared" si="2"/>
        <v>0</v>
      </c>
      <c r="G58" s="62" t="str">
        <f t="shared" si="3"/>
        <v>$ 000s</v>
      </c>
      <c r="H58" s="62"/>
      <c r="I58" s="208" t="str" cm="1">
        <f t="array" ref="I58" xml:space="preserve"> IF( INDEX(J58:S58, I$5) = "", IF( INDEX(J58:S58, I$6) = F58, "vw", "tu"), IF(INDEX(J58:S58, I$5) = F58, "vw", "tu"))</f>
        <v>vw</v>
      </c>
      <c r="J58" s="192"/>
      <c r="K58" s="175">
        <v>0</v>
      </c>
      <c r="L58" s="175"/>
      <c r="M58" s="175"/>
      <c r="N58" s="193"/>
      <c r="O58" s="194"/>
      <c r="P58" s="194"/>
      <c r="Q58" s="194"/>
      <c r="R58" s="194"/>
      <c r="S58" s="193"/>
    </row>
    <row r="59" spans="1:19" x14ac:dyDescent="0.35">
      <c r="E59" s="7" t="s">
        <v>169</v>
      </c>
      <c r="F59" s="7">
        <f>SUM(F53:F58)</f>
        <v>2608</v>
      </c>
      <c r="G59" s="7" t="str">
        <f t="shared" si="3"/>
        <v>$ 000s</v>
      </c>
    </row>
    <row r="63" spans="1:19" x14ac:dyDescent="0.35">
      <c r="A63" s="141" t="s">
        <v>78</v>
      </c>
      <c r="B63" s="141"/>
      <c r="C63" s="142"/>
      <c r="D63" s="73"/>
      <c r="E63" s="73"/>
      <c r="F63" s="73"/>
      <c r="G63" s="73"/>
      <c r="H63" s="73"/>
      <c r="I63" s="211"/>
      <c r="J63" s="73"/>
      <c r="K63" s="73"/>
      <c r="L63" s="73"/>
      <c r="M63" s="73"/>
      <c r="N63" s="73"/>
      <c r="O63" s="73"/>
      <c r="P63" s="73"/>
      <c r="Q63" s="73"/>
      <c r="R63" s="73"/>
      <c r="S63" s="73"/>
    </row>
    <row r="64" spans="1:19" x14ac:dyDescent="0.35">
      <c r="A64" s="22"/>
      <c r="B64" s="22"/>
      <c r="C64" s="19"/>
      <c r="D64" s="46"/>
      <c r="E64" s="21"/>
      <c r="F64" s="20"/>
      <c r="G64" s="21"/>
      <c r="H64" s="21"/>
      <c r="J64" s="73"/>
      <c r="K64" s="21"/>
      <c r="L64" s="21"/>
      <c r="M64" s="21"/>
      <c r="N64" s="73"/>
      <c r="O64" s="21"/>
      <c r="P64" s="21"/>
      <c r="Q64" s="21"/>
      <c r="R64" s="21"/>
      <c r="S64" s="73"/>
    </row>
    <row r="65" spans="1:19" x14ac:dyDescent="0.35">
      <c r="A65" s="22"/>
      <c r="B65" s="22"/>
      <c r="C65" s="19"/>
      <c r="D65" s="46"/>
      <c r="E65" s="47" t="s">
        <v>40</v>
      </c>
      <c r="F65" s="256">
        <v>1E-3</v>
      </c>
      <c r="G65" s="47" t="s">
        <v>41</v>
      </c>
      <c r="H65" s="21"/>
      <c r="J65" s="73"/>
      <c r="K65" s="21"/>
      <c r="L65" s="21"/>
      <c r="M65" s="21"/>
      <c r="N65" s="73"/>
      <c r="O65" s="21"/>
      <c r="P65" s="21"/>
      <c r="Q65" s="21"/>
      <c r="R65" s="21"/>
      <c r="S65" s="73"/>
    </row>
    <row r="66" spans="1:19" x14ac:dyDescent="0.35">
      <c r="A66" s="22"/>
      <c r="B66" s="22"/>
      <c r="C66" s="19"/>
      <c r="D66" s="46"/>
      <c r="E66" s="47" t="s">
        <v>63</v>
      </c>
      <c r="F66" s="256">
        <v>1E-3</v>
      </c>
      <c r="G66" s="47" t="s">
        <v>41</v>
      </c>
      <c r="H66" s="21"/>
      <c r="J66" s="73"/>
      <c r="K66" s="21"/>
      <c r="L66" s="21"/>
      <c r="M66" s="21"/>
      <c r="N66" s="73"/>
      <c r="O66" s="21"/>
      <c r="P66" s="21"/>
      <c r="Q66" s="21"/>
      <c r="R66" s="21"/>
      <c r="S66" s="73"/>
    </row>
    <row r="67" spans="1:19" x14ac:dyDescent="0.35">
      <c r="A67" s="22"/>
      <c r="B67" s="22"/>
      <c r="C67" s="19"/>
      <c r="D67" s="20"/>
      <c r="E67" s="20" t="s">
        <v>43</v>
      </c>
      <c r="F67" s="76">
        <v>12</v>
      </c>
      <c r="G67" s="20" t="s">
        <v>10</v>
      </c>
      <c r="H67" s="20"/>
      <c r="J67" s="73"/>
      <c r="K67" s="20"/>
      <c r="L67" s="20"/>
      <c r="M67" s="20"/>
      <c r="N67" s="73"/>
      <c r="O67" s="20"/>
      <c r="P67" s="20"/>
      <c r="Q67" s="20"/>
      <c r="R67" s="20"/>
      <c r="S67" s="73"/>
    </row>
    <row r="68" spans="1:19" x14ac:dyDescent="0.35">
      <c r="A68" s="22"/>
      <c r="B68" s="22"/>
      <c r="C68" s="19"/>
      <c r="D68" s="20"/>
      <c r="E68" s="20" t="s">
        <v>182</v>
      </c>
      <c r="F68" s="76">
        <v>365</v>
      </c>
      <c r="G68" s="20" t="s">
        <v>168</v>
      </c>
      <c r="H68" s="20"/>
      <c r="J68" s="73"/>
      <c r="K68" s="20"/>
      <c r="L68" s="20"/>
      <c r="M68" s="20"/>
      <c r="N68" s="73"/>
      <c r="O68" s="20"/>
      <c r="P68" s="20"/>
      <c r="Q68" s="20"/>
      <c r="R68" s="20"/>
      <c r="S68" s="73"/>
    </row>
    <row r="69" spans="1:19" x14ac:dyDescent="0.35">
      <c r="E69" s="7" t="s">
        <v>86</v>
      </c>
      <c r="F69" s="104">
        <v>4</v>
      </c>
      <c r="G69" s="7" t="s">
        <v>74</v>
      </c>
    </row>
    <row r="70" spans="1:19" x14ac:dyDescent="0.35">
      <c r="E70" s="7" t="s">
        <v>76</v>
      </c>
      <c r="F70" s="258" t="s">
        <v>89</v>
      </c>
      <c r="G70" s="7" t="s">
        <v>77</v>
      </c>
      <c r="I70" s="212"/>
    </row>
    <row r="71" spans="1:19" x14ac:dyDescent="0.35">
      <c r="E71" s="63" t="s">
        <v>90</v>
      </c>
      <c r="F71" s="257">
        <v>100</v>
      </c>
      <c r="G71" s="63" t="s">
        <v>90</v>
      </c>
      <c r="H71" s="63"/>
    </row>
    <row r="72" spans="1:19" x14ac:dyDescent="0.35">
      <c r="A72" s="341"/>
      <c r="B72" s="341"/>
      <c r="C72" s="342"/>
      <c r="D72" s="343"/>
      <c r="E72" s="63" t="s">
        <v>163</v>
      </c>
      <c r="F72" s="257">
        <v>1000000</v>
      </c>
      <c r="G72" s="63" t="s">
        <v>162</v>
      </c>
      <c r="H72" s="63"/>
      <c r="I72" s="208" t="str" cm="1">
        <f t="array" ref="I72" xml:space="preserve"> IF( INDEX(J72:S72, I$5) = "", IF( INDEX(J72:S72, I$6) = F72, "vw", "tu"), IF(INDEX(J72:S72, I$5) = F72, "vw", "tu"))</f>
        <v>tu</v>
      </c>
      <c r="J72" s="155"/>
      <c r="N72" s="88"/>
    </row>
    <row r="73" spans="1:19" x14ac:dyDescent="0.35">
      <c r="E73" s="63" t="s">
        <v>138</v>
      </c>
      <c r="F73" s="257">
        <v>1000</v>
      </c>
      <c r="G73" s="63" t="s">
        <v>88</v>
      </c>
      <c r="H73" s="63"/>
    </row>
    <row r="75" spans="1:19" x14ac:dyDescent="0.35">
      <c r="B75" s="1" t="s">
        <v>27</v>
      </c>
    </row>
    <row r="76" spans="1:19" x14ac:dyDescent="0.35">
      <c r="A76" s="8"/>
      <c r="B76" s="8"/>
      <c r="C76" s="13"/>
      <c r="D76" s="33"/>
      <c r="E76" s="6" t="s">
        <v>30</v>
      </c>
      <c r="F76" s="104" t="s">
        <v>31</v>
      </c>
      <c r="G76" s="6" t="s">
        <v>26</v>
      </c>
      <c r="H76" s="6"/>
      <c r="J76" s="72"/>
      <c r="K76" s="32"/>
      <c r="L76" s="32"/>
      <c r="M76" s="32"/>
      <c r="N76" s="72"/>
      <c r="O76" s="32"/>
      <c r="P76" s="32"/>
      <c r="Q76" s="32"/>
      <c r="R76" s="32"/>
      <c r="S76" s="72"/>
    </row>
    <row r="77" spans="1:19" x14ac:dyDescent="0.35">
      <c r="A77" s="8"/>
      <c r="B77" s="8"/>
      <c r="C77" s="13"/>
      <c r="D77" s="33"/>
      <c r="E77" s="6" t="s">
        <v>46</v>
      </c>
      <c r="F77" s="104" t="s">
        <v>47</v>
      </c>
      <c r="G77" s="6" t="s">
        <v>26</v>
      </c>
      <c r="H77" s="6"/>
      <c r="J77" s="72"/>
      <c r="K77" s="32"/>
      <c r="L77" s="32"/>
      <c r="M77" s="32"/>
      <c r="N77" s="72"/>
      <c r="O77" s="32"/>
      <c r="P77" s="32"/>
      <c r="Q77" s="32"/>
      <c r="R77" s="32"/>
      <c r="S77" s="72"/>
    </row>
    <row r="78" spans="1:19" x14ac:dyDescent="0.35">
      <c r="A78" s="8"/>
      <c r="B78" s="8"/>
      <c r="C78" s="13"/>
      <c r="D78" s="33"/>
      <c r="E78" s="6" t="s">
        <v>48</v>
      </c>
      <c r="F78" s="104" t="s">
        <v>48</v>
      </c>
      <c r="G78" s="6" t="s">
        <v>26</v>
      </c>
      <c r="H78" s="6"/>
      <c r="I78" s="212"/>
      <c r="J78" s="72"/>
      <c r="K78" s="32"/>
      <c r="L78" s="32"/>
      <c r="M78" s="32"/>
      <c r="N78" s="72"/>
      <c r="O78" s="32"/>
      <c r="P78" s="32"/>
      <c r="Q78" s="32"/>
      <c r="R78" s="32"/>
      <c r="S78" s="72"/>
    </row>
    <row r="79" spans="1:19" x14ac:dyDescent="0.35">
      <c r="A79" s="8"/>
      <c r="B79" s="8"/>
      <c r="C79" s="13"/>
      <c r="D79" s="33"/>
      <c r="E79" s="6" t="s">
        <v>49</v>
      </c>
      <c r="F79" s="104" t="s">
        <v>49</v>
      </c>
      <c r="G79" s="6" t="s">
        <v>26</v>
      </c>
      <c r="H79" s="6"/>
      <c r="I79" s="212"/>
      <c r="J79" s="72"/>
      <c r="K79" s="32"/>
      <c r="L79" s="32"/>
      <c r="M79" s="32"/>
      <c r="N79" s="72"/>
      <c r="O79" s="32"/>
      <c r="P79" s="32"/>
      <c r="Q79" s="32"/>
      <c r="R79" s="32"/>
      <c r="S79" s="72"/>
    </row>
    <row r="80" spans="1:19" x14ac:dyDescent="0.35">
      <c r="A80" s="8"/>
      <c r="B80" s="8"/>
      <c r="C80" s="13"/>
      <c r="D80" s="33"/>
      <c r="E80" s="6"/>
      <c r="F80" s="26"/>
      <c r="G80" s="6"/>
      <c r="H80" s="6"/>
      <c r="I80" s="212"/>
      <c r="J80" s="72"/>
      <c r="K80" s="32"/>
      <c r="L80" s="32"/>
      <c r="M80" s="32"/>
      <c r="N80" s="72"/>
      <c r="O80" s="32"/>
      <c r="P80" s="32"/>
      <c r="Q80" s="32"/>
      <c r="R80" s="32"/>
      <c r="S80" s="72"/>
    </row>
    <row r="81" spans="1:19" x14ac:dyDescent="0.35">
      <c r="E81" s="62" t="s">
        <v>95</v>
      </c>
      <c r="F81" s="191">
        <f xml:space="preserve"> IF( INDEX(J81:S81, $I$4) = "", INDEX(J81:R81, $I$6), INDEX(J81:S81, $I$4))</f>
        <v>0</v>
      </c>
      <c r="G81" s="62" t="s">
        <v>96</v>
      </c>
      <c r="H81" s="62"/>
      <c r="I81" s="208" t="str" cm="1">
        <f t="array" ref="I81" xml:space="preserve"> IF( INDEX(J81:S81, I$5) = "", IF( INDEX(J81:S81, I$6) = F81, "vw", "tu"), IF(INDEX(J81:S81, I$5) = F81, "vw", "tu"))</f>
        <v>vw</v>
      </c>
      <c r="J81" s="192"/>
      <c r="K81" s="175"/>
      <c r="L81" s="175"/>
      <c r="M81" s="175"/>
      <c r="N81" s="193"/>
      <c r="O81" s="194"/>
      <c r="P81" s="194"/>
      <c r="Q81" s="194"/>
      <c r="R81" s="194"/>
      <c r="S81" s="193"/>
    </row>
    <row r="82" spans="1:19" x14ac:dyDescent="0.35">
      <c r="A82" s="8"/>
      <c r="B82" s="8"/>
      <c r="C82" s="13"/>
      <c r="D82" s="33"/>
      <c r="E82" s="6"/>
      <c r="F82" s="26"/>
      <c r="G82" s="6"/>
      <c r="H82" s="6"/>
      <c r="I82" s="208"/>
      <c r="J82" s="72"/>
      <c r="K82" s="32"/>
      <c r="L82" s="32"/>
      <c r="M82" s="32"/>
      <c r="N82" s="72"/>
      <c r="O82" s="32"/>
      <c r="P82" s="32"/>
      <c r="Q82" s="32"/>
      <c r="R82" s="32"/>
      <c r="S82" s="72"/>
    </row>
    <row r="83" spans="1:19" x14ac:dyDescent="0.35">
      <c r="I83" s="208"/>
    </row>
    <row r="84" spans="1:19" x14ac:dyDescent="0.35">
      <c r="A84" s="1" t="s">
        <v>62</v>
      </c>
      <c r="I84" s="208"/>
    </row>
    <row r="85" spans="1:19" x14ac:dyDescent="0.35">
      <c r="I85" s="208"/>
    </row>
  </sheetData>
  <phoneticPr fontId="4" type="noConversion"/>
  <conditionalFormatting sqref="I13:I16">
    <cfRule type="cellIs" dxfId="48" priority="93" operator="equal">
      <formula>"tu"</formula>
    </cfRule>
  </conditionalFormatting>
  <conditionalFormatting sqref="I18">
    <cfRule type="cellIs" dxfId="47" priority="116" operator="equal">
      <formula>"tu"</formula>
    </cfRule>
  </conditionalFormatting>
  <conditionalFormatting sqref="I20:I21">
    <cfRule type="cellIs" dxfId="46" priority="207" operator="equal">
      <formula>"tu"</formula>
    </cfRule>
  </conditionalFormatting>
  <conditionalFormatting sqref="I26:I37">
    <cfRule type="cellIs" dxfId="45" priority="45" operator="equal">
      <formula>"tu"</formula>
    </cfRule>
  </conditionalFormatting>
  <conditionalFormatting sqref="I40:I42">
    <cfRule type="cellIs" dxfId="44" priority="35" operator="equal">
      <formula>"tu"</formula>
    </cfRule>
  </conditionalFormatting>
  <conditionalFormatting sqref="I44">
    <cfRule type="cellIs" dxfId="43" priority="30" operator="equal">
      <formula>"tu"</formula>
    </cfRule>
  </conditionalFormatting>
  <conditionalFormatting sqref="I47">
    <cfRule type="cellIs" dxfId="42" priority="18" operator="equal">
      <formula>"tu"</formula>
    </cfRule>
  </conditionalFormatting>
  <conditionalFormatting sqref="I50:I51">
    <cfRule type="cellIs" dxfId="41" priority="70" operator="equal">
      <formula>"tu"</formula>
    </cfRule>
  </conditionalFormatting>
  <conditionalFormatting sqref="I53:I58">
    <cfRule type="cellIs" dxfId="40" priority="13" operator="equal">
      <formula>"tu"</formula>
    </cfRule>
  </conditionalFormatting>
  <conditionalFormatting sqref="I72">
    <cfRule type="cellIs" dxfId="39" priority="25" operator="equal">
      <formula>"tu"</formula>
    </cfRule>
  </conditionalFormatting>
  <conditionalFormatting sqref="I73:I75">
    <cfRule type="cellIs" dxfId="38" priority="208" operator="equal">
      <formula>1</formula>
    </cfRule>
  </conditionalFormatting>
  <conditionalFormatting sqref="I81:I85">
    <cfRule type="cellIs" dxfId="37" priority="122" operator="equal">
      <formula>"tu"</formula>
    </cfRule>
  </conditionalFormatting>
  <conditionalFormatting sqref="O13:R16">
    <cfRule type="cellIs" dxfId="36" priority="202" operator="equal">
      <formula>""</formula>
    </cfRule>
  </conditionalFormatting>
  <conditionalFormatting sqref="O18:R18 O69:R69">
    <cfRule type="cellIs" dxfId="35" priority="413" operator="equal">
      <formula>""</formula>
    </cfRule>
  </conditionalFormatting>
  <conditionalFormatting sqref="O20:R58">
    <cfRule type="cellIs" dxfId="34" priority="1" operator="equal">
      <formula>""</formula>
    </cfRule>
  </conditionalFormatting>
  <conditionalFormatting sqref="O71:R73">
    <cfRule type="cellIs" dxfId="33" priority="23" operator="equal">
      <formula>""</formula>
    </cfRule>
  </conditionalFormatting>
  <conditionalFormatting sqref="O81:R81">
    <cfRule type="cellIs" dxfId="32" priority="126" operator="equal">
      <formula>""</formula>
    </cfRule>
  </conditionalFormatting>
  <dataValidations count="1">
    <dataValidation allowBlank="1" showInputMessage="1" showErrorMessage="1" sqref="E40:H42 E26:E36 F26:H37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28"/>
  <sheetViews>
    <sheetView showGridLines="0" defaultGridColor="0" colorId="22" zoomScaleNormal="100" workbookViewId="0">
      <pane xSplit="9" ySplit="5" topLeftCell="J111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31" width="11.796875" hidden="1" customWidth="1"/>
    <col min="132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>
        <v>0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7" spans="1:82" collapsed="1" x14ac:dyDescent="0.35">
      <c r="A7" s="138" t="s">
        <v>3</v>
      </c>
      <c r="B7" s="138"/>
      <c r="C7" s="139"/>
      <c r="D7" s="140"/>
      <c r="E7" s="259"/>
      <c r="F7" s="259"/>
      <c r="G7" s="260"/>
      <c r="H7" s="259"/>
      <c r="I7" s="261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</row>
    <row r="8" spans="1:82" hidden="1" outlineLevel="1" x14ac:dyDescent="0.35">
      <c r="A8" s="138"/>
      <c r="B8" s="138"/>
      <c r="C8" s="139"/>
      <c r="D8" s="140"/>
      <c r="E8" s="259"/>
      <c r="F8" s="259"/>
      <c r="G8" s="260"/>
      <c r="H8" s="259"/>
      <c r="I8" s="261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</row>
    <row r="9" spans="1:82" hidden="1" outlineLevel="1" x14ac:dyDescent="0.35">
      <c r="A9" s="138"/>
      <c r="B9" s="138" t="s">
        <v>67</v>
      </c>
      <c r="C9" s="139"/>
      <c r="D9" s="140"/>
      <c r="E9" s="259"/>
      <c r="F9" s="259"/>
      <c r="G9" s="260"/>
      <c r="H9" s="259"/>
      <c r="I9" s="261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</row>
    <row r="10" spans="1:82" hidden="1" outlineLevel="2" x14ac:dyDescent="0.35">
      <c r="A10" s="235"/>
      <c r="B10" s="236"/>
      <c r="C10" s="237"/>
      <c r="D10" s="238"/>
      <c r="E10" s="239" t="s">
        <v>0</v>
      </c>
      <c r="F10" s="239"/>
      <c r="G10" s="239" t="s">
        <v>14</v>
      </c>
      <c r="H10" s="239"/>
      <c r="I10" s="240"/>
      <c r="J10" s="239">
        <f t="shared" ref="J10:BU10" si="0" xml:space="preserve"> I10 + 1</f>
        <v>1</v>
      </c>
      <c r="K10" s="239">
        <f t="shared" si="0"/>
        <v>2</v>
      </c>
      <c r="L10" s="239">
        <f t="shared" si="0"/>
        <v>3</v>
      </c>
      <c r="M10" s="239">
        <f t="shared" si="0"/>
        <v>4</v>
      </c>
      <c r="N10" s="239">
        <f t="shared" si="0"/>
        <v>5</v>
      </c>
      <c r="O10" s="239">
        <f t="shared" si="0"/>
        <v>6</v>
      </c>
      <c r="P10" s="239">
        <f t="shared" si="0"/>
        <v>7</v>
      </c>
      <c r="Q10" s="239">
        <f t="shared" si="0"/>
        <v>8</v>
      </c>
      <c r="R10" s="239">
        <f t="shared" si="0"/>
        <v>9</v>
      </c>
      <c r="S10" s="239">
        <f t="shared" si="0"/>
        <v>10</v>
      </c>
      <c r="T10" s="239">
        <f t="shared" si="0"/>
        <v>11</v>
      </c>
      <c r="U10" s="239">
        <f t="shared" si="0"/>
        <v>12</v>
      </c>
      <c r="V10" s="239">
        <f t="shared" si="0"/>
        <v>13</v>
      </c>
      <c r="W10" s="239">
        <f t="shared" si="0"/>
        <v>14</v>
      </c>
      <c r="X10" s="239">
        <f t="shared" si="0"/>
        <v>15</v>
      </c>
      <c r="Y10" s="239">
        <f t="shared" si="0"/>
        <v>16</v>
      </c>
      <c r="Z10" s="239">
        <f t="shared" si="0"/>
        <v>17</v>
      </c>
      <c r="AA10" s="239">
        <f t="shared" si="0"/>
        <v>18</v>
      </c>
      <c r="AB10" s="239">
        <f t="shared" si="0"/>
        <v>19</v>
      </c>
      <c r="AC10" s="239">
        <f t="shared" si="0"/>
        <v>20</v>
      </c>
      <c r="AD10" s="239">
        <f t="shared" si="0"/>
        <v>21</v>
      </c>
      <c r="AE10" s="239">
        <f t="shared" si="0"/>
        <v>22</v>
      </c>
      <c r="AF10" s="239">
        <f t="shared" si="0"/>
        <v>23</v>
      </c>
      <c r="AG10" s="239">
        <f t="shared" si="0"/>
        <v>24</v>
      </c>
      <c r="AH10" s="239">
        <f t="shared" si="0"/>
        <v>25</v>
      </c>
      <c r="AI10" s="239">
        <f t="shared" si="0"/>
        <v>26</v>
      </c>
      <c r="AJ10" s="239">
        <f t="shared" si="0"/>
        <v>27</v>
      </c>
      <c r="AK10" s="239">
        <f t="shared" si="0"/>
        <v>28</v>
      </c>
      <c r="AL10" s="239">
        <f t="shared" si="0"/>
        <v>29</v>
      </c>
      <c r="AM10" s="239">
        <f t="shared" si="0"/>
        <v>30</v>
      </c>
      <c r="AN10" s="239">
        <f t="shared" si="0"/>
        <v>31</v>
      </c>
      <c r="AO10" s="239">
        <f t="shared" si="0"/>
        <v>32</v>
      </c>
      <c r="AP10" s="239">
        <f t="shared" si="0"/>
        <v>33</v>
      </c>
      <c r="AQ10" s="239">
        <f t="shared" si="0"/>
        <v>34</v>
      </c>
      <c r="AR10" s="239">
        <f t="shared" si="0"/>
        <v>35</v>
      </c>
      <c r="AS10" s="239">
        <f t="shared" si="0"/>
        <v>36</v>
      </c>
      <c r="AT10" s="239">
        <f t="shared" si="0"/>
        <v>37</v>
      </c>
      <c r="AU10" s="239">
        <f t="shared" si="0"/>
        <v>38</v>
      </c>
      <c r="AV10" s="239">
        <f t="shared" si="0"/>
        <v>39</v>
      </c>
      <c r="AW10" s="239">
        <f t="shared" si="0"/>
        <v>40</v>
      </c>
      <c r="AX10" s="239">
        <f t="shared" si="0"/>
        <v>41</v>
      </c>
      <c r="AY10" s="239">
        <f t="shared" si="0"/>
        <v>42</v>
      </c>
      <c r="AZ10" s="239">
        <f t="shared" si="0"/>
        <v>43</v>
      </c>
      <c r="BA10" s="239">
        <f t="shared" si="0"/>
        <v>44</v>
      </c>
      <c r="BB10" s="239">
        <f t="shared" si="0"/>
        <v>45</v>
      </c>
      <c r="BC10" s="239">
        <f t="shared" si="0"/>
        <v>46</v>
      </c>
      <c r="BD10" s="239">
        <f t="shared" si="0"/>
        <v>47</v>
      </c>
      <c r="BE10" s="239">
        <f t="shared" si="0"/>
        <v>48</v>
      </c>
      <c r="BF10" s="239">
        <f t="shared" si="0"/>
        <v>49</v>
      </c>
      <c r="BG10" s="239">
        <f t="shared" si="0"/>
        <v>50</v>
      </c>
      <c r="BH10" s="239">
        <f t="shared" si="0"/>
        <v>51</v>
      </c>
      <c r="BI10" s="239">
        <f t="shared" si="0"/>
        <v>52</v>
      </c>
      <c r="BJ10" s="239">
        <f t="shared" si="0"/>
        <v>53</v>
      </c>
      <c r="BK10" s="239">
        <f t="shared" si="0"/>
        <v>54</v>
      </c>
      <c r="BL10" s="239">
        <f t="shared" si="0"/>
        <v>55</v>
      </c>
      <c r="BM10" s="239">
        <f t="shared" si="0"/>
        <v>56</v>
      </c>
      <c r="BN10" s="239">
        <f t="shared" si="0"/>
        <v>57</v>
      </c>
      <c r="BO10" s="239">
        <f t="shared" si="0"/>
        <v>58</v>
      </c>
      <c r="BP10" s="239">
        <f t="shared" si="0"/>
        <v>59</v>
      </c>
      <c r="BQ10" s="239">
        <f t="shared" si="0"/>
        <v>60</v>
      </c>
      <c r="BR10" s="239">
        <f t="shared" si="0"/>
        <v>61</v>
      </c>
      <c r="BS10" s="239">
        <f t="shared" si="0"/>
        <v>62</v>
      </c>
      <c r="BT10" s="239">
        <f t="shared" si="0"/>
        <v>63</v>
      </c>
      <c r="BU10" s="239">
        <f t="shared" si="0"/>
        <v>64</v>
      </c>
      <c r="BV10" s="239">
        <f t="shared" ref="BV10:CD10" si="1" xml:space="preserve"> BU10 + 1</f>
        <v>65</v>
      </c>
      <c r="BW10" s="239">
        <f t="shared" si="1"/>
        <v>66</v>
      </c>
      <c r="BX10" s="239">
        <f t="shared" si="1"/>
        <v>67</v>
      </c>
      <c r="BY10" s="239">
        <f t="shared" si="1"/>
        <v>68</v>
      </c>
      <c r="BZ10" s="239">
        <f t="shared" si="1"/>
        <v>69</v>
      </c>
      <c r="CA10" s="239">
        <f t="shared" si="1"/>
        <v>70</v>
      </c>
      <c r="CB10" s="239">
        <f t="shared" si="1"/>
        <v>71</v>
      </c>
      <c r="CC10" s="239">
        <f t="shared" si="1"/>
        <v>72</v>
      </c>
      <c r="CD10" s="239">
        <f t="shared" si="1"/>
        <v>73</v>
      </c>
    </row>
    <row r="11" spans="1:82" hidden="1" outlineLevel="2" x14ac:dyDescent="0.35">
      <c r="A11" s="263"/>
      <c r="B11" s="264"/>
      <c r="C11" s="265"/>
      <c r="D11" s="266"/>
      <c r="E11" s="267" t="s">
        <v>22</v>
      </c>
      <c r="F11" s="268">
        <f xml:space="preserve"> MAX(J10:EA10)</f>
        <v>73</v>
      </c>
      <c r="G11" s="267" t="s">
        <v>21</v>
      </c>
      <c r="H11" s="267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</row>
    <row r="12" spans="1:82" hidden="1" outlineLevel="2" x14ac:dyDescent="0.35">
      <c r="A12" s="138"/>
      <c r="B12" s="138"/>
      <c r="C12" s="139"/>
      <c r="D12" s="170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</row>
    <row r="13" spans="1:82" hidden="1" outlineLevel="2" x14ac:dyDescent="0.35">
      <c r="A13" s="263"/>
      <c r="B13" s="264"/>
      <c r="C13" s="265"/>
      <c r="D13" s="266"/>
      <c r="E13" s="268" t="str">
        <f t="shared" ref="E13:BP13" si="2" xml:space="preserve"> E$10</f>
        <v>Model column counter</v>
      </c>
      <c r="F13" s="268">
        <f t="shared" si="2"/>
        <v>0</v>
      </c>
      <c r="G13" s="268" t="str">
        <f t="shared" si="2"/>
        <v>counter</v>
      </c>
      <c r="H13" s="268">
        <f t="shared" si="2"/>
        <v>0</v>
      </c>
      <c r="I13" s="268">
        <f t="shared" si="2"/>
        <v>0</v>
      </c>
      <c r="J13" s="268">
        <f t="shared" si="2"/>
        <v>1</v>
      </c>
      <c r="K13" s="268">
        <f t="shared" si="2"/>
        <v>2</v>
      </c>
      <c r="L13" s="268">
        <f t="shared" si="2"/>
        <v>3</v>
      </c>
      <c r="M13" s="268">
        <f t="shared" si="2"/>
        <v>4</v>
      </c>
      <c r="N13" s="268">
        <f t="shared" si="2"/>
        <v>5</v>
      </c>
      <c r="O13" s="268">
        <f t="shared" si="2"/>
        <v>6</v>
      </c>
      <c r="P13" s="268">
        <f t="shared" si="2"/>
        <v>7</v>
      </c>
      <c r="Q13" s="268">
        <f t="shared" si="2"/>
        <v>8</v>
      </c>
      <c r="R13" s="268">
        <f t="shared" si="2"/>
        <v>9</v>
      </c>
      <c r="S13" s="268">
        <f t="shared" si="2"/>
        <v>10</v>
      </c>
      <c r="T13" s="268">
        <f t="shared" si="2"/>
        <v>11</v>
      </c>
      <c r="U13" s="268">
        <f t="shared" si="2"/>
        <v>12</v>
      </c>
      <c r="V13" s="268">
        <f t="shared" si="2"/>
        <v>13</v>
      </c>
      <c r="W13" s="268">
        <f t="shared" si="2"/>
        <v>14</v>
      </c>
      <c r="X13" s="268">
        <f t="shared" si="2"/>
        <v>15</v>
      </c>
      <c r="Y13" s="268">
        <f t="shared" si="2"/>
        <v>16</v>
      </c>
      <c r="Z13" s="268">
        <f t="shared" si="2"/>
        <v>17</v>
      </c>
      <c r="AA13" s="268">
        <f t="shared" si="2"/>
        <v>18</v>
      </c>
      <c r="AB13" s="268">
        <f t="shared" si="2"/>
        <v>19</v>
      </c>
      <c r="AC13" s="268">
        <f t="shared" si="2"/>
        <v>20</v>
      </c>
      <c r="AD13" s="268">
        <f t="shared" si="2"/>
        <v>21</v>
      </c>
      <c r="AE13" s="268">
        <f t="shared" si="2"/>
        <v>22</v>
      </c>
      <c r="AF13" s="268">
        <f t="shared" si="2"/>
        <v>23</v>
      </c>
      <c r="AG13" s="268">
        <f t="shared" si="2"/>
        <v>24</v>
      </c>
      <c r="AH13" s="268">
        <f t="shared" si="2"/>
        <v>25</v>
      </c>
      <c r="AI13" s="268">
        <f t="shared" si="2"/>
        <v>26</v>
      </c>
      <c r="AJ13" s="268">
        <f t="shared" si="2"/>
        <v>27</v>
      </c>
      <c r="AK13" s="268">
        <f t="shared" si="2"/>
        <v>28</v>
      </c>
      <c r="AL13" s="268">
        <f t="shared" si="2"/>
        <v>29</v>
      </c>
      <c r="AM13" s="268">
        <f t="shared" si="2"/>
        <v>30</v>
      </c>
      <c r="AN13" s="268">
        <f t="shared" si="2"/>
        <v>31</v>
      </c>
      <c r="AO13" s="268">
        <f t="shared" si="2"/>
        <v>32</v>
      </c>
      <c r="AP13" s="268">
        <f t="shared" si="2"/>
        <v>33</v>
      </c>
      <c r="AQ13" s="268">
        <f t="shared" si="2"/>
        <v>34</v>
      </c>
      <c r="AR13" s="268">
        <f t="shared" si="2"/>
        <v>35</v>
      </c>
      <c r="AS13" s="268">
        <f t="shared" si="2"/>
        <v>36</v>
      </c>
      <c r="AT13" s="268">
        <f t="shared" si="2"/>
        <v>37</v>
      </c>
      <c r="AU13" s="268">
        <f t="shared" si="2"/>
        <v>38</v>
      </c>
      <c r="AV13" s="268">
        <f t="shared" si="2"/>
        <v>39</v>
      </c>
      <c r="AW13" s="268">
        <f t="shared" si="2"/>
        <v>40</v>
      </c>
      <c r="AX13" s="268">
        <f t="shared" si="2"/>
        <v>41</v>
      </c>
      <c r="AY13" s="268">
        <f t="shared" si="2"/>
        <v>42</v>
      </c>
      <c r="AZ13" s="268">
        <f t="shared" si="2"/>
        <v>43</v>
      </c>
      <c r="BA13" s="268">
        <f t="shared" si="2"/>
        <v>44</v>
      </c>
      <c r="BB13" s="268">
        <f t="shared" si="2"/>
        <v>45</v>
      </c>
      <c r="BC13" s="268">
        <f t="shared" si="2"/>
        <v>46</v>
      </c>
      <c r="BD13" s="268">
        <f t="shared" si="2"/>
        <v>47</v>
      </c>
      <c r="BE13" s="268">
        <f t="shared" si="2"/>
        <v>48</v>
      </c>
      <c r="BF13" s="268">
        <f t="shared" si="2"/>
        <v>49</v>
      </c>
      <c r="BG13" s="268">
        <f t="shared" si="2"/>
        <v>50</v>
      </c>
      <c r="BH13" s="268">
        <f t="shared" si="2"/>
        <v>51</v>
      </c>
      <c r="BI13" s="268">
        <f t="shared" si="2"/>
        <v>52</v>
      </c>
      <c r="BJ13" s="268">
        <f t="shared" si="2"/>
        <v>53</v>
      </c>
      <c r="BK13" s="268">
        <f t="shared" si="2"/>
        <v>54</v>
      </c>
      <c r="BL13" s="268">
        <f t="shared" si="2"/>
        <v>55</v>
      </c>
      <c r="BM13" s="268">
        <f t="shared" si="2"/>
        <v>56</v>
      </c>
      <c r="BN13" s="268">
        <f t="shared" si="2"/>
        <v>57</v>
      </c>
      <c r="BO13" s="268">
        <f t="shared" si="2"/>
        <v>58</v>
      </c>
      <c r="BP13" s="268">
        <f t="shared" si="2"/>
        <v>59</v>
      </c>
      <c r="BQ13" s="268">
        <f t="shared" ref="BQ13:CD13" si="3" xml:space="preserve"> BQ$10</f>
        <v>60</v>
      </c>
      <c r="BR13" s="268">
        <f t="shared" si="3"/>
        <v>61</v>
      </c>
      <c r="BS13" s="268">
        <f t="shared" si="3"/>
        <v>62</v>
      </c>
      <c r="BT13" s="268">
        <f t="shared" si="3"/>
        <v>63</v>
      </c>
      <c r="BU13" s="268">
        <f t="shared" si="3"/>
        <v>64</v>
      </c>
      <c r="BV13" s="268">
        <f t="shared" si="3"/>
        <v>65</v>
      </c>
      <c r="BW13" s="268">
        <f t="shared" si="3"/>
        <v>66</v>
      </c>
      <c r="BX13" s="268">
        <f t="shared" si="3"/>
        <v>67</v>
      </c>
      <c r="BY13" s="268">
        <f t="shared" si="3"/>
        <v>68</v>
      </c>
      <c r="BZ13" s="268">
        <f t="shared" si="3"/>
        <v>69</v>
      </c>
      <c r="CA13" s="268">
        <f t="shared" si="3"/>
        <v>70</v>
      </c>
      <c r="CB13" s="268">
        <f t="shared" si="3"/>
        <v>71</v>
      </c>
      <c r="CC13" s="268">
        <f t="shared" si="3"/>
        <v>72</v>
      </c>
      <c r="CD13" s="268">
        <f t="shared" si="3"/>
        <v>73</v>
      </c>
    </row>
    <row r="14" spans="1:82" hidden="1" outlineLevel="2" x14ac:dyDescent="0.35">
      <c r="A14" s="138"/>
      <c r="B14" s="138"/>
      <c r="C14" s="139"/>
      <c r="D14" s="140"/>
      <c r="E14" s="136" t="s">
        <v>1</v>
      </c>
      <c r="F14" s="136"/>
      <c r="G14" s="136" t="s">
        <v>5</v>
      </c>
      <c r="H14" s="97">
        <f xml:space="preserve"> SUM(J14:EA14)</f>
        <v>1</v>
      </c>
      <c r="I14" s="137"/>
      <c r="J14" s="136">
        <f t="shared" ref="J14:BU14" si="4" xml:space="preserve"> IF(J13 = 1, 1, 0)</f>
        <v>1</v>
      </c>
      <c r="K14" s="136">
        <f t="shared" si="4"/>
        <v>0</v>
      </c>
      <c r="L14" s="136">
        <f t="shared" si="4"/>
        <v>0</v>
      </c>
      <c r="M14" s="136">
        <f t="shared" si="4"/>
        <v>0</v>
      </c>
      <c r="N14" s="136">
        <f t="shared" si="4"/>
        <v>0</v>
      </c>
      <c r="O14" s="136">
        <f t="shared" si="4"/>
        <v>0</v>
      </c>
      <c r="P14" s="136">
        <f t="shared" si="4"/>
        <v>0</v>
      </c>
      <c r="Q14" s="136">
        <f t="shared" si="4"/>
        <v>0</v>
      </c>
      <c r="R14" s="136">
        <f t="shared" si="4"/>
        <v>0</v>
      </c>
      <c r="S14" s="136">
        <f t="shared" si="4"/>
        <v>0</v>
      </c>
      <c r="T14" s="136">
        <f t="shared" si="4"/>
        <v>0</v>
      </c>
      <c r="U14" s="136">
        <f t="shared" si="4"/>
        <v>0</v>
      </c>
      <c r="V14" s="136">
        <f t="shared" si="4"/>
        <v>0</v>
      </c>
      <c r="W14" s="136">
        <f t="shared" si="4"/>
        <v>0</v>
      </c>
      <c r="X14" s="136">
        <f t="shared" si="4"/>
        <v>0</v>
      </c>
      <c r="Y14" s="136">
        <f t="shared" si="4"/>
        <v>0</v>
      </c>
      <c r="Z14" s="136">
        <f t="shared" si="4"/>
        <v>0</v>
      </c>
      <c r="AA14" s="136">
        <f t="shared" si="4"/>
        <v>0</v>
      </c>
      <c r="AB14" s="136">
        <f t="shared" si="4"/>
        <v>0</v>
      </c>
      <c r="AC14" s="136">
        <f t="shared" si="4"/>
        <v>0</v>
      </c>
      <c r="AD14" s="136">
        <f t="shared" si="4"/>
        <v>0</v>
      </c>
      <c r="AE14" s="136">
        <f t="shared" si="4"/>
        <v>0</v>
      </c>
      <c r="AF14" s="136">
        <f t="shared" si="4"/>
        <v>0</v>
      </c>
      <c r="AG14" s="136">
        <f t="shared" si="4"/>
        <v>0</v>
      </c>
      <c r="AH14" s="136">
        <f t="shared" si="4"/>
        <v>0</v>
      </c>
      <c r="AI14" s="136">
        <f t="shared" si="4"/>
        <v>0</v>
      </c>
      <c r="AJ14" s="136">
        <f t="shared" si="4"/>
        <v>0</v>
      </c>
      <c r="AK14" s="136">
        <f t="shared" si="4"/>
        <v>0</v>
      </c>
      <c r="AL14" s="136">
        <f t="shared" si="4"/>
        <v>0</v>
      </c>
      <c r="AM14" s="136">
        <f t="shared" si="4"/>
        <v>0</v>
      </c>
      <c r="AN14" s="136">
        <f t="shared" si="4"/>
        <v>0</v>
      </c>
      <c r="AO14" s="136">
        <f t="shared" si="4"/>
        <v>0</v>
      </c>
      <c r="AP14" s="136">
        <f t="shared" si="4"/>
        <v>0</v>
      </c>
      <c r="AQ14" s="136">
        <f t="shared" si="4"/>
        <v>0</v>
      </c>
      <c r="AR14" s="136">
        <f t="shared" si="4"/>
        <v>0</v>
      </c>
      <c r="AS14" s="136">
        <f t="shared" si="4"/>
        <v>0</v>
      </c>
      <c r="AT14" s="136">
        <f t="shared" si="4"/>
        <v>0</v>
      </c>
      <c r="AU14" s="136">
        <f t="shared" si="4"/>
        <v>0</v>
      </c>
      <c r="AV14" s="136">
        <f t="shared" si="4"/>
        <v>0</v>
      </c>
      <c r="AW14" s="136">
        <f t="shared" si="4"/>
        <v>0</v>
      </c>
      <c r="AX14" s="136">
        <f t="shared" si="4"/>
        <v>0</v>
      </c>
      <c r="AY14" s="136">
        <f t="shared" si="4"/>
        <v>0</v>
      </c>
      <c r="AZ14" s="136">
        <f t="shared" si="4"/>
        <v>0</v>
      </c>
      <c r="BA14" s="136">
        <f t="shared" si="4"/>
        <v>0</v>
      </c>
      <c r="BB14" s="136">
        <f t="shared" si="4"/>
        <v>0</v>
      </c>
      <c r="BC14" s="136">
        <f t="shared" si="4"/>
        <v>0</v>
      </c>
      <c r="BD14" s="136">
        <f t="shared" si="4"/>
        <v>0</v>
      </c>
      <c r="BE14" s="136">
        <f t="shared" si="4"/>
        <v>0</v>
      </c>
      <c r="BF14" s="136">
        <f t="shared" si="4"/>
        <v>0</v>
      </c>
      <c r="BG14" s="136">
        <f t="shared" si="4"/>
        <v>0</v>
      </c>
      <c r="BH14" s="136">
        <f t="shared" si="4"/>
        <v>0</v>
      </c>
      <c r="BI14" s="136">
        <f t="shared" si="4"/>
        <v>0</v>
      </c>
      <c r="BJ14" s="136">
        <f t="shared" si="4"/>
        <v>0</v>
      </c>
      <c r="BK14" s="136">
        <f t="shared" si="4"/>
        <v>0</v>
      </c>
      <c r="BL14" s="136">
        <f t="shared" si="4"/>
        <v>0</v>
      </c>
      <c r="BM14" s="136">
        <f t="shared" si="4"/>
        <v>0</v>
      </c>
      <c r="BN14" s="136">
        <f t="shared" si="4"/>
        <v>0</v>
      </c>
      <c r="BO14" s="136">
        <f t="shared" si="4"/>
        <v>0</v>
      </c>
      <c r="BP14" s="136">
        <f t="shared" si="4"/>
        <v>0</v>
      </c>
      <c r="BQ14" s="136">
        <f t="shared" si="4"/>
        <v>0</v>
      </c>
      <c r="BR14" s="136">
        <f t="shared" si="4"/>
        <v>0</v>
      </c>
      <c r="BS14" s="136">
        <f t="shared" si="4"/>
        <v>0</v>
      </c>
      <c r="BT14" s="136">
        <f t="shared" si="4"/>
        <v>0</v>
      </c>
      <c r="BU14" s="136">
        <f t="shared" si="4"/>
        <v>0</v>
      </c>
      <c r="BV14" s="136">
        <f t="shared" ref="BV14:CD14" si="5" xml:space="preserve"> IF(BV13 = 1, 1, 0)</f>
        <v>0</v>
      </c>
      <c r="BW14" s="136">
        <f t="shared" si="5"/>
        <v>0</v>
      </c>
      <c r="BX14" s="136">
        <f t="shared" si="5"/>
        <v>0</v>
      </c>
      <c r="BY14" s="136">
        <f t="shared" si="5"/>
        <v>0</v>
      </c>
      <c r="BZ14" s="136">
        <f t="shared" si="5"/>
        <v>0</v>
      </c>
      <c r="CA14" s="136">
        <f t="shared" si="5"/>
        <v>0</v>
      </c>
      <c r="CB14" s="136">
        <f t="shared" si="5"/>
        <v>0</v>
      </c>
      <c r="CC14" s="136">
        <f t="shared" si="5"/>
        <v>0</v>
      </c>
      <c r="CD14" s="136">
        <f t="shared" si="5"/>
        <v>0</v>
      </c>
    </row>
    <row r="15" spans="1:82" hidden="1" outlineLevel="1" x14ac:dyDescent="0.35">
      <c r="A15" s="138"/>
      <c r="B15" s="138"/>
      <c r="C15" s="139"/>
      <c r="D15" s="140"/>
      <c r="E15" s="136"/>
      <c r="F15" s="136"/>
      <c r="G15" s="136"/>
      <c r="H15" s="136"/>
      <c r="I15" s="137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  <c r="BX15" s="136"/>
      <c r="BY15" s="136"/>
      <c r="BZ15" s="136"/>
      <c r="CA15" s="136"/>
      <c r="CB15" s="136"/>
      <c r="CC15" s="136"/>
      <c r="CD15" s="136"/>
    </row>
    <row r="16" spans="1:82" hidden="1" outlineLevel="1" x14ac:dyDescent="0.35">
      <c r="A16" s="138"/>
      <c r="B16" s="138" t="s">
        <v>16</v>
      </c>
      <c r="C16" s="139"/>
      <c r="D16" s="140"/>
      <c r="E16" s="136"/>
      <c r="F16" s="136"/>
      <c r="G16" s="136"/>
      <c r="H16" s="136"/>
      <c r="I16" s="137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  <c r="BX16" s="136"/>
      <c r="BY16" s="136"/>
      <c r="BZ16" s="136"/>
      <c r="CA16" s="136"/>
      <c r="CB16" s="136"/>
      <c r="CC16" s="136"/>
      <c r="CD16" s="136"/>
    </row>
    <row r="17" spans="1:82" hidden="1" outlineLevel="2" x14ac:dyDescent="0.35">
      <c r="A17" s="241"/>
      <c r="B17" s="241"/>
      <c r="C17" s="242"/>
      <c r="D17" s="243"/>
      <c r="E17" s="190" t="str">
        <f xml:space="preserve"> InpC!E$13</f>
        <v>First date of time rulers</v>
      </c>
      <c r="F17" s="190">
        <f xml:space="preserve"> InpC!F$13</f>
        <v>44166</v>
      </c>
      <c r="G17" s="190" t="str">
        <f xml:space="preserve"> InpC!G$13</f>
        <v>date</v>
      </c>
      <c r="H17" s="190"/>
      <c r="I17" s="244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</row>
    <row r="18" spans="1:82" hidden="1" outlineLevel="2" x14ac:dyDescent="0.35">
      <c r="A18" s="48"/>
      <c r="B18" s="48"/>
      <c r="C18" s="49"/>
      <c r="D18" s="50"/>
      <c r="E18" s="95" t="str">
        <f xml:space="preserve"> InpC!E$16</f>
        <v>Length of operating period</v>
      </c>
      <c r="F18" s="95">
        <f xml:space="preserve"> InpC!F$16</f>
        <v>1</v>
      </c>
      <c r="G18" s="95" t="str">
        <f xml:space="preserve"> InpC!G$16</f>
        <v>months</v>
      </c>
      <c r="H18" s="93"/>
      <c r="I18" s="37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</row>
    <row r="19" spans="1:82" hidden="1" outlineLevel="2" x14ac:dyDescent="0.35">
      <c r="A19" s="138"/>
      <c r="B19" s="264"/>
      <c r="C19" s="139"/>
      <c r="D19" s="140"/>
      <c r="E19" s="136" t="str">
        <f t="shared" ref="E19:BP19" si="6" xml:space="preserve"> E$14</f>
        <v>First model column flag</v>
      </c>
      <c r="F19" s="136">
        <f t="shared" si="6"/>
        <v>0</v>
      </c>
      <c r="G19" s="136" t="str">
        <f t="shared" si="6"/>
        <v>flag</v>
      </c>
      <c r="H19" s="136">
        <f t="shared" si="6"/>
        <v>1</v>
      </c>
      <c r="I19" s="137">
        <f t="shared" si="6"/>
        <v>0</v>
      </c>
      <c r="J19" s="136">
        <f t="shared" si="6"/>
        <v>1</v>
      </c>
      <c r="K19" s="136">
        <f t="shared" si="6"/>
        <v>0</v>
      </c>
      <c r="L19" s="136">
        <f t="shared" si="6"/>
        <v>0</v>
      </c>
      <c r="M19" s="136">
        <f t="shared" si="6"/>
        <v>0</v>
      </c>
      <c r="N19" s="136">
        <f t="shared" si="6"/>
        <v>0</v>
      </c>
      <c r="O19" s="136">
        <f t="shared" si="6"/>
        <v>0</v>
      </c>
      <c r="P19" s="136">
        <f t="shared" si="6"/>
        <v>0</v>
      </c>
      <c r="Q19" s="136">
        <f t="shared" si="6"/>
        <v>0</v>
      </c>
      <c r="R19" s="136">
        <f t="shared" si="6"/>
        <v>0</v>
      </c>
      <c r="S19" s="136">
        <f t="shared" si="6"/>
        <v>0</v>
      </c>
      <c r="T19" s="136">
        <f t="shared" si="6"/>
        <v>0</v>
      </c>
      <c r="U19" s="136">
        <f t="shared" si="6"/>
        <v>0</v>
      </c>
      <c r="V19" s="136">
        <f t="shared" si="6"/>
        <v>0</v>
      </c>
      <c r="W19" s="136">
        <f t="shared" si="6"/>
        <v>0</v>
      </c>
      <c r="X19" s="136">
        <f t="shared" si="6"/>
        <v>0</v>
      </c>
      <c r="Y19" s="136">
        <f t="shared" si="6"/>
        <v>0</v>
      </c>
      <c r="Z19" s="136">
        <f t="shared" si="6"/>
        <v>0</v>
      </c>
      <c r="AA19" s="136">
        <f t="shared" si="6"/>
        <v>0</v>
      </c>
      <c r="AB19" s="136">
        <f t="shared" si="6"/>
        <v>0</v>
      </c>
      <c r="AC19" s="136">
        <f t="shared" si="6"/>
        <v>0</v>
      </c>
      <c r="AD19" s="136">
        <f t="shared" si="6"/>
        <v>0</v>
      </c>
      <c r="AE19" s="136">
        <f t="shared" si="6"/>
        <v>0</v>
      </c>
      <c r="AF19" s="136">
        <f t="shared" si="6"/>
        <v>0</v>
      </c>
      <c r="AG19" s="136">
        <f t="shared" si="6"/>
        <v>0</v>
      </c>
      <c r="AH19" s="136">
        <f t="shared" si="6"/>
        <v>0</v>
      </c>
      <c r="AI19" s="136">
        <f t="shared" si="6"/>
        <v>0</v>
      </c>
      <c r="AJ19" s="136">
        <f t="shared" si="6"/>
        <v>0</v>
      </c>
      <c r="AK19" s="136">
        <f t="shared" si="6"/>
        <v>0</v>
      </c>
      <c r="AL19" s="136">
        <f t="shared" si="6"/>
        <v>0</v>
      </c>
      <c r="AM19" s="136">
        <f t="shared" si="6"/>
        <v>0</v>
      </c>
      <c r="AN19" s="136">
        <f t="shared" si="6"/>
        <v>0</v>
      </c>
      <c r="AO19" s="136">
        <f t="shared" si="6"/>
        <v>0</v>
      </c>
      <c r="AP19" s="136">
        <f t="shared" si="6"/>
        <v>0</v>
      </c>
      <c r="AQ19" s="136">
        <f t="shared" si="6"/>
        <v>0</v>
      </c>
      <c r="AR19" s="136">
        <f t="shared" si="6"/>
        <v>0</v>
      </c>
      <c r="AS19" s="136">
        <f t="shared" si="6"/>
        <v>0</v>
      </c>
      <c r="AT19" s="136">
        <f t="shared" si="6"/>
        <v>0</v>
      </c>
      <c r="AU19" s="136">
        <f t="shared" si="6"/>
        <v>0</v>
      </c>
      <c r="AV19" s="136">
        <f t="shared" si="6"/>
        <v>0</v>
      </c>
      <c r="AW19" s="136">
        <f t="shared" si="6"/>
        <v>0</v>
      </c>
      <c r="AX19" s="136">
        <f t="shared" si="6"/>
        <v>0</v>
      </c>
      <c r="AY19" s="136">
        <f t="shared" si="6"/>
        <v>0</v>
      </c>
      <c r="AZ19" s="136">
        <f t="shared" si="6"/>
        <v>0</v>
      </c>
      <c r="BA19" s="136">
        <f t="shared" si="6"/>
        <v>0</v>
      </c>
      <c r="BB19" s="136">
        <f t="shared" si="6"/>
        <v>0</v>
      </c>
      <c r="BC19" s="136">
        <f t="shared" si="6"/>
        <v>0</v>
      </c>
      <c r="BD19" s="136">
        <f t="shared" si="6"/>
        <v>0</v>
      </c>
      <c r="BE19" s="136">
        <f t="shared" si="6"/>
        <v>0</v>
      </c>
      <c r="BF19" s="136">
        <f t="shared" si="6"/>
        <v>0</v>
      </c>
      <c r="BG19" s="136">
        <f t="shared" si="6"/>
        <v>0</v>
      </c>
      <c r="BH19" s="136">
        <f t="shared" si="6"/>
        <v>0</v>
      </c>
      <c r="BI19" s="136">
        <f t="shared" si="6"/>
        <v>0</v>
      </c>
      <c r="BJ19" s="136">
        <f t="shared" si="6"/>
        <v>0</v>
      </c>
      <c r="BK19" s="136">
        <f t="shared" si="6"/>
        <v>0</v>
      </c>
      <c r="BL19" s="136">
        <f t="shared" si="6"/>
        <v>0</v>
      </c>
      <c r="BM19" s="136">
        <f t="shared" si="6"/>
        <v>0</v>
      </c>
      <c r="BN19" s="136">
        <f t="shared" si="6"/>
        <v>0</v>
      </c>
      <c r="BO19" s="136">
        <f t="shared" si="6"/>
        <v>0</v>
      </c>
      <c r="BP19" s="136">
        <f t="shared" si="6"/>
        <v>0</v>
      </c>
      <c r="BQ19" s="136">
        <f t="shared" ref="BQ19:CD19" si="7" xml:space="preserve"> BQ$14</f>
        <v>0</v>
      </c>
      <c r="BR19" s="136">
        <f t="shared" si="7"/>
        <v>0</v>
      </c>
      <c r="BS19" s="136">
        <f t="shared" si="7"/>
        <v>0</v>
      </c>
      <c r="BT19" s="136">
        <f t="shared" si="7"/>
        <v>0</v>
      </c>
      <c r="BU19" s="136">
        <f t="shared" si="7"/>
        <v>0</v>
      </c>
      <c r="BV19" s="136">
        <f t="shared" si="7"/>
        <v>0</v>
      </c>
      <c r="BW19" s="136">
        <f t="shared" si="7"/>
        <v>0</v>
      </c>
      <c r="BX19" s="136">
        <f t="shared" si="7"/>
        <v>0</v>
      </c>
      <c r="BY19" s="136">
        <f t="shared" si="7"/>
        <v>0</v>
      </c>
      <c r="BZ19" s="136">
        <f t="shared" si="7"/>
        <v>0</v>
      </c>
      <c r="CA19" s="136">
        <f t="shared" si="7"/>
        <v>0</v>
      </c>
      <c r="CB19" s="136">
        <f t="shared" si="7"/>
        <v>0</v>
      </c>
      <c r="CC19" s="136">
        <f t="shared" si="7"/>
        <v>0</v>
      </c>
      <c r="CD19" s="136">
        <f t="shared" si="7"/>
        <v>0</v>
      </c>
    </row>
    <row r="20" spans="1:82" hidden="1" outlineLevel="2" x14ac:dyDescent="0.35">
      <c r="A20" s="177"/>
      <c r="B20" s="264"/>
      <c r="C20" s="178"/>
      <c r="D20" s="179"/>
      <c r="E20" s="180" t="s">
        <v>16</v>
      </c>
      <c r="F20" s="180"/>
      <c r="G20" s="180" t="s">
        <v>6</v>
      </c>
      <c r="H20" s="180"/>
      <c r="I20" s="270"/>
      <c r="J20" s="180">
        <f t="shared" ref="J20:BU20" si="8" xml:space="preserve"> IF(J19 = 1, $F17, DATE(YEAR(I20), MONTH(I20) + $F18, DAY(1)))</f>
        <v>44166</v>
      </c>
      <c r="K20" s="180">
        <f t="shared" si="8"/>
        <v>44197</v>
      </c>
      <c r="L20" s="180">
        <f t="shared" si="8"/>
        <v>44228</v>
      </c>
      <c r="M20" s="180">
        <f t="shared" si="8"/>
        <v>44256</v>
      </c>
      <c r="N20" s="180">
        <f t="shared" si="8"/>
        <v>44287</v>
      </c>
      <c r="O20" s="180">
        <f t="shared" si="8"/>
        <v>44317</v>
      </c>
      <c r="P20" s="180">
        <f t="shared" si="8"/>
        <v>44348</v>
      </c>
      <c r="Q20" s="180">
        <f t="shared" si="8"/>
        <v>44378</v>
      </c>
      <c r="R20" s="180">
        <f t="shared" si="8"/>
        <v>44409</v>
      </c>
      <c r="S20" s="180">
        <f t="shared" si="8"/>
        <v>44440</v>
      </c>
      <c r="T20" s="180">
        <f t="shared" si="8"/>
        <v>44470</v>
      </c>
      <c r="U20" s="180">
        <f t="shared" si="8"/>
        <v>44501</v>
      </c>
      <c r="V20" s="180">
        <f t="shared" si="8"/>
        <v>44531</v>
      </c>
      <c r="W20" s="180">
        <f t="shared" si="8"/>
        <v>44562</v>
      </c>
      <c r="X20" s="180">
        <f t="shared" si="8"/>
        <v>44593</v>
      </c>
      <c r="Y20" s="180">
        <f t="shared" si="8"/>
        <v>44621</v>
      </c>
      <c r="Z20" s="180">
        <f t="shared" si="8"/>
        <v>44652</v>
      </c>
      <c r="AA20" s="180">
        <f t="shared" si="8"/>
        <v>44682</v>
      </c>
      <c r="AB20" s="180">
        <f t="shared" si="8"/>
        <v>44713</v>
      </c>
      <c r="AC20" s="180">
        <f t="shared" si="8"/>
        <v>44743</v>
      </c>
      <c r="AD20" s="180">
        <f t="shared" si="8"/>
        <v>44774</v>
      </c>
      <c r="AE20" s="180">
        <f t="shared" si="8"/>
        <v>44805</v>
      </c>
      <c r="AF20" s="180">
        <f t="shared" si="8"/>
        <v>44835</v>
      </c>
      <c r="AG20" s="180">
        <f t="shared" si="8"/>
        <v>44866</v>
      </c>
      <c r="AH20" s="180">
        <f t="shared" si="8"/>
        <v>44896</v>
      </c>
      <c r="AI20" s="180">
        <f t="shared" si="8"/>
        <v>44927</v>
      </c>
      <c r="AJ20" s="180">
        <f t="shared" si="8"/>
        <v>44958</v>
      </c>
      <c r="AK20" s="180">
        <f t="shared" si="8"/>
        <v>44986</v>
      </c>
      <c r="AL20" s="180">
        <f t="shared" si="8"/>
        <v>45017</v>
      </c>
      <c r="AM20" s="180">
        <f t="shared" si="8"/>
        <v>45047</v>
      </c>
      <c r="AN20" s="180">
        <f t="shared" si="8"/>
        <v>45078</v>
      </c>
      <c r="AO20" s="180">
        <f t="shared" si="8"/>
        <v>45108</v>
      </c>
      <c r="AP20" s="180">
        <f t="shared" si="8"/>
        <v>45139</v>
      </c>
      <c r="AQ20" s="180">
        <f t="shared" si="8"/>
        <v>45170</v>
      </c>
      <c r="AR20" s="180">
        <f t="shared" si="8"/>
        <v>45200</v>
      </c>
      <c r="AS20" s="180">
        <f t="shared" si="8"/>
        <v>45231</v>
      </c>
      <c r="AT20" s="180">
        <f t="shared" si="8"/>
        <v>45261</v>
      </c>
      <c r="AU20" s="180">
        <f t="shared" si="8"/>
        <v>45292</v>
      </c>
      <c r="AV20" s="180">
        <f t="shared" si="8"/>
        <v>45323</v>
      </c>
      <c r="AW20" s="180">
        <f t="shared" si="8"/>
        <v>45352</v>
      </c>
      <c r="AX20" s="180">
        <f t="shared" si="8"/>
        <v>45383</v>
      </c>
      <c r="AY20" s="180">
        <f t="shared" si="8"/>
        <v>45413</v>
      </c>
      <c r="AZ20" s="180">
        <f t="shared" si="8"/>
        <v>45444</v>
      </c>
      <c r="BA20" s="180">
        <f t="shared" si="8"/>
        <v>45474</v>
      </c>
      <c r="BB20" s="180">
        <f t="shared" si="8"/>
        <v>45505</v>
      </c>
      <c r="BC20" s="180">
        <f t="shared" si="8"/>
        <v>45536</v>
      </c>
      <c r="BD20" s="180">
        <f t="shared" si="8"/>
        <v>45566</v>
      </c>
      <c r="BE20" s="180">
        <f t="shared" si="8"/>
        <v>45597</v>
      </c>
      <c r="BF20" s="180">
        <f t="shared" si="8"/>
        <v>45627</v>
      </c>
      <c r="BG20" s="180">
        <f t="shared" si="8"/>
        <v>45658</v>
      </c>
      <c r="BH20" s="180">
        <f t="shared" si="8"/>
        <v>45689</v>
      </c>
      <c r="BI20" s="180">
        <f t="shared" si="8"/>
        <v>45717</v>
      </c>
      <c r="BJ20" s="180">
        <f t="shared" si="8"/>
        <v>45748</v>
      </c>
      <c r="BK20" s="180">
        <f t="shared" si="8"/>
        <v>45778</v>
      </c>
      <c r="BL20" s="180">
        <f t="shared" si="8"/>
        <v>45809</v>
      </c>
      <c r="BM20" s="180">
        <f t="shared" si="8"/>
        <v>45839</v>
      </c>
      <c r="BN20" s="180">
        <f t="shared" si="8"/>
        <v>45870</v>
      </c>
      <c r="BO20" s="180">
        <f t="shared" si="8"/>
        <v>45901</v>
      </c>
      <c r="BP20" s="180">
        <f t="shared" si="8"/>
        <v>45931</v>
      </c>
      <c r="BQ20" s="180">
        <f t="shared" si="8"/>
        <v>45962</v>
      </c>
      <c r="BR20" s="180">
        <f t="shared" si="8"/>
        <v>45992</v>
      </c>
      <c r="BS20" s="180">
        <f t="shared" si="8"/>
        <v>46023</v>
      </c>
      <c r="BT20" s="180">
        <f t="shared" si="8"/>
        <v>46054</v>
      </c>
      <c r="BU20" s="180">
        <f t="shared" si="8"/>
        <v>46082</v>
      </c>
      <c r="BV20" s="180">
        <f t="shared" ref="BV20:CD20" si="9" xml:space="preserve"> IF(BV19 = 1, $F17, DATE(YEAR(BU20), MONTH(BU20) + $F18, DAY(1)))</f>
        <v>46113</v>
      </c>
      <c r="BW20" s="180">
        <f t="shared" si="9"/>
        <v>46143</v>
      </c>
      <c r="BX20" s="180">
        <f t="shared" si="9"/>
        <v>46174</v>
      </c>
      <c r="BY20" s="180">
        <f t="shared" si="9"/>
        <v>46204</v>
      </c>
      <c r="BZ20" s="180">
        <f t="shared" si="9"/>
        <v>46235</v>
      </c>
      <c r="CA20" s="180">
        <f t="shared" si="9"/>
        <v>46266</v>
      </c>
      <c r="CB20" s="180">
        <f t="shared" si="9"/>
        <v>46296</v>
      </c>
      <c r="CC20" s="180">
        <f t="shared" si="9"/>
        <v>46327</v>
      </c>
      <c r="CD20" s="180">
        <f t="shared" si="9"/>
        <v>46357</v>
      </c>
    </row>
    <row r="21" spans="1:82" hidden="1" outlineLevel="1" x14ac:dyDescent="0.35">
      <c r="A21" s="138"/>
      <c r="B21" s="264"/>
      <c r="C21" s="139"/>
      <c r="D21" s="140"/>
      <c r="E21" s="136"/>
      <c r="F21" s="136"/>
      <c r="G21" s="136"/>
      <c r="H21" s="136"/>
      <c r="I21" s="137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  <c r="BP21" s="136"/>
      <c r="BQ21" s="136"/>
      <c r="BR21" s="136"/>
      <c r="BS21" s="136"/>
      <c r="BT21" s="136"/>
      <c r="BU21" s="136"/>
      <c r="BV21" s="136"/>
      <c r="BW21" s="136"/>
      <c r="BX21" s="136"/>
      <c r="BY21" s="136"/>
      <c r="BZ21" s="136"/>
      <c r="CA21" s="136"/>
      <c r="CB21" s="136"/>
      <c r="CC21" s="136"/>
      <c r="CD21" s="136"/>
    </row>
    <row r="22" spans="1:82" hidden="1" outlineLevel="1" x14ac:dyDescent="0.35">
      <c r="A22" s="138"/>
      <c r="B22" s="264" t="s">
        <v>11</v>
      </c>
      <c r="C22" s="139"/>
      <c r="D22" s="140"/>
      <c r="E22" s="136"/>
      <c r="F22" s="136"/>
      <c r="G22" s="136"/>
      <c r="H22" s="136"/>
      <c r="I22" s="137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</row>
    <row r="23" spans="1:82" hidden="1" outlineLevel="2" x14ac:dyDescent="0.35">
      <c r="A23" s="48"/>
      <c r="B23" s="48"/>
      <c r="C23" s="49"/>
      <c r="D23" s="50"/>
      <c r="E23" s="95" t="str">
        <f xml:space="preserve"> InpC!E$16</f>
        <v>Length of operating period</v>
      </c>
      <c r="F23" s="95">
        <f xml:space="preserve"> InpC!F$16</f>
        <v>1</v>
      </c>
      <c r="G23" s="95" t="str">
        <f xml:space="preserve"> InpC!G$16</f>
        <v>months</v>
      </c>
      <c r="H23" s="93"/>
      <c r="I23" s="37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3"/>
    </row>
    <row r="24" spans="1:82" hidden="1" outlineLevel="2" x14ac:dyDescent="0.35">
      <c r="A24" s="177"/>
      <c r="B24" s="138"/>
      <c r="C24" s="178"/>
      <c r="D24" s="179"/>
      <c r="E24" s="180" t="str">
        <f t="shared" ref="E24:BP24" si="10" xml:space="preserve"> E$20</f>
        <v>Model period beginning</v>
      </c>
      <c r="F24" s="180">
        <f t="shared" si="10"/>
        <v>0</v>
      </c>
      <c r="G24" s="180" t="str">
        <f t="shared" si="10"/>
        <v>date</v>
      </c>
      <c r="H24" s="180">
        <f t="shared" si="10"/>
        <v>0</v>
      </c>
      <c r="I24" s="270">
        <f t="shared" si="10"/>
        <v>0</v>
      </c>
      <c r="J24" s="180">
        <f t="shared" si="10"/>
        <v>44166</v>
      </c>
      <c r="K24" s="180">
        <f t="shared" si="10"/>
        <v>44197</v>
      </c>
      <c r="L24" s="180">
        <f t="shared" si="10"/>
        <v>44228</v>
      </c>
      <c r="M24" s="180">
        <f t="shared" si="10"/>
        <v>44256</v>
      </c>
      <c r="N24" s="180">
        <f t="shared" si="10"/>
        <v>44287</v>
      </c>
      <c r="O24" s="180">
        <f t="shared" si="10"/>
        <v>44317</v>
      </c>
      <c r="P24" s="180">
        <f t="shared" si="10"/>
        <v>44348</v>
      </c>
      <c r="Q24" s="180">
        <f t="shared" si="10"/>
        <v>44378</v>
      </c>
      <c r="R24" s="180">
        <f t="shared" si="10"/>
        <v>44409</v>
      </c>
      <c r="S24" s="180">
        <f t="shared" si="10"/>
        <v>44440</v>
      </c>
      <c r="T24" s="180">
        <f t="shared" si="10"/>
        <v>44470</v>
      </c>
      <c r="U24" s="180">
        <f t="shared" si="10"/>
        <v>44501</v>
      </c>
      <c r="V24" s="180">
        <f t="shared" si="10"/>
        <v>44531</v>
      </c>
      <c r="W24" s="180">
        <f t="shared" si="10"/>
        <v>44562</v>
      </c>
      <c r="X24" s="180">
        <f t="shared" si="10"/>
        <v>44593</v>
      </c>
      <c r="Y24" s="180">
        <f t="shared" si="10"/>
        <v>44621</v>
      </c>
      <c r="Z24" s="180">
        <f t="shared" si="10"/>
        <v>44652</v>
      </c>
      <c r="AA24" s="180">
        <f t="shared" si="10"/>
        <v>44682</v>
      </c>
      <c r="AB24" s="180">
        <f t="shared" si="10"/>
        <v>44713</v>
      </c>
      <c r="AC24" s="180">
        <f t="shared" si="10"/>
        <v>44743</v>
      </c>
      <c r="AD24" s="180">
        <f t="shared" si="10"/>
        <v>44774</v>
      </c>
      <c r="AE24" s="180">
        <f t="shared" si="10"/>
        <v>44805</v>
      </c>
      <c r="AF24" s="180">
        <f t="shared" si="10"/>
        <v>44835</v>
      </c>
      <c r="AG24" s="180">
        <f t="shared" si="10"/>
        <v>44866</v>
      </c>
      <c r="AH24" s="180">
        <f t="shared" si="10"/>
        <v>44896</v>
      </c>
      <c r="AI24" s="180">
        <f t="shared" si="10"/>
        <v>44927</v>
      </c>
      <c r="AJ24" s="180">
        <f t="shared" si="10"/>
        <v>44958</v>
      </c>
      <c r="AK24" s="180">
        <f t="shared" si="10"/>
        <v>44986</v>
      </c>
      <c r="AL24" s="180">
        <f t="shared" si="10"/>
        <v>45017</v>
      </c>
      <c r="AM24" s="180">
        <f t="shared" si="10"/>
        <v>45047</v>
      </c>
      <c r="AN24" s="180">
        <f t="shared" si="10"/>
        <v>45078</v>
      </c>
      <c r="AO24" s="180">
        <f t="shared" si="10"/>
        <v>45108</v>
      </c>
      <c r="AP24" s="180">
        <f t="shared" si="10"/>
        <v>45139</v>
      </c>
      <c r="AQ24" s="180">
        <f t="shared" si="10"/>
        <v>45170</v>
      </c>
      <c r="AR24" s="180">
        <f t="shared" si="10"/>
        <v>45200</v>
      </c>
      <c r="AS24" s="180">
        <f t="shared" si="10"/>
        <v>45231</v>
      </c>
      <c r="AT24" s="180">
        <f t="shared" si="10"/>
        <v>45261</v>
      </c>
      <c r="AU24" s="180">
        <f t="shared" si="10"/>
        <v>45292</v>
      </c>
      <c r="AV24" s="180">
        <f t="shared" si="10"/>
        <v>45323</v>
      </c>
      <c r="AW24" s="180">
        <f t="shared" si="10"/>
        <v>45352</v>
      </c>
      <c r="AX24" s="180">
        <f t="shared" si="10"/>
        <v>45383</v>
      </c>
      <c r="AY24" s="180">
        <f t="shared" si="10"/>
        <v>45413</v>
      </c>
      <c r="AZ24" s="180">
        <f t="shared" si="10"/>
        <v>45444</v>
      </c>
      <c r="BA24" s="180">
        <f t="shared" si="10"/>
        <v>45474</v>
      </c>
      <c r="BB24" s="180">
        <f t="shared" si="10"/>
        <v>45505</v>
      </c>
      <c r="BC24" s="180">
        <f t="shared" si="10"/>
        <v>45536</v>
      </c>
      <c r="BD24" s="180">
        <f t="shared" si="10"/>
        <v>45566</v>
      </c>
      <c r="BE24" s="180">
        <f t="shared" si="10"/>
        <v>45597</v>
      </c>
      <c r="BF24" s="180">
        <f t="shared" si="10"/>
        <v>45627</v>
      </c>
      <c r="BG24" s="180">
        <f t="shared" si="10"/>
        <v>45658</v>
      </c>
      <c r="BH24" s="180">
        <f t="shared" si="10"/>
        <v>45689</v>
      </c>
      <c r="BI24" s="180">
        <f t="shared" si="10"/>
        <v>45717</v>
      </c>
      <c r="BJ24" s="180">
        <f t="shared" si="10"/>
        <v>45748</v>
      </c>
      <c r="BK24" s="180">
        <f t="shared" si="10"/>
        <v>45778</v>
      </c>
      <c r="BL24" s="180">
        <f t="shared" si="10"/>
        <v>45809</v>
      </c>
      <c r="BM24" s="180">
        <f t="shared" si="10"/>
        <v>45839</v>
      </c>
      <c r="BN24" s="180">
        <f t="shared" si="10"/>
        <v>45870</v>
      </c>
      <c r="BO24" s="180">
        <f t="shared" si="10"/>
        <v>45901</v>
      </c>
      <c r="BP24" s="180">
        <f t="shared" si="10"/>
        <v>45931</v>
      </c>
      <c r="BQ24" s="180">
        <f t="shared" ref="BQ24:CD24" si="11" xml:space="preserve"> BQ$20</f>
        <v>45962</v>
      </c>
      <c r="BR24" s="180">
        <f t="shared" si="11"/>
        <v>45992</v>
      </c>
      <c r="BS24" s="180">
        <f t="shared" si="11"/>
        <v>46023</v>
      </c>
      <c r="BT24" s="180">
        <f t="shared" si="11"/>
        <v>46054</v>
      </c>
      <c r="BU24" s="180">
        <f t="shared" si="11"/>
        <v>46082</v>
      </c>
      <c r="BV24" s="180">
        <f t="shared" si="11"/>
        <v>46113</v>
      </c>
      <c r="BW24" s="180">
        <f t="shared" si="11"/>
        <v>46143</v>
      </c>
      <c r="BX24" s="180">
        <f t="shared" si="11"/>
        <v>46174</v>
      </c>
      <c r="BY24" s="180">
        <f t="shared" si="11"/>
        <v>46204</v>
      </c>
      <c r="BZ24" s="180">
        <f t="shared" si="11"/>
        <v>46235</v>
      </c>
      <c r="CA24" s="180">
        <f t="shared" si="11"/>
        <v>46266</v>
      </c>
      <c r="CB24" s="180">
        <f t="shared" si="11"/>
        <v>46296</v>
      </c>
      <c r="CC24" s="180">
        <f t="shared" si="11"/>
        <v>46327</v>
      </c>
      <c r="CD24" s="180">
        <f t="shared" si="11"/>
        <v>46357</v>
      </c>
    </row>
    <row r="25" spans="1:82" hidden="1" outlineLevel="2" x14ac:dyDescent="0.35">
      <c r="A25" s="99"/>
      <c r="B25" s="58"/>
      <c r="C25" s="100"/>
      <c r="D25" s="101"/>
      <c r="E25" s="102" t="s">
        <v>11</v>
      </c>
      <c r="F25" s="102"/>
      <c r="G25" s="102" t="s">
        <v>6</v>
      </c>
      <c r="H25" s="102"/>
      <c r="I25" s="102"/>
      <c r="J25" s="102">
        <f t="shared" ref="J25:BU25" si="12" xml:space="preserve"> DATE(YEAR(J24), MONTH(J24) + $F23, DAY(J24) -1)</f>
        <v>44196</v>
      </c>
      <c r="K25" s="102">
        <f t="shared" si="12"/>
        <v>44227</v>
      </c>
      <c r="L25" s="102">
        <f t="shared" si="12"/>
        <v>44255</v>
      </c>
      <c r="M25" s="102">
        <f t="shared" si="12"/>
        <v>44286</v>
      </c>
      <c r="N25" s="102">
        <f t="shared" si="12"/>
        <v>44316</v>
      </c>
      <c r="O25" s="102">
        <f t="shared" si="12"/>
        <v>44347</v>
      </c>
      <c r="P25" s="102">
        <f t="shared" si="12"/>
        <v>44377</v>
      </c>
      <c r="Q25" s="102">
        <f t="shared" si="12"/>
        <v>44408</v>
      </c>
      <c r="R25" s="102">
        <f t="shared" si="12"/>
        <v>44439</v>
      </c>
      <c r="S25" s="102">
        <f t="shared" si="12"/>
        <v>44469</v>
      </c>
      <c r="T25" s="102">
        <f t="shared" si="12"/>
        <v>44500</v>
      </c>
      <c r="U25" s="102">
        <f t="shared" si="12"/>
        <v>44530</v>
      </c>
      <c r="V25" s="102">
        <f t="shared" si="12"/>
        <v>44561</v>
      </c>
      <c r="W25" s="102">
        <f t="shared" si="12"/>
        <v>44592</v>
      </c>
      <c r="X25" s="102">
        <f t="shared" si="12"/>
        <v>44620</v>
      </c>
      <c r="Y25" s="102">
        <f t="shared" si="12"/>
        <v>44651</v>
      </c>
      <c r="Z25" s="102">
        <f t="shared" si="12"/>
        <v>44681</v>
      </c>
      <c r="AA25" s="102">
        <f t="shared" si="12"/>
        <v>44712</v>
      </c>
      <c r="AB25" s="102">
        <f t="shared" si="12"/>
        <v>44742</v>
      </c>
      <c r="AC25" s="102">
        <f t="shared" si="12"/>
        <v>44773</v>
      </c>
      <c r="AD25" s="102">
        <f t="shared" si="12"/>
        <v>44804</v>
      </c>
      <c r="AE25" s="102">
        <f t="shared" si="12"/>
        <v>44834</v>
      </c>
      <c r="AF25" s="102">
        <f t="shared" si="12"/>
        <v>44865</v>
      </c>
      <c r="AG25" s="102">
        <f t="shared" si="12"/>
        <v>44895</v>
      </c>
      <c r="AH25" s="102">
        <f t="shared" si="12"/>
        <v>44926</v>
      </c>
      <c r="AI25" s="102">
        <f t="shared" si="12"/>
        <v>44957</v>
      </c>
      <c r="AJ25" s="102">
        <f t="shared" si="12"/>
        <v>44985</v>
      </c>
      <c r="AK25" s="102">
        <f t="shared" si="12"/>
        <v>45016</v>
      </c>
      <c r="AL25" s="102">
        <f t="shared" si="12"/>
        <v>45046</v>
      </c>
      <c r="AM25" s="102">
        <f t="shared" si="12"/>
        <v>45077</v>
      </c>
      <c r="AN25" s="102">
        <f t="shared" si="12"/>
        <v>45107</v>
      </c>
      <c r="AO25" s="102">
        <f t="shared" si="12"/>
        <v>45138</v>
      </c>
      <c r="AP25" s="102">
        <f t="shared" si="12"/>
        <v>45169</v>
      </c>
      <c r="AQ25" s="102">
        <f t="shared" si="12"/>
        <v>45199</v>
      </c>
      <c r="AR25" s="102">
        <f t="shared" si="12"/>
        <v>45230</v>
      </c>
      <c r="AS25" s="102">
        <f t="shared" si="12"/>
        <v>45260</v>
      </c>
      <c r="AT25" s="102">
        <f t="shared" si="12"/>
        <v>45291</v>
      </c>
      <c r="AU25" s="102">
        <f t="shared" si="12"/>
        <v>45322</v>
      </c>
      <c r="AV25" s="102">
        <f t="shared" si="12"/>
        <v>45351</v>
      </c>
      <c r="AW25" s="102">
        <f t="shared" si="12"/>
        <v>45382</v>
      </c>
      <c r="AX25" s="102">
        <f t="shared" si="12"/>
        <v>45412</v>
      </c>
      <c r="AY25" s="102">
        <f t="shared" si="12"/>
        <v>45443</v>
      </c>
      <c r="AZ25" s="102">
        <f t="shared" si="12"/>
        <v>45473</v>
      </c>
      <c r="BA25" s="102">
        <f t="shared" si="12"/>
        <v>45504</v>
      </c>
      <c r="BB25" s="102">
        <f t="shared" si="12"/>
        <v>45535</v>
      </c>
      <c r="BC25" s="102">
        <f t="shared" si="12"/>
        <v>45565</v>
      </c>
      <c r="BD25" s="102">
        <f t="shared" si="12"/>
        <v>45596</v>
      </c>
      <c r="BE25" s="102">
        <f t="shared" si="12"/>
        <v>45626</v>
      </c>
      <c r="BF25" s="102">
        <f t="shared" si="12"/>
        <v>45657</v>
      </c>
      <c r="BG25" s="102">
        <f t="shared" si="12"/>
        <v>45688</v>
      </c>
      <c r="BH25" s="102">
        <f t="shared" si="12"/>
        <v>45716</v>
      </c>
      <c r="BI25" s="102">
        <f t="shared" si="12"/>
        <v>45747</v>
      </c>
      <c r="BJ25" s="102">
        <f t="shared" si="12"/>
        <v>45777</v>
      </c>
      <c r="BK25" s="102">
        <f t="shared" si="12"/>
        <v>45808</v>
      </c>
      <c r="BL25" s="102">
        <f t="shared" si="12"/>
        <v>45838</v>
      </c>
      <c r="BM25" s="102">
        <f t="shared" si="12"/>
        <v>45869</v>
      </c>
      <c r="BN25" s="102">
        <f t="shared" si="12"/>
        <v>45900</v>
      </c>
      <c r="BO25" s="102">
        <f t="shared" si="12"/>
        <v>45930</v>
      </c>
      <c r="BP25" s="102">
        <f t="shared" si="12"/>
        <v>45961</v>
      </c>
      <c r="BQ25" s="102">
        <f t="shared" si="12"/>
        <v>45991</v>
      </c>
      <c r="BR25" s="102">
        <f t="shared" si="12"/>
        <v>46022</v>
      </c>
      <c r="BS25" s="102">
        <f t="shared" si="12"/>
        <v>46053</v>
      </c>
      <c r="BT25" s="102">
        <f t="shared" si="12"/>
        <v>46081</v>
      </c>
      <c r="BU25" s="102">
        <f t="shared" si="12"/>
        <v>46112</v>
      </c>
      <c r="BV25" s="102">
        <f t="shared" ref="BV25:CD25" si="13" xml:space="preserve"> DATE(YEAR(BV24), MONTH(BV24) + $F23, DAY(BV24) -1)</f>
        <v>46142</v>
      </c>
      <c r="BW25" s="102">
        <f t="shared" si="13"/>
        <v>46173</v>
      </c>
      <c r="BX25" s="102">
        <f t="shared" si="13"/>
        <v>46203</v>
      </c>
      <c r="BY25" s="102">
        <f t="shared" si="13"/>
        <v>46234</v>
      </c>
      <c r="BZ25" s="102">
        <f t="shared" si="13"/>
        <v>46265</v>
      </c>
      <c r="CA25" s="102">
        <f t="shared" si="13"/>
        <v>46295</v>
      </c>
      <c r="CB25" s="102">
        <f t="shared" si="13"/>
        <v>46326</v>
      </c>
      <c r="CC25" s="102">
        <f t="shared" si="13"/>
        <v>46356</v>
      </c>
      <c r="CD25" s="102">
        <f t="shared" si="13"/>
        <v>46387</v>
      </c>
    </row>
    <row r="26" spans="1:82" hidden="1" outlineLevel="1" x14ac:dyDescent="0.35">
      <c r="A26" s="177"/>
      <c r="B26" s="138"/>
      <c r="C26" s="178"/>
      <c r="D26" s="179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K26" s="270"/>
      <c r="AL26" s="270"/>
      <c r="AM26" s="270"/>
      <c r="AN26" s="270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0"/>
      <c r="BK26" s="270"/>
      <c r="BL26" s="270"/>
      <c r="BM26" s="270"/>
      <c r="BN26" s="270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</row>
    <row r="27" spans="1:82" hidden="1" outlineLevel="1" x14ac:dyDescent="0.35">
      <c r="A27" s="177"/>
      <c r="B27" s="138" t="s">
        <v>82</v>
      </c>
      <c r="C27" s="178"/>
      <c r="D27" s="179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0"/>
      <c r="AL27" s="270"/>
      <c r="AM27" s="270"/>
      <c r="AN27" s="270"/>
      <c r="AO27" s="270"/>
      <c r="AP27" s="270"/>
      <c r="AQ27" s="270"/>
      <c r="AR27" s="270"/>
      <c r="AS27" s="270"/>
      <c r="AT27" s="270"/>
      <c r="AU27" s="270"/>
      <c r="AV27" s="270"/>
      <c r="AW27" s="270"/>
      <c r="AX27" s="270"/>
      <c r="AY27" s="270"/>
      <c r="AZ27" s="270"/>
      <c r="BA27" s="270"/>
      <c r="BB27" s="270"/>
      <c r="BC27" s="270"/>
      <c r="BD27" s="270"/>
      <c r="BE27" s="270"/>
      <c r="BF27" s="270"/>
      <c r="BG27" s="270"/>
      <c r="BH27" s="270"/>
      <c r="BI27" s="270"/>
      <c r="BJ27" s="270"/>
      <c r="BK27" s="270"/>
      <c r="BL27" s="270"/>
      <c r="BM27" s="270"/>
      <c r="BN27" s="270"/>
      <c r="BO27" s="270"/>
      <c r="BP27" s="270"/>
      <c r="BQ27" s="270"/>
      <c r="BR27" s="270"/>
      <c r="BS27" s="270"/>
      <c r="BT27" s="270"/>
      <c r="BU27" s="270"/>
      <c r="BV27" s="270"/>
      <c r="BW27" s="270"/>
      <c r="BX27" s="270"/>
      <c r="BY27" s="270"/>
      <c r="BZ27" s="270"/>
      <c r="CA27" s="270"/>
      <c r="CB27" s="270"/>
      <c r="CC27" s="270"/>
      <c r="CD27" s="270"/>
    </row>
    <row r="28" spans="1:82" hidden="1" outlineLevel="2" x14ac:dyDescent="0.35">
      <c r="A28" s="241"/>
      <c r="B28" s="48"/>
      <c r="C28" s="242"/>
      <c r="D28" s="243"/>
      <c r="E28" s="190" t="str">
        <f xml:space="preserve"> InpC!E$18</f>
        <v>Acquisition date</v>
      </c>
      <c r="F28" s="190">
        <f xml:space="preserve"> InpC!F$18</f>
        <v>44286</v>
      </c>
      <c r="G28" s="190" t="str">
        <f xml:space="preserve"> InpC!G$18</f>
        <v>date</v>
      </c>
      <c r="H28" s="190"/>
      <c r="I28" s="244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  <c r="BI28" s="190"/>
      <c r="BJ28" s="190"/>
      <c r="BK28" s="190"/>
      <c r="BL28" s="190"/>
      <c r="BM28" s="190"/>
      <c r="BN28" s="190"/>
      <c r="BO28" s="190"/>
      <c r="BP28" s="190"/>
      <c r="BQ28" s="190"/>
      <c r="BR28" s="190"/>
      <c r="BS28" s="190"/>
      <c r="BT28" s="190"/>
      <c r="BU28" s="190"/>
      <c r="BV28" s="190"/>
      <c r="BW28" s="190"/>
      <c r="BX28" s="190"/>
      <c r="BY28" s="190"/>
      <c r="BZ28" s="190"/>
      <c r="CA28" s="190"/>
      <c r="CB28" s="190"/>
      <c r="CC28" s="190"/>
      <c r="CD28" s="190"/>
    </row>
    <row r="29" spans="1:82" hidden="1" outlineLevel="2" x14ac:dyDescent="0.35">
      <c r="A29" s="138"/>
      <c r="B29" s="138"/>
      <c r="C29" s="139"/>
      <c r="D29" s="140"/>
      <c r="E29" s="137" t="s">
        <v>130</v>
      </c>
      <c r="F29" s="137">
        <f xml:space="preserve"> MONTH(F28)</f>
        <v>3</v>
      </c>
      <c r="G29" s="137" t="s">
        <v>72</v>
      </c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</row>
    <row r="30" spans="1:82" hidden="1" outlineLevel="2" x14ac:dyDescent="0.35">
      <c r="A30" s="138"/>
      <c r="B30" s="138"/>
      <c r="C30" s="139"/>
      <c r="D30" s="140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7"/>
      <c r="CD30" s="137"/>
    </row>
    <row r="31" spans="1:82" hidden="1" outlineLevel="2" x14ac:dyDescent="0.35">
      <c r="A31" s="138"/>
      <c r="B31" s="138"/>
      <c r="C31" s="139"/>
      <c r="D31" s="140"/>
      <c r="E31" s="137" t="str">
        <f xml:space="preserve"> E$29</f>
        <v>Contract year end month</v>
      </c>
      <c r="F31" s="137">
        <f xml:space="preserve"> F$29</f>
        <v>3</v>
      </c>
      <c r="G31" s="137" t="str">
        <f xml:space="preserve"> G$29</f>
        <v>month</v>
      </c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137"/>
      <c r="BO31" s="137"/>
      <c r="BP31" s="137"/>
      <c r="BQ31" s="137"/>
      <c r="BR31" s="137"/>
      <c r="BS31" s="137"/>
      <c r="BT31" s="137"/>
      <c r="BU31" s="137"/>
      <c r="BV31" s="137"/>
      <c r="BW31" s="137"/>
      <c r="BX31" s="137"/>
      <c r="BY31" s="137"/>
      <c r="BZ31" s="137"/>
      <c r="CA31" s="137"/>
      <c r="CB31" s="137"/>
      <c r="CC31" s="137"/>
      <c r="CD31" s="137"/>
    </row>
    <row r="32" spans="1:82" hidden="1" outlineLevel="2" x14ac:dyDescent="0.35">
      <c r="A32" s="177"/>
      <c r="B32" s="138"/>
      <c r="C32" s="178"/>
      <c r="D32" s="179"/>
      <c r="E32" s="272" t="str">
        <f t="shared" ref="E32:BP32" si="14" xml:space="preserve"> E$25</f>
        <v>Model period ending</v>
      </c>
      <c r="F32" s="272">
        <f t="shared" si="14"/>
        <v>0</v>
      </c>
      <c r="G32" s="272" t="str">
        <f t="shared" si="14"/>
        <v>date</v>
      </c>
      <c r="H32" s="272">
        <f t="shared" si="14"/>
        <v>0</v>
      </c>
      <c r="I32" s="273">
        <f t="shared" si="14"/>
        <v>0</v>
      </c>
      <c r="J32" s="272">
        <f t="shared" si="14"/>
        <v>44196</v>
      </c>
      <c r="K32" s="272">
        <f t="shared" si="14"/>
        <v>44227</v>
      </c>
      <c r="L32" s="272">
        <f t="shared" si="14"/>
        <v>44255</v>
      </c>
      <c r="M32" s="272">
        <f t="shared" si="14"/>
        <v>44286</v>
      </c>
      <c r="N32" s="272">
        <f t="shared" si="14"/>
        <v>44316</v>
      </c>
      <c r="O32" s="272">
        <f t="shared" si="14"/>
        <v>44347</v>
      </c>
      <c r="P32" s="272">
        <f t="shared" si="14"/>
        <v>44377</v>
      </c>
      <c r="Q32" s="272">
        <f t="shared" si="14"/>
        <v>44408</v>
      </c>
      <c r="R32" s="272">
        <f t="shared" si="14"/>
        <v>44439</v>
      </c>
      <c r="S32" s="272">
        <f t="shared" si="14"/>
        <v>44469</v>
      </c>
      <c r="T32" s="272">
        <f t="shared" si="14"/>
        <v>44500</v>
      </c>
      <c r="U32" s="272">
        <f t="shared" si="14"/>
        <v>44530</v>
      </c>
      <c r="V32" s="272">
        <f t="shared" si="14"/>
        <v>44561</v>
      </c>
      <c r="W32" s="272">
        <f t="shared" si="14"/>
        <v>44592</v>
      </c>
      <c r="X32" s="272">
        <f t="shared" si="14"/>
        <v>44620</v>
      </c>
      <c r="Y32" s="272">
        <f t="shared" si="14"/>
        <v>44651</v>
      </c>
      <c r="Z32" s="272">
        <f t="shared" si="14"/>
        <v>44681</v>
      </c>
      <c r="AA32" s="272">
        <f t="shared" si="14"/>
        <v>44712</v>
      </c>
      <c r="AB32" s="272">
        <f t="shared" si="14"/>
        <v>44742</v>
      </c>
      <c r="AC32" s="272">
        <f t="shared" si="14"/>
        <v>44773</v>
      </c>
      <c r="AD32" s="272">
        <f t="shared" si="14"/>
        <v>44804</v>
      </c>
      <c r="AE32" s="272">
        <f t="shared" si="14"/>
        <v>44834</v>
      </c>
      <c r="AF32" s="272">
        <f t="shared" si="14"/>
        <v>44865</v>
      </c>
      <c r="AG32" s="272">
        <f t="shared" si="14"/>
        <v>44895</v>
      </c>
      <c r="AH32" s="272">
        <f t="shared" si="14"/>
        <v>44926</v>
      </c>
      <c r="AI32" s="272">
        <f t="shared" si="14"/>
        <v>44957</v>
      </c>
      <c r="AJ32" s="272">
        <f t="shared" si="14"/>
        <v>44985</v>
      </c>
      <c r="AK32" s="272">
        <f t="shared" si="14"/>
        <v>45016</v>
      </c>
      <c r="AL32" s="272">
        <f t="shared" si="14"/>
        <v>45046</v>
      </c>
      <c r="AM32" s="272">
        <f t="shared" si="14"/>
        <v>45077</v>
      </c>
      <c r="AN32" s="272">
        <f t="shared" si="14"/>
        <v>45107</v>
      </c>
      <c r="AO32" s="272">
        <f t="shared" si="14"/>
        <v>45138</v>
      </c>
      <c r="AP32" s="272">
        <f t="shared" si="14"/>
        <v>45169</v>
      </c>
      <c r="AQ32" s="272">
        <f t="shared" si="14"/>
        <v>45199</v>
      </c>
      <c r="AR32" s="272">
        <f t="shared" si="14"/>
        <v>45230</v>
      </c>
      <c r="AS32" s="272">
        <f t="shared" si="14"/>
        <v>45260</v>
      </c>
      <c r="AT32" s="272">
        <f t="shared" si="14"/>
        <v>45291</v>
      </c>
      <c r="AU32" s="272">
        <f t="shared" si="14"/>
        <v>45322</v>
      </c>
      <c r="AV32" s="272">
        <f t="shared" si="14"/>
        <v>45351</v>
      </c>
      <c r="AW32" s="272">
        <f t="shared" si="14"/>
        <v>45382</v>
      </c>
      <c r="AX32" s="272">
        <f t="shared" si="14"/>
        <v>45412</v>
      </c>
      <c r="AY32" s="272">
        <f t="shared" si="14"/>
        <v>45443</v>
      </c>
      <c r="AZ32" s="272">
        <f t="shared" si="14"/>
        <v>45473</v>
      </c>
      <c r="BA32" s="272">
        <f t="shared" si="14"/>
        <v>45504</v>
      </c>
      <c r="BB32" s="272">
        <f t="shared" si="14"/>
        <v>45535</v>
      </c>
      <c r="BC32" s="272">
        <f t="shared" si="14"/>
        <v>45565</v>
      </c>
      <c r="BD32" s="272">
        <f t="shared" si="14"/>
        <v>45596</v>
      </c>
      <c r="BE32" s="272">
        <f t="shared" si="14"/>
        <v>45626</v>
      </c>
      <c r="BF32" s="272">
        <f t="shared" si="14"/>
        <v>45657</v>
      </c>
      <c r="BG32" s="272">
        <f t="shared" si="14"/>
        <v>45688</v>
      </c>
      <c r="BH32" s="272">
        <f t="shared" si="14"/>
        <v>45716</v>
      </c>
      <c r="BI32" s="272">
        <f t="shared" si="14"/>
        <v>45747</v>
      </c>
      <c r="BJ32" s="272">
        <f t="shared" si="14"/>
        <v>45777</v>
      </c>
      <c r="BK32" s="272">
        <f t="shared" si="14"/>
        <v>45808</v>
      </c>
      <c r="BL32" s="272">
        <f t="shared" si="14"/>
        <v>45838</v>
      </c>
      <c r="BM32" s="272">
        <f t="shared" si="14"/>
        <v>45869</v>
      </c>
      <c r="BN32" s="272">
        <f t="shared" si="14"/>
        <v>45900</v>
      </c>
      <c r="BO32" s="272">
        <f t="shared" si="14"/>
        <v>45930</v>
      </c>
      <c r="BP32" s="272">
        <f t="shared" si="14"/>
        <v>45961</v>
      </c>
      <c r="BQ32" s="272">
        <f t="shared" ref="BQ32:CD32" si="15" xml:space="preserve"> BQ$25</f>
        <v>45991</v>
      </c>
      <c r="BR32" s="272">
        <f t="shared" si="15"/>
        <v>46022</v>
      </c>
      <c r="BS32" s="272">
        <f t="shared" si="15"/>
        <v>46053</v>
      </c>
      <c r="BT32" s="272">
        <f t="shared" si="15"/>
        <v>46081</v>
      </c>
      <c r="BU32" s="272">
        <f t="shared" si="15"/>
        <v>46112</v>
      </c>
      <c r="BV32" s="272">
        <f t="shared" si="15"/>
        <v>46142</v>
      </c>
      <c r="BW32" s="272">
        <f t="shared" si="15"/>
        <v>46173</v>
      </c>
      <c r="BX32" s="272">
        <f t="shared" si="15"/>
        <v>46203</v>
      </c>
      <c r="BY32" s="272">
        <f t="shared" si="15"/>
        <v>46234</v>
      </c>
      <c r="BZ32" s="272">
        <f t="shared" si="15"/>
        <v>46265</v>
      </c>
      <c r="CA32" s="272">
        <f t="shared" si="15"/>
        <v>46295</v>
      </c>
      <c r="CB32" s="272">
        <f t="shared" si="15"/>
        <v>46326</v>
      </c>
      <c r="CC32" s="272">
        <f t="shared" si="15"/>
        <v>46356</v>
      </c>
      <c r="CD32" s="272">
        <f t="shared" si="15"/>
        <v>46387</v>
      </c>
    </row>
    <row r="33" spans="1:82" hidden="1" outlineLevel="2" x14ac:dyDescent="0.35">
      <c r="A33" s="138"/>
      <c r="B33" s="138"/>
      <c r="C33" s="139"/>
      <c r="D33" s="140"/>
      <c r="E33" s="137" t="s">
        <v>87</v>
      </c>
      <c r="F33" s="137"/>
      <c r="G33" s="137"/>
      <c r="H33" s="137"/>
      <c r="I33" s="137"/>
      <c r="J33" s="137">
        <f t="shared" ref="J33:AO33" si="16" xml:space="preserve"> IF( MONTH(J32) = $F31, 1, 0)</f>
        <v>0</v>
      </c>
      <c r="K33" s="137">
        <f t="shared" si="16"/>
        <v>0</v>
      </c>
      <c r="L33" s="137">
        <f t="shared" si="16"/>
        <v>0</v>
      </c>
      <c r="M33" s="137">
        <f t="shared" si="16"/>
        <v>1</v>
      </c>
      <c r="N33" s="137">
        <f t="shared" si="16"/>
        <v>0</v>
      </c>
      <c r="O33" s="137">
        <f t="shared" si="16"/>
        <v>0</v>
      </c>
      <c r="P33" s="137">
        <f t="shared" si="16"/>
        <v>0</v>
      </c>
      <c r="Q33" s="137">
        <f t="shared" si="16"/>
        <v>0</v>
      </c>
      <c r="R33" s="137">
        <f t="shared" si="16"/>
        <v>0</v>
      </c>
      <c r="S33" s="137">
        <f t="shared" si="16"/>
        <v>0</v>
      </c>
      <c r="T33" s="137">
        <f t="shared" si="16"/>
        <v>0</v>
      </c>
      <c r="U33" s="137">
        <f t="shared" si="16"/>
        <v>0</v>
      </c>
      <c r="V33" s="137">
        <f t="shared" si="16"/>
        <v>0</v>
      </c>
      <c r="W33" s="137">
        <f t="shared" si="16"/>
        <v>0</v>
      </c>
      <c r="X33" s="137">
        <f t="shared" si="16"/>
        <v>0</v>
      </c>
      <c r="Y33" s="137">
        <f t="shared" si="16"/>
        <v>1</v>
      </c>
      <c r="Z33" s="137">
        <f t="shared" si="16"/>
        <v>0</v>
      </c>
      <c r="AA33" s="137">
        <f t="shared" si="16"/>
        <v>0</v>
      </c>
      <c r="AB33" s="137">
        <f t="shared" si="16"/>
        <v>0</v>
      </c>
      <c r="AC33" s="137">
        <f t="shared" si="16"/>
        <v>0</v>
      </c>
      <c r="AD33" s="137">
        <f t="shared" si="16"/>
        <v>0</v>
      </c>
      <c r="AE33" s="137">
        <f t="shared" si="16"/>
        <v>0</v>
      </c>
      <c r="AF33" s="137">
        <f t="shared" si="16"/>
        <v>0</v>
      </c>
      <c r="AG33" s="137">
        <f t="shared" si="16"/>
        <v>0</v>
      </c>
      <c r="AH33" s="137">
        <f t="shared" si="16"/>
        <v>0</v>
      </c>
      <c r="AI33" s="137">
        <f t="shared" si="16"/>
        <v>0</v>
      </c>
      <c r="AJ33" s="137">
        <f t="shared" si="16"/>
        <v>0</v>
      </c>
      <c r="AK33" s="137">
        <f t="shared" si="16"/>
        <v>1</v>
      </c>
      <c r="AL33" s="137">
        <f t="shared" si="16"/>
        <v>0</v>
      </c>
      <c r="AM33" s="137">
        <f t="shared" si="16"/>
        <v>0</v>
      </c>
      <c r="AN33" s="137">
        <f t="shared" si="16"/>
        <v>0</v>
      </c>
      <c r="AO33" s="137">
        <f t="shared" si="16"/>
        <v>0</v>
      </c>
      <c r="AP33" s="137">
        <f t="shared" ref="AP33:BU33" si="17" xml:space="preserve"> IF( MONTH(AP32) = $F31, 1, 0)</f>
        <v>0</v>
      </c>
      <c r="AQ33" s="137">
        <f t="shared" si="17"/>
        <v>0</v>
      </c>
      <c r="AR33" s="137">
        <f t="shared" si="17"/>
        <v>0</v>
      </c>
      <c r="AS33" s="137">
        <f t="shared" si="17"/>
        <v>0</v>
      </c>
      <c r="AT33" s="137">
        <f t="shared" si="17"/>
        <v>0</v>
      </c>
      <c r="AU33" s="137">
        <f t="shared" si="17"/>
        <v>0</v>
      </c>
      <c r="AV33" s="137">
        <f t="shared" si="17"/>
        <v>0</v>
      </c>
      <c r="AW33" s="137">
        <f t="shared" si="17"/>
        <v>1</v>
      </c>
      <c r="AX33" s="137">
        <f t="shared" si="17"/>
        <v>0</v>
      </c>
      <c r="AY33" s="137">
        <f t="shared" si="17"/>
        <v>0</v>
      </c>
      <c r="AZ33" s="137">
        <f t="shared" si="17"/>
        <v>0</v>
      </c>
      <c r="BA33" s="137">
        <f t="shared" si="17"/>
        <v>0</v>
      </c>
      <c r="BB33" s="137">
        <f t="shared" si="17"/>
        <v>0</v>
      </c>
      <c r="BC33" s="137">
        <f t="shared" si="17"/>
        <v>0</v>
      </c>
      <c r="BD33" s="137">
        <f t="shared" si="17"/>
        <v>0</v>
      </c>
      <c r="BE33" s="137">
        <f t="shared" si="17"/>
        <v>0</v>
      </c>
      <c r="BF33" s="137">
        <f t="shared" si="17"/>
        <v>0</v>
      </c>
      <c r="BG33" s="137">
        <f t="shared" si="17"/>
        <v>0</v>
      </c>
      <c r="BH33" s="137">
        <f t="shared" si="17"/>
        <v>0</v>
      </c>
      <c r="BI33" s="137">
        <f t="shared" si="17"/>
        <v>1</v>
      </c>
      <c r="BJ33" s="137">
        <f t="shared" si="17"/>
        <v>0</v>
      </c>
      <c r="BK33" s="137">
        <f t="shared" si="17"/>
        <v>0</v>
      </c>
      <c r="BL33" s="137">
        <f t="shared" si="17"/>
        <v>0</v>
      </c>
      <c r="BM33" s="137">
        <f t="shared" si="17"/>
        <v>0</v>
      </c>
      <c r="BN33" s="137">
        <f t="shared" si="17"/>
        <v>0</v>
      </c>
      <c r="BO33" s="137">
        <f t="shared" si="17"/>
        <v>0</v>
      </c>
      <c r="BP33" s="137">
        <f t="shared" si="17"/>
        <v>0</v>
      </c>
      <c r="BQ33" s="137">
        <f t="shared" si="17"/>
        <v>0</v>
      </c>
      <c r="BR33" s="137">
        <f t="shared" si="17"/>
        <v>0</v>
      </c>
      <c r="BS33" s="137">
        <f t="shared" si="17"/>
        <v>0</v>
      </c>
      <c r="BT33" s="137">
        <f t="shared" si="17"/>
        <v>0</v>
      </c>
      <c r="BU33" s="137">
        <f t="shared" si="17"/>
        <v>1</v>
      </c>
      <c r="BV33" s="137">
        <f t="shared" ref="BV33:CD33" si="18" xml:space="preserve"> IF( MONTH(BV32) = $F31, 1, 0)</f>
        <v>0</v>
      </c>
      <c r="BW33" s="137">
        <f t="shared" si="18"/>
        <v>0</v>
      </c>
      <c r="BX33" s="137">
        <f t="shared" si="18"/>
        <v>0</v>
      </c>
      <c r="BY33" s="137">
        <f t="shared" si="18"/>
        <v>0</v>
      </c>
      <c r="BZ33" s="137">
        <f t="shared" si="18"/>
        <v>0</v>
      </c>
      <c r="CA33" s="137">
        <f t="shared" si="18"/>
        <v>0</v>
      </c>
      <c r="CB33" s="137">
        <f t="shared" si="18"/>
        <v>0</v>
      </c>
      <c r="CC33" s="137">
        <f t="shared" si="18"/>
        <v>0</v>
      </c>
      <c r="CD33" s="137">
        <f t="shared" si="18"/>
        <v>0</v>
      </c>
    </row>
    <row r="34" spans="1:82" hidden="1" outlineLevel="2" x14ac:dyDescent="0.35">
      <c r="A34" s="138"/>
      <c r="B34" s="138"/>
      <c r="C34" s="139"/>
      <c r="D34" s="140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  <c r="CC34" s="137"/>
      <c r="CD34" s="137"/>
    </row>
    <row r="35" spans="1:82" hidden="1" outlineLevel="2" x14ac:dyDescent="0.35">
      <c r="A35" s="241"/>
      <c r="B35" s="241"/>
      <c r="C35" s="242"/>
      <c r="D35" s="106"/>
      <c r="E35" s="106" t="str">
        <f xml:space="preserve"> InpC!E$14</f>
        <v>Annual year end date of first operating period</v>
      </c>
      <c r="F35" s="106">
        <f xml:space="preserve"> InpC!F$14</f>
        <v>43921</v>
      </c>
      <c r="G35" s="106" t="str">
        <f xml:space="preserve"> InpC!G$14</f>
        <v>date</v>
      </c>
      <c r="H35" s="106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  <c r="AT35" s="244"/>
      <c r="AU35" s="244"/>
      <c r="AV35" s="244"/>
      <c r="AW35" s="244"/>
      <c r="AX35" s="244"/>
      <c r="AY35" s="244"/>
      <c r="AZ35" s="244"/>
      <c r="BA35" s="244"/>
      <c r="BB35" s="244"/>
      <c r="BC35" s="244"/>
      <c r="BD35" s="244"/>
      <c r="BE35" s="244"/>
      <c r="BF35" s="244"/>
      <c r="BG35" s="244"/>
      <c r="BH35" s="244"/>
      <c r="BI35" s="244"/>
      <c r="BJ35" s="244"/>
      <c r="BK35" s="244"/>
      <c r="BL35" s="244"/>
      <c r="BM35" s="244"/>
      <c r="BN35" s="244"/>
      <c r="BO35" s="244"/>
      <c r="BP35" s="244"/>
      <c r="BQ35" s="244"/>
      <c r="BR35" s="244"/>
      <c r="BS35" s="244"/>
      <c r="BT35" s="244"/>
      <c r="BU35" s="244"/>
      <c r="BV35" s="244"/>
      <c r="BW35" s="244"/>
      <c r="BX35" s="244"/>
      <c r="BY35" s="244"/>
      <c r="BZ35" s="244"/>
      <c r="CA35" s="244"/>
      <c r="CB35" s="244"/>
      <c r="CC35" s="244"/>
      <c r="CD35" s="244"/>
    </row>
    <row r="36" spans="1:82" hidden="1" outlineLevel="2" x14ac:dyDescent="0.35">
      <c r="A36" s="245"/>
      <c r="B36" s="245"/>
      <c r="C36" s="246"/>
      <c r="D36" s="247"/>
      <c r="E36" s="54" t="str">
        <f xml:space="preserve"> InpC!E$67</f>
        <v>Months in year</v>
      </c>
      <c r="F36" s="54">
        <f xml:space="preserve"> InpC!F$67</f>
        <v>12</v>
      </c>
      <c r="G36" s="54" t="str">
        <f xml:space="preserve"> InpC!G$67</f>
        <v>months</v>
      </c>
      <c r="H36" s="54"/>
      <c r="I36" s="57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</row>
    <row r="37" spans="1:82" hidden="1" outlineLevel="2" x14ac:dyDescent="0.35">
      <c r="A37" s="138"/>
      <c r="B37" s="264"/>
      <c r="C37" s="139"/>
      <c r="D37" s="140"/>
      <c r="E37" s="136" t="str">
        <f t="shared" ref="E37:BP37" si="19" xml:space="preserve"> E$14</f>
        <v>First model column flag</v>
      </c>
      <c r="F37" s="136">
        <f t="shared" si="19"/>
        <v>0</v>
      </c>
      <c r="G37" s="136" t="str">
        <f t="shared" si="19"/>
        <v>flag</v>
      </c>
      <c r="H37" s="136">
        <f t="shared" si="19"/>
        <v>1</v>
      </c>
      <c r="I37" s="137">
        <f t="shared" si="19"/>
        <v>0</v>
      </c>
      <c r="J37" s="136">
        <f t="shared" si="19"/>
        <v>1</v>
      </c>
      <c r="K37" s="136">
        <f t="shared" si="19"/>
        <v>0</v>
      </c>
      <c r="L37" s="136">
        <f t="shared" si="19"/>
        <v>0</v>
      </c>
      <c r="M37" s="136">
        <f t="shared" si="19"/>
        <v>0</v>
      </c>
      <c r="N37" s="136">
        <f t="shared" si="19"/>
        <v>0</v>
      </c>
      <c r="O37" s="136">
        <f t="shared" si="19"/>
        <v>0</v>
      </c>
      <c r="P37" s="136">
        <f t="shared" si="19"/>
        <v>0</v>
      </c>
      <c r="Q37" s="136">
        <f t="shared" si="19"/>
        <v>0</v>
      </c>
      <c r="R37" s="136">
        <f t="shared" si="19"/>
        <v>0</v>
      </c>
      <c r="S37" s="136">
        <f t="shared" si="19"/>
        <v>0</v>
      </c>
      <c r="T37" s="136">
        <f t="shared" si="19"/>
        <v>0</v>
      </c>
      <c r="U37" s="136">
        <f t="shared" si="19"/>
        <v>0</v>
      </c>
      <c r="V37" s="136">
        <f t="shared" si="19"/>
        <v>0</v>
      </c>
      <c r="W37" s="136">
        <f t="shared" si="19"/>
        <v>0</v>
      </c>
      <c r="X37" s="136">
        <f t="shared" si="19"/>
        <v>0</v>
      </c>
      <c r="Y37" s="136">
        <f t="shared" si="19"/>
        <v>0</v>
      </c>
      <c r="Z37" s="136">
        <f t="shared" si="19"/>
        <v>0</v>
      </c>
      <c r="AA37" s="136">
        <f t="shared" si="19"/>
        <v>0</v>
      </c>
      <c r="AB37" s="136">
        <f t="shared" si="19"/>
        <v>0</v>
      </c>
      <c r="AC37" s="136">
        <f t="shared" si="19"/>
        <v>0</v>
      </c>
      <c r="AD37" s="136">
        <f t="shared" si="19"/>
        <v>0</v>
      </c>
      <c r="AE37" s="136">
        <f t="shared" si="19"/>
        <v>0</v>
      </c>
      <c r="AF37" s="136">
        <f t="shared" si="19"/>
        <v>0</v>
      </c>
      <c r="AG37" s="136">
        <f t="shared" si="19"/>
        <v>0</v>
      </c>
      <c r="AH37" s="136">
        <f t="shared" si="19"/>
        <v>0</v>
      </c>
      <c r="AI37" s="136">
        <f t="shared" si="19"/>
        <v>0</v>
      </c>
      <c r="AJ37" s="136">
        <f t="shared" si="19"/>
        <v>0</v>
      </c>
      <c r="AK37" s="136">
        <f t="shared" si="19"/>
        <v>0</v>
      </c>
      <c r="AL37" s="136">
        <f t="shared" si="19"/>
        <v>0</v>
      </c>
      <c r="AM37" s="136">
        <f t="shared" si="19"/>
        <v>0</v>
      </c>
      <c r="AN37" s="136">
        <f t="shared" si="19"/>
        <v>0</v>
      </c>
      <c r="AO37" s="136">
        <f t="shared" si="19"/>
        <v>0</v>
      </c>
      <c r="AP37" s="136">
        <f t="shared" si="19"/>
        <v>0</v>
      </c>
      <c r="AQ37" s="136">
        <f t="shared" si="19"/>
        <v>0</v>
      </c>
      <c r="AR37" s="136">
        <f t="shared" si="19"/>
        <v>0</v>
      </c>
      <c r="AS37" s="136">
        <f t="shared" si="19"/>
        <v>0</v>
      </c>
      <c r="AT37" s="136">
        <f t="shared" si="19"/>
        <v>0</v>
      </c>
      <c r="AU37" s="136">
        <f t="shared" si="19"/>
        <v>0</v>
      </c>
      <c r="AV37" s="136">
        <f t="shared" si="19"/>
        <v>0</v>
      </c>
      <c r="AW37" s="136">
        <f t="shared" si="19"/>
        <v>0</v>
      </c>
      <c r="AX37" s="136">
        <f t="shared" si="19"/>
        <v>0</v>
      </c>
      <c r="AY37" s="136">
        <f t="shared" si="19"/>
        <v>0</v>
      </c>
      <c r="AZ37" s="136">
        <f t="shared" si="19"/>
        <v>0</v>
      </c>
      <c r="BA37" s="136">
        <f t="shared" si="19"/>
        <v>0</v>
      </c>
      <c r="BB37" s="136">
        <f t="shared" si="19"/>
        <v>0</v>
      </c>
      <c r="BC37" s="136">
        <f t="shared" si="19"/>
        <v>0</v>
      </c>
      <c r="BD37" s="136">
        <f t="shared" si="19"/>
        <v>0</v>
      </c>
      <c r="BE37" s="136">
        <f t="shared" si="19"/>
        <v>0</v>
      </c>
      <c r="BF37" s="136">
        <f t="shared" si="19"/>
        <v>0</v>
      </c>
      <c r="BG37" s="136">
        <f t="shared" si="19"/>
        <v>0</v>
      </c>
      <c r="BH37" s="136">
        <f t="shared" si="19"/>
        <v>0</v>
      </c>
      <c r="BI37" s="136">
        <f t="shared" si="19"/>
        <v>0</v>
      </c>
      <c r="BJ37" s="136">
        <f t="shared" si="19"/>
        <v>0</v>
      </c>
      <c r="BK37" s="136">
        <f t="shared" si="19"/>
        <v>0</v>
      </c>
      <c r="BL37" s="136">
        <f t="shared" si="19"/>
        <v>0</v>
      </c>
      <c r="BM37" s="136">
        <f t="shared" si="19"/>
        <v>0</v>
      </c>
      <c r="BN37" s="136">
        <f t="shared" si="19"/>
        <v>0</v>
      </c>
      <c r="BO37" s="136">
        <f t="shared" si="19"/>
        <v>0</v>
      </c>
      <c r="BP37" s="136">
        <f t="shared" si="19"/>
        <v>0</v>
      </c>
      <c r="BQ37" s="136">
        <f t="shared" ref="BQ37:CD37" si="20" xml:space="preserve"> BQ$14</f>
        <v>0</v>
      </c>
      <c r="BR37" s="136">
        <f t="shared" si="20"/>
        <v>0</v>
      </c>
      <c r="BS37" s="136">
        <f t="shared" si="20"/>
        <v>0</v>
      </c>
      <c r="BT37" s="136">
        <f t="shared" si="20"/>
        <v>0</v>
      </c>
      <c r="BU37" s="136">
        <f t="shared" si="20"/>
        <v>0</v>
      </c>
      <c r="BV37" s="136">
        <f t="shared" si="20"/>
        <v>0</v>
      </c>
      <c r="BW37" s="136">
        <f t="shared" si="20"/>
        <v>0</v>
      </c>
      <c r="BX37" s="136">
        <f t="shared" si="20"/>
        <v>0</v>
      </c>
      <c r="BY37" s="136">
        <f t="shared" si="20"/>
        <v>0</v>
      </c>
      <c r="BZ37" s="136">
        <f t="shared" si="20"/>
        <v>0</v>
      </c>
      <c r="CA37" s="136">
        <f t="shared" si="20"/>
        <v>0</v>
      </c>
      <c r="CB37" s="136">
        <f t="shared" si="20"/>
        <v>0</v>
      </c>
      <c r="CC37" s="136">
        <f t="shared" si="20"/>
        <v>0</v>
      </c>
      <c r="CD37" s="136">
        <f t="shared" si="20"/>
        <v>0</v>
      </c>
    </row>
    <row r="38" spans="1:82" hidden="1" outlineLevel="2" x14ac:dyDescent="0.35">
      <c r="A38" s="138"/>
      <c r="B38" s="264"/>
      <c r="C38" s="139"/>
      <c r="D38" s="140"/>
      <c r="E38" s="269" t="str">
        <f t="shared" ref="E38:AJ38" si="21" xml:space="preserve"> E$33</f>
        <v>End of contract year flag</v>
      </c>
      <c r="F38" s="269">
        <f t="shared" si="21"/>
        <v>0</v>
      </c>
      <c r="G38" s="269">
        <f t="shared" si="21"/>
        <v>0</v>
      </c>
      <c r="H38" s="269">
        <f t="shared" si="21"/>
        <v>0</v>
      </c>
      <c r="I38" s="269">
        <f t="shared" si="21"/>
        <v>0</v>
      </c>
      <c r="J38" s="269">
        <f t="shared" si="21"/>
        <v>0</v>
      </c>
      <c r="K38" s="269">
        <f t="shared" si="21"/>
        <v>0</v>
      </c>
      <c r="L38" s="269">
        <f t="shared" si="21"/>
        <v>0</v>
      </c>
      <c r="M38" s="269">
        <f t="shared" si="21"/>
        <v>1</v>
      </c>
      <c r="N38" s="269">
        <f t="shared" si="21"/>
        <v>0</v>
      </c>
      <c r="O38" s="269">
        <f t="shared" si="21"/>
        <v>0</v>
      </c>
      <c r="P38" s="269">
        <f t="shared" si="21"/>
        <v>0</v>
      </c>
      <c r="Q38" s="269">
        <f t="shared" si="21"/>
        <v>0</v>
      </c>
      <c r="R38" s="269">
        <f t="shared" si="21"/>
        <v>0</v>
      </c>
      <c r="S38" s="269">
        <f t="shared" si="21"/>
        <v>0</v>
      </c>
      <c r="T38" s="269">
        <f t="shared" si="21"/>
        <v>0</v>
      </c>
      <c r="U38" s="269">
        <f t="shared" si="21"/>
        <v>0</v>
      </c>
      <c r="V38" s="269">
        <f t="shared" si="21"/>
        <v>0</v>
      </c>
      <c r="W38" s="269">
        <f t="shared" si="21"/>
        <v>0</v>
      </c>
      <c r="X38" s="269">
        <f t="shared" si="21"/>
        <v>0</v>
      </c>
      <c r="Y38" s="269">
        <f t="shared" si="21"/>
        <v>1</v>
      </c>
      <c r="Z38" s="269">
        <f t="shared" si="21"/>
        <v>0</v>
      </c>
      <c r="AA38" s="269">
        <f t="shared" si="21"/>
        <v>0</v>
      </c>
      <c r="AB38" s="269">
        <f t="shared" si="21"/>
        <v>0</v>
      </c>
      <c r="AC38" s="269">
        <f t="shared" si="21"/>
        <v>0</v>
      </c>
      <c r="AD38" s="269">
        <f t="shared" si="21"/>
        <v>0</v>
      </c>
      <c r="AE38" s="269">
        <f t="shared" si="21"/>
        <v>0</v>
      </c>
      <c r="AF38" s="269">
        <f t="shared" si="21"/>
        <v>0</v>
      </c>
      <c r="AG38" s="269">
        <f t="shared" si="21"/>
        <v>0</v>
      </c>
      <c r="AH38" s="269">
        <f t="shared" si="21"/>
        <v>0</v>
      </c>
      <c r="AI38" s="269">
        <f t="shared" si="21"/>
        <v>0</v>
      </c>
      <c r="AJ38" s="269">
        <f t="shared" si="21"/>
        <v>0</v>
      </c>
      <c r="AK38" s="269">
        <f t="shared" ref="AK38:BP38" si="22" xml:space="preserve"> AK$33</f>
        <v>1</v>
      </c>
      <c r="AL38" s="269">
        <f t="shared" si="22"/>
        <v>0</v>
      </c>
      <c r="AM38" s="269">
        <f t="shared" si="22"/>
        <v>0</v>
      </c>
      <c r="AN38" s="269">
        <f t="shared" si="22"/>
        <v>0</v>
      </c>
      <c r="AO38" s="269">
        <f t="shared" si="22"/>
        <v>0</v>
      </c>
      <c r="AP38" s="269">
        <f t="shared" si="22"/>
        <v>0</v>
      </c>
      <c r="AQ38" s="269">
        <f t="shared" si="22"/>
        <v>0</v>
      </c>
      <c r="AR38" s="269">
        <f t="shared" si="22"/>
        <v>0</v>
      </c>
      <c r="AS38" s="269">
        <f t="shared" si="22"/>
        <v>0</v>
      </c>
      <c r="AT38" s="269">
        <f t="shared" si="22"/>
        <v>0</v>
      </c>
      <c r="AU38" s="269">
        <f t="shared" si="22"/>
        <v>0</v>
      </c>
      <c r="AV38" s="269">
        <f t="shared" si="22"/>
        <v>0</v>
      </c>
      <c r="AW38" s="269">
        <f t="shared" si="22"/>
        <v>1</v>
      </c>
      <c r="AX38" s="269">
        <f t="shared" si="22"/>
        <v>0</v>
      </c>
      <c r="AY38" s="269">
        <f t="shared" si="22"/>
        <v>0</v>
      </c>
      <c r="AZ38" s="269">
        <f t="shared" si="22"/>
        <v>0</v>
      </c>
      <c r="BA38" s="269">
        <f t="shared" si="22"/>
        <v>0</v>
      </c>
      <c r="BB38" s="269">
        <f t="shared" si="22"/>
        <v>0</v>
      </c>
      <c r="BC38" s="269">
        <f t="shared" si="22"/>
        <v>0</v>
      </c>
      <c r="BD38" s="269">
        <f t="shared" si="22"/>
        <v>0</v>
      </c>
      <c r="BE38" s="269">
        <f t="shared" si="22"/>
        <v>0</v>
      </c>
      <c r="BF38" s="269">
        <f t="shared" si="22"/>
        <v>0</v>
      </c>
      <c r="BG38" s="269">
        <f t="shared" si="22"/>
        <v>0</v>
      </c>
      <c r="BH38" s="269">
        <f t="shared" si="22"/>
        <v>0</v>
      </c>
      <c r="BI38" s="269">
        <f t="shared" si="22"/>
        <v>1</v>
      </c>
      <c r="BJ38" s="269">
        <f t="shared" si="22"/>
        <v>0</v>
      </c>
      <c r="BK38" s="269">
        <f t="shared" si="22"/>
        <v>0</v>
      </c>
      <c r="BL38" s="269">
        <f t="shared" si="22"/>
        <v>0</v>
      </c>
      <c r="BM38" s="269">
        <f t="shared" si="22"/>
        <v>0</v>
      </c>
      <c r="BN38" s="269">
        <f t="shared" si="22"/>
        <v>0</v>
      </c>
      <c r="BO38" s="269">
        <f t="shared" si="22"/>
        <v>0</v>
      </c>
      <c r="BP38" s="269">
        <f t="shared" si="22"/>
        <v>0</v>
      </c>
      <c r="BQ38" s="269">
        <f t="shared" ref="BQ38:CD38" si="23" xml:space="preserve"> BQ$33</f>
        <v>0</v>
      </c>
      <c r="BR38" s="269">
        <f t="shared" si="23"/>
        <v>0</v>
      </c>
      <c r="BS38" s="269">
        <f t="shared" si="23"/>
        <v>0</v>
      </c>
      <c r="BT38" s="269">
        <f t="shared" si="23"/>
        <v>0</v>
      </c>
      <c r="BU38" s="269">
        <f t="shared" si="23"/>
        <v>1</v>
      </c>
      <c r="BV38" s="269">
        <f t="shared" si="23"/>
        <v>0</v>
      </c>
      <c r="BW38" s="269">
        <f t="shared" si="23"/>
        <v>0</v>
      </c>
      <c r="BX38" s="269">
        <f t="shared" si="23"/>
        <v>0</v>
      </c>
      <c r="BY38" s="269">
        <f t="shared" si="23"/>
        <v>0</v>
      </c>
      <c r="BZ38" s="269">
        <f t="shared" si="23"/>
        <v>0</v>
      </c>
      <c r="CA38" s="269">
        <f t="shared" si="23"/>
        <v>0</v>
      </c>
      <c r="CB38" s="269">
        <f t="shared" si="23"/>
        <v>0</v>
      </c>
      <c r="CC38" s="269">
        <f t="shared" si="23"/>
        <v>0</v>
      </c>
      <c r="CD38" s="269">
        <f t="shared" si="23"/>
        <v>0</v>
      </c>
    </row>
    <row r="39" spans="1:82" hidden="1" outlineLevel="2" x14ac:dyDescent="0.35">
      <c r="A39" s="138"/>
      <c r="B39" s="138"/>
      <c r="C39" s="139"/>
      <c r="D39" s="140"/>
      <c r="E39" s="137" t="s">
        <v>81</v>
      </c>
      <c r="F39" s="137"/>
      <c r="G39" s="137" t="s">
        <v>6</v>
      </c>
      <c r="H39" s="137"/>
      <c r="I39" s="137"/>
      <c r="J39" s="270">
        <f t="shared" ref="J39:AO39" si="24" xml:space="preserve"> IF( J37 = 1, $F35, IF( I38 = 1, EOMONTH(I39, 12), I39))</f>
        <v>43921</v>
      </c>
      <c r="K39" s="270">
        <f t="shared" si="24"/>
        <v>43921</v>
      </c>
      <c r="L39" s="270">
        <f t="shared" si="24"/>
        <v>43921</v>
      </c>
      <c r="M39" s="270">
        <f t="shared" si="24"/>
        <v>43921</v>
      </c>
      <c r="N39" s="270">
        <f t="shared" si="24"/>
        <v>44286</v>
      </c>
      <c r="O39" s="270">
        <f t="shared" si="24"/>
        <v>44286</v>
      </c>
      <c r="P39" s="270">
        <f t="shared" si="24"/>
        <v>44286</v>
      </c>
      <c r="Q39" s="270">
        <f t="shared" si="24"/>
        <v>44286</v>
      </c>
      <c r="R39" s="270">
        <f t="shared" si="24"/>
        <v>44286</v>
      </c>
      <c r="S39" s="270">
        <f t="shared" si="24"/>
        <v>44286</v>
      </c>
      <c r="T39" s="270">
        <f t="shared" si="24"/>
        <v>44286</v>
      </c>
      <c r="U39" s="270">
        <f t="shared" si="24"/>
        <v>44286</v>
      </c>
      <c r="V39" s="270">
        <f t="shared" si="24"/>
        <v>44286</v>
      </c>
      <c r="W39" s="270">
        <f t="shared" si="24"/>
        <v>44286</v>
      </c>
      <c r="X39" s="270">
        <f t="shared" si="24"/>
        <v>44286</v>
      </c>
      <c r="Y39" s="270">
        <f t="shared" si="24"/>
        <v>44286</v>
      </c>
      <c r="Z39" s="270">
        <f t="shared" si="24"/>
        <v>44651</v>
      </c>
      <c r="AA39" s="270">
        <f t="shared" si="24"/>
        <v>44651</v>
      </c>
      <c r="AB39" s="270">
        <f t="shared" si="24"/>
        <v>44651</v>
      </c>
      <c r="AC39" s="270">
        <f t="shared" si="24"/>
        <v>44651</v>
      </c>
      <c r="AD39" s="270">
        <f t="shared" si="24"/>
        <v>44651</v>
      </c>
      <c r="AE39" s="270">
        <f t="shared" si="24"/>
        <v>44651</v>
      </c>
      <c r="AF39" s="270">
        <f t="shared" si="24"/>
        <v>44651</v>
      </c>
      <c r="AG39" s="270">
        <f t="shared" si="24"/>
        <v>44651</v>
      </c>
      <c r="AH39" s="270">
        <f t="shared" si="24"/>
        <v>44651</v>
      </c>
      <c r="AI39" s="270">
        <f t="shared" si="24"/>
        <v>44651</v>
      </c>
      <c r="AJ39" s="270">
        <f t="shared" si="24"/>
        <v>44651</v>
      </c>
      <c r="AK39" s="270">
        <f t="shared" si="24"/>
        <v>44651</v>
      </c>
      <c r="AL39" s="270">
        <f t="shared" si="24"/>
        <v>45016</v>
      </c>
      <c r="AM39" s="270">
        <f t="shared" si="24"/>
        <v>45016</v>
      </c>
      <c r="AN39" s="270">
        <f t="shared" si="24"/>
        <v>45016</v>
      </c>
      <c r="AO39" s="270">
        <f t="shared" si="24"/>
        <v>45016</v>
      </c>
      <c r="AP39" s="270">
        <f t="shared" ref="AP39:BU39" si="25" xml:space="preserve"> IF( AP37 = 1, $F35, IF( AO38 = 1, EOMONTH(AO39, 12), AO39))</f>
        <v>45016</v>
      </c>
      <c r="AQ39" s="270">
        <f t="shared" si="25"/>
        <v>45016</v>
      </c>
      <c r="AR39" s="270">
        <f t="shared" si="25"/>
        <v>45016</v>
      </c>
      <c r="AS39" s="270">
        <f t="shared" si="25"/>
        <v>45016</v>
      </c>
      <c r="AT39" s="270">
        <f t="shared" si="25"/>
        <v>45016</v>
      </c>
      <c r="AU39" s="270">
        <f t="shared" si="25"/>
        <v>45016</v>
      </c>
      <c r="AV39" s="270">
        <f t="shared" si="25"/>
        <v>45016</v>
      </c>
      <c r="AW39" s="270">
        <f t="shared" si="25"/>
        <v>45016</v>
      </c>
      <c r="AX39" s="270">
        <f t="shared" si="25"/>
        <v>45382</v>
      </c>
      <c r="AY39" s="270">
        <f t="shared" si="25"/>
        <v>45382</v>
      </c>
      <c r="AZ39" s="270">
        <f t="shared" si="25"/>
        <v>45382</v>
      </c>
      <c r="BA39" s="270">
        <f t="shared" si="25"/>
        <v>45382</v>
      </c>
      <c r="BB39" s="270">
        <f t="shared" si="25"/>
        <v>45382</v>
      </c>
      <c r="BC39" s="270">
        <f t="shared" si="25"/>
        <v>45382</v>
      </c>
      <c r="BD39" s="270">
        <f t="shared" si="25"/>
        <v>45382</v>
      </c>
      <c r="BE39" s="270">
        <f t="shared" si="25"/>
        <v>45382</v>
      </c>
      <c r="BF39" s="270">
        <f t="shared" si="25"/>
        <v>45382</v>
      </c>
      <c r="BG39" s="270">
        <f t="shared" si="25"/>
        <v>45382</v>
      </c>
      <c r="BH39" s="270">
        <f t="shared" si="25"/>
        <v>45382</v>
      </c>
      <c r="BI39" s="270">
        <f t="shared" si="25"/>
        <v>45382</v>
      </c>
      <c r="BJ39" s="270">
        <f t="shared" si="25"/>
        <v>45747</v>
      </c>
      <c r="BK39" s="270">
        <f t="shared" si="25"/>
        <v>45747</v>
      </c>
      <c r="BL39" s="270">
        <f t="shared" si="25"/>
        <v>45747</v>
      </c>
      <c r="BM39" s="270">
        <f t="shared" si="25"/>
        <v>45747</v>
      </c>
      <c r="BN39" s="270">
        <f t="shared" si="25"/>
        <v>45747</v>
      </c>
      <c r="BO39" s="270">
        <f t="shared" si="25"/>
        <v>45747</v>
      </c>
      <c r="BP39" s="270">
        <f t="shared" si="25"/>
        <v>45747</v>
      </c>
      <c r="BQ39" s="270">
        <f t="shared" si="25"/>
        <v>45747</v>
      </c>
      <c r="BR39" s="270">
        <f t="shared" si="25"/>
        <v>45747</v>
      </c>
      <c r="BS39" s="270">
        <f t="shared" si="25"/>
        <v>45747</v>
      </c>
      <c r="BT39" s="270">
        <f t="shared" si="25"/>
        <v>45747</v>
      </c>
      <c r="BU39" s="270">
        <f t="shared" si="25"/>
        <v>45747</v>
      </c>
      <c r="BV39" s="270">
        <f t="shared" ref="BV39:CD39" si="26" xml:space="preserve"> IF( BV37 = 1, $F35, IF( BU38 = 1, EOMONTH(BU39, 12), BU39))</f>
        <v>46112</v>
      </c>
      <c r="BW39" s="270">
        <f t="shared" si="26"/>
        <v>46112</v>
      </c>
      <c r="BX39" s="270">
        <f t="shared" si="26"/>
        <v>46112</v>
      </c>
      <c r="BY39" s="270">
        <f t="shared" si="26"/>
        <v>46112</v>
      </c>
      <c r="BZ39" s="270">
        <f t="shared" si="26"/>
        <v>46112</v>
      </c>
      <c r="CA39" s="270">
        <f t="shared" si="26"/>
        <v>46112</v>
      </c>
      <c r="CB39" s="270">
        <f t="shared" si="26"/>
        <v>46112</v>
      </c>
      <c r="CC39" s="270">
        <f t="shared" si="26"/>
        <v>46112</v>
      </c>
      <c r="CD39" s="270">
        <f t="shared" si="26"/>
        <v>46112</v>
      </c>
    </row>
    <row r="40" spans="1:82" hidden="1" outlineLevel="2" x14ac:dyDescent="0.35">
      <c r="A40" s="138"/>
      <c r="B40" s="138"/>
      <c r="C40" s="139"/>
      <c r="D40" s="140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</row>
    <row r="41" spans="1:82" hidden="1" outlineLevel="2" x14ac:dyDescent="0.35">
      <c r="A41" s="138"/>
      <c r="B41" s="138"/>
      <c r="C41" s="139"/>
      <c r="D41" s="140"/>
      <c r="E41" s="275" t="str">
        <f t="shared" ref="E41:AJ41" si="27" xml:space="preserve"> E$39</f>
        <v>Contract year applicable to period</v>
      </c>
      <c r="F41" s="275">
        <f t="shared" si="27"/>
        <v>0</v>
      </c>
      <c r="G41" s="275" t="str">
        <f t="shared" si="27"/>
        <v>date</v>
      </c>
      <c r="H41" s="275">
        <f t="shared" si="27"/>
        <v>0</v>
      </c>
      <c r="I41" s="275">
        <f t="shared" si="27"/>
        <v>0</v>
      </c>
      <c r="J41" s="275">
        <f t="shared" si="27"/>
        <v>43921</v>
      </c>
      <c r="K41" s="275">
        <f t="shared" si="27"/>
        <v>43921</v>
      </c>
      <c r="L41" s="275">
        <f t="shared" si="27"/>
        <v>43921</v>
      </c>
      <c r="M41" s="275">
        <f t="shared" si="27"/>
        <v>43921</v>
      </c>
      <c r="N41" s="275">
        <f t="shared" si="27"/>
        <v>44286</v>
      </c>
      <c r="O41" s="275">
        <f t="shared" si="27"/>
        <v>44286</v>
      </c>
      <c r="P41" s="275">
        <f t="shared" si="27"/>
        <v>44286</v>
      </c>
      <c r="Q41" s="275">
        <f t="shared" si="27"/>
        <v>44286</v>
      </c>
      <c r="R41" s="275">
        <f t="shared" si="27"/>
        <v>44286</v>
      </c>
      <c r="S41" s="275">
        <f t="shared" si="27"/>
        <v>44286</v>
      </c>
      <c r="T41" s="275">
        <f t="shared" si="27"/>
        <v>44286</v>
      </c>
      <c r="U41" s="275">
        <f t="shared" si="27"/>
        <v>44286</v>
      </c>
      <c r="V41" s="275">
        <f t="shared" si="27"/>
        <v>44286</v>
      </c>
      <c r="W41" s="275">
        <f t="shared" si="27"/>
        <v>44286</v>
      </c>
      <c r="X41" s="275">
        <f t="shared" si="27"/>
        <v>44286</v>
      </c>
      <c r="Y41" s="275">
        <f t="shared" si="27"/>
        <v>44286</v>
      </c>
      <c r="Z41" s="275">
        <f t="shared" si="27"/>
        <v>44651</v>
      </c>
      <c r="AA41" s="275">
        <f t="shared" si="27"/>
        <v>44651</v>
      </c>
      <c r="AB41" s="275">
        <f t="shared" si="27"/>
        <v>44651</v>
      </c>
      <c r="AC41" s="275">
        <f t="shared" si="27"/>
        <v>44651</v>
      </c>
      <c r="AD41" s="275">
        <f t="shared" si="27"/>
        <v>44651</v>
      </c>
      <c r="AE41" s="275">
        <f t="shared" si="27"/>
        <v>44651</v>
      </c>
      <c r="AF41" s="275">
        <f t="shared" si="27"/>
        <v>44651</v>
      </c>
      <c r="AG41" s="275">
        <f t="shared" si="27"/>
        <v>44651</v>
      </c>
      <c r="AH41" s="275">
        <f t="shared" si="27"/>
        <v>44651</v>
      </c>
      <c r="AI41" s="275">
        <f t="shared" si="27"/>
        <v>44651</v>
      </c>
      <c r="AJ41" s="275">
        <f t="shared" si="27"/>
        <v>44651</v>
      </c>
      <c r="AK41" s="275">
        <f t="shared" ref="AK41:BP41" si="28" xml:space="preserve"> AK$39</f>
        <v>44651</v>
      </c>
      <c r="AL41" s="275">
        <f t="shared" si="28"/>
        <v>45016</v>
      </c>
      <c r="AM41" s="275">
        <f t="shared" si="28"/>
        <v>45016</v>
      </c>
      <c r="AN41" s="275">
        <f t="shared" si="28"/>
        <v>45016</v>
      </c>
      <c r="AO41" s="275">
        <f t="shared" si="28"/>
        <v>45016</v>
      </c>
      <c r="AP41" s="275">
        <f t="shared" si="28"/>
        <v>45016</v>
      </c>
      <c r="AQ41" s="275">
        <f t="shared" si="28"/>
        <v>45016</v>
      </c>
      <c r="AR41" s="275">
        <f t="shared" si="28"/>
        <v>45016</v>
      </c>
      <c r="AS41" s="275">
        <f t="shared" si="28"/>
        <v>45016</v>
      </c>
      <c r="AT41" s="275">
        <f t="shared" si="28"/>
        <v>45016</v>
      </c>
      <c r="AU41" s="275">
        <f t="shared" si="28"/>
        <v>45016</v>
      </c>
      <c r="AV41" s="275">
        <f t="shared" si="28"/>
        <v>45016</v>
      </c>
      <c r="AW41" s="275">
        <f t="shared" si="28"/>
        <v>45016</v>
      </c>
      <c r="AX41" s="275">
        <f t="shared" si="28"/>
        <v>45382</v>
      </c>
      <c r="AY41" s="275">
        <f t="shared" si="28"/>
        <v>45382</v>
      </c>
      <c r="AZ41" s="275">
        <f t="shared" si="28"/>
        <v>45382</v>
      </c>
      <c r="BA41" s="275">
        <f t="shared" si="28"/>
        <v>45382</v>
      </c>
      <c r="BB41" s="275">
        <f t="shared" si="28"/>
        <v>45382</v>
      </c>
      <c r="BC41" s="275">
        <f t="shared" si="28"/>
        <v>45382</v>
      </c>
      <c r="BD41" s="275">
        <f t="shared" si="28"/>
        <v>45382</v>
      </c>
      <c r="BE41" s="275">
        <f t="shared" si="28"/>
        <v>45382</v>
      </c>
      <c r="BF41" s="275">
        <f t="shared" si="28"/>
        <v>45382</v>
      </c>
      <c r="BG41" s="275">
        <f t="shared" si="28"/>
        <v>45382</v>
      </c>
      <c r="BH41" s="275">
        <f t="shared" si="28"/>
        <v>45382</v>
      </c>
      <c r="BI41" s="275">
        <f t="shared" si="28"/>
        <v>45382</v>
      </c>
      <c r="BJ41" s="275">
        <f t="shared" si="28"/>
        <v>45747</v>
      </c>
      <c r="BK41" s="275">
        <f t="shared" si="28"/>
        <v>45747</v>
      </c>
      <c r="BL41" s="275">
        <f t="shared" si="28"/>
        <v>45747</v>
      </c>
      <c r="BM41" s="275">
        <f t="shared" si="28"/>
        <v>45747</v>
      </c>
      <c r="BN41" s="275">
        <f t="shared" si="28"/>
        <v>45747</v>
      </c>
      <c r="BO41" s="275">
        <f t="shared" si="28"/>
        <v>45747</v>
      </c>
      <c r="BP41" s="275">
        <f t="shared" si="28"/>
        <v>45747</v>
      </c>
      <c r="BQ41" s="275">
        <f t="shared" ref="BQ41:CD41" si="29" xml:space="preserve"> BQ$39</f>
        <v>45747</v>
      </c>
      <c r="BR41" s="275">
        <f t="shared" si="29"/>
        <v>45747</v>
      </c>
      <c r="BS41" s="275">
        <f t="shared" si="29"/>
        <v>45747</v>
      </c>
      <c r="BT41" s="275">
        <f t="shared" si="29"/>
        <v>45747</v>
      </c>
      <c r="BU41" s="275">
        <f t="shared" si="29"/>
        <v>45747</v>
      </c>
      <c r="BV41" s="275">
        <f t="shared" si="29"/>
        <v>46112</v>
      </c>
      <c r="BW41" s="275">
        <f t="shared" si="29"/>
        <v>46112</v>
      </c>
      <c r="BX41" s="275">
        <f t="shared" si="29"/>
        <v>46112</v>
      </c>
      <c r="BY41" s="275">
        <f t="shared" si="29"/>
        <v>46112</v>
      </c>
      <c r="BZ41" s="275">
        <f t="shared" si="29"/>
        <v>46112</v>
      </c>
      <c r="CA41" s="275">
        <f t="shared" si="29"/>
        <v>46112</v>
      </c>
      <c r="CB41" s="275">
        <f t="shared" si="29"/>
        <v>46112</v>
      </c>
      <c r="CC41" s="275">
        <f t="shared" si="29"/>
        <v>46112</v>
      </c>
      <c r="CD41" s="275">
        <f t="shared" si="29"/>
        <v>46112</v>
      </c>
    </row>
    <row r="42" spans="1:82" hidden="1" outlineLevel="2" x14ac:dyDescent="0.35">
      <c r="A42" s="64"/>
      <c r="B42" s="64"/>
      <c r="C42" s="65"/>
      <c r="D42" s="66"/>
      <c r="E42" s="67" t="s">
        <v>82</v>
      </c>
      <c r="F42" s="67"/>
      <c r="G42" s="67" t="s">
        <v>15</v>
      </c>
      <c r="H42" s="67"/>
      <c r="I42" s="67"/>
      <c r="J42" s="67">
        <f xml:space="preserve"> YEAR(J41)</f>
        <v>2020</v>
      </c>
      <c r="K42" s="67">
        <f t="shared" ref="K42:BV42" si="30" xml:space="preserve"> YEAR(K41)</f>
        <v>2020</v>
      </c>
      <c r="L42" s="67">
        <f t="shared" si="30"/>
        <v>2020</v>
      </c>
      <c r="M42" s="67">
        <f t="shared" si="30"/>
        <v>2020</v>
      </c>
      <c r="N42" s="67">
        <f t="shared" si="30"/>
        <v>2021</v>
      </c>
      <c r="O42" s="67">
        <f t="shared" si="30"/>
        <v>2021</v>
      </c>
      <c r="P42" s="67">
        <f t="shared" si="30"/>
        <v>2021</v>
      </c>
      <c r="Q42" s="67">
        <f t="shared" si="30"/>
        <v>2021</v>
      </c>
      <c r="R42" s="67">
        <f t="shared" si="30"/>
        <v>2021</v>
      </c>
      <c r="S42" s="67">
        <f t="shared" si="30"/>
        <v>2021</v>
      </c>
      <c r="T42" s="67">
        <f t="shared" si="30"/>
        <v>2021</v>
      </c>
      <c r="U42" s="67">
        <f t="shared" si="30"/>
        <v>2021</v>
      </c>
      <c r="V42" s="67">
        <f t="shared" si="30"/>
        <v>2021</v>
      </c>
      <c r="W42" s="67">
        <f t="shared" si="30"/>
        <v>2021</v>
      </c>
      <c r="X42" s="67">
        <f t="shared" si="30"/>
        <v>2021</v>
      </c>
      <c r="Y42" s="67">
        <f t="shared" si="30"/>
        <v>2021</v>
      </c>
      <c r="Z42" s="67">
        <f t="shared" si="30"/>
        <v>2022</v>
      </c>
      <c r="AA42" s="67">
        <f t="shared" si="30"/>
        <v>2022</v>
      </c>
      <c r="AB42" s="67">
        <f t="shared" si="30"/>
        <v>2022</v>
      </c>
      <c r="AC42" s="67">
        <f t="shared" si="30"/>
        <v>2022</v>
      </c>
      <c r="AD42" s="67">
        <f t="shared" si="30"/>
        <v>2022</v>
      </c>
      <c r="AE42" s="67">
        <f t="shared" si="30"/>
        <v>2022</v>
      </c>
      <c r="AF42" s="67">
        <f t="shared" si="30"/>
        <v>2022</v>
      </c>
      <c r="AG42" s="67">
        <f t="shared" si="30"/>
        <v>2022</v>
      </c>
      <c r="AH42" s="67">
        <f t="shared" si="30"/>
        <v>2022</v>
      </c>
      <c r="AI42" s="67">
        <f t="shared" si="30"/>
        <v>2022</v>
      </c>
      <c r="AJ42" s="67">
        <f t="shared" si="30"/>
        <v>2022</v>
      </c>
      <c r="AK42" s="67">
        <f t="shared" si="30"/>
        <v>2022</v>
      </c>
      <c r="AL42" s="67">
        <f t="shared" si="30"/>
        <v>2023</v>
      </c>
      <c r="AM42" s="67">
        <f t="shared" si="30"/>
        <v>2023</v>
      </c>
      <c r="AN42" s="67">
        <f t="shared" si="30"/>
        <v>2023</v>
      </c>
      <c r="AO42" s="67">
        <f t="shared" si="30"/>
        <v>2023</v>
      </c>
      <c r="AP42" s="67">
        <f t="shared" si="30"/>
        <v>2023</v>
      </c>
      <c r="AQ42" s="67">
        <f t="shared" si="30"/>
        <v>2023</v>
      </c>
      <c r="AR42" s="67">
        <f t="shared" si="30"/>
        <v>2023</v>
      </c>
      <c r="AS42" s="67">
        <f t="shared" si="30"/>
        <v>2023</v>
      </c>
      <c r="AT42" s="67">
        <f t="shared" si="30"/>
        <v>2023</v>
      </c>
      <c r="AU42" s="67">
        <f t="shared" si="30"/>
        <v>2023</v>
      </c>
      <c r="AV42" s="67">
        <f t="shared" si="30"/>
        <v>2023</v>
      </c>
      <c r="AW42" s="67">
        <f t="shared" si="30"/>
        <v>2023</v>
      </c>
      <c r="AX42" s="67">
        <f t="shared" si="30"/>
        <v>2024</v>
      </c>
      <c r="AY42" s="67">
        <f t="shared" si="30"/>
        <v>2024</v>
      </c>
      <c r="AZ42" s="67">
        <f t="shared" si="30"/>
        <v>2024</v>
      </c>
      <c r="BA42" s="67">
        <f t="shared" si="30"/>
        <v>2024</v>
      </c>
      <c r="BB42" s="67">
        <f t="shared" si="30"/>
        <v>2024</v>
      </c>
      <c r="BC42" s="67">
        <f t="shared" si="30"/>
        <v>2024</v>
      </c>
      <c r="BD42" s="67">
        <f t="shared" si="30"/>
        <v>2024</v>
      </c>
      <c r="BE42" s="67">
        <f t="shared" si="30"/>
        <v>2024</v>
      </c>
      <c r="BF42" s="67">
        <f t="shared" si="30"/>
        <v>2024</v>
      </c>
      <c r="BG42" s="67">
        <f t="shared" si="30"/>
        <v>2024</v>
      </c>
      <c r="BH42" s="67">
        <f t="shared" si="30"/>
        <v>2024</v>
      </c>
      <c r="BI42" s="67">
        <f t="shared" si="30"/>
        <v>2024</v>
      </c>
      <c r="BJ42" s="67">
        <f t="shared" si="30"/>
        <v>2025</v>
      </c>
      <c r="BK42" s="67">
        <f t="shared" si="30"/>
        <v>2025</v>
      </c>
      <c r="BL42" s="67">
        <f t="shared" si="30"/>
        <v>2025</v>
      </c>
      <c r="BM42" s="67">
        <f t="shared" si="30"/>
        <v>2025</v>
      </c>
      <c r="BN42" s="67">
        <f t="shared" si="30"/>
        <v>2025</v>
      </c>
      <c r="BO42" s="67">
        <f t="shared" si="30"/>
        <v>2025</v>
      </c>
      <c r="BP42" s="67">
        <f t="shared" si="30"/>
        <v>2025</v>
      </c>
      <c r="BQ42" s="67">
        <f t="shared" si="30"/>
        <v>2025</v>
      </c>
      <c r="BR42" s="67">
        <f t="shared" si="30"/>
        <v>2025</v>
      </c>
      <c r="BS42" s="67">
        <f t="shared" si="30"/>
        <v>2025</v>
      </c>
      <c r="BT42" s="67">
        <f t="shared" si="30"/>
        <v>2025</v>
      </c>
      <c r="BU42" s="67">
        <f t="shared" si="30"/>
        <v>2025</v>
      </c>
      <c r="BV42" s="67">
        <f t="shared" si="30"/>
        <v>2026</v>
      </c>
      <c r="BW42" s="67">
        <f t="shared" ref="BW42:CD42" si="31" xml:space="preserve"> YEAR(BW41)</f>
        <v>2026</v>
      </c>
      <c r="BX42" s="67">
        <f t="shared" si="31"/>
        <v>2026</v>
      </c>
      <c r="BY42" s="67">
        <f t="shared" si="31"/>
        <v>2026</v>
      </c>
      <c r="BZ42" s="67">
        <f t="shared" si="31"/>
        <v>2026</v>
      </c>
      <c r="CA42" s="67">
        <f t="shared" si="31"/>
        <v>2026</v>
      </c>
      <c r="CB42" s="67">
        <f t="shared" si="31"/>
        <v>2026</v>
      </c>
      <c r="CC42" s="67">
        <f t="shared" si="31"/>
        <v>2026</v>
      </c>
      <c r="CD42" s="67">
        <f t="shared" si="31"/>
        <v>2026</v>
      </c>
    </row>
    <row r="43" spans="1:82" hidden="1" outlineLevel="2" x14ac:dyDescent="0.35">
      <c r="A43" s="138"/>
      <c r="B43" s="138"/>
      <c r="C43" s="139"/>
      <c r="D43" s="140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  <c r="CC43" s="137"/>
      <c r="CD43" s="137"/>
    </row>
    <row r="44" spans="1:82" hidden="1" outlineLevel="1" x14ac:dyDescent="0.35">
      <c r="A44" s="138"/>
      <c r="B44" s="138"/>
      <c r="C44" s="139"/>
      <c r="D44" s="140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  <c r="CC44" s="137"/>
      <c r="CD44" s="137"/>
    </row>
    <row r="45" spans="1:82" hidden="1" outlineLevel="1" x14ac:dyDescent="0.35">
      <c r="A45" s="138"/>
      <c r="B45" s="138" t="s">
        <v>191</v>
      </c>
      <c r="C45" s="139"/>
      <c r="D45" s="140"/>
      <c r="E45" s="136"/>
      <c r="F45" s="136"/>
      <c r="G45" s="136"/>
      <c r="H45" s="136"/>
      <c r="I45" s="137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/>
      <c r="BZ45" s="136"/>
      <c r="CA45" s="136"/>
      <c r="CB45" s="136"/>
      <c r="CC45" s="136"/>
      <c r="CD45" s="136"/>
    </row>
    <row r="46" spans="1:82" hidden="1" outlineLevel="2" x14ac:dyDescent="0.35">
      <c r="A46" s="276"/>
      <c r="B46" s="276"/>
      <c r="C46" s="277"/>
      <c r="D46" s="278"/>
      <c r="E46" s="279" t="str">
        <f xml:space="preserve"> E$14</f>
        <v>First model column flag</v>
      </c>
      <c r="F46" s="279">
        <f t="shared" ref="F46:BQ46" si="32" xml:space="preserve"> F$14</f>
        <v>0</v>
      </c>
      <c r="G46" s="279" t="str">
        <f t="shared" si="32"/>
        <v>flag</v>
      </c>
      <c r="H46" s="279">
        <f t="shared" si="32"/>
        <v>1</v>
      </c>
      <c r="I46" s="280">
        <f t="shared" si="32"/>
        <v>0</v>
      </c>
      <c r="J46" s="279">
        <f t="shared" si="32"/>
        <v>1</v>
      </c>
      <c r="K46" s="279">
        <f t="shared" si="32"/>
        <v>0</v>
      </c>
      <c r="L46" s="279">
        <f t="shared" si="32"/>
        <v>0</v>
      </c>
      <c r="M46" s="279">
        <f t="shared" si="32"/>
        <v>0</v>
      </c>
      <c r="N46" s="279">
        <f t="shared" si="32"/>
        <v>0</v>
      </c>
      <c r="O46" s="279">
        <f t="shared" si="32"/>
        <v>0</v>
      </c>
      <c r="P46" s="279">
        <f t="shared" si="32"/>
        <v>0</v>
      </c>
      <c r="Q46" s="279">
        <f t="shared" si="32"/>
        <v>0</v>
      </c>
      <c r="R46" s="279">
        <f t="shared" si="32"/>
        <v>0</v>
      </c>
      <c r="S46" s="279">
        <f t="shared" si="32"/>
        <v>0</v>
      </c>
      <c r="T46" s="279">
        <f t="shared" si="32"/>
        <v>0</v>
      </c>
      <c r="U46" s="279">
        <f t="shared" si="32"/>
        <v>0</v>
      </c>
      <c r="V46" s="279">
        <f t="shared" si="32"/>
        <v>0</v>
      </c>
      <c r="W46" s="279">
        <f t="shared" si="32"/>
        <v>0</v>
      </c>
      <c r="X46" s="279">
        <f t="shared" si="32"/>
        <v>0</v>
      </c>
      <c r="Y46" s="279">
        <f t="shared" si="32"/>
        <v>0</v>
      </c>
      <c r="Z46" s="279">
        <f t="shared" si="32"/>
        <v>0</v>
      </c>
      <c r="AA46" s="279">
        <f t="shared" si="32"/>
        <v>0</v>
      </c>
      <c r="AB46" s="279">
        <f t="shared" si="32"/>
        <v>0</v>
      </c>
      <c r="AC46" s="279">
        <f t="shared" si="32"/>
        <v>0</v>
      </c>
      <c r="AD46" s="279">
        <f t="shared" si="32"/>
        <v>0</v>
      </c>
      <c r="AE46" s="279">
        <f t="shared" si="32"/>
        <v>0</v>
      </c>
      <c r="AF46" s="279">
        <f t="shared" si="32"/>
        <v>0</v>
      </c>
      <c r="AG46" s="279">
        <f t="shared" si="32"/>
        <v>0</v>
      </c>
      <c r="AH46" s="279">
        <f t="shared" si="32"/>
        <v>0</v>
      </c>
      <c r="AI46" s="279">
        <f t="shared" si="32"/>
        <v>0</v>
      </c>
      <c r="AJ46" s="279">
        <f t="shared" si="32"/>
        <v>0</v>
      </c>
      <c r="AK46" s="279">
        <f t="shared" si="32"/>
        <v>0</v>
      </c>
      <c r="AL46" s="279">
        <f t="shared" si="32"/>
        <v>0</v>
      </c>
      <c r="AM46" s="279">
        <f t="shared" si="32"/>
        <v>0</v>
      </c>
      <c r="AN46" s="279">
        <f t="shared" si="32"/>
        <v>0</v>
      </c>
      <c r="AO46" s="279">
        <f t="shared" si="32"/>
        <v>0</v>
      </c>
      <c r="AP46" s="279">
        <f t="shared" si="32"/>
        <v>0</v>
      </c>
      <c r="AQ46" s="279">
        <f t="shared" si="32"/>
        <v>0</v>
      </c>
      <c r="AR46" s="279">
        <f t="shared" si="32"/>
        <v>0</v>
      </c>
      <c r="AS46" s="279">
        <f t="shared" si="32"/>
        <v>0</v>
      </c>
      <c r="AT46" s="279">
        <f t="shared" si="32"/>
        <v>0</v>
      </c>
      <c r="AU46" s="279">
        <f t="shared" si="32"/>
        <v>0</v>
      </c>
      <c r="AV46" s="279">
        <f t="shared" si="32"/>
        <v>0</v>
      </c>
      <c r="AW46" s="279">
        <f t="shared" si="32"/>
        <v>0</v>
      </c>
      <c r="AX46" s="279">
        <f t="shared" si="32"/>
        <v>0</v>
      </c>
      <c r="AY46" s="279">
        <f t="shared" si="32"/>
        <v>0</v>
      </c>
      <c r="AZ46" s="279">
        <f t="shared" si="32"/>
        <v>0</v>
      </c>
      <c r="BA46" s="279">
        <f t="shared" si="32"/>
        <v>0</v>
      </c>
      <c r="BB46" s="279">
        <f t="shared" si="32"/>
        <v>0</v>
      </c>
      <c r="BC46" s="279">
        <f t="shared" si="32"/>
        <v>0</v>
      </c>
      <c r="BD46" s="279">
        <f t="shared" si="32"/>
        <v>0</v>
      </c>
      <c r="BE46" s="279">
        <f t="shared" si="32"/>
        <v>0</v>
      </c>
      <c r="BF46" s="279">
        <f t="shared" si="32"/>
        <v>0</v>
      </c>
      <c r="BG46" s="279">
        <f t="shared" si="32"/>
        <v>0</v>
      </c>
      <c r="BH46" s="279">
        <f t="shared" si="32"/>
        <v>0</v>
      </c>
      <c r="BI46" s="279">
        <f t="shared" si="32"/>
        <v>0</v>
      </c>
      <c r="BJ46" s="279">
        <f t="shared" si="32"/>
        <v>0</v>
      </c>
      <c r="BK46" s="279">
        <f t="shared" si="32"/>
        <v>0</v>
      </c>
      <c r="BL46" s="279">
        <f t="shared" si="32"/>
        <v>0</v>
      </c>
      <c r="BM46" s="279">
        <f t="shared" si="32"/>
        <v>0</v>
      </c>
      <c r="BN46" s="279">
        <f t="shared" si="32"/>
        <v>0</v>
      </c>
      <c r="BO46" s="279">
        <f t="shared" si="32"/>
        <v>0</v>
      </c>
      <c r="BP46" s="279">
        <f t="shared" si="32"/>
        <v>0</v>
      </c>
      <c r="BQ46" s="279">
        <f t="shared" si="32"/>
        <v>0</v>
      </c>
      <c r="BR46" s="279">
        <f t="shared" ref="BR46:CD46" si="33" xml:space="preserve"> BR$14</f>
        <v>0</v>
      </c>
      <c r="BS46" s="279">
        <f t="shared" si="33"/>
        <v>0</v>
      </c>
      <c r="BT46" s="279">
        <f t="shared" si="33"/>
        <v>0</v>
      </c>
      <c r="BU46" s="279">
        <f t="shared" si="33"/>
        <v>0</v>
      </c>
      <c r="BV46" s="279">
        <f t="shared" si="33"/>
        <v>0</v>
      </c>
      <c r="BW46" s="279">
        <f t="shared" si="33"/>
        <v>0</v>
      </c>
      <c r="BX46" s="279">
        <f t="shared" si="33"/>
        <v>0</v>
      </c>
      <c r="BY46" s="279">
        <f t="shared" si="33"/>
        <v>0</v>
      </c>
      <c r="BZ46" s="279">
        <f t="shared" si="33"/>
        <v>0</v>
      </c>
      <c r="CA46" s="279">
        <f t="shared" si="33"/>
        <v>0</v>
      </c>
      <c r="CB46" s="279">
        <f t="shared" si="33"/>
        <v>0</v>
      </c>
      <c r="CC46" s="279">
        <f t="shared" si="33"/>
        <v>0</v>
      </c>
      <c r="CD46" s="279">
        <f t="shared" si="33"/>
        <v>0</v>
      </c>
    </row>
    <row r="47" spans="1:82" hidden="1" outlineLevel="2" x14ac:dyDescent="0.35">
      <c r="A47" s="233"/>
      <c r="B47" s="233"/>
      <c r="C47" s="234"/>
      <c r="D47" s="281"/>
      <c r="E47" s="97" t="str">
        <f xml:space="preserve"> E$66</f>
        <v>Financial close date flag</v>
      </c>
      <c r="F47" s="97">
        <f t="shared" ref="F47:BQ47" si="34" xml:space="preserve"> F$66</f>
        <v>0</v>
      </c>
      <c r="G47" s="97" t="str">
        <f t="shared" si="34"/>
        <v>flag</v>
      </c>
      <c r="H47" s="97">
        <f t="shared" si="34"/>
        <v>1</v>
      </c>
      <c r="I47" s="98">
        <f t="shared" si="34"/>
        <v>0</v>
      </c>
      <c r="J47" s="97">
        <f t="shared" si="34"/>
        <v>0</v>
      </c>
      <c r="K47" s="97">
        <f t="shared" si="34"/>
        <v>0</v>
      </c>
      <c r="L47" s="97">
        <f t="shared" si="34"/>
        <v>0</v>
      </c>
      <c r="M47" s="97">
        <f t="shared" si="34"/>
        <v>1</v>
      </c>
      <c r="N47" s="97">
        <f t="shared" si="34"/>
        <v>0</v>
      </c>
      <c r="O47" s="97">
        <f t="shared" si="34"/>
        <v>0</v>
      </c>
      <c r="P47" s="97">
        <f t="shared" si="34"/>
        <v>0</v>
      </c>
      <c r="Q47" s="97">
        <f t="shared" si="34"/>
        <v>0</v>
      </c>
      <c r="R47" s="97">
        <f t="shared" si="34"/>
        <v>0</v>
      </c>
      <c r="S47" s="97">
        <f t="shared" si="34"/>
        <v>0</v>
      </c>
      <c r="T47" s="97">
        <f t="shared" si="34"/>
        <v>0</v>
      </c>
      <c r="U47" s="97">
        <f t="shared" si="34"/>
        <v>0</v>
      </c>
      <c r="V47" s="97">
        <f t="shared" si="34"/>
        <v>0</v>
      </c>
      <c r="W47" s="97">
        <f t="shared" si="34"/>
        <v>0</v>
      </c>
      <c r="X47" s="97">
        <f t="shared" si="34"/>
        <v>0</v>
      </c>
      <c r="Y47" s="97">
        <f t="shared" si="34"/>
        <v>0</v>
      </c>
      <c r="Z47" s="97">
        <f t="shared" si="34"/>
        <v>0</v>
      </c>
      <c r="AA47" s="97">
        <f t="shared" si="34"/>
        <v>0</v>
      </c>
      <c r="AB47" s="97">
        <f t="shared" si="34"/>
        <v>0</v>
      </c>
      <c r="AC47" s="97">
        <f t="shared" si="34"/>
        <v>0</v>
      </c>
      <c r="AD47" s="97">
        <f t="shared" si="34"/>
        <v>0</v>
      </c>
      <c r="AE47" s="97">
        <f t="shared" si="34"/>
        <v>0</v>
      </c>
      <c r="AF47" s="97">
        <f t="shared" si="34"/>
        <v>0</v>
      </c>
      <c r="AG47" s="97">
        <f t="shared" si="34"/>
        <v>0</v>
      </c>
      <c r="AH47" s="97">
        <f t="shared" si="34"/>
        <v>0</v>
      </c>
      <c r="AI47" s="97">
        <f t="shared" si="34"/>
        <v>0</v>
      </c>
      <c r="AJ47" s="97">
        <f t="shared" si="34"/>
        <v>0</v>
      </c>
      <c r="AK47" s="97">
        <f t="shared" si="34"/>
        <v>0</v>
      </c>
      <c r="AL47" s="97">
        <f t="shared" si="34"/>
        <v>0</v>
      </c>
      <c r="AM47" s="97">
        <f t="shared" si="34"/>
        <v>0</v>
      </c>
      <c r="AN47" s="97">
        <f t="shared" si="34"/>
        <v>0</v>
      </c>
      <c r="AO47" s="97">
        <f t="shared" si="34"/>
        <v>0</v>
      </c>
      <c r="AP47" s="97">
        <f t="shared" si="34"/>
        <v>0</v>
      </c>
      <c r="AQ47" s="97">
        <f t="shared" si="34"/>
        <v>0</v>
      </c>
      <c r="AR47" s="97">
        <f t="shared" si="34"/>
        <v>0</v>
      </c>
      <c r="AS47" s="97">
        <f t="shared" si="34"/>
        <v>0</v>
      </c>
      <c r="AT47" s="97">
        <f t="shared" si="34"/>
        <v>0</v>
      </c>
      <c r="AU47" s="97">
        <f t="shared" si="34"/>
        <v>0</v>
      </c>
      <c r="AV47" s="97">
        <f t="shared" si="34"/>
        <v>0</v>
      </c>
      <c r="AW47" s="97">
        <f t="shared" si="34"/>
        <v>0</v>
      </c>
      <c r="AX47" s="97">
        <f t="shared" si="34"/>
        <v>0</v>
      </c>
      <c r="AY47" s="97">
        <f t="shared" si="34"/>
        <v>0</v>
      </c>
      <c r="AZ47" s="97">
        <f t="shared" si="34"/>
        <v>0</v>
      </c>
      <c r="BA47" s="97">
        <f t="shared" si="34"/>
        <v>0</v>
      </c>
      <c r="BB47" s="97">
        <f t="shared" si="34"/>
        <v>0</v>
      </c>
      <c r="BC47" s="97">
        <f t="shared" si="34"/>
        <v>0</v>
      </c>
      <c r="BD47" s="97">
        <f t="shared" si="34"/>
        <v>0</v>
      </c>
      <c r="BE47" s="97">
        <f t="shared" si="34"/>
        <v>0</v>
      </c>
      <c r="BF47" s="97">
        <f t="shared" si="34"/>
        <v>0</v>
      </c>
      <c r="BG47" s="97">
        <f t="shared" si="34"/>
        <v>0</v>
      </c>
      <c r="BH47" s="97">
        <f t="shared" si="34"/>
        <v>0</v>
      </c>
      <c r="BI47" s="97">
        <f t="shared" si="34"/>
        <v>0</v>
      </c>
      <c r="BJ47" s="97">
        <f t="shared" si="34"/>
        <v>0</v>
      </c>
      <c r="BK47" s="97">
        <f t="shared" si="34"/>
        <v>0</v>
      </c>
      <c r="BL47" s="97">
        <f t="shared" si="34"/>
        <v>0</v>
      </c>
      <c r="BM47" s="97">
        <f t="shared" si="34"/>
        <v>0</v>
      </c>
      <c r="BN47" s="97">
        <f t="shared" si="34"/>
        <v>0</v>
      </c>
      <c r="BO47" s="97">
        <f t="shared" si="34"/>
        <v>0</v>
      </c>
      <c r="BP47" s="97">
        <f t="shared" si="34"/>
        <v>0</v>
      </c>
      <c r="BQ47" s="97">
        <f t="shared" si="34"/>
        <v>0</v>
      </c>
      <c r="BR47" s="97">
        <f t="shared" ref="BR47:CD47" si="35" xml:space="preserve"> BR$66</f>
        <v>0</v>
      </c>
      <c r="BS47" s="97">
        <f t="shared" si="35"/>
        <v>0</v>
      </c>
      <c r="BT47" s="97">
        <f t="shared" si="35"/>
        <v>0</v>
      </c>
      <c r="BU47" s="97">
        <f t="shared" si="35"/>
        <v>0</v>
      </c>
      <c r="BV47" s="97">
        <f t="shared" si="35"/>
        <v>0</v>
      </c>
      <c r="BW47" s="97">
        <f t="shared" si="35"/>
        <v>0</v>
      </c>
      <c r="BX47" s="97">
        <f t="shared" si="35"/>
        <v>0</v>
      </c>
      <c r="BY47" s="97">
        <f t="shared" si="35"/>
        <v>0</v>
      </c>
      <c r="BZ47" s="97">
        <f t="shared" si="35"/>
        <v>0</v>
      </c>
      <c r="CA47" s="97">
        <f t="shared" si="35"/>
        <v>0</v>
      </c>
      <c r="CB47" s="97">
        <f t="shared" si="35"/>
        <v>0</v>
      </c>
      <c r="CC47" s="97">
        <f t="shared" si="35"/>
        <v>0</v>
      </c>
      <c r="CD47" s="97">
        <f t="shared" si="35"/>
        <v>0</v>
      </c>
    </row>
    <row r="48" spans="1:82" hidden="1" outlineLevel="2" x14ac:dyDescent="0.35">
      <c r="A48" s="233"/>
      <c r="B48" s="233"/>
      <c r="C48" s="234"/>
      <c r="D48" s="281"/>
      <c r="E48" s="97" t="str">
        <f t="shared" ref="E48:AJ48" si="36" xml:space="preserve"> E$70</f>
        <v>First operating period flag</v>
      </c>
      <c r="F48" s="97">
        <f t="shared" si="36"/>
        <v>0</v>
      </c>
      <c r="G48" s="97" t="str">
        <f t="shared" si="36"/>
        <v>flag</v>
      </c>
      <c r="H48" s="97">
        <f t="shared" si="36"/>
        <v>1</v>
      </c>
      <c r="I48" s="97">
        <f t="shared" si="36"/>
        <v>0</v>
      </c>
      <c r="J48" s="97">
        <f t="shared" si="36"/>
        <v>0</v>
      </c>
      <c r="K48" s="97">
        <f t="shared" si="36"/>
        <v>0</v>
      </c>
      <c r="L48" s="97">
        <f t="shared" si="36"/>
        <v>0</v>
      </c>
      <c r="M48" s="97">
        <f t="shared" si="36"/>
        <v>0</v>
      </c>
      <c r="N48" s="97">
        <f t="shared" si="36"/>
        <v>1</v>
      </c>
      <c r="O48" s="97">
        <f t="shared" si="36"/>
        <v>0</v>
      </c>
      <c r="P48" s="97">
        <f t="shared" si="36"/>
        <v>0</v>
      </c>
      <c r="Q48" s="97">
        <f t="shared" si="36"/>
        <v>0</v>
      </c>
      <c r="R48" s="97">
        <f t="shared" si="36"/>
        <v>0</v>
      </c>
      <c r="S48" s="97">
        <f t="shared" si="36"/>
        <v>0</v>
      </c>
      <c r="T48" s="97">
        <f t="shared" si="36"/>
        <v>0</v>
      </c>
      <c r="U48" s="97">
        <f t="shared" si="36"/>
        <v>0</v>
      </c>
      <c r="V48" s="97">
        <f t="shared" si="36"/>
        <v>0</v>
      </c>
      <c r="W48" s="97">
        <f t="shared" si="36"/>
        <v>0</v>
      </c>
      <c r="X48" s="97">
        <f t="shared" si="36"/>
        <v>0</v>
      </c>
      <c r="Y48" s="97">
        <f t="shared" si="36"/>
        <v>0</v>
      </c>
      <c r="Z48" s="97">
        <f t="shared" si="36"/>
        <v>0</v>
      </c>
      <c r="AA48" s="97">
        <f t="shared" si="36"/>
        <v>0</v>
      </c>
      <c r="AB48" s="97">
        <f t="shared" si="36"/>
        <v>0</v>
      </c>
      <c r="AC48" s="97">
        <f t="shared" si="36"/>
        <v>0</v>
      </c>
      <c r="AD48" s="97">
        <f t="shared" si="36"/>
        <v>0</v>
      </c>
      <c r="AE48" s="97">
        <f t="shared" si="36"/>
        <v>0</v>
      </c>
      <c r="AF48" s="97">
        <f t="shared" si="36"/>
        <v>0</v>
      </c>
      <c r="AG48" s="97">
        <f t="shared" si="36"/>
        <v>0</v>
      </c>
      <c r="AH48" s="97">
        <f t="shared" si="36"/>
        <v>0</v>
      </c>
      <c r="AI48" s="97">
        <f t="shared" si="36"/>
        <v>0</v>
      </c>
      <c r="AJ48" s="97">
        <f t="shared" si="36"/>
        <v>0</v>
      </c>
      <c r="AK48" s="97">
        <f t="shared" ref="AK48:BP48" si="37" xml:space="preserve"> AK$70</f>
        <v>0</v>
      </c>
      <c r="AL48" s="97">
        <f t="shared" si="37"/>
        <v>0</v>
      </c>
      <c r="AM48" s="97">
        <f t="shared" si="37"/>
        <v>0</v>
      </c>
      <c r="AN48" s="97">
        <f t="shared" si="37"/>
        <v>0</v>
      </c>
      <c r="AO48" s="97">
        <f t="shared" si="37"/>
        <v>0</v>
      </c>
      <c r="AP48" s="97">
        <f t="shared" si="37"/>
        <v>0</v>
      </c>
      <c r="AQ48" s="97">
        <f t="shared" si="37"/>
        <v>0</v>
      </c>
      <c r="AR48" s="97">
        <f t="shared" si="37"/>
        <v>0</v>
      </c>
      <c r="AS48" s="97">
        <f t="shared" si="37"/>
        <v>0</v>
      </c>
      <c r="AT48" s="97">
        <f t="shared" si="37"/>
        <v>0</v>
      </c>
      <c r="AU48" s="97">
        <f t="shared" si="37"/>
        <v>0</v>
      </c>
      <c r="AV48" s="97">
        <f t="shared" si="37"/>
        <v>0</v>
      </c>
      <c r="AW48" s="97">
        <f t="shared" si="37"/>
        <v>0</v>
      </c>
      <c r="AX48" s="97">
        <f t="shared" si="37"/>
        <v>0</v>
      </c>
      <c r="AY48" s="97">
        <f t="shared" si="37"/>
        <v>0</v>
      </c>
      <c r="AZ48" s="97">
        <f t="shared" si="37"/>
        <v>0</v>
      </c>
      <c r="BA48" s="97">
        <f t="shared" si="37"/>
        <v>0</v>
      </c>
      <c r="BB48" s="97">
        <f t="shared" si="37"/>
        <v>0</v>
      </c>
      <c r="BC48" s="97">
        <f t="shared" si="37"/>
        <v>0</v>
      </c>
      <c r="BD48" s="97">
        <f t="shared" si="37"/>
        <v>0</v>
      </c>
      <c r="BE48" s="97">
        <f t="shared" si="37"/>
        <v>0</v>
      </c>
      <c r="BF48" s="97">
        <f t="shared" si="37"/>
        <v>0</v>
      </c>
      <c r="BG48" s="97">
        <f t="shared" si="37"/>
        <v>0</v>
      </c>
      <c r="BH48" s="97">
        <f t="shared" si="37"/>
        <v>0</v>
      </c>
      <c r="BI48" s="97">
        <f t="shared" si="37"/>
        <v>0</v>
      </c>
      <c r="BJ48" s="97">
        <f t="shared" si="37"/>
        <v>0</v>
      </c>
      <c r="BK48" s="97">
        <f t="shared" si="37"/>
        <v>0</v>
      </c>
      <c r="BL48" s="97">
        <f t="shared" si="37"/>
        <v>0</v>
      </c>
      <c r="BM48" s="97">
        <f t="shared" si="37"/>
        <v>0</v>
      </c>
      <c r="BN48" s="97">
        <f t="shared" si="37"/>
        <v>0</v>
      </c>
      <c r="BO48" s="97">
        <f t="shared" si="37"/>
        <v>0</v>
      </c>
      <c r="BP48" s="97">
        <f t="shared" si="37"/>
        <v>0</v>
      </c>
      <c r="BQ48" s="97">
        <f t="shared" ref="BQ48:CD48" si="38" xml:space="preserve"> BQ$70</f>
        <v>0</v>
      </c>
      <c r="BR48" s="97">
        <f t="shared" si="38"/>
        <v>0</v>
      </c>
      <c r="BS48" s="97">
        <f t="shared" si="38"/>
        <v>0</v>
      </c>
      <c r="BT48" s="97">
        <f t="shared" si="38"/>
        <v>0</v>
      </c>
      <c r="BU48" s="97">
        <f t="shared" si="38"/>
        <v>0</v>
      </c>
      <c r="BV48" s="97">
        <f t="shared" si="38"/>
        <v>0</v>
      </c>
      <c r="BW48" s="97">
        <f t="shared" si="38"/>
        <v>0</v>
      </c>
      <c r="BX48" s="97">
        <f t="shared" si="38"/>
        <v>0</v>
      </c>
      <c r="BY48" s="97">
        <f t="shared" si="38"/>
        <v>0</v>
      </c>
      <c r="BZ48" s="97">
        <f t="shared" si="38"/>
        <v>0</v>
      </c>
      <c r="CA48" s="97">
        <f t="shared" si="38"/>
        <v>0</v>
      </c>
      <c r="CB48" s="97">
        <f t="shared" si="38"/>
        <v>0</v>
      </c>
      <c r="CC48" s="97">
        <f t="shared" si="38"/>
        <v>0</v>
      </c>
      <c r="CD48" s="97">
        <f t="shared" si="38"/>
        <v>0</v>
      </c>
    </row>
    <row r="49" spans="1:82" hidden="1" outlineLevel="2" x14ac:dyDescent="0.35">
      <c r="A49" s="233"/>
      <c r="B49" s="233"/>
      <c r="C49" s="234"/>
      <c r="D49" s="281"/>
      <c r="E49" s="97" t="str">
        <f t="shared" ref="E49:AJ49" si="39" xml:space="preserve"> E$96</f>
        <v>First post operating period flag</v>
      </c>
      <c r="F49" s="97">
        <f t="shared" si="39"/>
        <v>0</v>
      </c>
      <c r="G49" s="97">
        <f t="shared" si="39"/>
        <v>0</v>
      </c>
      <c r="H49" s="97">
        <f t="shared" si="39"/>
        <v>0</v>
      </c>
      <c r="I49" s="97">
        <f t="shared" si="39"/>
        <v>0</v>
      </c>
      <c r="J49" s="97">
        <f t="shared" si="39"/>
        <v>0</v>
      </c>
      <c r="K49" s="97">
        <f t="shared" si="39"/>
        <v>0</v>
      </c>
      <c r="L49" s="97">
        <f t="shared" si="39"/>
        <v>0</v>
      </c>
      <c r="M49" s="97">
        <f t="shared" si="39"/>
        <v>0</v>
      </c>
      <c r="N49" s="97">
        <f t="shared" si="39"/>
        <v>0</v>
      </c>
      <c r="O49" s="97">
        <f t="shared" si="39"/>
        <v>0</v>
      </c>
      <c r="P49" s="97">
        <f t="shared" si="39"/>
        <v>0</v>
      </c>
      <c r="Q49" s="97">
        <f t="shared" si="39"/>
        <v>0</v>
      </c>
      <c r="R49" s="97">
        <f t="shared" si="39"/>
        <v>0</v>
      </c>
      <c r="S49" s="97">
        <f t="shared" si="39"/>
        <v>0</v>
      </c>
      <c r="T49" s="97">
        <f t="shared" si="39"/>
        <v>0</v>
      </c>
      <c r="U49" s="97">
        <f t="shared" si="39"/>
        <v>0</v>
      </c>
      <c r="V49" s="97">
        <f t="shared" si="39"/>
        <v>0</v>
      </c>
      <c r="W49" s="97">
        <f t="shared" si="39"/>
        <v>0</v>
      </c>
      <c r="X49" s="97">
        <f t="shared" si="39"/>
        <v>0</v>
      </c>
      <c r="Y49" s="97">
        <f t="shared" si="39"/>
        <v>0</v>
      </c>
      <c r="Z49" s="97">
        <f t="shared" si="39"/>
        <v>0</v>
      </c>
      <c r="AA49" s="97">
        <f t="shared" si="39"/>
        <v>0</v>
      </c>
      <c r="AB49" s="97">
        <f t="shared" si="39"/>
        <v>0</v>
      </c>
      <c r="AC49" s="97">
        <f t="shared" si="39"/>
        <v>0</v>
      </c>
      <c r="AD49" s="97">
        <f t="shared" si="39"/>
        <v>0</v>
      </c>
      <c r="AE49" s="97">
        <f t="shared" si="39"/>
        <v>0</v>
      </c>
      <c r="AF49" s="97">
        <f t="shared" si="39"/>
        <v>0</v>
      </c>
      <c r="AG49" s="97">
        <f t="shared" si="39"/>
        <v>0</v>
      </c>
      <c r="AH49" s="97">
        <f t="shared" si="39"/>
        <v>0</v>
      </c>
      <c r="AI49" s="97">
        <f t="shared" si="39"/>
        <v>0</v>
      </c>
      <c r="AJ49" s="97">
        <f t="shared" si="39"/>
        <v>0</v>
      </c>
      <c r="AK49" s="97">
        <f t="shared" ref="AK49:BP49" si="40" xml:space="preserve"> AK$96</f>
        <v>0</v>
      </c>
      <c r="AL49" s="97">
        <f t="shared" si="40"/>
        <v>0</v>
      </c>
      <c r="AM49" s="97">
        <f t="shared" si="40"/>
        <v>0</v>
      </c>
      <c r="AN49" s="97">
        <f t="shared" si="40"/>
        <v>0</v>
      </c>
      <c r="AO49" s="97">
        <f t="shared" si="40"/>
        <v>0</v>
      </c>
      <c r="AP49" s="97">
        <f t="shared" si="40"/>
        <v>0</v>
      </c>
      <c r="AQ49" s="97">
        <f t="shared" si="40"/>
        <v>0</v>
      </c>
      <c r="AR49" s="97">
        <f t="shared" si="40"/>
        <v>0</v>
      </c>
      <c r="AS49" s="97">
        <f t="shared" si="40"/>
        <v>0</v>
      </c>
      <c r="AT49" s="97">
        <f t="shared" si="40"/>
        <v>0</v>
      </c>
      <c r="AU49" s="97">
        <f t="shared" si="40"/>
        <v>0</v>
      </c>
      <c r="AV49" s="97">
        <f t="shared" si="40"/>
        <v>0</v>
      </c>
      <c r="AW49" s="97">
        <f t="shared" si="40"/>
        <v>0</v>
      </c>
      <c r="AX49" s="97">
        <f t="shared" si="40"/>
        <v>0</v>
      </c>
      <c r="AY49" s="97">
        <f t="shared" si="40"/>
        <v>0</v>
      </c>
      <c r="AZ49" s="97">
        <f t="shared" si="40"/>
        <v>0</v>
      </c>
      <c r="BA49" s="97">
        <f t="shared" si="40"/>
        <v>0</v>
      </c>
      <c r="BB49" s="97">
        <f t="shared" si="40"/>
        <v>0</v>
      </c>
      <c r="BC49" s="97">
        <f t="shared" si="40"/>
        <v>0</v>
      </c>
      <c r="BD49" s="97">
        <f t="shared" si="40"/>
        <v>0</v>
      </c>
      <c r="BE49" s="97">
        <f t="shared" si="40"/>
        <v>0</v>
      </c>
      <c r="BF49" s="97">
        <f t="shared" si="40"/>
        <v>0</v>
      </c>
      <c r="BG49" s="97">
        <f t="shared" si="40"/>
        <v>0</v>
      </c>
      <c r="BH49" s="97">
        <f t="shared" si="40"/>
        <v>0</v>
      </c>
      <c r="BI49" s="97">
        <f t="shared" si="40"/>
        <v>0</v>
      </c>
      <c r="BJ49" s="97">
        <f t="shared" si="40"/>
        <v>0</v>
      </c>
      <c r="BK49" s="97">
        <f t="shared" si="40"/>
        <v>0</v>
      </c>
      <c r="BL49" s="97">
        <f t="shared" si="40"/>
        <v>0</v>
      </c>
      <c r="BM49" s="97">
        <f t="shared" si="40"/>
        <v>0</v>
      </c>
      <c r="BN49" s="97">
        <f t="shared" si="40"/>
        <v>0</v>
      </c>
      <c r="BO49" s="97">
        <f t="shared" si="40"/>
        <v>0</v>
      </c>
      <c r="BP49" s="97">
        <f t="shared" si="40"/>
        <v>0</v>
      </c>
      <c r="BQ49" s="97">
        <f t="shared" ref="BQ49:CD49" si="41" xml:space="preserve"> BQ$96</f>
        <v>0</v>
      </c>
      <c r="BR49" s="97">
        <f t="shared" si="41"/>
        <v>0</v>
      </c>
      <c r="BS49" s="97">
        <f t="shared" si="41"/>
        <v>0</v>
      </c>
      <c r="BT49" s="97">
        <f t="shared" si="41"/>
        <v>0</v>
      </c>
      <c r="BU49" s="97">
        <f t="shared" si="41"/>
        <v>0</v>
      </c>
      <c r="BV49" s="97">
        <f t="shared" si="41"/>
        <v>1</v>
      </c>
      <c r="BW49" s="97">
        <f t="shared" si="41"/>
        <v>0</v>
      </c>
      <c r="BX49" s="97">
        <f t="shared" si="41"/>
        <v>0</v>
      </c>
      <c r="BY49" s="97">
        <f t="shared" si="41"/>
        <v>0</v>
      </c>
      <c r="BZ49" s="97">
        <f t="shared" si="41"/>
        <v>0</v>
      </c>
      <c r="CA49" s="97">
        <f t="shared" si="41"/>
        <v>0</v>
      </c>
      <c r="CB49" s="97">
        <f t="shared" si="41"/>
        <v>0</v>
      </c>
      <c r="CC49" s="97">
        <f t="shared" si="41"/>
        <v>0</v>
      </c>
      <c r="CD49" s="97">
        <f t="shared" si="41"/>
        <v>0</v>
      </c>
    </row>
    <row r="50" spans="1:82" hidden="1" outlineLevel="2" x14ac:dyDescent="0.35">
      <c r="A50" s="233"/>
      <c r="B50" s="233"/>
      <c r="C50" s="234"/>
      <c r="D50" s="97"/>
      <c r="E50" s="97" t="s">
        <v>28</v>
      </c>
      <c r="F50" s="97"/>
      <c r="G50" s="97" t="s">
        <v>14</v>
      </c>
      <c r="H50" s="97"/>
      <c r="I50" s="98"/>
      <c r="J50" s="97">
        <f t="shared" ref="J50:AO50" si="42" xml:space="preserve"> I50 + MAX(J46:J49)</f>
        <v>1</v>
      </c>
      <c r="K50" s="97">
        <f t="shared" si="42"/>
        <v>1</v>
      </c>
      <c r="L50" s="97">
        <f t="shared" si="42"/>
        <v>1</v>
      </c>
      <c r="M50" s="97">
        <f t="shared" si="42"/>
        <v>2</v>
      </c>
      <c r="N50" s="97">
        <f t="shared" si="42"/>
        <v>3</v>
      </c>
      <c r="O50" s="97">
        <f t="shared" si="42"/>
        <v>3</v>
      </c>
      <c r="P50" s="97">
        <f t="shared" si="42"/>
        <v>3</v>
      </c>
      <c r="Q50" s="97">
        <f t="shared" si="42"/>
        <v>3</v>
      </c>
      <c r="R50" s="97">
        <f t="shared" si="42"/>
        <v>3</v>
      </c>
      <c r="S50" s="97">
        <f t="shared" si="42"/>
        <v>3</v>
      </c>
      <c r="T50" s="97">
        <f t="shared" si="42"/>
        <v>3</v>
      </c>
      <c r="U50" s="97">
        <f t="shared" si="42"/>
        <v>3</v>
      </c>
      <c r="V50" s="97">
        <f t="shared" si="42"/>
        <v>3</v>
      </c>
      <c r="W50" s="97">
        <f t="shared" si="42"/>
        <v>3</v>
      </c>
      <c r="X50" s="97">
        <f t="shared" si="42"/>
        <v>3</v>
      </c>
      <c r="Y50" s="97">
        <f t="shared" si="42"/>
        <v>3</v>
      </c>
      <c r="Z50" s="97">
        <f t="shared" si="42"/>
        <v>3</v>
      </c>
      <c r="AA50" s="97">
        <f t="shared" si="42"/>
        <v>3</v>
      </c>
      <c r="AB50" s="97">
        <f t="shared" si="42"/>
        <v>3</v>
      </c>
      <c r="AC50" s="97">
        <f t="shared" si="42"/>
        <v>3</v>
      </c>
      <c r="AD50" s="97">
        <f t="shared" si="42"/>
        <v>3</v>
      </c>
      <c r="AE50" s="97">
        <f t="shared" si="42"/>
        <v>3</v>
      </c>
      <c r="AF50" s="97">
        <f t="shared" si="42"/>
        <v>3</v>
      </c>
      <c r="AG50" s="97">
        <f t="shared" si="42"/>
        <v>3</v>
      </c>
      <c r="AH50" s="97">
        <f t="shared" si="42"/>
        <v>3</v>
      </c>
      <c r="AI50" s="97">
        <f t="shared" si="42"/>
        <v>3</v>
      </c>
      <c r="AJ50" s="97">
        <f t="shared" si="42"/>
        <v>3</v>
      </c>
      <c r="AK50" s="97">
        <f t="shared" si="42"/>
        <v>3</v>
      </c>
      <c r="AL50" s="97">
        <f t="shared" si="42"/>
        <v>3</v>
      </c>
      <c r="AM50" s="97">
        <f t="shared" si="42"/>
        <v>3</v>
      </c>
      <c r="AN50" s="97">
        <f t="shared" si="42"/>
        <v>3</v>
      </c>
      <c r="AO50" s="97">
        <f t="shared" si="42"/>
        <v>3</v>
      </c>
      <c r="AP50" s="97">
        <f t="shared" ref="AP50:BU50" si="43" xml:space="preserve"> AO50 + MAX(AP46:AP49)</f>
        <v>3</v>
      </c>
      <c r="AQ50" s="97">
        <f t="shared" si="43"/>
        <v>3</v>
      </c>
      <c r="AR50" s="97">
        <f t="shared" si="43"/>
        <v>3</v>
      </c>
      <c r="AS50" s="97">
        <f t="shared" si="43"/>
        <v>3</v>
      </c>
      <c r="AT50" s="97">
        <f t="shared" si="43"/>
        <v>3</v>
      </c>
      <c r="AU50" s="97">
        <f t="shared" si="43"/>
        <v>3</v>
      </c>
      <c r="AV50" s="97">
        <f t="shared" si="43"/>
        <v>3</v>
      </c>
      <c r="AW50" s="97">
        <f t="shared" si="43"/>
        <v>3</v>
      </c>
      <c r="AX50" s="97">
        <f t="shared" si="43"/>
        <v>3</v>
      </c>
      <c r="AY50" s="97">
        <f t="shared" si="43"/>
        <v>3</v>
      </c>
      <c r="AZ50" s="97">
        <f t="shared" si="43"/>
        <v>3</v>
      </c>
      <c r="BA50" s="97">
        <f t="shared" si="43"/>
        <v>3</v>
      </c>
      <c r="BB50" s="97">
        <f t="shared" si="43"/>
        <v>3</v>
      </c>
      <c r="BC50" s="97">
        <f t="shared" si="43"/>
        <v>3</v>
      </c>
      <c r="BD50" s="97">
        <f t="shared" si="43"/>
        <v>3</v>
      </c>
      <c r="BE50" s="97">
        <f t="shared" si="43"/>
        <v>3</v>
      </c>
      <c r="BF50" s="97">
        <f t="shared" si="43"/>
        <v>3</v>
      </c>
      <c r="BG50" s="97">
        <f t="shared" si="43"/>
        <v>3</v>
      </c>
      <c r="BH50" s="97">
        <f t="shared" si="43"/>
        <v>3</v>
      </c>
      <c r="BI50" s="97">
        <f t="shared" si="43"/>
        <v>3</v>
      </c>
      <c r="BJ50" s="97">
        <f t="shared" si="43"/>
        <v>3</v>
      </c>
      <c r="BK50" s="97">
        <f t="shared" si="43"/>
        <v>3</v>
      </c>
      <c r="BL50" s="97">
        <f t="shared" si="43"/>
        <v>3</v>
      </c>
      <c r="BM50" s="97">
        <f t="shared" si="43"/>
        <v>3</v>
      </c>
      <c r="BN50" s="97">
        <f t="shared" si="43"/>
        <v>3</v>
      </c>
      <c r="BO50" s="97">
        <f t="shared" si="43"/>
        <v>3</v>
      </c>
      <c r="BP50" s="97">
        <f t="shared" si="43"/>
        <v>3</v>
      </c>
      <c r="BQ50" s="97">
        <f t="shared" si="43"/>
        <v>3</v>
      </c>
      <c r="BR50" s="97">
        <f t="shared" si="43"/>
        <v>3</v>
      </c>
      <c r="BS50" s="97">
        <f t="shared" si="43"/>
        <v>3</v>
      </c>
      <c r="BT50" s="97">
        <f t="shared" si="43"/>
        <v>3</v>
      </c>
      <c r="BU50" s="97">
        <f t="shared" si="43"/>
        <v>3</v>
      </c>
      <c r="BV50" s="97">
        <f t="shared" ref="BV50:CD50" si="44" xml:space="preserve"> BU50 + MAX(BV46:BV49)</f>
        <v>4</v>
      </c>
      <c r="BW50" s="97">
        <f t="shared" si="44"/>
        <v>4</v>
      </c>
      <c r="BX50" s="97">
        <f t="shared" si="44"/>
        <v>4</v>
      </c>
      <c r="BY50" s="97">
        <f t="shared" si="44"/>
        <v>4</v>
      </c>
      <c r="BZ50" s="97">
        <f t="shared" si="44"/>
        <v>4</v>
      </c>
      <c r="CA50" s="97">
        <f t="shared" si="44"/>
        <v>4</v>
      </c>
      <c r="CB50" s="97">
        <f t="shared" si="44"/>
        <v>4</v>
      </c>
      <c r="CC50" s="97">
        <f t="shared" si="44"/>
        <v>4</v>
      </c>
      <c r="CD50" s="97">
        <f t="shared" si="44"/>
        <v>4</v>
      </c>
    </row>
    <row r="51" spans="1:82" hidden="1" outlineLevel="2" x14ac:dyDescent="0.35">
      <c r="A51" s="138"/>
      <c r="B51" s="138"/>
      <c r="C51" s="139"/>
      <c r="D51" s="140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</row>
    <row r="52" spans="1:82" hidden="1" outlineLevel="2" x14ac:dyDescent="0.35">
      <c r="A52" s="48"/>
      <c r="B52" s="48"/>
      <c r="C52" s="49"/>
      <c r="D52" s="50"/>
      <c r="E52" s="93" t="str">
        <f xml:space="preserve"> InpC!E$76</f>
        <v>Pre-forecast period</v>
      </c>
      <c r="F52" s="93" t="str">
        <f xml:space="preserve"> InpC!F$76</f>
        <v>Pre-fcst</v>
      </c>
      <c r="G52" s="93" t="str">
        <f xml:space="preserve"> InpC!G$76</f>
        <v>label</v>
      </c>
      <c r="H52" s="93"/>
      <c r="I52" s="37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</row>
    <row r="53" spans="1:82" hidden="1" outlineLevel="2" x14ac:dyDescent="0.35">
      <c r="A53" s="48"/>
      <c r="B53" s="48"/>
      <c r="C53" s="49"/>
      <c r="D53" s="50"/>
      <c r="E53" s="37" t="str">
        <f xml:space="preserve"> InpC!E$77</f>
        <v>Financial Close</v>
      </c>
      <c r="F53" s="37" t="str">
        <f xml:space="preserve"> InpC!F$77</f>
        <v>Fin Close</v>
      </c>
      <c r="G53" s="37" t="str">
        <f xml:space="preserve"> InpC!G$77</f>
        <v>label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</row>
    <row r="54" spans="1:82" hidden="1" outlineLevel="2" x14ac:dyDescent="0.35">
      <c r="A54" s="48"/>
      <c r="B54" s="48"/>
      <c r="C54" s="49"/>
      <c r="D54" s="50"/>
      <c r="E54" s="37" t="str">
        <f xml:space="preserve"> InpC!E$78</f>
        <v>Operations</v>
      </c>
      <c r="F54" s="37" t="str">
        <f xml:space="preserve"> InpC!F$78</f>
        <v>Operations</v>
      </c>
      <c r="G54" s="37" t="str">
        <f xml:space="preserve"> InpC!G$78</f>
        <v>label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</row>
    <row r="55" spans="1:82" hidden="1" outlineLevel="2" x14ac:dyDescent="0.35">
      <c r="A55" s="48"/>
      <c r="B55" s="48"/>
      <c r="C55" s="49"/>
      <c r="D55" s="50"/>
      <c r="E55" s="37" t="str">
        <f xml:space="preserve"> InpC!E$79</f>
        <v>Post ops</v>
      </c>
      <c r="F55" s="37" t="str">
        <f xml:space="preserve"> InpC!F$79</f>
        <v>Post ops</v>
      </c>
      <c r="G55" s="37" t="str">
        <f xml:space="preserve"> InpC!G$79</f>
        <v>label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</row>
    <row r="56" spans="1:82" hidden="1" outlineLevel="2" x14ac:dyDescent="0.35">
      <c r="A56" s="282"/>
      <c r="B56" s="282"/>
      <c r="C56" s="283"/>
      <c r="D56" s="284"/>
      <c r="E56" s="285" t="str">
        <f t="shared" ref="E56:AJ56" si="45" xml:space="preserve"> E$50</f>
        <v>Timeline label counter</v>
      </c>
      <c r="F56" s="285">
        <f t="shared" si="45"/>
        <v>0</v>
      </c>
      <c r="G56" s="285" t="str">
        <f t="shared" si="45"/>
        <v>counter</v>
      </c>
      <c r="H56" s="285">
        <f t="shared" si="45"/>
        <v>0</v>
      </c>
      <c r="I56" s="285">
        <f t="shared" si="45"/>
        <v>0</v>
      </c>
      <c r="J56" s="285">
        <f t="shared" si="45"/>
        <v>1</v>
      </c>
      <c r="K56" s="285">
        <f t="shared" si="45"/>
        <v>1</v>
      </c>
      <c r="L56" s="285">
        <f t="shared" si="45"/>
        <v>1</v>
      </c>
      <c r="M56" s="285">
        <f t="shared" si="45"/>
        <v>2</v>
      </c>
      <c r="N56" s="285">
        <f t="shared" si="45"/>
        <v>3</v>
      </c>
      <c r="O56" s="285">
        <f t="shared" si="45"/>
        <v>3</v>
      </c>
      <c r="P56" s="285">
        <f t="shared" si="45"/>
        <v>3</v>
      </c>
      <c r="Q56" s="285">
        <f t="shared" si="45"/>
        <v>3</v>
      </c>
      <c r="R56" s="285">
        <f t="shared" si="45"/>
        <v>3</v>
      </c>
      <c r="S56" s="285">
        <f t="shared" si="45"/>
        <v>3</v>
      </c>
      <c r="T56" s="285">
        <f t="shared" si="45"/>
        <v>3</v>
      </c>
      <c r="U56" s="285">
        <f t="shared" si="45"/>
        <v>3</v>
      </c>
      <c r="V56" s="285">
        <f t="shared" si="45"/>
        <v>3</v>
      </c>
      <c r="W56" s="285">
        <f t="shared" si="45"/>
        <v>3</v>
      </c>
      <c r="X56" s="285">
        <f t="shared" si="45"/>
        <v>3</v>
      </c>
      <c r="Y56" s="285">
        <f t="shared" si="45"/>
        <v>3</v>
      </c>
      <c r="Z56" s="285">
        <f t="shared" si="45"/>
        <v>3</v>
      </c>
      <c r="AA56" s="285">
        <f t="shared" si="45"/>
        <v>3</v>
      </c>
      <c r="AB56" s="285">
        <f t="shared" si="45"/>
        <v>3</v>
      </c>
      <c r="AC56" s="285">
        <f t="shared" si="45"/>
        <v>3</v>
      </c>
      <c r="AD56" s="285">
        <f t="shared" si="45"/>
        <v>3</v>
      </c>
      <c r="AE56" s="285">
        <f t="shared" si="45"/>
        <v>3</v>
      </c>
      <c r="AF56" s="285">
        <f t="shared" si="45"/>
        <v>3</v>
      </c>
      <c r="AG56" s="285">
        <f t="shared" si="45"/>
        <v>3</v>
      </c>
      <c r="AH56" s="285">
        <f t="shared" si="45"/>
        <v>3</v>
      </c>
      <c r="AI56" s="285">
        <f t="shared" si="45"/>
        <v>3</v>
      </c>
      <c r="AJ56" s="285">
        <f t="shared" si="45"/>
        <v>3</v>
      </c>
      <c r="AK56" s="285">
        <f t="shared" ref="AK56:BP56" si="46" xml:space="preserve"> AK$50</f>
        <v>3</v>
      </c>
      <c r="AL56" s="285">
        <f t="shared" si="46"/>
        <v>3</v>
      </c>
      <c r="AM56" s="285">
        <f t="shared" si="46"/>
        <v>3</v>
      </c>
      <c r="AN56" s="285">
        <f t="shared" si="46"/>
        <v>3</v>
      </c>
      <c r="AO56" s="285">
        <f t="shared" si="46"/>
        <v>3</v>
      </c>
      <c r="AP56" s="285">
        <f t="shared" si="46"/>
        <v>3</v>
      </c>
      <c r="AQ56" s="285">
        <f t="shared" si="46"/>
        <v>3</v>
      </c>
      <c r="AR56" s="285">
        <f t="shared" si="46"/>
        <v>3</v>
      </c>
      <c r="AS56" s="285">
        <f t="shared" si="46"/>
        <v>3</v>
      </c>
      <c r="AT56" s="285">
        <f t="shared" si="46"/>
        <v>3</v>
      </c>
      <c r="AU56" s="285">
        <f t="shared" si="46"/>
        <v>3</v>
      </c>
      <c r="AV56" s="285">
        <f t="shared" si="46"/>
        <v>3</v>
      </c>
      <c r="AW56" s="285">
        <f t="shared" si="46"/>
        <v>3</v>
      </c>
      <c r="AX56" s="285">
        <f t="shared" si="46"/>
        <v>3</v>
      </c>
      <c r="AY56" s="285">
        <f t="shared" si="46"/>
        <v>3</v>
      </c>
      <c r="AZ56" s="285">
        <f t="shared" si="46"/>
        <v>3</v>
      </c>
      <c r="BA56" s="285">
        <f t="shared" si="46"/>
        <v>3</v>
      </c>
      <c r="BB56" s="285">
        <f t="shared" si="46"/>
        <v>3</v>
      </c>
      <c r="BC56" s="285">
        <f t="shared" si="46"/>
        <v>3</v>
      </c>
      <c r="BD56" s="285">
        <f t="shared" si="46"/>
        <v>3</v>
      </c>
      <c r="BE56" s="285">
        <f t="shared" si="46"/>
        <v>3</v>
      </c>
      <c r="BF56" s="285">
        <f t="shared" si="46"/>
        <v>3</v>
      </c>
      <c r="BG56" s="285">
        <f t="shared" si="46"/>
        <v>3</v>
      </c>
      <c r="BH56" s="285">
        <f t="shared" si="46"/>
        <v>3</v>
      </c>
      <c r="BI56" s="285">
        <f t="shared" si="46"/>
        <v>3</v>
      </c>
      <c r="BJ56" s="285">
        <f t="shared" si="46"/>
        <v>3</v>
      </c>
      <c r="BK56" s="285">
        <f t="shared" si="46"/>
        <v>3</v>
      </c>
      <c r="BL56" s="285">
        <f t="shared" si="46"/>
        <v>3</v>
      </c>
      <c r="BM56" s="285">
        <f t="shared" si="46"/>
        <v>3</v>
      </c>
      <c r="BN56" s="285">
        <f t="shared" si="46"/>
        <v>3</v>
      </c>
      <c r="BO56" s="285">
        <f t="shared" si="46"/>
        <v>3</v>
      </c>
      <c r="BP56" s="285">
        <f t="shared" si="46"/>
        <v>3</v>
      </c>
      <c r="BQ56" s="285">
        <f t="shared" ref="BQ56:CD56" si="47" xml:space="preserve"> BQ$50</f>
        <v>3</v>
      </c>
      <c r="BR56" s="285">
        <f t="shared" si="47"/>
        <v>3</v>
      </c>
      <c r="BS56" s="285">
        <f t="shared" si="47"/>
        <v>3</v>
      </c>
      <c r="BT56" s="285">
        <f t="shared" si="47"/>
        <v>3</v>
      </c>
      <c r="BU56" s="285">
        <f t="shared" si="47"/>
        <v>3</v>
      </c>
      <c r="BV56" s="285">
        <f t="shared" si="47"/>
        <v>4</v>
      </c>
      <c r="BW56" s="285">
        <f t="shared" si="47"/>
        <v>4</v>
      </c>
      <c r="BX56" s="285">
        <f t="shared" si="47"/>
        <v>4</v>
      </c>
      <c r="BY56" s="285">
        <f t="shared" si="47"/>
        <v>4</v>
      </c>
      <c r="BZ56" s="285">
        <f t="shared" si="47"/>
        <v>4</v>
      </c>
      <c r="CA56" s="285">
        <f t="shared" si="47"/>
        <v>4</v>
      </c>
      <c r="CB56" s="285">
        <f t="shared" si="47"/>
        <v>4</v>
      </c>
      <c r="CC56" s="285">
        <f t="shared" si="47"/>
        <v>4</v>
      </c>
      <c r="CD56" s="285">
        <f t="shared" si="47"/>
        <v>4</v>
      </c>
    </row>
    <row r="57" spans="1:82" hidden="1" outlineLevel="2" x14ac:dyDescent="0.35">
      <c r="A57" s="251"/>
      <c r="B57" s="251"/>
      <c r="C57" s="252"/>
      <c r="D57" s="253"/>
      <c r="E57" s="254" t="s">
        <v>27</v>
      </c>
      <c r="F57" s="254"/>
      <c r="G57" s="254" t="s">
        <v>26</v>
      </c>
      <c r="H57" s="255"/>
      <c r="I57" s="255"/>
      <c r="J57" s="255" t="str">
        <f t="shared" ref="J57:AO57" si="48">INDEX($F52:$F55, J56)</f>
        <v>Pre-fcst</v>
      </c>
      <c r="K57" s="255" t="str">
        <f t="shared" si="48"/>
        <v>Pre-fcst</v>
      </c>
      <c r="L57" s="255" t="str">
        <f t="shared" si="48"/>
        <v>Pre-fcst</v>
      </c>
      <c r="M57" s="255" t="str">
        <f t="shared" si="48"/>
        <v>Fin Close</v>
      </c>
      <c r="N57" s="255" t="str">
        <f t="shared" si="48"/>
        <v>Operations</v>
      </c>
      <c r="O57" s="255" t="str">
        <f t="shared" si="48"/>
        <v>Operations</v>
      </c>
      <c r="P57" s="255" t="str">
        <f t="shared" si="48"/>
        <v>Operations</v>
      </c>
      <c r="Q57" s="255" t="str">
        <f t="shared" si="48"/>
        <v>Operations</v>
      </c>
      <c r="R57" s="255" t="str">
        <f t="shared" si="48"/>
        <v>Operations</v>
      </c>
      <c r="S57" s="255" t="str">
        <f t="shared" si="48"/>
        <v>Operations</v>
      </c>
      <c r="T57" s="255" t="str">
        <f t="shared" si="48"/>
        <v>Operations</v>
      </c>
      <c r="U57" s="255" t="str">
        <f t="shared" si="48"/>
        <v>Operations</v>
      </c>
      <c r="V57" s="255" t="str">
        <f t="shared" si="48"/>
        <v>Operations</v>
      </c>
      <c r="W57" s="255" t="str">
        <f t="shared" si="48"/>
        <v>Operations</v>
      </c>
      <c r="X57" s="255" t="str">
        <f t="shared" si="48"/>
        <v>Operations</v>
      </c>
      <c r="Y57" s="255" t="str">
        <f t="shared" si="48"/>
        <v>Operations</v>
      </c>
      <c r="Z57" s="255" t="str">
        <f t="shared" si="48"/>
        <v>Operations</v>
      </c>
      <c r="AA57" s="255" t="str">
        <f t="shared" si="48"/>
        <v>Operations</v>
      </c>
      <c r="AB57" s="255" t="str">
        <f t="shared" si="48"/>
        <v>Operations</v>
      </c>
      <c r="AC57" s="255" t="str">
        <f t="shared" si="48"/>
        <v>Operations</v>
      </c>
      <c r="AD57" s="255" t="str">
        <f t="shared" si="48"/>
        <v>Operations</v>
      </c>
      <c r="AE57" s="255" t="str">
        <f t="shared" si="48"/>
        <v>Operations</v>
      </c>
      <c r="AF57" s="255" t="str">
        <f t="shared" si="48"/>
        <v>Operations</v>
      </c>
      <c r="AG57" s="255" t="str">
        <f t="shared" si="48"/>
        <v>Operations</v>
      </c>
      <c r="AH57" s="255" t="str">
        <f t="shared" si="48"/>
        <v>Operations</v>
      </c>
      <c r="AI57" s="255" t="str">
        <f t="shared" si="48"/>
        <v>Operations</v>
      </c>
      <c r="AJ57" s="255" t="str">
        <f t="shared" si="48"/>
        <v>Operations</v>
      </c>
      <c r="AK57" s="255" t="str">
        <f t="shared" si="48"/>
        <v>Operations</v>
      </c>
      <c r="AL57" s="255" t="str">
        <f t="shared" si="48"/>
        <v>Operations</v>
      </c>
      <c r="AM57" s="255" t="str">
        <f t="shared" si="48"/>
        <v>Operations</v>
      </c>
      <c r="AN57" s="255" t="str">
        <f t="shared" si="48"/>
        <v>Operations</v>
      </c>
      <c r="AO57" s="255" t="str">
        <f t="shared" si="48"/>
        <v>Operations</v>
      </c>
      <c r="AP57" s="255" t="str">
        <f t="shared" ref="AP57:BU57" si="49">INDEX($F52:$F55, AP56)</f>
        <v>Operations</v>
      </c>
      <c r="AQ57" s="255" t="str">
        <f t="shared" si="49"/>
        <v>Operations</v>
      </c>
      <c r="AR57" s="255" t="str">
        <f t="shared" si="49"/>
        <v>Operations</v>
      </c>
      <c r="AS57" s="255" t="str">
        <f t="shared" si="49"/>
        <v>Operations</v>
      </c>
      <c r="AT57" s="255" t="str">
        <f t="shared" si="49"/>
        <v>Operations</v>
      </c>
      <c r="AU57" s="255" t="str">
        <f t="shared" si="49"/>
        <v>Operations</v>
      </c>
      <c r="AV57" s="255" t="str">
        <f t="shared" si="49"/>
        <v>Operations</v>
      </c>
      <c r="AW57" s="255" t="str">
        <f t="shared" si="49"/>
        <v>Operations</v>
      </c>
      <c r="AX57" s="255" t="str">
        <f t="shared" si="49"/>
        <v>Operations</v>
      </c>
      <c r="AY57" s="255" t="str">
        <f t="shared" si="49"/>
        <v>Operations</v>
      </c>
      <c r="AZ57" s="255" t="str">
        <f t="shared" si="49"/>
        <v>Operations</v>
      </c>
      <c r="BA57" s="255" t="str">
        <f t="shared" si="49"/>
        <v>Operations</v>
      </c>
      <c r="BB57" s="255" t="str">
        <f t="shared" si="49"/>
        <v>Operations</v>
      </c>
      <c r="BC57" s="255" t="str">
        <f t="shared" si="49"/>
        <v>Operations</v>
      </c>
      <c r="BD57" s="255" t="str">
        <f t="shared" si="49"/>
        <v>Operations</v>
      </c>
      <c r="BE57" s="255" t="str">
        <f t="shared" si="49"/>
        <v>Operations</v>
      </c>
      <c r="BF57" s="255" t="str">
        <f t="shared" si="49"/>
        <v>Operations</v>
      </c>
      <c r="BG57" s="255" t="str">
        <f t="shared" si="49"/>
        <v>Operations</v>
      </c>
      <c r="BH57" s="255" t="str">
        <f t="shared" si="49"/>
        <v>Operations</v>
      </c>
      <c r="BI57" s="255" t="str">
        <f t="shared" si="49"/>
        <v>Operations</v>
      </c>
      <c r="BJ57" s="255" t="str">
        <f t="shared" si="49"/>
        <v>Operations</v>
      </c>
      <c r="BK57" s="255" t="str">
        <f t="shared" si="49"/>
        <v>Operations</v>
      </c>
      <c r="BL57" s="255" t="str">
        <f t="shared" si="49"/>
        <v>Operations</v>
      </c>
      <c r="BM57" s="255" t="str">
        <f t="shared" si="49"/>
        <v>Operations</v>
      </c>
      <c r="BN57" s="255" t="str">
        <f t="shared" si="49"/>
        <v>Operations</v>
      </c>
      <c r="BO57" s="255" t="str">
        <f t="shared" si="49"/>
        <v>Operations</v>
      </c>
      <c r="BP57" s="255" t="str">
        <f t="shared" si="49"/>
        <v>Operations</v>
      </c>
      <c r="BQ57" s="255" t="str">
        <f t="shared" si="49"/>
        <v>Operations</v>
      </c>
      <c r="BR57" s="255" t="str">
        <f t="shared" si="49"/>
        <v>Operations</v>
      </c>
      <c r="BS57" s="255" t="str">
        <f t="shared" si="49"/>
        <v>Operations</v>
      </c>
      <c r="BT57" s="255" t="str">
        <f t="shared" si="49"/>
        <v>Operations</v>
      </c>
      <c r="BU57" s="255" t="str">
        <f t="shared" si="49"/>
        <v>Operations</v>
      </c>
      <c r="BV57" s="255" t="str">
        <f t="shared" ref="BV57:CD57" si="50">INDEX($F52:$F55, BV56)</f>
        <v>Post ops</v>
      </c>
      <c r="BW57" s="255" t="str">
        <f t="shared" si="50"/>
        <v>Post ops</v>
      </c>
      <c r="BX57" s="255" t="str">
        <f t="shared" si="50"/>
        <v>Post ops</v>
      </c>
      <c r="BY57" s="255" t="str">
        <f t="shared" si="50"/>
        <v>Post ops</v>
      </c>
      <c r="BZ57" s="255" t="str">
        <f t="shared" si="50"/>
        <v>Post ops</v>
      </c>
      <c r="CA57" s="255" t="str">
        <f t="shared" si="50"/>
        <v>Post ops</v>
      </c>
      <c r="CB57" s="255" t="str">
        <f t="shared" si="50"/>
        <v>Post ops</v>
      </c>
      <c r="CC57" s="255" t="str">
        <f t="shared" si="50"/>
        <v>Post ops</v>
      </c>
      <c r="CD57" s="255" t="str">
        <f t="shared" si="50"/>
        <v>Post ops</v>
      </c>
    </row>
    <row r="58" spans="1:82" hidden="1" outlineLevel="2" x14ac:dyDescent="0.35">
      <c r="A58" s="138"/>
      <c r="B58" s="138"/>
      <c r="C58" s="139"/>
      <c r="D58" s="140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7"/>
      <c r="CD58" s="137"/>
    </row>
    <row r="59" spans="1:82" hidden="1" outlineLevel="2" x14ac:dyDescent="0.35">
      <c r="A59" s="138"/>
      <c r="B59" s="138"/>
      <c r="C59" s="139"/>
      <c r="D59" s="140"/>
      <c r="E59" s="136"/>
      <c r="F59" s="136"/>
      <c r="G59" s="136"/>
      <c r="H59" s="136"/>
      <c r="I59" s="137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  <c r="BX59" s="136"/>
      <c r="BY59" s="136"/>
      <c r="BZ59" s="136"/>
      <c r="CA59" s="136"/>
      <c r="CB59" s="136"/>
      <c r="CC59" s="136"/>
      <c r="CD59" s="136"/>
    </row>
    <row r="60" spans="1:82" x14ac:dyDescent="0.35">
      <c r="A60" s="177"/>
      <c r="B60" s="138"/>
      <c r="C60" s="178"/>
      <c r="D60" s="179"/>
      <c r="E60" s="270"/>
      <c r="F60" s="270"/>
      <c r="G60" s="270"/>
      <c r="H60" s="270"/>
      <c r="I60" s="270"/>
      <c r="J60" s="137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  <c r="AA60" s="270"/>
      <c r="AB60" s="270"/>
      <c r="AC60" s="270"/>
      <c r="AD60" s="270"/>
      <c r="AE60" s="270"/>
      <c r="AF60" s="270"/>
      <c r="AG60" s="270"/>
      <c r="AH60" s="270"/>
      <c r="AI60" s="270"/>
      <c r="AJ60" s="270"/>
      <c r="AK60" s="270"/>
      <c r="AL60" s="270"/>
      <c r="AM60" s="270"/>
      <c r="AN60" s="270"/>
      <c r="AO60" s="270"/>
      <c r="AP60" s="270"/>
      <c r="AQ60" s="270"/>
      <c r="AR60" s="270"/>
      <c r="AS60" s="270"/>
      <c r="AT60" s="270"/>
      <c r="AU60" s="270"/>
      <c r="AV60" s="270"/>
      <c r="AW60" s="270"/>
      <c r="AX60" s="270"/>
      <c r="AY60" s="270"/>
      <c r="AZ60" s="270"/>
      <c r="BA60" s="270"/>
      <c r="BB60" s="270"/>
      <c r="BC60" s="270"/>
      <c r="BD60" s="270"/>
      <c r="BE60" s="270"/>
      <c r="BF60" s="270"/>
      <c r="BG60" s="270"/>
      <c r="BH60" s="270"/>
      <c r="BI60" s="270"/>
      <c r="BJ60" s="270"/>
      <c r="BK60" s="270"/>
      <c r="BL60" s="270"/>
      <c r="BM60" s="270"/>
      <c r="BN60" s="270"/>
      <c r="BO60" s="270"/>
      <c r="BP60" s="270"/>
      <c r="BQ60" s="270"/>
      <c r="BR60" s="270"/>
      <c r="BS60" s="270"/>
      <c r="BT60" s="270"/>
      <c r="BU60" s="270"/>
      <c r="BV60" s="270"/>
      <c r="BW60" s="270"/>
      <c r="BX60" s="270"/>
      <c r="BY60" s="270"/>
      <c r="BZ60" s="270"/>
      <c r="CA60" s="270"/>
      <c r="CB60" s="270"/>
      <c r="CC60" s="270"/>
      <c r="CD60" s="270"/>
    </row>
    <row r="61" spans="1:82" collapsed="1" x14ac:dyDescent="0.35">
      <c r="A61" s="177" t="s">
        <v>2</v>
      </c>
      <c r="B61" s="138"/>
      <c r="C61" s="178"/>
      <c r="D61" s="179"/>
      <c r="E61" s="270"/>
      <c r="F61" s="270"/>
      <c r="G61" s="270"/>
      <c r="H61" s="270"/>
      <c r="I61" s="270"/>
      <c r="J61" s="137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70"/>
      <c r="AB61" s="270"/>
      <c r="AC61" s="270"/>
      <c r="AD61" s="270"/>
      <c r="AE61" s="270"/>
      <c r="AF61" s="270"/>
      <c r="AG61" s="270"/>
      <c r="AH61" s="270"/>
      <c r="AI61" s="270"/>
      <c r="AJ61" s="270"/>
      <c r="AK61" s="270"/>
      <c r="AL61" s="270"/>
      <c r="AM61" s="270"/>
      <c r="AN61" s="270"/>
      <c r="AO61" s="270"/>
      <c r="AP61" s="270"/>
      <c r="AQ61" s="270"/>
      <c r="AR61" s="270"/>
      <c r="AS61" s="270"/>
      <c r="AT61" s="270"/>
      <c r="AU61" s="270"/>
      <c r="AV61" s="270"/>
      <c r="AW61" s="270"/>
      <c r="AX61" s="270"/>
      <c r="AY61" s="270"/>
      <c r="AZ61" s="270"/>
      <c r="BA61" s="270"/>
      <c r="BB61" s="270"/>
      <c r="BC61" s="270"/>
      <c r="BD61" s="270"/>
      <c r="BE61" s="270"/>
      <c r="BF61" s="270"/>
      <c r="BG61" s="270"/>
      <c r="BH61" s="270"/>
      <c r="BI61" s="270"/>
      <c r="BJ61" s="270"/>
      <c r="BK61" s="270"/>
      <c r="BL61" s="270"/>
      <c r="BM61" s="270"/>
      <c r="BN61" s="270"/>
      <c r="BO61" s="270"/>
      <c r="BP61" s="270"/>
      <c r="BQ61" s="270"/>
      <c r="BR61" s="270"/>
      <c r="BS61" s="270"/>
      <c r="BT61" s="270"/>
      <c r="BU61" s="270"/>
      <c r="BV61" s="270"/>
      <c r="BW61" s="270"/>
      <c r="BX61" s="270"/>
      <c r="BY61" s="270"/>
      <c r="BZ61" s="270"/>
      <c r="CA61" s="270"/>
      <c r="CB61" s="270"/>
      <c r="CC61" s="270"/>
      <c r="CD61" s="270"/>
    </row>
    <row r="62" spans="1:82" hidden="1" outlineLevel="1" x14ac:dyDescent="0.35">
      <c r="A62" s="177"/>
      <c r="B62" s="138"/>
      <c r="C62" s="178"/>
      <c r="D62" s="179"/>
      <c r="E62" s="270"/>
      <c r="F62" s="270"/>
      <c r="G62" s="270"/>
      <c r="H62" s="270"/>
      <c r="I62" s="270"/>
      <c r="J62" s="137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  <c r="AA62" s="270"/>
      <c r="AB62" s="270"/>
      <c r="AC62" s="270"/>
      <c r="AD62" s="270"/>
      <c r="AE62" s="270"/>
      <c r="AF62" s="270"/>
      <c r="AG62" s="270"/>
      <c r="AH62" s="270"/>
      <c r="AI62" s="270"/>
      <c r="AJ62" s="270"/>
      <c r="AK62" s="270"/>
      <c r="AL62" s="270"/>
      <c r="AM62" s="270"/>
      <c r="AN62" s="270"/>
      <c r="AO62" s="270"/>
      <c r="AP62" s="270"/>
      <c r="AQ62" s="270"/>
      <c r="AR62" s="270"/>
      <c r="AS62" s="270"/>
      <c r="AT62" s="270"/>
      <c r="AU62" s="270"/>
      <c r="AV62" s="270"/>
      <c r="AW62" s="270"/>
      <c r="AX62" s="270"/>
      <c r="AY62" s="270"/>
      <c r="AZ62" s="270"/>
      <c r="BA62" s="270"/>
      <c r="BB62" s="270"/>
      <c r="BC62" s="270"/>
      <c r="BD62" s="270"/>
      <c r="BE62" s="270"/>
      <c r="BF62" s="270"/>
      <c r="BG62" s="270"/>
      <c r="BH62" s="270"/>
      <c r="BI62" s="270"/>
      <c r="BJ62" s="270"/>
      <c r="BK62" s="270"/>
      <c r="BL62" s="270"/>
      <c r="BM62" s="270"/>
      <c r="BN62" s="270"/>
      <c r="BO62" s="270"/>
      <c r="BP62" s="270"/>
      <c r="BQ62" s="270"/>
      <c r="BR62" s="270"/>
      <c r="BS62" s="270"/>
      <c r="BT62" s="270"/>
      <c r="BU62" s="270"/>
      <c r="BV62" s="270"/>
      <c r="BW62" s="270"/>
      <c r="BX62" s="270"/>
      <c r="BY62" s="270"/>
      <c r="BZ62" s="270"/>
      <c r="CA62" s="270"/>
      <c r="CB62" s="270"/>
      <c r="CC62" s="270"/>
      <c r="CD62" s="270"/>
    </row>
    <row r="63" spans="1:82" hidden="1" outlineLevel="1" x14ac:dyDescent="0.35">
      <c r="A63" s="177"/>
      <c r="B63" s="138" t="s">
        <v>42</v>
      </c>
      <c r="C63" s="178"/>
      <c r="D63" s="179"/>
      <c r="E63" s="270"/>
      <c r="F63" s="270"/>
      <c r="G63" s="270"/>
      <c r="H63" s="270"/>
      <c r="I63" s="270"/>
      <c r="J63" s="137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  <c r="AA63" s="270"/>
      <c r="AB63" s="270"/>
      <c r="AC63" s="270"/>
      <c r="AD63" s="270"/>
      <c r="AE63" s="270"/>
      <c r="AF63" s="270"/>
      <c r="AG63" s="270"/>
      <c r="AH63" s="270"/>
      <c r="AI63" s="270"/>
      <c r="AJ63" s="270"/>
      <c r="AK63" s="270"/>
      <c r="AL63" s="270"/>
      <c r="AM63" s="270"/>
      <c r="AN63" s="270"/>
      <c r="AO63" s="270"/>
      <c r="AP63" s="270"/>
      <c r="AQ63" s="270"/>
      <c r="AR63" s="270"/>
      <c r="AS63" s="270"/>
      <c r="AT63" s="270"/>
      <c r="AU63" s="270"/>
      <c r="AV63" s="270"/>
      <c r="AW63" s="270"/>
      <c r="AX63" s="270"/>
      <c r="AY63" s="270"/>
      <c r="AZ63" s="270"/>
      <c r="BA63" s="270"/>
      <c r="BB63" s="270"/>
      <c r="BC63" s="270"/>
      <c r="BD63" s="270"/>
      <c r="BE63" s="270"/>
      <c r="BF63" s="270"/>
      <c r="BG63" s="270"/>
      <c r="BH63" s="270"/>
      <c r="BI63" s="270"/>
      <c r="BJ63" s="270"/>
      <c r="BK63" s="270"/>
      <c r="BL63" s="270"/>
      <c r="BM63" s="270"/>
      <c r="BN63" s="270"/>
      <c r="BO63" s="270"/>
      <c r="BP63" s="270"/>
      <c r="BQ63" s="270"/>
      <c r="BR63" s="270"/>
      <c r="BS63" s="270"/>
      <c r="BT63" s="270"/>
      <c r="BU63" s="270"/>
      <c r="BV63" s="270"/>
      <c r="BW63" s="270"/>
      <c r="BX63" s="270"/>
      <c r="BY63" s="270"/>
      <c r="BZ63" s="270"/>
      <c r="CA63" s="270"/>
      <c r="CB63" s="270"/>
      <c r="CC63" s="270"/>
      <c r="CD63" s="270"/>
    </row>
    <row r="64" spans="1:82" hidden="1" outlineLevel="2" x14ac:dyDescent="0.35">
      <c r="A64" s="241"/>
      <c r="B64" s="48"/>
      <c r="C64" s="242"/>
      <c r="D64" s="243"/>
      <c r="E64" s="190" t="str">
        <f xml:space="preserve"> InpC!E$18</f>
        <v>Acquisition date</v>
      </c>
      <c r="F64" s="190">
        <f xml:space="preserve"> InpC!F$18</f>
        <v>44286</v>
      </c>
      <c r="G64" s="190" t="str">
        <f xml:space="preserve"> InpC!G$18</f>
        <v>date</v>
      </c>
      <c r="H64" s="190"/>
      <c r="I64" s="244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0"/>
      <c r="AB64" s="190"/>
      <c r="AC64" s="190"/>
      <c r="AD64" s="190"/>
      <c r="AE64" s="190"/>
      <c r="AF64" s="190"/>
      <c r="AG64" s="190"/>
      <c r="AH64" s="190"/>
      <c r="AI64" s="190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0"/>
      <c r="AU64" s="190"/>
      <c r="AV64" s="190"/>
      <c r="AW64" s="190"/>
      <c r="AX64" s="190"/>
      <c r="AY64" s="190"/>
      <c r="AZ64" s="190"/>
      <c r="BA64" s="190"/>
      <c r="BB64" s="190"/>
      <c r="BC64" s="190"/>
      <c r="BD64" s="190"/>
      <c r="BE64" s="190"/>
      <c r="BF64" s="190"/>
      <c r="BG64" s="190"/>
      <c r="BH64" s="190"/>
      <c r="BI64" s="190"/>
      <c r="BJ64" s="190"/>
      <c r="BK64" s="190"/>
      <c r="BL64" s="190"/>
      <c r="BM64" s="190"/>
      <c r="BN64" s="190"/>
      <c r="BO64" s="190"/>
      <c r="BP64" s="190"/>
      <c r="BQ64" s="190"/>
      <c r="BR64" s="190"/>
      <c r="BS64" s="190"/>
      <c r="BT64" s="190"/>
      <c r="BU64" s="190"/>
      <c r="BV64" s="190"/>
      <c r="BW64" s="190"/>
      <c r="BX64" s="190"/>
      <c r="BY64" s="190"/>
      <c r="BZ64" s="190"/>
      <c r="CA64" s="190"/>
      <c r="CB64" s="190"/>
      <c r="CC64" s="190"/>
      <c r="CD64" s="190"/>
    </row>
    <row r="65" spans="1:131" hidden="1" outlineLevel="2" x14ac:dyDescent="0.35">
      <c r="A65" s="177"/>
      <c r="B65" s="138"/>
      <c r="C65" s="178"/>
      <c r="D65" s="179"/>
      <c r="E65" s="272" t="str">
        <f t="shared" ref="E65:BP65" si="51" xml:space="preserve"> E$25</f>
        <v>Model period ending</v>
      </c>
      <c r="F65" s="272">
        <f t="shared" si="51"/>
        <v>0</v>
      </c>
      <c r="G65" s="272" t="str">
        <f t="shared" si="51"/>
        <v>date</v>
      </c>
      <c r="H65" s="272">
        <f t="shared" si="51"/>
        <v>0</v>
      </c>
      <c r="I65" s="273">
        <f t="shared" si="51"/>
        <v>0</v>
      </c>
      <c r="J65" s="272">
        <f t="shared" si="51"/>
        <v>44196</v>
      </c>
      <c r="K65" s="272">
        <f t="shared" si="51"/>
        <v>44227</v>
      </c>
      <c r="L65" s="272">
        <f t="shared" si="51"/>
        <v>44255</v>
      </c>
      <c r="M65" s="272">
        <f t="shared" si="51"/>
        <v>44286</v>
      </c>
      <c r="N65" s="272">
        <f t="shared" si="51"/>
        <v>44316</v>
      </c>
      <c r="O65" s="272">
        <f t="shared" si="51"/>
        <v>44347</v>
      </c>
      <c r="P65" s="272">
        <f t="shared" si="51"/>
        <v>44377</v>
      </c>
      <c r="Q65" s="272">
        <f t="shared" si="51"/>
        <v>44408</v>
      </c>
      <c r="R65" s="272">
        <f t="shared" si="51"/>
        <v>44439</v>
      </c>
      <c r="S65" s="272">
        <f t="shared" si="51"/>
        <v>44469</v>
      </c>
      <c r="T65" s="272">
        <f t="shared" si="51"/>
        <v>44500</v>
      </c>
      <c r="U65" s="272">
        <f t="shared" si="51"/>
        <v>44530</v>
      </c>
      <c r="V65" s="272">
        <f t="shared" si="51"/>
        <v>44561</v>
      </c>
      <c r="W65" s="272">
        <f t="shared" si="51"/>
        <v>44592</v>
      </c>
      <c r="X65" s="272">
        <f t="shared" si="51"/>
        <v>44620</v>
      </c>
      <c r="Y65" s="272">
        <f t="shared" si="51"/>
        <v>44651</v>
      </c>
      <c r="Z65" s="272">
        <f t="shared" si="51"/>
        <v>44681</v>
      </c>
      <c r="AA65" s="272">
        <f t="shared" si="51"/>
        <v>44712</v>
      </c>
      <c r="AB65" s="272">
        <f t="shared" si="51"/>
        <v>44742</v>
      </c>
      <c r="AC65" s="272">
        <f t="shared" si="51"/>
        <v>44773</v>
      </c>
      <c r="AD65" s="272">
        <f t="shared" si="51"/>
        <v>44804</v>
      </c>
      <c r="AE65" s="272">
        <f t="shared" si="51"/>
        <v>44834</v>
      </c>
      <c r="AF65" s="272">
        <f t="shared" si="51"/>
        <v>44865</v>
      </c>
      <c r="AG65" s="272">
        <f t="shared" si="51"/>
        <v>44895</v>
      </c>
      <c r="AH65" s="272">
        <f t="shared" si="51"/>
        <v>44926</v>
      </c>
      <c r="AI65" s="272">
        <f t="shared" si="51"/>
        <v>44957</v>
      </c>
      <c r="AJ65" s="272">
        <f t="shared" si="51"/>
        <v>44985</v>
      </c>
      <c r="AK65" s="272">
        <f t="shared" si="51"/>
        <v>45016</v>
      </c>
      <c r="AL65" s="272">
        <f t="shared" si="51"/>
        <v>45046</v>
      </c>
      <c r="AM65" s="272">
        <f t="shared" si="51"/>
        <v>45077</v>
      </c>
      <c r="AN65" s="272">
        <f t="shared" si="51"/>
        <v>45107</v>
      </c>
      <c r="AO65" s="272">
        <f t="shared" si="51"/>
        <v>45138</v>
      </c>
      <c r="AP65" s="272">
        <f t="shared" si="51"/>
        <v>45169</v>
      </c>
      <c r="AQ65" s="272">
        <f t="shared" si="51"/>
        <v>45199</v>
      </c>
      <c r="AR65" s="272">
        <f t="shared" si="51"/>
        <v>45230</v>
      </c>
      <c r="AS65" s="272">
        <f t="shared" si="51"/>
        <v>45260</v>
      </c>
      <c r="AT65" s="272">
        <f t="shared" si="51"/>
        <v>45291</v>
      </c>
      <c r="AU65" s="272">
        <f t="shared" si="51"/>
        <v>45322</v>
      </c>
      <c r="AV65" s="272">
        <f t="shared" si="51"/>
        <v>45351</v>
      </c>
      <c r="AW65" s="272">
        <f t="shared" si="51"/>
        <v>45382</v>
      </c>
      <c r="AX65" s="272">
        <f t="shared" si="51"/>
        <v>45412</v>
      </c>
      <c r="AY65" s="272">
        <f t="shared" si="51"/>
        <v>45443</v>
      </c>
      <c r="AZ65" s="272">
        <f t="shared" si="51"/>
        <v>45473</v>
      </c>
      <c r="BA65" s="272">
        <f t="shared" si="51"/>
        <v>45504</v>
      </c>
      <c r="BB65" s="272">
        <f t="shared" si="51"/>
        <v>45535</v>
      </c>
      <c r="BC65" s="272">
        <f t="shared" si="51"/>
        <v>45565</v>
      </c>
      <c r="BD65" s="272">
        <f t="shared" si="51"/>
        <v>45596</v>
      </c>
      <c r="BE65" s="272">
        <f t="shared" si="51"/>
        <v>45626</v>
      </c>
      <c r="BF65" s="272">
        <f t="shared" si="51"/>
        <v>45657</v>
      </c>
      <c r="BG65" s="272">
        <f t="shared" si="51"/>
        <v>45688</v>
      </c>
      <c r="BH65" s="272">
        <f t="shared" si="51"/>
        <v>45716</v>
      </c>
      <c r="BI65" s="272">
        <f t="shared" si="51"/>
        <v>45747</v>
      </c>
      <c r="BJ65" s="272">
        <f t="shared" si="51"/>
        <v>45777</v>
      </c>
      <c r="BK65" s="272">
        <f t="shared" si="51"/>
        <v>45808</v>
      </c>
      <c r="BL65" s="272">
        <f t="shared" si="51"/>
        <v>45838</v>
      </c>
      <c r="BM65" s="272">
        <f t="shared" si="51"/>
        <v>45869</v>
      </c>
      <c r="BN65" s="272">
        <f t="shared" si="51"/>
        <v>45900</v>
      </c>
      <c r="BO65" s="272">
        <f t="shared" si="51"/>
        <v>45930</v>
      </c>
      <c r="BP65" s="272">
        <f t="shared" si="51"/>
        <v>45961</v>
      </c>
      <c r="BQ65" s="272">
        <f t="shared" ref="BQ65:CD65" si="52" xml:space="preserve"> BQ$25</f>
        <v>45991</v>
      </c>
      <c r="BR65" s="272">
        <f t="shared" si="52"/>
        <v>46022</v>
      </c>
      <c r="BS65" s="272">
        <f t="shared" si="52"/>
        <v>46053</v>
      </c>
      <c r="BT65" s="272">
        <f t="shared" si="52"/>
        <v>46081</v>
      </c>
      <c r="BU65" s="272">
        <f t="shared" si="52"/>
        <v>46112</v>
      </c>
      <c r="BV65" s="272">
        <f t="shared" si="52"/>
        <v>46142</v>
      </c>
      <c r="BW65" s="272">
        <f t="shared" si="52"/>
        <v>46173</v>
      </c>
      <c r="BX65" s="272">
        <f t="shared" si="52"/>
        <v>46203</v>
      </c>
      <c r="BY65" s="272">
        <f t="shared" si="52"/>
        <v>46234</v>
      </c>
      <c r="BZ65" s="272">
        <f t="shared" si="52"/>
        <v>46265</v>
      </c>
      <c r="CA65" s="272">
        <f t="shared" si="52"/>
        <v>46295</v>
      </c>
      <c r="CB65" s="272">
        <f t="shared" si="52"/>
        <v>46326</v>
      </c>
      <c r="CC65" s="272">
        <f t="shared" si="52"/>
        <v>46356</v>
      </c>
      <c r="CD65" s="272">
        <f t="shared" si="52"/>
        <v>46387</v>
      </c>
    </row>
    <row r="66" spans="1:131" s="129" customFormat="1" hidden="1" outlineLevel="2" x14ac:dyDescent="0.35">
      <c r="A66" s="131"/>
      <c r="B66" s="131"/>
      <c r="C66" s="132"/>
      <c r="D66" s="133"/>
      <c r="E66" s="129" t="s">
        <v>42</v>
      </c>
      <c r="G66" s="129" t="s">
        <v>5</v>
      </c>
      <c r="H66" s="129">
        <f xml:space="preserve"> SUM(J66:EA66)</f>
        <v>1</v>
      </c>
      <c r="I66" s="134"/>
      <c r="J66" s="129">
        <f xml:space="preserve"> IF(AND(I65 &lt; $F64, J65 &gt;= $F64), 1, 0)</f>
        <v>0</v>
      </c>
      <c r="K66" s="129">
        <f t="shared" ref="K66:BV66" si="53" xml:space="preserve"> IF(AND(J65 &lt; $F64, K65 &gt;= $F64), 1, 0)</f>
        <v>0</v>
      </c>
      <c r="L66" s="129">
        <f t="shared" si="53"/>
        <v>0</v>
      </c>
      <c r="M66" s="129">
        <f t="shared" si="53"/>
        <v>1</v>
      </c>
      <c r="N66" s="129">
        <f t="shared" si="53"/>
        <v>0</v>
      </c>
      <c r="O66" s="129">
        <f t="shared" si="53"/>
        <v>0</v>
      </c>
      <c r="P66" s="129">
        <f t="shared" si="53"/>
        <v>0</v>
      </c>
      <c r="Q66" s="129">
        <f t="shared" si="53"/>
        <v>0</v>
      </c>
      <c r="R66" s="129">
        <f t="shared" si="53"/>
        <v>0</v>
      </c>
      <c r="S66" s="129">
        <f t="shared" si="53"/>
        <v>0</v>
      </c>
      <c r="T66" s="129">
        <f t="shared" si="53"/>
        <v>0</v>
      </c>
      <c r="U66" s="129">
        <f t="shared" si="53"/>
        <v>0</v>
      </c>
      <c r="V66" s="129">
        <f t="shared" si="53"/>
        <v>0</v>
      </c>
      <c r="W66" s="129">
        <f t="shared" si="53"/>
        <v>0</v>
      </c>
      <c r="X66" s="129">
        <f t="shared" si="53"/>
        <v>0</v>
      </c>
      <c r="Y66" s="129">
        <f t="shared" si="53"/>
        <v>0</v>
      </c>
      <c r="Z66" s="129">
        <f t="shared" si="53"/>
        <v>0</v>
      </c>
      <c r="AA66" s="129">
        <f t="shared" si="53"/>
        <v>0</v>
      </c>
      <c r="AB66" s="129">
        <f t="shared" si="53"/>
        <v>0</v>
      </c>
      <c r="AC66" s="129">
        <f t="shared" si="53"/>
        <v>0</v>
      </c>
      <c r="AD66" s="129">
        <f t="shared" si="53"/>
        <v>0</v>
      </c>
      <c r="AE66" s="129">
        <f t="shared" si="53"/>
        <v>0</v>
      </c>
      <c r="AF66" s="129">
        <f t="shared" si="53"/>
        <v>0</v>
      </c>
      <c r="AG66" s="129">
        <f t="shared" si="53"/>
        <v>0</v>
      </c>
      <c r="AH66" s="129">
        <f t="shared" si="53"/>
        <v>0</v>
      </c>
      <c r="AI66" s="129">
        <f t="shared" si="53"/>
        <v>0</v>
      </c>
      <c r="AJ66" s="129">
        <f t="shared" si="53"/>
        <v>0</v>
      </c>
      <c r="AK66" s="129">
        <f t="shared" si="53"/>
        <v>0</v>
      </c>
      <c r="AL66" s="129">
        <f t="shared" si="53"/>
        <v>0</v>
      </c>
      <c r="AM66" s="129">
        <f t="shared" si="53"/>
        <v>0</v>
      </c>
      <c r="AN66" s="129">
        <f t="shared" si="53"/>
        <v>0</v>
      </c>
      <c r="AO66" s="129">
        <f t="shared" si="53"/>
        <v>0</v>
      </c>
      <c r="AP66" s="129">
        <f t="shared" si="53"/>
        <v>0</v>
      </c>
      <c r="AQ66" s="129">
        <f t="shared" si="53"/>
        <v>0</v>
      </c>
      <c r="AR66" s="129">
        <f t="shared" si="53"/>
        <v>0</v>
      </c>
      <c r="AS66" s="129">
        <f t="shared" si="53"/>
        <v>0</v>
      </c>
      <c r="AT66" s="129">
        <f t="shared" si="53"/>
        <v>0</v>
      </c>
      <c r="AU66" s="129">
        <f t="shared" si="53"/>
        <v>0</v>
      </c>
      <c r="AV66" s="129">
        <f t="shared" si="53"/>
        <v>0</v>
      </c>
      <c r="AW66" s="129">
        <f t="shared" si="53"/>
        <v>0</v>
      </c>
      <c r="AX66" s="129">
        <f t="shared" si="53"/>
        <v>0</v>
      </c>
      <c r="AY66" s="129">
        <f t="shared" si="53"/>
        <v>0</v>
      </c>
      <c r="AZ66" s="129">
        <f t="shared" si="53"/>
        <v>0</v>
      </c>
      <c r="BA66" s="129">
        <f t="shared" si="53"/>
        <v>0</v>
      </c>
      <c r="BB66" s="129">
        <f t="shared" si="53"/>
        <v>0</v>
      </c>
      <c r="BC66" s="129">
        <f t="shared" si="53"/>
        <v>0</v>
      </c>
      <c r="BD66" s="129">
        <f t="shared" si="53"/>
        <v>0</v>
      </c>
      <c r="BE66" s="129">
        <f t="shared" si="53"/>
        <v>0</v>
      </c>
      <c r="BF66" s="129">
        <f t="shared" si="53"/>
        <v>0</v>
      </c>
      <c r="BG66" s="129">
        <f t="shared" si="53"/>
        <v>0</v>
      </c>
      <c r="BH66" s="129">
        <f t="shared" si="53"/>
        <v>0</v>
      </c>
      <c r="BI66" s="129">
        <f t="shared" si="53"/>
        <v>0</v>
      </c>
      <c r="BJ66" s="129">
        <f t="shared" si="53"/>
        <v>0</v>
      </c>
      <c r="BK66" s="129">
        <f t="shared" si="53"/>
        <v>0</v>
      </c>
      <c r="BL66" s="129">
        <f t="shared" si="53"/>
        <v>0</v>
      </c>
      <c r="BM66" s="129">
        <f t="shared" si="53"/>
        <v>0</v>
      </c>
      <c r="BN66" s="129">
        <f t="shared" si="53"/>
        <v>0</v>
      </c>
      <c r="BO66" s="129">
        <f t="shared" si="53"/>
        <v>0</v>
      </c>
      <c r="BP66" s="129">
        <f t="shared" si="53"/>
        <v>0</v>
      </c>
      <c r="BQ66" s="129">
        <f t="shared" si="53"/>
        <v>0</v>
      </c>
      <c r="BR66" s="129">
        <f t="shared" si="53"/>
        <v>0</v>
      </c>
      <c r="BS66" s="129">
        <f t="shared" si="53"/>
        <v>0</v>
      </c>
      <c r="BT66" s="129">
        <f t="shared" si="53"/>
        <v>0</v>
      </c>
      <c r="BU66" s="129">
        <f t="shared" si="53"/>
        <v>0</v>
      </c>
      <c r="BV66" s="129">
        <f t="shared" si="53"/>
        <v>0</v>
      </c>
      <c r="BW66" s="129">
        <f t="shared" ref="BW66:CD66" si="54" xml:space="preserve"> IF(AND(BV65 &lt; $F64, BW65 &gt;= $F64), 1, 0)</f>
        <v>0</v>
      </c>
      <c r="BX66" s="129">
        <f t="shared" si="54"/>
        <v>0</v>
      </c>
      <c r="BY66" s="129">
        <f t="shared" si="54"/>
        <v>0</v>
      </c>
      <c r="BZ66" s="129">
        <f t="shared" si="54"/>
        <v>0</v>
      </c>
      <c r="CA66" s="129">
        <f t="shared" si="54"/>
        <v>0</v>
      </c>
      <c r="CB66" s="129">
        <f t="shared" si="54"/>
        <v>0</v>
      </c>
      <c r="CC66" s="129">
        <f t="shared" si="54"/>
        <v>0</v>
      </c>
      <c r="CD66" s="129">
        <f t="shared" si="54"/>
        <v>0</v>
      </c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</row>
    <row r="67" spans="1:131" hidden="1" outlineLevel="1" x14ac:dyDescent="0.35">
      <c r="A67" s="138"/>
      <c r="B67" s="138"/>
      <c r="C67" s="139"/>
      <c r="D67" s="140"/>
      <c r="E67" s="286"/>
      <c r="F67" s="286"/>
      <c r="G67" s="286"/>
      <c r="H67" s="286"/>
      <c r="I67" s="287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6"/>
      <c r="AT67" s="286"/>
      <c r="AU67" s="286"/>
      <c r="AV67" s="286"/>
      <c r="AW67" s="286"/>
      <c r="AX67" s="286"/>
      <c r="AY67" s="286"/>
      <c r="AZ67" s="286"/>
      <c r="BA67" s="286"/>
      <c r="BB67" s="286"/>
      <c r="BC67" s="286"/>
      <c r="BD67" s="286"/>
      <c r="BE67" s="286"/>
      <c r="BF67" s="286"/>
      <c r="BG67" s="286"/>
      <c r="BH67" s="286"/>
      <c r="BI67" s="286"/>
      <c r="BJ67" s="286"/>
      <c r="BK67" s="286"/>
      <c r="BL67" s="286"/>
      <c r="BM67" s="286"/>
      <c r="BN67" s="286"/>
      <c r="BO67" s="286"/>
      <c r="BP67" s="286"/>
      <c r="BQ67" s="286"/>
      <c r="BR67" s="286"/>
      <c r="BS67" s="286"/>
      <c r="BT67" s="286"/>
      <c r="BU67" s="286"/>
      <c r="BV67" s="286"/>
      <c r="BW67" s="286"/>
      <c r="BX67" s="286"/>
      <c r="BY67" s="286"/>
      <c r="BZ67" s="286"/>
      <c r="CA67" s="286"/>
      <c r="CB67" s="286"/>
      <c r="CC67" s="286"/>
      <c r="CD67" s="286"/>
    </row>
    <row r="68" spans="1:131" hidden="1" outlineLevel="1" x14ac:dyDescent="0.35">
      <c r="A68" s="139"/>
      <c r="B68" s="138" t="s">
        <v>44</v>
      </c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139"/>
      <c r="BR68" s="139"/>
      <c r="BS68" s="139"/>
      <c r="BT68" s="139"/>
      <c r="BU68" s="139"/>
      <c r="BV68" s="139"/>
      <c r="BW68" s="139"/>
      <c r="BX68" s="139"/>
      <c r="BY68" s="139"/>
      <c r="BZ68" s="139"/>
      <c r="CA68" s="139"/>
      <c r="CB68" s="139"/>
      <c r="CC68" s="139"/>
      <c r="CD68" s="139"/>
    </row>
    <row r="69" spans="1:131" hidden="1" outlineLevel="2" x14ac:dyDescent="0.35">
      <c r="A69" s="138"/>
      <c r="B69" s="138"/>
      <c r="C69" s="139"/>
      <c r="D69" s="140"/>
      <c r="E69" s="174" t="str">
        <f t="shared" ref="E69:AJ69" si="55" xml:space="preserve"> E$66</f>
        <v>Financial close date flag</v>
      </c>
      <c r="F69" s="174">
        <f t="shared" si="55"/>
        <v>0</v>
      </c>
      <c r="G69" s="174" t="str">
        <f t="shared" si="55"/>
        <v>flag</v>
      </c>
      <c r="H69" s="174">
        <f t="shared" si="55"/>
        <v>1</v>
      </c>
      <c r="I69" s="174">
        <f t="shared" si="55"/>
        <v>0</v>
      </c>
      <c r="J69" s="174">
        <f t="shared" si="55"/>
        <v>0</v>
      </c>
      <c r="K69" s="174">
        <f t="shared" si="55"/>
        <v>0</v>
      </c>
      <c r="L69" s="174">
        <f t="shared" si="55"/>
        <v>0</v>
      </c>
      <c r="M69" s="174">
        <f t="shared" si="55"/>
        <v>1</v>
      </c>
      <c r="N69" s="174">
        <f t="shared" si="55"/>
        <v>0</v>
      </c>
      <c r="O69" s="174">
        <f t="shared" si="55"/>
        <v>0</v>
      </c>
      <c r="P69" s="174">
        <f t="shared" si="55"/>
        <v>0</v>
      </c>
      <c r="Q69" s="174">
        <f t="shared" si="55"/>
        <v>0</v>
      </c>
      <c r="R69" s="174">
        <f t="shared" si="55"/>
        <v>0</v>
      </c>
      <c r="S69" s="174">
        <f t="shared" si="55"/>
        <v>0</v>
      </c>
      <c r="T69" s="174">
        <f t="shared" si="55"/>
        <v>0</v>
      </c>
      <c r="U69" s="174">
        <f t="shared" si="55"/>
        <v>0</v>
      </c>
      <c r="V69" s="174">
        <f t="shared" si="55"/>
        <v>0</v>
      </c>
      <c r="W69" s="174">
        <f t="shared" si="55"/>
        <v>0</v>
      </c>
      <c r="X69" s="174">
        <f t="shared" si="55"/>
        <v>0</v>
      </c>
      <c r="Y69" s="174">
        <f t="shared" si="55"/>
        <v>0</v>
      </c>
      <c r="Z69" s="174">
        <f t="shared" si="55"/>
        <v>0</v>
      </c>
      <c r="AA69" s="174">
        <f t="shared" si="55"/>
        <v>0</v>
      </c>
      <c r="AB69" s="174">
        <f t="shared" si="55"/>
        <v>0</v>
      </c>
      <c r="AC69" s="174">
        <f t="shared" si="55"/>
        <v>0</v>
      </c>
      <c r="AD69" s="174">
        <f t="shared" si="55"/>
        <v>0</v>
      </c>
      <c r="AE69" s="174">
        <f t="shared" si="55"/>
        <v>0</v>
      </c>
      <c r="AF69" s="174">
        <f t="shared" si="55"/>
        <v>0</v>
      </c>
      <c r="AG69" s="174">
        <f t="shared" si="55"/>
        <v>0</v>
      </c>
      <c r="AH69" s="174">
        <f t="shared" si="55"/>
        <v>0</v>
      </c>
      <c r="AI69" s="174">
        <f t="shared" si="55"/>
        <v>0</v>
      </c>
      <c r="AJ69" s="174">
        <f t="shared" si="55"/>
        <v>0</v>
      </c>
      <c r="AK69" s="174">
        <f t="shared" ref="AK69:BP69" si="56" xml:space="preserve"> AK$66</f>
        <v>0</v>
      </c>
      <c r="AL69" s="174">
        <f t="shared" si="56"/>
        <v>0</v>
      </c>
      <c r="AM69" s="174">
        <f t="shared" si="56"/>
        <v>0</v>
      </c>
      <c r="AN69" s="174">
        <f t="shared" si="56"/>
        <v>0</v>
      </c>
      <c r="AO69" s="174">
        <f t="shared" si="56"/>
        <v>0</v>
      </c>
      <c r="AP69" s="174">
        <f t="shared" si="56"/>
        <v>0</v>
      </c>
      <c r="AQ69" s="174">
        <f t="shared" si="56"/>
        <v>0</v>
      </c>
      <c r="AR69" s="174">
        <f t="shared" si="56"/>
        <v>0</v>
      </c>
      <c r="AS69" s="174">
        <f t="shared" si="56"/>
        <v>0</v>
      </c>
      <c r="AT69" s="174">
        <f t="shared" si="56"/>
        <v>0</v>
      </c>
      <c r="AU69" s="174">
        <f t="shared" si="56"/>
        <v>0</v>
      </c>
      <c r="AV69" s="174">
        <f t="shared" si="56"/>
        <v>0</v>
      </c>
      <c r="AW69" s="174">
        <f t="shared" si="56"/>
        <v>0</v>
      </c>
      <c r="AX69" s="174">
        <f t="shared" si="56"/>
        <v>0</v>
      </c>
      <c r="AY69" s="174">
        <f t="shared" si="56"/>
        <v>0</v>
      </c>
      <c r="AZ69" s="174">
        <f t="shared" si="56"/>
        <v>0</v>
      </c>
      <c r="BA69" s="174">
        <f t="shared" si="56"/>
        <v>0</v>
      </c>
      <c r="BB69" s="174">
        <f t="shared" si="56"/>
        <v>0</v>
      </c>
      <c r="BC69" s="174">
        <f t="shared" si="56"/>
        <v>0</v>
      </c>
      <c r="BD69" s="174">
        <f t="shared" si="56"/>
        <v>0</v>
      </c>
      <c r="BE69" s="174">
        <f t="shared" si="56"/>
        <v>0</v>
      </c>
      <c r="BF69" s="174">
        <f t="shared" si="56"/>
        <v>0</v>
      </c>
      <c r="BG69" s="174">
        <f t="shared" si="56"/>
        <v>0</v>
      </c>
      <c r="BH69" s="174">
        <f t="shared" si="56"/>
        <v>0</v>
      </c>
      <c r="BI69" s="174">
        <f t="shared" si="56"/>
        <v>0</v>
      </c>
      <c r="BJ69" s="174">
        <f t="shared" si="56"/>
        <v>0</v>
      </c>
      <c r="BK69" s="174">
        <f t="shared" si="56"/>
        <v>0</v>
      </c>
      <c r="BL69" s="174">
        <f t="shared" si="56"/>
        <v>0</v>
      </c>
      <c r="BM69" s="174">
        <f t="shared" si="56"/>
        <v>0</v>
      </c>
      <c r="BN69" s="174">
        <f t="shared" si="56"/>
        <v>0</v>
      </c>
      <c r="BO69" s="174">
        <f t="shared" si="56"/>
        <v>0</v>
      </c>
      <c r="BP69" s="174">
        <f t="shared" si="56"/>
        <v>0</v>
      </c>
      <c r="BQ69" s="174">
        <f t="shared" ref="BQ69:CD69" si="57" xml:space="preserve"> BQ$66</f>
        <v>0</v>
      </c>
      <c r="BR69" s="174">
        <f t="shared" si="57"/>
        <v>0</v>
      </c>
      <c r="BS69" s="174">
        <f t="shared" si="57"/>
        <v>0</v>
      </c>
      <c r="BT69" s="174">
        <f t="shared" si="57"/>
        <v>0</v>
      </c>
      <c r="BU69" s="174">
        <f t="shared" si="57"/>
        <v>0</v>
      </c>
      <c r="BV69" s="174">
        <f t="shared" si="57"/>
        <v>0</v>
      </c>
      <c r="BW69" s="174">
        <f t="shared" si="57"/>
        <v>0</v>
      </c>
      <c r="BX69" s="174">
        <f t="shared" si="57"/>
        <v>0</v>
      </c>
      <c r="BY69" s="174">
        <f t="shared" si="57"/>
        <v>0</v>
      </c>
      <c r="BZ69" s="174">
        <f t="shared" si="57"/>
        <v>0</v>
      </c>
      <c r="CA69" s="174">
        <f t="shared" si="57"/>
        <v>0</v>
      </c>
      <c r="CB69" s="174">
        <f t="shared" si="57"/>
        <v>0</v>
      </c>
      <c r="CC69" s="174">
        <f t="shared" si="57"/>
        <v>0</v>
      </c>
      <c r="CD69" s="174">
        <f t="shared" si="57"/>
        <v>0</v>
      </c>
    </row>
    <row r="70" spans="1:131" hidden="1" outlineLevel="2" x14ac:dyDescent="0.35">
      <c r="A70" s="215"/>
      <c r="B70" s="215"/>
      <c r="C70" s="216"/>
      <c r="D70" s="96"/>
      <c r="E70" s="97" t="s">
        <v>44</v>
      </c>
      <c r="F70" s="97"/>
      <c r="G70" s="97" t="s">
        <v>5</v>
      </c>
      <c r="H70" s="97">
        <f xml:space="preserve"> SUM(J70:EA70)</f>
        <v>1</v>
      </c>
      <c r="I70" s="98"/>
      <c r="J70" s="286">
        <f t="shared" ref="J70:AO70" si="58" xml:space="preserve"> I69</f>
        <v>0</v>
      </c>
      <c r="K70" s="286">
        <f t="shared" si="58"/>
        <v>0</v>
      </c>
      <c r="L70" s="286">
        <f t="shared" si="58"/>
        <v>0</v>
      </c>
      <c r="M70" s="286">
        <f t="shared" si="58"/>
        <v>0</v>
      </c>
      <c r="N70" s="286">
        <f t="shared" si="58"/>
        <v>1</v>
      </c>
      <c r="O70" s="286">
        <f t="shared" si="58"/>
        <v>0</v>
      </c>
      <c r="P70" s="286">
        <f t="shared" si="58"/>
        <v>0</v>
      </c>
      <c r="Q70" s="286">
        <f t="shared" si="58"/>
        <v>0</v>
      </c>
      <c r="R70" s="286">
        <f t="shared" si="58"/>
        <v>0</v>
      </c>
      <c r="S70" s="286">
        <f t="shared" si="58"/>
        <v>0</v>
      </c>
      <c r="T70" s="286">
        <f t="shared" si="58"/>
        <v>0</v>
      </c>
      <c r="U70" s="286">
        <f t="shared" si="58"/>
        <v>0</v>
      </c>
      <c r="V70" s="286">
        <f t="shared" si="58"/>
        <v>0</v>
      </c>
      <c r="W70" s="286">
        <f t="shared" si="58"/>
        <v>0</v>
      </c>
      <c r="X70" s="286">
        <f t="shared" si="58"/>
        <v>0</v>
      </c>
      <c r="Y70" s="286">
        <f t="shared" si="58"/>
        <v>0</v>
      </c>
      <c r="Z70" s="286">
        <f t="shared" si="58"/>
        <v>0</v>
      </c>
      <c r="AA70" s="286">
        <f t="shared" si="58"/>
        <v>0</v>
      </c>
      <c r="AB70" s="286">
        <f t="shared" si="58"/>
        <v>0</v>
      </c>
      <c r="AC70" s="286">
        <f t="shared" si="58"/>
        <v>0</v>
      </c>
      <c r="AD70" s="286">
        <f t="shared" si="58"/>
        <v>0</v>
      </c>
      <c r="AE70" s="286">
        <f t="shared" si="58"/>
        <v>0</v>
      </c>
      <c r="AF70" s="286">
        <f t="shared" si="58"/>
        <v>0</v>
      </c>
      <c r="AG70" s="286">
        <f t="shared" si="58"/>
        <v>0</v>
      </c>
      <c r="AH70" s="286">
        <f t="shared" si="58"/>
        <v>0</v>
      </c>
      <c r="AI70" s="286">
        <f t="shared" si="58"/>
        <v>0</v>
      </c>
      <c r="AJ70" s="286">
        <f t="shared" si="58"/>
        <v>0</v>
      </c>
      <c r="AK70" s="286">
        <f t="shared" si="58"/>
        <v>0</v>
      </c>
      <c r="AL70" s="286">
        <f t="shared" si="58"/>
        <v>0</v>
      </c>
      <c r="AM70" s="286">
        <f t="shared" si="58"/>
        <v>0</v>
      </c>
      <c r="AN70" s="286">
        <f t="shared" si="58"/>
        <v>0</v>
      </c>
      <c r="AO70" s="286">
        <f t="shared" si="58"/>
        <v>0</v>
      </c>
      <c r="AP70" s="286">
        <f t="shared" ref="AP70:BU70" si="59" xml:space="preserve"> AO69</f>
        <v>0</v>
      </c>
      <c r="AQ70" s="286">
        <f t="shared" si="59"/>
        <v>0</v>
      </c>
      <c r="AR70" s="286">
        <f t="shared" si="59"/>
        <v>0</v>
      </c>
      <c r="AS70" s="286">
        <f t="shared" si="59"/>
        <v>0</v>
      </c>
      <c r="AT70" s="286">
        <f t="shared" si="59"/>
        <v>0</v>
      </c>
      <c r="AU70" s="286">
        <f t="shared" si="59"/>
        <v>0</v>
      </c>
      <c r="AV70" s="286">
        <f t="shared" si="59"/>
        <v>0</v>
      </c>
      <c r="AW70" s="286">
        <f t="shared" si="59"/>
        <v>0</v>
      </c>
      <c r="AX70" s="286">
        <f t="shared" si="59"/>
        <v>0</v>
      </c>
      <c r="AY70" s="286">
        <f t="shared" si="59"/>
        <v>0</v>
      </c>
      <c r="AZ70" s="286">
        <f t="shared" si="59"/>
        <v>0</v>
      </c>
      <c r="BA70" s="286">
        <f t="shared" si="59"/>
        <v>0</v>
      </c>
      <c r="BB70" s="286">
        <f t="shared" si="59"/>
        <v>0</v>
      </c>
      <c r="BC70" s="286">
        <f t="shared" si="59"/>
        <v>0</v>
      </c>
      <c r="BD70" s="286">
        <f t="shared" si="59"/>
        <v>0</v>
      </c>
      <c r="BE70" s="286">
        <f t="shared" si="59"/>
        <v>0</v>
      </c>
      <c r="BF70" s="286">
        <f t="shared" si="59"/>
        <v>0</v>
      </c>
      <c r="BG70" s="286">
        <f t="shared" si="59"/>
        <v>0</v>
      </c>
      <c r="BH70" s="286">
        <f t="shared" si="59"/>
        <v>0</v>
      </c>
      <c r="BI70" s="286">
        <f t="shared" si="59"/>
        <v>0</v>
      </c>
      <c r="BJ70" s="286">
        <f t="shared" si="59"/>
        <v>0</v>
      </c>
      <c r="BK70" s="286">
        <f t="shared" si="59"/>
        <v>0</v>
      </c>
      <c r="BL70" s="286">
        <f t="shared" si="59"/>
        <v>0</v>
      </c>
      <c r="BM70" s="286">
        <f t="shared" si="59"/>
        <v>0</v>
      </c>
      <c r="BN70" s="286">
        <f t="shared" si="59"/>
        <v>0</v>
      </c>
      <c r="BO70" s="286">
        <f t="shared" si="59"/>
        <v>0</v>
      </c>
      <c r="BP70" s="286">
        <f t="shared" si="59"/>
        <v>0</v>
      </c>
      <c r="BQ70" s="286">
        <f t="shared" si="59"/>
        <v>0</v>
      </c>
      <c r="BR70" s="286">
        <f t="shared" si="59"/>
        <v>0</v>
      </c>
      <c r="BS70" s="286">
        <f t="shared" si="59"/>
        <v>0</v>
      </c>
      <c r="BT70" s="286">
        <f t="shared" si="59"/>
        <v>0</v>
      </c>
      <c r="BU70" s="286">
        <f t="shared" si="59"/>
        <v>0</v>
      </c>
      <c r="BV70" s="286">
        <f t="shared" ref="BV70:CD70" si="60" xml:space="preserve"> BU69</f>
        <v>0</v>
      </c>
      <c r="BW70" s="286">
        <f t="shared" si="60"/>
        <v>0</v>
      </c>
      <c r="BX70" s="286">
        <f t="shared" si="60"/>
        <v>0</v>
      </c>
      <c r="BY70" s="286">
        <f t="shared" si="60"/>
        <v>0</v>
      </c>
      <c r="BZ70" s="286">
        <f t="shared" si="60"/>
        <v>0</v>
      </c>
      <c r="CA70" s="286">
        <f t="shared" si="60"/>
        <v>0</v>
      </c>
      <c r="CB70" s="286">
        <f t="shared" si="60"/>
        <v>0</v>
      </c>
      <c r="CC70" s="286">
        <f t="shared" si="60"/>
        <v>0</v>
      </c>
      <c r="CD70" s="286">
        <f t="shared" si="60"/>
        <v>0</v>
      </c>
    </row>
    <row r="71" spans="1:131" hidden="1" outlineLevel="1" x14ac:dyDescent="0.35">
      <c r="A71" s="138"/>
      <c r="B71" s="138"/>
      <c r="C71" s="139"/>
      <c r="D71" s="140"/>
      <c r="E71" s="286"/>
      <c r="F71" s="286"/>
      <c r="G71" s="286"/>
      <c r="H71" s="286"/>
      <c r="I71" s="287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6"/>
      <c r="AO71" s="286"/>
      <c r="AP71" s="286"/>
      <c r="AQ71" s="286"/>
      <c r="AR71" s="286"/>
      <c r="AS71" s="286"/>
      <c r="AT71" s="286"/>
      <c r="AU71" s="286"/>
      <c r="AV71" s="286"/>
      <c r="AW71" s="286"/>
      <c r="AX71" s="286"/>
      <c r="AY71" s="286"/>
      <c r="AZ71" s="286"/>
      <c r="BA71" s="286"/>
      <c r="BB71" s="286"/>
      <c r="BC71" s="286"/>
      <c r="BD71" s="286"/>
      <c r="BE71" s="286"/>
      <c r="BF71" s="286"/>
      <c r="BG71" s="286"/>
      <c r="BH71" s="286"/>
      <c r="BI71" s="286"/>
      <c r="BJ71" s="286"/>
      <c r="BK71" s="286"/>
      <c r="BL71" s="286"/>
      <c r="BM71" s="286"/>
      <c r="BN71" s="286"/>
      <c r="BO71" s="286"/>
      <c r="BP71" s="286"/>
      <c r="BQ71" s="286"/>
      <c r="BR71" s="286"/>
      <c r="BS71" s="286"/>
      <c r="BT71" s="286"/>
      <c r="BU71" s="286"/>
      <c r="BV71" s="286"/>
      <c r="BW71" s="286"/>
      <c r="BX71" s="286"/>
      <c r="BY71" s="286"/>
      <c r="BZ71" s="286"/>
      <c r="CA71" s="286"/>
      <c r="CB71" s="286"/>
      <c r="CC71" s="286"/>
      <c r="CD71" s="286"/>
    </row>
    <row r="72" spans="1:131" hidden="1" outlineLevel="1" x14ac:dyDescent="0.35">
      <c r="A72" s="138"/>
      <c r="B72" s="138" t="s">
        <v>45</v>
      </c>
      <c r="C72" s="139"/>
      <c r="D72" s="140"/>
      <c r="E72" s="286"/>
      <c r="F72" s="286"/>
      <c r="G72" s="286"/>
      <c r="H72" s="286"/>
      <c r="I72" s="287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286"/>
      <c r="AO72" s="286"/>
      <c r="AP72" s="286"/>
      <c r="AQ72" s="286"/>
      <c r="AR72" s="286"/>
      <c r="AS72" s="286"/>
      <c r="AT72" s="286"/>
      <c r="AU72" s="286"/>
      <c r="AV72" s="286"/>
      <c r="AW72" s="286"/>
      <c r="AX72" s="286"/>
      <c r="AY72" s="286"/>
      <c r="AZ72" s="286"/>
      <c r="BA72" s="286"/>
      <c r="BB72" s="286"/>
      <c r="BC72" s="286"/>
      <c r="BD72" s="286"/>
      <c r="BE72" s="286"/>
      <c r="BF72" s="286"/>
      <c r="BG72" s="286"/>
      <c r="BH72" s="286"/>
      <c r="BI72" s="286"/>
      <c r="BJ72" s="286"/>
      <c r="BK72" s="286"/>
      <c r="BL72" s="286"/>
      <c r="BM72" s="286"/>
      <c r="BN72" s="286"/>
      <c r="BO72" s="286"/>
      <c r="BP72" s="286"/>
      <c r="BQ72" s="286"/>
      <c r="BR72" s="286"/>
      <c r="BS72" s="286"/>
      <c r="BT72" s="286"/>
      <c r="BU72" s="286"/>
      <c r="BV72" s="286"/>
      <c r="BW72" s="286"/>
      <c r="BX72" s="286"/>
      <c r="BY72" s="286"/>
      <c r="BZ72" s="286"/>
      <c r="CA72" s="286"/>
      <c r="CB72" s="286"/>
      <c r="CC72" s="286"/>
      <c r="CD72" s="286"/>
    </row>
    <row r="73" spans="1:131" hidden="1" outlineLevel="2" x14ac:dyDescent="0.35">
      <c r="A73" s="241"/>
      <c r="B73" s="48"/>
      <c r="C73" s="242"/>
      <c r="D73" s="243"/>
      <c r="E73" s="190" t="str">
        <f xml:space="preserve"> InpC!E$18</f>
        <v>Acquisition date</v>
      </c>
      <c r="F73" s="190">
        <f xml:space="preserve"> InpC!F$18</f>
        <v>44286</v>
      </c>
      <c r="G73" s="190" t="str">
        <f xml:space="preserve"> InpC!G$18</f>
        <v>date</v>
      </c>
      <c r="H73" s="190"/>
      <c r="I73" s="244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0"/>
      <c r="AH73" s="190"/>
      <c r="AI73" s="190"/>
      <c r="AJ73" s="190"/>
      <c r="AK73" s="190"/>
      <c r="AL73" s="190"/>
      <c r="AM73" s="190"/>
      <c r="AN73" s="190"/>
      <c r="AO73" s="190"/>
      <c r="AP73" s="190"/>
      <c r="AQ73" s="190"/>
      <c r="AR73" s="190"/>
      <c r="AS73" s="190"/>
      <c r="AT73" s="190"/>
      <c r="AU73" s="190"/>
      <c r="AV73" s="190"/>
      <c r="AW73" s="190"/>
      <c r="AX73" s="190"/>
      <c r="AY73" s="190"/>
      <c r="AZ73" s="190"/>
      <c r="BA73" s="190"/>
      <c r="BB73" s="190"/>
      <c r="BC73" s="190"/>
      <c r="BD73" s="190"/>
      <c r="BE73" s="190"/>
      <c r="BF73" s="190"/>
      <c r="BG73" s="190"/>
      <c r="BH73" s="190"/>
      <c r="BI73" s="190"/>
      <c r="BJ73" s="190"/>
      <c r="BK73" s="190"/>
      <c r="BL73" s="190"/>
      <c r="BM73" s="190"/>
      <c r="BN73" s="190"/>
      <c r="BO73" s="190"/>
      <c r="BP73" s="190"/>
      <c r="BQ73" s="190"/>
      <c r="BR73" s="190"/>
      <c r="BS73" s="190"/>
      <c r="BT73" s="190"/>
      <c r="BU73" s="190"/>
      <c r="BV73" s="190"/>
      <c r="BW73" s="190"/>
      <c r="BX73" s="190"/>
      <c r="BY73" s="190"/>
      <c r="BZ73" s="190"/>
      <c r="CA73" s="190"/>
      <c r="CB73" s="190"/>
      <c r="CC73" s="190"/>
      <c r="CD73" s="190"/>
    </row>
    <row r="74" spans="1:131" hidden="1" outlineLevel="2" x14ac:dyDescent="0.35">
      <c r="A74" s="40"/>
      <c r="B74" s="40"/>
      <c r="C74" s="41"/>
      <c r="D74" s="42"/>
      <c r="E74" s="42" t="str">
        <f xml:space="preserve"> InpC!E$20</f>
        <v>Operating years remaining</v>
      </c>
      <c r="F74" s="42">
        <f xml:space="preserve"> InpC!F$20</f>
        <v>5</v>
      </c>
      <c r="G74" s="42" t="str">
        <f xml:space="preserve"> InpC!G$20</f>
        <v>years</v>
      </c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</row>
    <row r="75" spans="1:131" hidden="1" outlineLevel="2" x14ac:dyDescent="0.35">
      <c r="A75" s="48"/>
      <c r="B75" s="48"/>
      <c r="C75" s="49"/>
      <c r="D75" s="50"/>
      <c r="E75" s="214" t="str">
        <f xml:space="preserve"> InpC!E$21</f>
        <v>Contract extension</v>
      </c>
      <c r="F75" s="214">
        <f xml:space="preserve"> InpC!F$21</f>
        <v>0</v>
      </c>
      <c r="G75" s="214" t="str">
        <f xml:space="preserve"> InpC!G$21</f>
        <v>years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</row>
    <row r="76" spans="1:131" hidden="1" outlineLevel="2" x14ac:dyDescent="0.35">
      <c r="A76" s="40"/>
      <c r="B76" s="40"/>
      <c r="C76" s="41"/>
      <c r="D76" s="42"/>
      <c r="E76" s="42" t="str">
        <f xml:space="preserve"> InpC!E$67</f>
        <v>Months in year</v>
      </c>
      <c r="F76" s="42">
        <f xml:space="preserve"> InpC!F$67</f>
        <v>12</v>
      </c>
      <c r="G76" s="42" t="str">
        <f xml:space="preserve"> InpC!G$67</f>
        <v>months</v>
      </c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</row>
    <row r="77" spans="1:131" hidden="1" outlineLevel="2" x14ac:dyDescent="0.35">
      <c r="A77" s="288"/>
      <c r="B77" s="288"/>
      <c r="C77" s="289"/>
      <c r="D77" s="274"/>
      <c r="E77" s="226" t="s">
        <v>101</v>
      </c>
      <c r="F77" s="226">
        <f xml:space="preserve"> EOMONTH(F73, ((F74 + F75) * F76))</f>
        <v>46112</v>
      </c>
      <c r="G77" s="226" t="s">
        <v>6</v>
      </c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26"/>
      <c r="AN77" s="226"/>
      <c r="AO77" s="226"/>
      <c r="AP77" s="226"/>
      <c r="AQ77" s="226"/>
      <c r="AR77" s="226"/>
      <c r="AS77" s="226"/>
      <c r="AT77" s="226"/>
      <c r="AU77" s="226"/>
      <c r="AV77" s="226"/>
      <c r="AW77" s="226"/>
      <c r="AX77" s="226"/>
      <c r="AY77" s="226"/>
      <c r="AZ77" s="226"/>
      <c r="BA77" s="226"/>
      <c r="BB77" s="226"/>
      <c r="BC77" s="226"/>
      <c r="BD77" s="226"/>
      <c r="BE77" s="226"/>
      <c r="BF77" s="226"/>
      <c r="BG77" s="226"/>
      <c r="BH77" s="226"/>
      <c r="BI77" s="226"/>
      <c r="BJ77" s="226"/>
      <c r="BK77" s="226"/>
      <c r="BL77" s="226"/>
      <c r="BM77" s="226"/>
      <c r="BN77" s="226"/>
      <c r="BO77" s="226"/>
      <c r="BP77" s="226"/>
      <c r="BQ77" s="226"/>
      <c r="BR77" s="226"/>
      <c r="BS77" s="226"/>
      <c r="BT77" s="226"/>
      <c r="BU77" s="226"/>
      <c r="BV77" s="226"/>
      <c r="BW77" s="226"/>
      <c r="BX77" s="226"/>
      <c r="BY77" s="226"/>
      <c r="BZ77" s="226"/>
      <c r="CA77" s="226"/>
      <c r="CB77" s="226"/>
      <c r="CC77" s="226"/>
      <c r="CD77" s="226"/>
    </row>
    <row r="78" spans="1:131" hidden="1" outlineLevel="2" x14ac:dyDescent="0.35">
      <c r="A78" s="138"/>
      <c r="B78" s="138"/>
      <c r="C78" s="139"/>
      <c r="D78" s="140"/>
      <c r="E78" s="286"/>
      <c r="F78" s="286"/>
      <c r="G78" s="286"/>
      <c r="H78" s="286"/>
      <c r="I78" s="287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286"/>
      <c r="AO78" s="286"/>
      <c r="AP78" s="286"/>
      <c r="AQ78" s="286"/>
      <c r="AR78" s="286"/>
      <c r="AS78" s="286"/>
      <c r="AT78" s="286"/>
      <c r="AU78" s="286"/>
      <c r="AV78" s="286"/>
      <c r="AW78" s="286"/>
      <c r="AX78" s="286"/>
      <c r="AY78" s="286"/>
      <c r="AZ78" s="286"/>
      <c r="BA78" s="286"/>
      <c r="BB78" s="286"/>
      <c r="BC78" s="286"/>
      <c r="BD78" s="286"/>
      <c r="BE78" s="286"/>
      <c r="BF78" s="286"/>
      <c r="BG78" s="286"/>
      <c r="BH78" s="286"/>
      <c r="BI78" s="286"/>
      <c r="BJ78" s="286"/>
      <c r="BK78" s="286"/>
      <c r="BL78" s="286"/>
      <c r="BM78" s="286"/>
      <c r="BN78" s="286"/>
      <c r="BO78" s="286"/>
      <c r="BP78" s="286"/>
      <c r="BQ78" s="286"/>
      <c r="BR78" s="286"/>
      <c r="BS78" s="286"/>
      <c r="BT78" s="286"/>
      <c r="BU78" s="286"/>
      <c r="BV78" s="286"/>
      <c r="BW78" s="286"/>
      <c r="BX78" s="286"/>
      <c r="BY78" s="286"/>
      <c r="BZ78" s="286"/>
      <c r="CA78" s="286"/>
      <c r="CB78" s="286"/>
      <c r="CC78" s="286"/>
      <c r="CD78" s="286"/>
    </row>
    <row r="79" spans="1:131" hidden="1" outlineLevel="2" x14ac:dyDescent="0.35">
      <c r="A79" s="264"/>
      <c r="B79" s="264"/>
      <c r="C79" s="290"/>
      <c r="D79" s="291"/>
      <c r="E79" s="226" t="str">
        <f xml:space="preserve"> E$77</f>
        <v>End of operating period</v>
      </c>
      <c r="F79" s="226">
        <f xml:space="preserve"> F$77</f>
        <v>46112</v>
      </c>
      <c r="G79" s="226" t="str">
        <f xml:space="preserve"> G$77</f>
        <v>date</v>
      </c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  <c r="AM79" s="226"/>
      <c r="AN79" s="226"/>
      <c r="AO79" s="226"/>
      <c r="AP79" s="226"/>
      <c r="AQ79" s="226"/>
      <c r="AR79" s="226"/>
      <c r="AS79" s="226"/>
      <c r="AT79" s="226"/>
      <c r="AU79" s="226"/>
      <c r="AV79" s="226"/>
      <c r="AW79" s="226"/>
      <c r="AX79" s="226"/>
      <c r="AY79" s="226"/>
      <c r="AZ79" s="226"/>
      <c r="BA79" s="226"/>
      <c r="BB79" s="226"/>
      <c r="BC79" s="226"/>
      <c r="BD79" s="226"/>
      <c r="BE79" s="226"/>
      <c r="BF79" s="226"/>
      <c r="BG79" s="226"/>
      <c r="BH79" s="226"/>
      <c r="BI79" s="226"/>
      <c r="BJ79" s="226"/>
      <c r="BK79" s="226"/>
      <c r="BL79" s="226"/>
      <c r="BM79" s="226"/>
      <c r="BN79" s="226"/>
      <c r="BO79" s="226"/>
      <c r="BP79" s="226"/>
      <c r="BQ79" s="226"/>
      <c r="BR79" s="226"/>
      <c r="BS79" s="226"/>
      <c r="BT79" s="226"/>
      <c r="BU79" s="226"/>
      <c r="BV79" s="226"/>
      <c r="BW79" s="226"/>
      <c r="BX79" s="226"/>
      <c r="BY79" s="226"/>
      <c r="BZ79" s="226"/>
      <c r="CA79" s="226"/>
      <c r="CB79" s="226"/>
      <c r="CC79" s="226"/>
      <c r="CD79" s="226"/>
    </row>
    <row r="80" spans="1:131" hidden="1" outlineLevel="2" x14ac:dyDescent="0.35">
      <c r="A80" s="177"/>
      <c r="B80" s="138"/>
      <c r="C80" s="178"/>
      <c r="D80" s="179"/>
      <c r="E80" s="272" t="str">
        <f t="shared" ref="E80:BP80" si="61" xml:space="preserve"> E$25</f>
        <v>Model period ending</v>
      </c>
      <c r="F80" s="272">
        <f t="shared" si="61"/>
        <v>0</v>
      </c>
      <c r="G80" s="272" t="str">
        <f t="shared" si="61"/>
        <v>date</v>
      </c>
      <c r="H80" s="272">
        <f t="shared" si="61"/>
        <v>0</v>
      </c>
      <c r="I80" s="273">
        <f t="shared" si="61"/>
        <v>0</v>
      </c>
      <c r="J80" s="272">
        <f t="shared" si="61"/>
        <v>44196</v>
      </c>
      <c r="K80" s="272">
        <f t="shared" si="61"/>
        <v>44227</v>
      </c>
      <c r="L80" s="272">
        <f t="shared" si="61"/>
        <v>44255</v>
      </c>
      <c r="M80" s="272">
        <f t="shared" si="61"/>
        <v>44286</v>
      </c>
      <c r="N80" s="272">
        <f t="shared" si="61"/>
        <v>44316</v>
      </c>
      <c r="O80" s="272">
        <f t="shared" si="61"/>
        <v>44347</v>
      </c>
      <c r="P80" s="272">
        <f t="shared" si="61"/>
        <v>44377</v>
      </c>
      <c r="Q80" s="272">
        <f t="shared" si="61"/>
        <v>44408</v>
      </c>
      <c r="R80" s="272">
        <f t="shared" si="61"/>
        <v>44439</v>
      </c>
      <c r="S80" s="272">
        <f t="shared" si="61"/>
        <v>44469</v>
      </c>
      <c r="T80" s="272">
        <f t="shared" si="61"/>
        <v>44500</v>
      </c>
      <c r="U80" s="272">
        <f t="shared" si="61"/>
        <v>44530</v>
      </c>
      <c r="V80" s="272">
        <f t="shared" si="61"/>
        <v>44561</v>
      </c>
      <c r="W80" s="272">
        <f t="shared" si="61"/>
        <v>44592</v>
      </c>
      <c r="X80" s="272">
        <f t="shared" si="61"/>
        <v>44620</v>
      </c>
      <c r="Y80" s="272">
        <f t="shared" si="61"/>
        <v>44651</v>
      </c>
      <c r="Z80" s="272">
        <f t="shared" si="61"/>
        <v>44681</v>
      </c>
      <c r="AA80" s="272">
        <f t="shared" si="61"/>
        <v>44712</v>
      </c>
      <c r="AB80" s="272">
        <f t="shared" si="61"/>
        <v>44742</v>
      </c>
      <c r="AC80" s="272">
        <f t="shared" si="61"/>
        <v>44773</v>
      </c>
      <c r="AD80" s="272">
        <f t="shared" si="61"/>
        <v>44804</v>
      </c>
      <c r="AE80" s="272">
        <f t="shared" si="61"/>
        <v>44834</v>
      </c>
      <c r="AF80" s="272">
        <f t="shared" si="61"/>
        <v>44865</v>
      </c>
      <c r="AG80" s="272">
        <f t="shared" si="61"/>
        <v>44895</v>
      </c>
      <c r="AH80" s="272">
        <f t="shared" si="61"/>
        <v>44926</v>
      </c>
      <c r="AI80" s="272">
        <f t="shared" si="61"/>
        <v>44957</v>
      </c>
      <c r="AJ80" s="272">
        <f t="shared" si="61"/>
        <v>44985</v>
      </c>
      <c r="AK80" s="272">
        <f t="shared" si="61"/>
        <v>45016</v>
      </c>
      <c r="AL80" s="272">
        <f t="shared" si="61"/>
        <v>45046</v>
      </c>
      <c r="AM80" s="272">
        <f t="shared" si="61"/>
        <v>45077</v>
      </c>
      <c r="AN80" s="272">
        <f t="shared" si="61"/>
        <v>45107</v>
      </c>
      <c r="AO80" s="272">
        <f t="shared" si="61"/>
        <v>45138</v>
      </c>
      <c r="AP80" s="272">
        <f t="shared" si="61"/>
        <v>45169</v>
      </c>
      <c r="AQ80" s="272">
        <f t="shared" si="61"/>
        <v>45199</v>
      </c>
      <c r="AR80" s="272">
        <f t="shared" si="61"/>
        <v>45230</v>
      </c>
      <c r="AS80" s="272">
        <f t="shared" si="61"/>
        <v>45260</v>
      </c>
      <c r="AT80" s="272">
        <f t="shared" si="61"/>
        <v>45291</v>
      </c>
      <c r="AU80" s="272">
        <f t="shared" si="61"/>
        <v>45322</v>
      </c>
      <c r="AV80" s="272">
        <f t="shared" si="61"/>
        <v>45351</v>
      </c>
      <c r="AW80" s="272">
        <f t="shared" si="61"/>
        <v>45382</v>
      </c>
      <c r="AX80" s="272">
        <f t="shared" si="61"/>
        <v>45412</v>
      </c>
      <c r="AY80" s="272">
        <f t="shared" si="61"/>
        <v>45443</v>
      </c>
      <c r="AZ80" s="272">
        <f t="shared" si="61"/>
        <v>45473</v>
      </c>
      <c r="BA80" s="272">
        <f t="shared" si="61"/>
        <v>45504</v>
      </c>
      <c r="BB80" s="272">
        <f t="shared" si="61"/>
        <v>45535</v>
      </c>
      <c r="BC80" s="272">
        <f t="shared" si="61"/>
        <v>45565</v>
      </c>
      <c r="BD80" s="272">
        <f t="shared" si="61"/>
        <v>45596</v>
      </c>
      <c r="BE80" s="272">
        <f t="shared" si="61"/>
        <v>45626</v>
      </c>
      <c r="BF80" s="272">
        <f t="shared" si="61"/>
        <v>45657</v>
      </c>
      <c r="BG80" s="272">
        <f t="shared" si="61"/>
        <v>45688</v>
      </c>
      <c r="BH80" s="272">
        <f t="shared" si="61"/>
        <v>45716</v>
      </c>
      <c r="BI80" s="272">
        <f t="shared" si="61"/>
        <v>45747</v>
      </c>
      <c r="BJ80" s="272">
        <f t="shared" si="61"/>
        <v>45777</v>
      </c>
      <c r="BK80" s="272">
        <f t="shared" si="61"/>
        <v>45808</v>
      </c>
      <c r="BL80" s="272">
        <f t="shared" si="61"/>
        <v>45838</v>
      </c>
      <c r="BM80" s="272">
        <f t="shared" si="61"/>
        <v>45869</v>
      </c>
      <c r="BN80" s="272">
        <f t="shared" si="61"/>
        <v>45900</v>
      </c>
      <c r="BO80" s="272">
        <f t="shared" si="61"/>
        <v>45930</v>
      </c>
      <c r="BP80" s="272">
        <f t="shared" si="61"/>
        <v>45961</v>
      </c>
      <c r="BQ80" s="272">
        <f t="shared" ref="BQ80:CD80" si="62" xml:space="preserve"> BQ$25</f>
        <v>45991</v>
      </c>
      <c r="BR80" s="272">
        <f t="shared" si="62"/>
        <v>46022</v>
      </c>
      <c r="BS80" s="272">
        <f t="shared" si="62"/>
        <v>46053</v>
      </c>
      <c r="BT80" s="272">
        <f t="shared" si="62"/>
        <v>46081</v>
      </c>
      <c r="BU80" s="272">
        <f t="shared" si="62"/>
        <v>46112</v>
      </c>
      <c r="BV80" s="272">
        <f t="shared" si="62"/>
        <v>46142</v>
      </c>
      <c r="BW80" s="272">
        <f t="shared" si="62"/>
        <v>46173</v>
      </c>
      <c r="BX80" s="272">
        <f t="shared" si="62"/>
        <v>46203</v>
      </c>
      <c r="BY80" s="272">
        <f t="shared" si="62"/>
        <v>46234</v>
      </c>
      <c r="BZ80" s="272">
        <f t="shared" si="62"/>
        <v>46265</v>
      </c>
      <c r="CA80" s="272">
        <f t="shared" si="62"/>
        <v>46295</v>
      </c>
      <c r="CB80" s="272">
        <f t="shared" si="62"/>
        <v>46326</v>
      </c>
      <c r="CC80" s="272">
        <f t="shared" si="62"/>
        <v>46356</v>
      </c>
      <c r="CD80" s="272">
        <f t="shared" si="62"/>
        <v>46387</v>
      </c>
    </row>
    <row r="81" spans="1:131" hidden="1" outlineLevel="2" x14ac:dyDescent="0.35">
      <c r="A81" s="215"/>
      <c r="B81" s="215"/>
      <c r="C81" s="216"/>
      <c r="D81" s="96"/>
      <c r="E81" s="97" t="s">
        <v>102</v>
      </c>
      <c r="F81" s="97"/>
      <c r="G81" s="97" t="s">
        <v>5</v>
      </c>
      <c r="H81" s="97">
        <f xml:space="preserve"> SUM(J81:EA81)</f>
        <v>1</v>
      </c>
      <c r="I81" s="98"/>
      <c r="J81" s="136">
        <f t="shared" ref="J81:AO81" si="63" xml:space="preserve"> IF(J80 = $F79, 1, 0)</f>
        <v>0</v>
      </c>
      <c r="K81" s="136">
        <f t="shared" si="63"/>
        <v>0</v>
      </c>
      <c r="L81" s="136">
        <f t="shared" si="63"/>
        <v>0</v>
      </c>
      <c r="M81" s="136">
        <f t="shared" si="63"/>
        <v>0</v>
      </c>
      <c r="N81" s="136">
        <f t="shared" si="63"/>
        <v>0</v>
      </c>
      <c r="O81" s="136">
        <f t="shared" si="63"/>
        <v>0</v>
      </c>
      <c r="P81" s="136">
        <f t="shared" si="63"/>
        <v>0</v>
      </c>
      <c r="Q81" s="136">
        <f t="shared" si="63"/>
        <v>0</v>
      </c>
      <c r="R81" s="136">
        <f t="shared" si="63"/>
        <v>0</v>
      </c>
      <c r="S81" s="136">
        <f t="shared" si="63"/>
        <v>0</v>
      </c>
      <c r="T81" s="136">
        <f t="shared" si="63"/>
        <v>0</v>
      </c>
      <c r="U81" s="136">
        <f t="shared" si="63"/>
        <v>0</v>
      </c>
      <c r="V81" s="136">
        <f t="shared" si="63"/>
        <v>0</v>
      </c>
      <c r="W81" s="136">
        <f t="shared" si="63"/>
        <v>0</v>
      </c>
      <c r="X81" s="136">
        <f t="shared" si="63"/>
        <v>0</v>
      </c>
      <c r="Y81" s="136">
        <f t="shared" si="63"/>
        <v>0</v>
      </c>
      <c r="Z81" s="136">
        <f t="shared" si="63"/>
        <v>0</v>
      </c>
      <c r="AA81" s="136">
        <f t="shared" si="63"/>
        <v>0</v>
      </c>
      <c r="AB81" s="136">
        <f t="shared" si="63"/>
        <v>0</v>
      </c>
      <c r="AC81" s="136">
        <f t="shared" si="63"/>
        <v>0</v>
      </c>
      <c r="AD81" s="136">
        <f t="shared" si="63"/>
        <v>0</v>
      </c>
      <c r="AE81" s="136">
        <f t="shared" si="63"/>
        <v>0</v>
      </c>
      <c r="AF81" s="136">
        <f t="shared" si="63"/>
        <v>0</v>
      </c>
      <c r="AG81" s="136">
        <f t="shared" si="63"/>
        <v>0</v>
      </c>
      <c r="AH81" s="136">
        <f t="shared" si="63"/>
        <v>0</v>
      </c>
      <c r="AI81" s="136">
        <f t="shared" si="63"/>
        <v>0</v>
      </c>
      <c r="AJ81" s="136">
        <f t="shared" si="63"/>
        <v>0</v>
      </c>
      <c r="AK81" s="136">
        <f t="shared" si="63"/>
        <v>0</v>
      </c>
      <c r="AL81" s="136">
        <f t="shared" si="63"/>
        <v>0</v>
      </c>
      <c r="AM81" s="136">
        <f t="shared" si="63"/>
        <v>0</v>
      </c>
      <c r="AN81" s="136">
        <f t="shared" si="63"/>
        <v>0</v>
      </c>
      <c r="AO81" s="136">
        <f t="shared" si="63"/>
        <v>0</v>
      </c>
      <c r="AP81" s="136">
        <f t="shared" ref="AP81:BU81" si="64" xml:space="preserve"> IF(AP80 = $F79, 1, 0)</f>
        <v>0</v>
      </c>
      <c r="AQ81" s="136">
        <f t="shared" si="64"/>
        <v>0</v>
      </c>
      <c r="AR81" s="136">
        <f t="shared" si="64"/>
        <v>0</v>
      </c>
      <c r="AS81" s="136">
        <f t="shared" si="64"/>
        <v>0</v>
      </c>
      <c r="AT81" s="136">
        <f t="shared" si="64"/>
        <v>0</v>
      </c>
      <c r="AU81" s="136">
        <f t="shared" si="64"/>
        <v>0</v>
      </c>
      <c r="AV81" s="136">
        <f t="shared" si="64"/>
        <v>0</v>
      </c>
      <c r="AW81" s="136">
        <f t="shared" si="64"/>
        <v>0</v>
      </c>
      <c r="AX81" s="136">
        <f t="shared" si="64"/>
        <v>0</v>
      </c>
      <c r="AY81" s="136">
        <f t="shared" si="64"/>
        <v>0</v>
      </c>
      <c r="AZ81" s="136">
        <f t="shared" si="64"/>
        <v>0</v>
      </c>
      <c r="BA81" s="136">
        <f t="shared" si="64"/>
        <v>0</v>
      </c>
      <c r="BB81" s="136">
        <f t="shared" si="64"/>
        <v>0</v>
      </c>
      <c r="BC81" s="136">
        <f t="shared" si="64"/>
        <v>0</v>
      </c>
      <c r="BD81" s="136">
        <f t="shared" si="64"/>
        <v>0</v>
      </c>
      <c r="BE81" s="136">
        <f t="shared" si="64"/>
        <v>0</v>
      </c>
      <c r="BF81" s="136">
        <f t="shared" si="64"/>
        <v>0</v>
      </c>
      <c r="BG81" s="136">
        <f t="shared" si="64"/>
        <v>0</v>
      </c>
      <c r="BH81" s="136">
        <f t="shared" si="64"/>
        <v>0</v>
      </c>
      <c r="BI81" s="136">
        <f t="shared" si="64"/>
        <v>0</v>
      </c>
      <c r="BJ81" s="136">
        <f t="shared" si="64"/>
        <v>0</v>
      </c>
      <c r="BK81" s="136">
        <f t="shared" si="64"/>
        <v>0</v>
      </c>
      <c r="BL81" s="136">
        <f t="shared" si="64"/>
        <v>0</v>
      </c>
      <c r="BM81" s="136">
        <f t="shared" si="64"/>
        <v>0</v>
      </c>
      <c r="BN81" s="136">
        <f t="shared" si="64"/>
        <v>0</v>
      </c>
      <c r="BO81" s="136">
        <f t="shared" si="64"/>
        <v>0</v>
      </c>
      <c r="BP81" s="136">
        <f t="shared" si="64"/>
        <v>0</v>
      </c>
      <c r="BQ81" s="136">
        <f t="shared" si="64"/>
        <v>0</v>
      </c>
      <c r="BR81" s="136">
        <f t="shared" si="64"/>
        <v>0</v>
      </c>
      <c r="BS81" s="136">
        <f t="shared" si="64"/>
        <v>0</v>
      </c>
      <c r="BT81" s="136">
        <f t="shared" si="64"/>
        <v>0</v>
      </c>
      <c r="BU81" s="136">
        <f t="shared" si="64"/>
        <v>1</v>
      </c>
      <c r="BV81" s="136">
        <f t="shared" ref="BV81:CD81" si="65" xml:space="preserve"> IF(BV80 = $F79, 1, 0)</f>
        <v>0</v>
      </c>
      <c r="BW81" s="136">
        <f t="shared" si="65"/>
        <v>0</v>
      </c>
      <c r="BX81" s="136">
        <f t="shared" si="65"/>
        <v>0</v>
      </c>
      <c r="BY81" s="136">
        <f t="shared" si="65"/>
        <v>0</v>
      </c>
      <c r="BZ81" s="136">
        <f t="shared" si="65"/>
        <v>0</v>
      </c>
      <c r="CA81" s="136">
        <f t="shared" si="65"/>
        <v>0</v>
      </c>
      <c r="CB81" s="136">
        <f t="shared" si="65"/>
        <v>0</v>
      </c>
      <c r="CC81" s="136">
        <f t="shared" si="65"/>
        <v>0</v>
      </c>
      <c r="CD81" s="136">
        <f t="shared" si="65"/>
        <v>0</v>
      </c>
    </row>
    <row r="82" spans="1:131" hidden="1" outlineLevel="1" x14ac:dyDescent="0.35">
      <c r="A82" s="138"/>
      <c r="B82" s="138"/>
      <c r="C82" s="139"/>
      <c r="D82" s="140"/>
      <c r="E82" s="286"/>
      <c r="F82" s="286"/>
      <c r="G82" s="286"/>
      <c r="H82" s="286"/>
      <c r="I82" s="287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286"/>
      <c r="AO82" s="286"/>
      <c r="AP82" s="286"/>
      <c r="AQ82" s="286"/>
      <c r="AR82" s="286"/>
      <c r="AS82" s="286"/>
      <c r="AT82" s="286"/>
      <c r="AU82" s="286"/>
      <c r="AV82" s="286"/>
      <c r="AW82" s="286"/>
      <c r="AX82" s="286"/>
      <c r="AY82" s="286"/>
      <c r="AZ82" s="286"/>
      <c r="BA82" s="286"/>
      <c r="BB82" s="286"/>
      <c r="BC82" s="286"/>
      <c r="BD82" s="286"/>
      <c r="BE82" s="286"/>
      <c r="BF82" s="286"/>
      <c r="BG82" s="286"/>
      <c r="BH82" s="286"/>
      <c r="BI82" s="286"/>
      <c r="BJ82" s="286"/>
      <c r="BK82" s="286"/>
      <c r="BL82" s="286"/>
      <c r="BM82" s="286"/>
      <c r="BN82" s="286"/>
      <c r="BO82" s="286"/>
      <c r="BP82" s="286"/>
      <c r="BQ82" s="286"/>
      <c r="BR82" s="286"/>
      <c r="BS82" s="286"/>
      <c r="BT82" s="286"/>
      <c r="BU82" s="286"/>
      <c r="BV82" s="286"/>
      <c r="BW82" s="286"/>
      <c r="BX82" s="286"/>
      <c r="BY82" s="286"/>
      <c r="BZ82" s="286"/>
      <c r="CA82" s="286"/>
      <c r="CB82" s="286"/>
      <c r="CC82" s="286"/>
      <c r="CD82" s="286"/>
    </row>
    <row r="83" spans="1:131" hidden="1" outlineLevel="1" x14ac:dyDescent="0.35">
      <c r="A83" s="138"/>
      <c r="B83" s="138" t="s">
        <v>99</v>
      </c>
      <c r="C83" s="139"/>
      <c r="D83" s="140"/>
      <c r="E83" s="286"/>
      <c r="F83" s="286"/>
      <c r="G83" s="286"/>
      <c r="H83" s="286"/>
      <c r="I83" s="287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286"/>
      <c r="AO83" s="286"/>
      <c r="AP83" s="286"/>
      <c r="AQ83" s="286"/>
      <c r="AR83" s="286"/>
      <c r="AS83" s="286"/>
      <c r="AT83" s="286"/>
      <c r="AU83" s="286"/>
      <c r="AV83" s="286"/>
      <c r="AW83" s="286"/>
      <c r="AX83" s="286"/>
      <c r="AY83" s="286"/>
      <c r="AZ83" s="286"/>
      <c r="BA83" s="286"/>
      <c r="BB83" s="286"/>
      <c r="BC83" s="286"/>
      <c r="BD83" s="286"/>
      <c r="BE83" s="286"/>
      <c r="BF83" s="286"/>
      <c r="BG83" s="286"/>
      <c r="BH83" s="286"/>
      <c r="BI83" s="286"/>
      <c r="BJ83" s="286"/>
      <c r="BK83" s="286"/>
      <c r="BL83" s="286"/>
      <c r="BM83" s="286"/>
      <c r="BN83" s="286"/>
      <c r="BO83" s="286"/>
      <c r="BP83" s="286"/>
      <c r="BQ83" s="286"/>
      <c r="BR83" s="286"/>
      <c r="BS83" s="286"/>
      <c r="BT83" s="286"/>
      <c r="BU83" s="286"/>
      <c r="BV83" s="286"/>
      <c r="BW83" s="286"/>
      <c r="BX83" s="286"/>
      <c r="BY83" s="286"/>
      <c r="BZ83" s="286"/>
      <c r="CA83" s="286"/>
      <c r="CB83" s="286"/>
      <c r="CC83" s="286"/>
      <c r="CD83" s="286"/>
    </row>
    <row r="84" spans="1:131" hidden="1" outlineLevel="2" x14ac:dyDescent="0.35">
      <c r="A84" s="241"/>
      <c r="B84" s="48"/>
      <c r="C84" s="242"/>
      <c r="D84" s="243"/>
      <c r="E84" s="190" t="str">
        <f xml:space="preserve"> InpC!E$18</f>
        <v>Acquisition date</v>
      </c>
      <c r="F84" s="190">
        <f xml:space="preserve"> InpC!F$18</f>
        <v>44286</v>
      </c>
      <c r="G84" s="190" t="str">
        <f xml:space="preserve"> InpC!G$18</f>
        <v>date</v>
      </c>
      <c r="H84" s="190"/>
      <c r="I84" s="244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  <c r="AF84" s="190"/>
      <c r="AG84" s="190"/>
      <c r="AH84" s="190"/>
      <c r="AI84" s="190"/>
      <c r="AJ84" s="190"/>
      <c r="AK84" s="190"/>
      <c r="AL84" s="190"/>
      <c r="AM84" s="190"/>
      <c r="AN84" s="190"/>
      <c r="AO84" s="190"/>
      <c r="AP84" s="190"/>
      <c r="AQ84" s="190"/>
      <c r="AR84" s="190"/>
      <c r="AS84" s="190"/>
      <c r="AT84" s="190"/>
      <c r="AU84" s="190"/>
      <c r="AV84" s="190"/>
      <c r="AW84" s="190"/>
      <c r="AX84" s="190"/>
      <c r="AY84" s="190"/>
      <c r="AZ84" s="190"/>
      <c r="BA84" s="190"/>
      <c r="BB84" s="190"/>
      <c r="BC84" s="190"/>
      <c r="BD84" s="190"/>
      <c r="BE84" s="190"/>
      <c r="BF84" s="190"/>
      <c r="BG84" s="190"/>
      <c r="BH84" s="190"/>
      <c r="BI84" s="190"/>
      <c r="BJ84" s="190"/>
      <c r="BK84" s="190"/>
      <c r="BL84" s="190"/>
      <c r="BM84" s="190"/>
      <c r="BN84" s="190"/>
      <c r="BO84" s="190"/>
      <c r="BP84" s="190"/>
      <c r="BQ84" s="190"/>
      <c r="BR84" s="190"/>
      <c r="BS84" s="190"/>
      <c r="BT84" s="190"/>
      <c r="BU84" s="190"/>
      <c r="BV84" s="190"/>
      <c r="BW84" s="190"/>
      <c r="BX84" s="190"/>
      <c r="BY84" s="190"/>
      <c r="BZ84" s="190"/>
      <c r="CA84" s="190"/>
      <c r="CB84" s="190"/>
      <c r="CC84" s="190"/>
      <c r="CD84" s="190"/>
    </row>
    <row r="85" spans="1:131" hidden="1" outlineLevel="2" x14ac:dyDescent="0.35">
      <c r="A85" s="138"/>
      <c r="B85" s="138"/>
      <c r="C85" s="139"/>
      <c r="D85" s="140"/>
      <c r="E85" s="230" t="str">
        <f xml:space="preserve"> E$77</f>
        <v>End of operating period</v>
      </c>
      <c r="F85" s="230">
        <f xml:space="preserve"> F$77</f>
        <v>46112</v>
      </c>
      <c r="G85" s="230" t="str">
        <f xml:space="preserve"> G$77</f>
        <v>date</v>
      </c>
      <c r="H85" s="286"/>
      <c r="I85" s="287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286"/>
      <c r="AO85" s="286"/>
      <c r="AP85" s="286"/>
      <c r="AQ85" s="286"/>
      <c r="AR85" s="286"/>
      <c r="AS85" s="286"/>
      <c r="AT85" s="286"/>
      <c r="AU85" s="286"/>
      <c r="AV85" s="286"/>
      <c r="AW85" s="286"/>
      <c r="AX85" s="286"/>
      <c r="AY85" s="286"/>
      <c r="AZ85" s="286"/>
      <c r="BA85" s="286"/>
      <c r="BB85" s="286"/>
      <c r="BC85" s="286"/>
      <c r="BD85" s="286"/>
      <c r="BE85" s="286"/>
      <c r="BF85" s="286"/>
      <c r="BG85" s="286"/>
      <c r="BH85" s="286"/>
      <c r="BI85" s="286"/>
      <c r="BJ85" s="286"/>
      <c r="BK85" s="286"/>
      <c r="BL85" s="286"/>
      <c r="BM85" s="286"/>
      <c r="BN85" s="286"/>
      <c r="BO85" s="286"/>
      <c r="BP85" s="286"/>
      <c r="BQ85" s="286"/>
      <c r="BR85" s="286"/>
      <c r="BS85" s="286"/>
      <c r="BT85" s="286"/>
      <c r="BU85" s="286"/>
      <c r="BV85" s="286"/>
      <c r="BW85" s="286"/>
      <c r="BX85" s="286"/>
      <c r="BY85" s="286"/>
      <c r="BZ85" s="286"/>
      <c r="CA85" s="286"/>
      <c r="CB85" s="286"/>
      <c r="CC85" s="286"/>
      <c r="CD85" s="286"/>
    </row>
    <row r="86" spans="1:131" hidden="1" outlineLevel="2" x14ac:dyDescent="0.35">
      <c r="A86" s="177"/>
      <c r="B86" s="138"/>
      <c r="C86" s="178"/>
      <c r="D86" s="179"/>
      <c r="E86" s="272" t="str">
        <f t="shared" ref="E86:BP86" si="66" xml:space="preserve"> E$25</f>
        <v>Model period ending</v>
      </c>
      <c r="F86" s="272">
        <f t="shared" si="66"/>
        <v>0</v>
      </c>
      <c r="G86" s="272" t="str">
        <f t="shared" si="66"/>
        <v>date</v>
      </c>
      <c r="H86" s="272">
        <f t="shared" si="66"/>
        <v>0</v>
      </c>
      <c r="I86" s="273">
        <f t="shared" si="66"/>
        <v>0</v>
      </c>
      <c r="J86" s="272">
        <f t="shared" si="66"/>
        <v>44196</v>
      </c>
      <c r="K86" s="272">
        <f t="shared" si="66"/>
        <v>44227</v>
      </c>
      <c r="L86" s="272">
        <f t="shared" si="66"/>
        <v>44255</v>
      </c>
      <c r="M86" s="272">
        <f t="shared" si="66"/>
        <v>44286</v>
      </c>
      <c r="N86" s="272">
        <f t="shared" si="66"/>
        <v>44316</v>
      </c>
      <c r="O86" s="272">
        <f t="shared" si="66"/>
        <v>44347</v>
      </c>
      <c r="P86" s="272">
        <f t="shared" si="66"/>
        <v>44377</v>
      </c>
      <c r="Q86" s="272">
        <f t="shared" si="66"/>
        <v>44408</v>
      </c>
      <c r="R86" s="272">
        <f t="shared" si="66"/>
        <v>44439</v>
      </c>
      <c r="S86" s="272">
        <f t="shared" si="66"/>
        <v>44469</v>
      </c>
      <c r="T86" s="272">
        <f t="shared" si="66"/>
        <v>44500</v>
      </c>
      <c r="U86" s="272">
        <f t="shared" si="66"/>
        <v>44530</v>
      </c>
      <c r="V86" s="272">
        <f t="shared" si="66"/>
        <v>44561</v>
      </c>
      <c r="W86" s="272">
        <f t="shared" si="66"/>
        <v>44592</v>
      </c>
      <c r="X86" s="272">
        <f t="shared" si="66"/>
        <v>44620</v>
      </c>
      <c r="Y86" s="272">
        <f t="shared" si="66"/>
        <v>44651</v>
      </c>
      <c r="Z86" s="272">
        <f t="shared" si="66"/>
        <v>44681</v>
      </c>
      <c r="AA86" s="272">
        <f t="shared" si="66"/>
        <v>44712</v>
      </c>
      <c r="AB86" s="272">
        <f t="shared" si="66"/>
        <v>44742</v>
      </c>
      <c r="AC86" s="272">
        <f t="shared" si="66"/>
        <v>44773</v>
      </c>
      <c r="AD86" s="272">
        <f t="shared" si="66"/>
        <v>44804</v>
      </c>
      <c r="AE86" s="272">
        <f t="shared" si="66"/>
        <v>44834</v>
      </c>
      <c r="AF86" s="272">
        <f t="shared" si="66"/>
        <v>44865</v>
      </c>
      <c r="AG86" s="272">
        <f t="shared" si="66"/>
        <v>44895</v>
      </c>
      <c r="AH86" s="272">
        <f t="shared" si="66"/>
        <v>44926</v>
      </c>
      <c r="AI86" s="272">
        <f t="shared" si="66"/>
        <v>44957</v>
      </c>
      <c r="AJ86" s="272">
        <f t="shared" si="66"/>
        <v>44985</v>
      </c>
      <c r="AK86" s="272">
        <f t="shared" si="66"/>
        <v>45016</v>
      </c>
      <c r="AL86" s="272">
        <f t="shared" si="66"/>
        <v>45046</v>
      </c>
      <c r="AM86" s="272">
        <f t="shared" si="66"/>
        <v>45077</v>
      </c>
      <c r="AN86" s="272">
        <f t="shared" si="66"/>
        <v>45107</v>
      </c>
      <c r="AO86" s="272">
        <f t="shared" si="66"/>
        <v>45138</v>
      </c>
      <c r="AP86" s="272">
        <f t="shared" si="66"/>
        <v>45169</v>
      </c>
      <c r="AQ86" s="272">
        <f t="shared" si="66"/>
        <v>45199</v>
      </c>
      <c r="AR86" s="272">
        <f t="shared" si="66"/>
        <v>45230</v>
      </c>
      <c r="AS86" s="272">
        <f t="shared" si="66"/>
        <v>45260</v>
      </c>
      <c r="AT86" s="272">
        <f t="shared" si="66"/>
        <v>45291</v>
      </c>
      <c r="AU86" s="272">
        <f t="shared" si="66"/>
        <v>45322</v>
      </c>
      <c r="AV86" s="272">
        <f t="shared" si="66"/>
        <v>45351</v>
      </c>
      <c r="AW86" s="272">
        <f t="shared" si="66"/>
        <v>45382</v>
      </c>
      <c r="AX86" s="272">
        <f t="shared" si="66"/>
        <v>45412</v>
      </c>
      <c r="AY86" s="272">
        <f t="shared" si="66"/>
        <v>45443</v>
      </c>
      <c r="AZ86" s="272">
        <f t="shared" si="66"/>
        <v>45473</v>
      </c>
      <c r="BA86" s="272">
        <f t="shared" si="66"/>
        <v>45504</v>
      </c>
      <c r="BB86" s="272">
        <f t="shared" si="66"/>
        <v>45535</v>
      </c>
      <c r="BC86" s="272">
        <f t="shared" si="66"/>
        <v>45565</v>
      </c>
      <c r="BD86" s="272">
        <f t="shared" si="66"/>
        <v>45596</v>
      </c>
      <c r="BE86" s="272">
        <f t="shared" si="66"/>
        <v>45626</v>
      </c>
      <c r="BF86" s="272">
        <f t="shared" si="66"/>
        <v>45657</v>
      </c>
      <c r="BG86" s="272">
        <f t="shared" si="66"/>
        <v>45688</v>
      </c>
      <c r="BH86" s="272">
        <f t="shared" si="66"/>
        <v>45716</v>
      </c>
      <c r="BI86" s="272">
        <f t="shared" si="66"/>
        <v>45747</v>
      </c>
      <c r="BJ86" s="272">
        <f t="shared" si="66"/>
        <v>45777</v>
      </c>
      <c r="BK86" s="272">
        <f t="shared" si="66"/>
        <v>45808</v>
      </c>
      <c r="BL86" s="272">
        <f t="shared" si="66"/>
        <v>45838</v>
      </c>
      <c r="BM86" s="272">
        <f t="shared" si="66"/>
        <v>45869</v>
      </c>
      <c r="BN86" s="272">
        <f t="shared" si="66"/>
        <v>45900</v>
      </c>
      <c r="BO86" s="272">
        <f t="shared" si="66"/>
        <v>45930</v>
      </c>
      <c r="BP86" s="272">
        <f t="shared" si="66"/>
        <v>45961</v>
      </c>
      <c r="BQ86" s="272">
        <f t="shared" ref="BQ86:CD86" si="67" xml:space="preserve"> BQ$25</f>
        <v>45991</v>
      </c>
      <c r="BR86" s="272">
        <f t="shared" si="67"/>
        <v>46022</v>
      </c>
      <c r="BS86" s="272">
        <f t="shared" si="67"/>
        <v>46053</v>
      </c>
      <c r="BT86" s="272">
        <f t="shared" si="67"/>
        <v>46081</v>
      </c>
      <c r="BU86" s="272">
        <f t="shared" si="67"/>
        <v>46112</v>
      </c>
      <c r="BV86" s="272">
        <f t="shared" si="67"/>
        <v>46142</v>
      </c>
      <c r="BW86" s="272">
        <f t="shared" si="67"/>
        <v>46173</v>
      </c>
      <c r="BX86" s="272">
        <f t="shared" si="67"/>
        <v>46203</v>
      </c>
      <c r="BY86" s="272">
        <f t="shared" si="67"/>
        <v>46234</v>
      </c>
      <c r="BZ86" s="272">
        <f t="shared" si="67"/>
        <v>46265</v>
      </c>
      <c r="CA86" s="272">
        <f t="shared" si="67"/>
        <v>46295</v>
      </c>
      <c r="CB86" s="272">
        <f t="shared" si="67"/>
        <v>46326</v>
      </c>
      <c r="CC86" s="272">
        <f t="shared" si="67"/>
        <v>46356</v>
      </c>
      <c r="CD86" s="272">
        <f t="shared" si="67"/>
        <v>46387</v>
      </c>
    </row>
    <row r="87" spans="1:131" s="312" customFormat="1" hidden="1" outlineLevel="2" x14ac:dyDescent="0.35">
      <c r="A87" s="131"/>
      <c r="B87" s="131"/>
      <c r="C87" s="132"/>
      <c r="D87" s="133"/>
      <c r="E87" s="134" t="s">
        <v>99</v>
      </c>
      <c r="F87" s="313"/>
      <c r="G87" s="129" t="s">
        <v>5</v>
      </c>
      <c r="H87" s="129">
        <f xml:space="preserve"> SUM(J87:EA87)</f>
        <v>60</v>
      </c>
      <c r="I87" s="134"/>
      <c r="J87" s="134">
        <f t="shared" ref="J87:AO87" si="68" xml:space="preserve"> IF( AND(J86 &gt; $F84, J86 &lt;= $F85), 1, 0)</f>
        <v>0</v>
      </c>
      <c r="K87" s="134">
        <f t="shared" si="68"/>
        <v>0</v>
      </c>
      <c r="L87" s="134">
        <f t="shared" si="68"/>
        <v>0</v>
      </c>
      <c r="M87" s="134">
        <f t="shared" si="68"/>
        <v>0</v>
      </c>
      <c r="N87" s="134">
        <f t="shared" si="68"/>
        <v>1</v>
      </c>
      <c r="O87" s="134">
        <f t="shared" si="68"/>
        <v>1</v>
      </c>
      <c r="P87" s="134">
        <f t="shared" si="68"/>
        <v>1</v>
      </c>
      <c r="Q87" s="134">
        <f t="shared" si="68"/>
        <v>1</v>
      </c>
      <c r="R87" s="134">
        <f t="shared" si="68"/>
        <v>1</v>
      </c>
      <c r="S87" s="134">
        <f t="shared" si="68"/>
        <v>1</v>
      </c>
      <c r="T87" s="134">
        <f t="shared" si="68"/>
        <v>1</v>
      </c>
      <c r="U87" s="134">
        <f t="shared" si="68"/>
        <v>1</v>
      </c>
      <c r="V87" s="134">
        <f t="shared" si="68"/>
        <v>1</v>
      </c>
      <c r="W87" s="134">
        <f t="shared" si="68"/>
        <v>1</v>
      </c>
      <c r="X87" s="134">
        <f t="shared" si="68"/>
        <v>1</v>
      </c>
      <c r="Y87" s="134">
        <f t="shared" si="68"/>
        <v>1</v>
      </c>
      <c r="Z87" s="134">
        <f t="shared" si="68"/>
        <v>1</v>
      </c>
      <c r="AA87" s="134">
        <f t="shared" si="68"/>
        <v>1</v>
      </c>
      <c r="AB87" s="134">
        <f t="shared" si="68"/>
        <v>1</v>
      </c>
      <c r="AC87" s="134">
        <f t="shared" si="68"/>
        <v>1</v>
      </c>
      <c r="AD87" s="134">
        <f t="shared" si="68"/>
        <v>1</v>
      </c>
      <c r="AE87" s="134">
        <f t="shared" si="68"/>
        <v>1</v>
      </c>
      <c r="AF87" s="134">
        <f t="shared" si="68"/>
        <v>1</v>
      </c>
      <c r="AG87" s="134">
        <f t="shared" si="68"/>
        <v>1</v>
      </c>
      <c r="AH87" s="134">
        <f t="shared" si="68"/>
        <v>1</v>
      </c>
      <c r="AI87" s="134">
        <f t="shared" si="68"/>
        <v>1</v>
      </c>
      <c r="AJ87" s="134">
        <f t="shared" si="68"/>
        <v>1</v>
      </c>
      <c r="AK87" s="134">
        <f t="shared" si="68"/>
        <v>1</v>
      </c>
      <c r="AL87" s="134">
        <f t="shared" si="68"/>
        <v>1</v>
      </c>
      <c r="AM87" s="134">
        <f t="shared" si="68"/>
        <v>1</v>
      </c>
      <c r="AN87" s="134">
        <f t="shared" si="68"/>
        <v>1</v>
      </c>
      <c r="AO87" s="134">
        <f t="shared" si="68"/>
        <v>1</v>
      </c>
      <c r="AP87" s="134">
        <f t="shared" ref="AP87:BU87" si="69" xml:space="preserve"> IF( AND(AP86 &gt; $F84, AP86 &lt;= $F85), 1, 0)</f>
        <v>1</v>
      </c>
      <c r="AQ87" s="134">
        <f t="shared" si="69"/>
        <v>1</v>
      </c>
      <c r="AR87" s="134">
        <f t="shared" si="69"/>
        <v>1</v>
      </c>
      <c r="AS87" s="134">
        <f t="shared" si="69"/>
        <v>1</v>
      </c>
      <c r="AT87" s="134">
        <f t="shared" si="69"/>
        <v>1</v>
      </c>
      <c r="AU87" s="134">
        <f t="shared" si="69"/>
        <v>1</v>
      </c>
      <c r="AV87" s="134">
        <f t="shared" si="69"/>
        <v>1</v>
      </c>
      <c r="AW87" s="134">
        <f t="shared" si="69"/>
        <v>1</v>
      </c>
      <c r="AX87" s="134">
        <f t="shared" si="69"/>
        <v>1</v>
      </c>
      <c r="AY87" s="134">
        <f t="shared" si="69"/>
        <v>1</v>
      </c>
      <c r="AZ87" s="134">
        <f t="shared" si="69"/>
        <v>1</v>
      </c>
      <c r="BA87" s="134">
        <f t="shared" si="69"/>
        <v>1</v>
      </c>
      <c r="BB87" s="134">
        <f t="shared" si="69"/>
        <v>1</v>
      </c>
      <c r="BC87" s="134">
        <f t="shared" si="69"/>
        <v>1</v>
      </c>
      <c r="BD87" s="134">
        <f t="shared" si="69"/>
        <v>1</v>
      </c>
      <c r="BE87" s="134">
        <f t="shared" si="69"/>
        <v>1</v>
      </c>
      <c r="BF87" s="134">
        <f t="shared" si="69"/>
        <v>1</v>
      </c>
      <c r="BG87" s="134">
        <f t="shared" si="69"/>
        <v>1</v>
      </c>
      <c r="BH87" s="134">
        <f t="shared" si="69"/>
        <v>1</v>
      </c>
      <c r="BI87" s="134">
        <f t="shared" si="69"/>
        <v>1</v>
      </c>
      <c r="BJ87" s="134">
        <f t="shared" si="69"/>
        <v>1</v>
      </c>
      <c r="BK87" s="134">
        <f t="shared" si="69"/>
        <v>1</v>
      </c>
      <c r="BL87" s="134">
        <f t="shared" si="69"/>
        <v>1</v>
      </c>
      <c r="BM87" s="134">
        <f t="shared" si="69"/>
        <v>1</v>
      </c>
      <c r="BN87" s="134">
        <f t="shared" si="69"/>
        <v>1</v>
      </c>
      <c r="BO87" s="134">
        <f t="shared" si="69"/>
        <v>1</v>
      </c>
      <c r="BP87" s="134">
        <f t="shared" si="69"/>
        <v>1</v>
      </c>
      <c r="BQ87" s="134">
        <f t="shared" si="69"/>
        <v>1</v>
      </c>
      <c r="BR87" s="134">
        <f t="shared" si="69"/>
        <v>1</v>
      </c>
      <c r="BS87" s="134">
        <f t="shared" si="69"/>
        <v>1</v>
      </c>
      <c r="BT87" s="134">
        <f t="shared" si="69"/>
        <v>1</v>
      </c>
      <c r="BU87" s="134">
        <f t="shared" si="69"/>
        <v>1</v>
      </c>
      <c r="BV87" s="134">
        <f t="shared" ref="BV87:CD87" si="70" xml:space="preserve"> IF( AND(BV86 &gt; $F84, BV86 &lt;= $F85), 1, 0)</f>
        <v>0</v>
      </c>
      <c r="BW87" s="134">
        <f t="shared" si="70"/>
        <v>0</v>
      </c>
      <c r="BX87" s="134">
        <f t="shared" si="70"/>
        <v>0</v>
      </c>
      <c r="BY87" s="134">
        <f t="shared" si="70"/>
        <v>0</v>
      </c>
      <c r="BZ87" s="134">
        <f t="shared" si="70"/>
        <v>0</v>
      </c>
      <c r="CA87" s="134">
        <f t="shared" si="70"/>
        <v>0</v>
      </c>
      <c r="CB87" s="134">
        <f t="shared" si="70"/>
        <v>0</v>
      </c>
      <c r="CC87" s="134">
        <f t="shared" si="70"/>
        <v>0</v>
      </c>
      <c r="CD87" s="134">
        <f t="shared" si="70"/>
        <v>0</v>
      </c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</row>
    <row r="88" spans="1:131" hidden="1" outlineLevel="1" x14ac:dyDescent="0.35">
      <c r="A88" s="138"/>
      <c r="B88" s="138"/>
      <c r="C88" s="139"/>
      <c r="D88" s="140"/>
      <c r="E88" s="286"/>
      <c r="F88" s="286"/>
      <c r="G88" s="286"/>
      <c r="H88" s="286"/>
      <c r="I88" s="287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286"/>
      <c r="AO88" s="286"/>
      <c r="AP88" s="286"/>
      <c r="AQ88" s="286"/>
      <c r="AR88" s="286"/>
      <c r="AS88" s="286"/>
      <c r="AT88" s="286"/>
      <c r="AU88" s="286"/>
      <c r="AV88" s="286"/>
      <c r="AW88" s="286"/>
      <c r="AX88" s="286"/>
      <c r="AY88" s="286"/>
      <c r="AZ88" s="286"/>
      <c r="BA88" s="286"/>
      <c r="BB88" s="286"/>
      <c r="BC88" s="286"/>
      <c r="BD88" s="286"/>
      <c r="BE88" s="286"/>
      <c r="BF88" s="286"/>
      <c r="BG88" s="286"/>
      <c r="BH88" s="286"/>
      <c r="BI88" s="286"/>
      <c r="BJ88" s="286"/>
      <c r="BK88" s="286"/>
      <c r="BL88" s="286"/>
      <c r="BM88" s="286"/>
      <c r="BN88" s="286"/>
      <c r="BO88" s="286"/>
      <c r="BP88" s="286"/>
      <c r="BQ88" s="286"/>
      <c r="BR88" s="286"/>
      <c r="BS88" s="286"/>
      <c r="BT88" s="286"/>
      <c r="BU88" s="286"/>
      <c r="BV88" s="286"/>
      <c r="BW88" s="286"/>
      <c r="BX88" s="286"/>
      <c r="BY88" s="286"/>
      <c r="BZ88" s="286"/>
      <c r="CA88" s="286"/>
      <c r="CB88" s="286"/>
      <c r="CC88" s="286"/>
      <c r="CD88" s="286"/>
    </row>
    <row r="89" spans="1:131" hidden="1" outlineLevel="1" x14ac:dyDescent="0.35">
      <c r="A89" s="138"/>
      <c r="B89" s="138" t="s">
        <v>192</v>
      </c>
      <c r="C89" s="139"/>
      <c r="D89" s="140"/>
      <c r="E89" s="286"/>
      <c r="F89" s="286"/>
      <c r="G89" s="286"/>
      <c r="H89" s="286"/>
      <c r="I89" s="287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6"/>
      <c r="AS89" s="286"/>
      <c r="AT89" s="286"/>
      <c r="AU89" s="286"/>
      <c r="AV89" s="286"/>
      <c r="AW89" s="286"/>
      <c r="AX89" s="286"/>
      <c r="AY89" s="286"/>
      <c r="AZ89" s="286"/>
      <c r="BA89" s="286"/>
      <c r="BB89" s="286"/>
      <c r="BC89" s="286"/>
      <c r="BD89" s="286"/>
      <c r="BE89" s="286"/>
      <c r="BF89" s="286"/>
      <c r="BG89" s="286"/>
      <c r="BH89" s="286"/>
      <c r="BI89" s="286"/>
      <c r="BJ89" s="286"/>
      <c r="BK89" s="286"/>
      <c r="BL89" s="286"/>
      <c r="BM89" s="286"/>
      <c r="BN89" s="286"/>
      <c r="BO89" s="286"/>
      <c r="BP89" s="286"/>
      <c r="BQ89" s="286"/>
      <c r="BR89" s="286"/>
      <c r="BS89" s="286"/>
      <c r="BT89" s="286"/>
      <c r="BU89" s="286"/>
      <c r="BV89" s="286"/>
      <c r="BW89" s="286"/>
      <c r="BX89" s="286"/>
      <c r="BY89" s="286"/>
      <c r="BZ89" s="286"/>
      <c r="CA89" s="286"/>
      <c r="CB89" s="286"/>
      <c r="CC89" s="286"/>
      <c r="CD89" s="286"/>
    </row>
    <row r="90" spans="1:131" hidden="1" outlineLevel="2" x14ac:dyDescent="0.35">
      <c r="A90" s="138"/>
      <c r="B90" s="138"/>
      <c r="C90" s="139"/>
      <c r="D90" s="140"/>
      <c r="E90" s="311" t="str">
        <f t="shared" ref="E90:AJ90" si="71" xml:space="preserve"> E$87</f>
        <v>Operating period flag</v>
      </c>
      <c r="F90" s="311">
        <f t="shared" si="71"/>
        <v>0</v>
      </c>
      <c r="G90" s="311" t="str">
        <f t="shared" si="71"/>
        <v>flag</v>
      </c>
      <c r="H90" s="311">
        <f t="shared" si="71"/>
        <v>60</v>
      </c>
      <c r="I90" s="311">
        <f t="shared" si="71"/>
        <v>0</v>
      </c>
      <c r="J90" s="311">
        <f t="shared" si="71"/>
        <v>0</v>
      </c>
      <c r="K90" s="311">
        <f t="shared" si="71"/>
        <v>0</v>
      </c>
      <c r="L90" s="311">
        <f t="shared" si="71"/>
        <v>0</v>
      </c>
      <c r="M90" s="311">
        <f t="shared" si="71"/>
        <v>0</v>
      </c>
      <c r="N90" s="311">
        <f t="shared" si="71"/>
        <v>1</v>
      </c>
      <c r="O90" s="311">
        <f t="shared" si="71"/>
        <v>1</v>
      </c>
      <c r="P90" s="311">
        <f t="shared" si="71"/>
        <v>1</v>
      </c>
      <c r="Q90" s="311">
        <f t="shared" si="71"/>
        <v>1</v>
      </c>
      <c r="R90" s="311">
        <f t="shared" si="71"/>
        <v>1</v>
      </c>
      <c r="S90" s="311">
        <f t="shared" si="71"/>
        <v>1</v>
      </c>
      <c r="T90" s="311">
        <f t="shared" si="71"/>
        <v>1</v>
      </c>
      <c r="U90" s="311">
        <f t="shared" si="71"/>
        <v>1</v>
      </c>
      <c r="V90" s="311">
        <f t="shared" si="71"/>
        <v>1</v>
      </c>
      <c r="W90" s="311">
        <f t="shared" si="71"/>
        <v>1</v>
      </c>
      <c r="X90" s="311">
        <f t="shared" si="71"/>
        <v>1</v>
      </c>
      <c r="Y90" s="311">
        <f t="shared" si="71"/>
        <v>1</v>
      </c>
      <c r="Z90" s="311">
        <f t="shared" si="71"/>
        <v>1</v>
      </c>
      <c r="AA90" s="311">
        <f t="shared" si="71"/>
        <v>1</v>
      </c>
      <c r="AB90" s="311">
        <f t="shared" si="71"/>
        <v>1</v>
      </c>
      <c r="AC90" s="311">
        <f t="shared" si="71"/>
        <v>1</v>
      </c>
      <c r="AD90" s="311">
        <f t="shared" si="71"/>
        <v>1</v>
      </c>
      <c r="AE90" s="311">
        <f t="shared" si="71"/>
        <v>1</v>
      </c>
      <c r="AF90" s="311">
        <f t="shared" si="71"/>
        <v>1</v>
      </c>
      <c r="AG90" s="311">
        <f t="shared" si="71"/>
        <v>1</v>
      </c>
      <c r="AH90" s="311">
        <f t="shared" si="71"/>
        <v>1</v>
      </c>
      <c r="AI90" s="311">
        <f t="shared" si="71"/>
        <v>1</v>
      </c>
      <c r="AJ90" s="311">
        <f t="shared" si="71"/>
        <v>1</v>
      </c>
      <c r="AK90" s="311">
        <f t="shared" ref="AK90:BP90" si="72" xml:space="preserve"> AK$87</f>
        <v>1</v>
      </c>
      <c r="AL90" s="311">
        <f t="shared" si="72"/>
        <v>1</v>
      </c>
      <c r="AM90" s="311">
        <f t="shared" si="72"/>
        <v>1</v>
      </c>
      <c r="AN90" s="311">
        <f t="shared" si="72"/>
        <v>1</v>
      </c>
      <c r="AO90" s="311">
        <f t="shared" si="72"/>
        <v>1</v>
      </c>
      <c r="AP90" s="311">
        <f t="shared" si="72"/>
        <v>1</v>
      </c>
      <c r="AQ90" s="311">
        <f t="shared" si="72"/>
        <v>1</v>
      </c>
      <c r="AR90" s="311">
        <f t="shared" si="72"/>
        <v>1</v>
      </c>
      <c r="AS90" s="311">
        <f t="shared" si="72"/>
        <v>1</v>
      </c>
      <c r="AT90" s="311">
        <f t="shared" si="72"/>
        <v>1</v>
      </c>
      <c r="AU90" s="311">
        <f t="shared" si="72"/>
        <v>1</v>
      </c>
      <c r="AV90" s="311">
        <f t="shared" si="72"/>
        <v>1</v>
      </c>
      <c r="AW90" s="311">
        <f t="shared" si="72"/>
        <v>1</v>
      </c>
      <c r="AX90" s="311">
        <f t="shared" si="72"/>
        <v>1</v>
      </c>
      <c r="AY90" s="311">
        <f t="shared" si="72"/>
        <v>1</v>
      </c>
      <c r="AZ90" s="311">
        <f t="shared" si="72"/>
        <v>1</v>
      </c>
      <c r="BA90" s="311">
        <f t="shared" si="72"/>
        <v>1</v>
      </c>
      <c r="BB90" s="311">
        <f t="shared" si="72"/>
        <v>1</v>
      </c>
      <c r="BC90" s="311">
        <f t="shared" si="72"/>
        <v>1</v>
      </c>
      <c r="BD90" s="311">
        <f t="shared" si="72"/>
        <v>1</v>
      </c>
      <c r="BE90" s="311">
        <f t="shared" si="72"/>
        <v>1</v>
      </c>
      <c r="BF90" s="311">
        <f t="shared" si="72"/>
        <v>1</v>
      </c>
      <c r="BG90" s="311">
        <f t="shared" si="72"/>
        <v>1</v>
      </c>
      <c r="BH90" s="311">
        <f t="shared" si="72"/>
        <v>1</v>
      </c>
      <c r="BI90" s="311">
        <f t="shared" si="72"/>
        <v>1</v>
      </c>
      <c r="BJ90" s="311">
        <f t="shared" si="72"/>
        <v>1</v>
      </c>
      <c r="BK90" s="311">
        <f t="shared" si="72"/>
        <v>1</v>
      </c>
      <c r="BL90" s="311">
        <f t="shared" si="72"/>
        <v>1</v>
      </c>
      <c r="BM90" s="311">
        <f t="shared" si="72"/>
        <v>1</v>
      </c>
      <c r="BN90" s="311">
        <f t="shared" si="72"/>
        <v>1</v>
      </c>
      <c r="BO90" s="311">
        <f t="shared" si="72"/>
        <v>1</v>
      </c>
      <c r="BP90" s="311">
        <f t="shared" si="72"/>
        <v>1</v>
      </c>
      <c r="BQ90" s="311">
        <f t="shared" ref="BQ90:CD90" si="73" xml:space="preserve"> BQ$87</f>
        <v>1</v>
      </c>
      <c r="BR90" s="311">
        <f t="shared" si="73"/>
        <v>1</v>
      </c>
      <c r="BS90" s="311">
        <f t="shared" si="73"/>
        <v>1</v>
      </c>
      <c r="BT90" s="311">
        <f t="shared" si="73"/>
        <v>1</v>
      </c>
      <c r="BU90" s="311">
        <f t="shared" si="73"/>
        <v>1</v>
      </c>
      <c r="BV90" s="311">
        <f t="shared" si="73"/>
        <v>0</v>
      </c>
      <c r="BW90" s="311">
        <f t="shared" si="73"/>
        <v>0</v>
      </c>
      <c r="BX90" s="311">
        <f t="shared" si="73"/>
        <v>0</v>
      </c>
      <c r="BY90" s="311">
        <f t="shared" si="73"/>
        <v>0</v>
      </c>
      <c r="BZ90" s="311">
        <f t="shared" si="73"/>
        <v>0</v>
      </c>
      <c r="CA90" s="311">
        <f t="shared" si="73"/>
        <v>0</v>
      </c>
      <c r="CB90" s="311">
        <f t="shared" si="73"/>
        <v>0</v>
      </c>
      <c r="CC90" s="311">
        <f t="shared" si="73"/>
        <v>0</v>
      </c>
      <c r="CD90" s="311">
        <f t="shared" si="73"/>
        <v>0</v>
      </c>
    </row>
    <row r="91" spans="1:131" s="347" customFormat="1" hidden="1" outlineLevel="2" x14ac:dyDescent="0.35">
      <c r="A91" s="58"/>
      <c r="B91" s="58"/>
      <c r="C91" s="59"/>
      <c r="D91" s="60"/>
      <c r="E91" s="94" t="s">
        <v>192</v>
      </c>
      <c r="F91" s="94"/>
      <c r="G91" s="94"/>
      <c r="H91" s="94"/>
      <c r="I91" s="61"/>
      <c r="J91" s="94">
        <f t="shared" ref="J91:AO91" si="74" xml:space="preserve"> I91 + J90</f>
        <v>0</v>
      </c>
      <c r="K91" s="94">
        <f t="shared" si="74"/>
        <v>0</v>
      </c>
      <c r="L91" s="94">
        <f t="shared" si="74"/>
        <v>0</v>
      </c>
      <c r="M91" s="94">
        <f t="shared" si="74"/>
        <v>0</v>
      </c>
      <c r="N91" s="94">
        <f t="shared" si="74"/>
        <v>1</v>
      </c>
      <c r="O91" s="94">
        <f t="shared" si="74"/>
        <v>2</v>
      </c>
      <c r="P91" s="94">
        <f t="shared" si="74"/>
        <v>3</v>
      </c>
      <c r="Q91" s="94">
        <f t="shared" si="74"/>
        <v>4</v>
      </c>
      <c r="R91" s="94">
        <f t="shared" si="74"/>
        <v>5</v>
      </c>
      <c r="S91" s="94">
        <f t="shared" si="74"/>
        <v>6</v>
      </c>
      <c r="T91" s="94">
        <f t="shared" si="74"/>
        <v>7</v>
      </c>
      <c r="U91" s="94">
        <f t="shared" si="74"/>
        <v>8</v>
      </c>
      <c r="V91" s="94">
        <f t="shared" si="74"/>
        <v>9</v>
      </c>
      <c r="W91" s="94">
        <f t="shared" si="74"/>
        <v>10</v>
      </c>
      <c r="X91" s="94">
        <f t="shared" si="74"/>
        <v>11</v>
      </c>
      <c r="Y91" s="94">
        <f t="shared" si="74"/>
        <v>12</v>
      </c>
      <c r="Z91" s="94">
        <f t="shared" si="74"/>
        <v>13</v>
      </c>
      <c r="AA91" s="94">
        <f t="shared" si="74"/>
        <v>14</v>
      </c>
      <c r="AB91" s="94">
        <f t="shared" si="74"/>
        <v>15</v>
      </c>
      <c r="AC91" s="94">
        <f t="shared" si="74"/>
        <v>16</v>
      </c>
      <c r="AD91" s="94">
        <f t="shared" si="74"/>
        <v>17</v>
      </c>
      <c r="AE91" s="94">
        <f t="shared" si="74"/>
        <v>18</v>
      </c>
      <c r="AF91" s="94">
        <f t="shared" si="74"/>
        <v>19</v>
      </c>
      <c r="AG91" s="94">
        <f t="shared" si="74"/>
        <v>20</v>
      </c>
      <c r="AH91" s="94">
        <f t="shared" si="74"/>
        <v>21</v>
      </c>
      <c r="AI91" s="94">
        <f t="shared" si="74"/>
        <v>22</v>
      </c>
      <c r="AJ91" s="94">
        <f t="shared" si="74"/>
        <v>23</v>
      </c>
      <c r="AK91" s="94">
        <f t="shared" si="74"/>
        <v>24</v>
      </c>
      <c r="AL91" s="94">
        <f t="shared" si="74"/>
        <v>25</v>
      </c>
      <c r="AM91" s="94">
        <f t="shared" si="74"/>
        <v>26</v>
      </c>
      <c r="AN91" s="94">
        <f t="shared" si="74"/>
        <v>27</v>
      </c>
      <c r="AO91" s="94">
        <f t="shared" si="74"/>
        <v>28</v>
      </c>
      <c r="AP91" s="94">
        <f t="shared" ref="AP91:BU91" si="75" xml:space="preserve"> AO91 + AP90</f>
        <v>29</v>
      </c>
      <c r="AQ91" s="94">
        <f t="shared" si="75"/>
        <v>30</v>
      </c>
      <c r="AR91" s="94">
        <f t="shared" si="75"/>
        <v>31</v>
      </c>
      <c r="AS91" s="94">
        <f t="shared" si="75"/>
        <v>32</v>
      </c>
      <c r="AT91" s="94">
        <f t="shared" si="75"/>
        <v>33</v>
      </c>
      <c r="AU91" s="94">
        <f t="shared" si="75"/>
        <v>34</v>
      </c>
      <c r="AV91" s="94">
        <f t="shared" si="75"/>
        <v>35</v>
      </c>
      <c r="AW91" s="94">
        <f t="shared" si="75"/>
        <v>36</v>
      </c>
      <c r="AX91" s="94">
        <f t="shared" si="75"/>
        <v>37</v>
      </c>
      <c r="AY91" s="94">
        <f t="shared" si="75"/>
        <v>38</v>
      </c>
      <c r="AZ91" s="94">
        <f t="shared" si="75"/>
        <v>39</v>
      </c>
      <c r="BA91" s="94">
        <f t="shared" si="75"/>
        <v>40</v>
      </c>
      <c r="BB91" s="94">
        <f t="shared" si="75"/>
        <v>41</v>
      </c>
      <c r="BC91" s="94">
        <f t="shared" si="75"/>
        <v>42</v>
      </c>
      <c r="BD91" s="94">
        <f t="shared" si="75"/>
        <v>43</v>
      </c>
      <c r="BE91" s="94">
        <f t="shared" si="75"/>
        <v>44</v>
      </c>
      <c r="BF91" s="94">
        <f t="shared" si="75"/>
        <v>45</v>
      </c>
      <c r="BG91" s="94">
        <f t="shared" si="75"/>
        <v>46</v>
      </c>
      <c r="BH91" s="94">
        <f t="shared" si="75"/>
        <v>47</v>
      </c>
      <c r="BI91" s="94">
        <f t="shared" si="75"/>
        <v>48</v>
      </c>
      <c r="BJ91" s="94">
        <f t="shared" si="75"/>
        <v>49</v>
      </c>
      <c r="BK91" s="94">
        <f t="shared" si="75"/>
        <v>50</v>
      </c>
      <c r="BL91" s="94">
        <f t="shared" si="75"/>
        <v>51</v>
      </c>
      <c r="BM91" s="94">
        <f t="shared" si="75"/>
        <v>52</v>
      </c>
      <c r="BN91" s="94">
        <f t="shared" si="75"/>
        <v>53</v>
      </c>
      <c r="BO91" s="94">
        <f t="shared" si="75"/>
        <v>54</v>
      </c>
      <c r="BP91" s="94">
        <f t="shared" si="75"/>
        <v>55</v>
      </c>
      <c r="BQ91" s="94">
        <f t="shared" si="75"/>
        <v>56</v>
      </c>
      <c r="BR91" s="94">
        <f t="shared" si="75"/>
        <v>57</v>
      </c>
      <c r="BS91" s="94">
        <f t="shared" si="75"/>
        <v>58</v>
      </c>
      <c r="BT91" s="94">
        <f t="shared" si="75"/>
        <v>59</v>
      </c>
      <c r="BU91" s="94">
        <f t="shared" si="75"/>
        <v>60</v>
      </c>
      <c r="BV91" s="94">
        <f t="shared" ref="BV91:CD91" si="76" xml:space="preserve"> BU91 + BV90</f>
        <v>60</v>
      </c>
      <c r="BW91" s="94">
        <f t="shared" si="76"/>
        <v>60</v>
      </c>
      <c r="BX91" s="94">
        <f t="shared" si="76"/>
        <v>60</v>
      </c>
      <c r="BY91" s="94">
        <f t="shared" si="76"/>
        <v>60</v>
      </c>
      <c r="BZ91" s="94">
        <f t="shared" si="76"/>
        <v>60</v>
      </c>
      <c r="CA91" s="94">
        <f t="shared" si="76"/>
        <v>60</v>
      </c>
      <c r="CB91" s="94">
        <f t="shared" si="76"/>
        <v>60</v>
      </c>
      <c r="CC91" s="94">
        <f t="shared" si="76"/>
        <v>60</v>
      </c>
      <c r="CD91" s="94">
        <f t="shared" si="76"/>
        <v>60</v>
      </c>
    </row>
    <row r="92" spans="1:131" hidden="1" outlineLevel="2" x14ac:dyDescent="0.35">
      <c r="A92" s="138"/>
      <c r="B92" s="138"/>
      <c r="C92" s="139"/>
      <c r="D92" s="140"/>
      <c r="E92" s="286"/>
      <c r="F92" s="286"/>
      <c r="G92" s="286"/>
      <c r="H92" s="286"/>
      <c r="I92" s="287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6"/>
      <c r="AU92" s="286"/>
      <c r="AV92" s="286"/>
      <c r="AW92" s="286"/>
      <c r="AX92" s="286"/>
      <c r="AY92" s="286"/>
      <c r="AZ92" s="286"/>
      <c r="BA92" s="286"/>
      <c r="BB92" s="286"/>
      <c r="BC92" s="286"/>
      <c r="BD92" s="286"/>
      <c r="BE92" s="286"/>
      <c r="BF92" s="286"/>
      <c r="BG92" s="286"/>
      <c r="BH92" s="286"/>
      <c r="BI92" s="286"/>
      <c r="BJ92" s="286"/>
      <c r="BK92" s="286"/>
      <c r="BL92" s="286"/>
      <c r="BM92" s="286"/>
      <c r="BN92" s="286"/>
      <c r="BO92" s="286"/>
      <c r="BP92" s="286"/>
      <c r="BQ92" s="286"/>
      <c r="BR92" s="286"/>
      <c r="BS92" s="286"/>
      <c r="BT92" s="286"/>
      <c r="BU92" s="286"/>
      <c r="BV92" s="286"/>
      <c r="BW92" s="286"/>
      <c r="BX92" s="286"/>
      <c r="BY92" s="286"/>
      <c r="BZ92" s="286"/>
      <c r="CA92" s="286"/>
      <c r="CB92" s="286"/>
      <c r="CC92" s="286"/>
      <c r="CD92" s="286"/>
    </row>
    <row r="93" spans="1:131" hidden="1" outlineLevel="1" x14ac:dyDescent="0.35">
      <c r="A93" s="138"/>
      <c r="B93" s="138"/>
      <c r="C93" s="139"/>
      <c r="D93" s="140"/>
      <c r="E93" s="286"/>
      <c r="F93" s="286"/>
      <c r="G93" s="286"/>
      <c r="H93" s="286"/>
      <c r="I93" s="287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6"/>
      <c r="AU93" s="286"/>
      <c r="AV93" s="286"/>
      <c r="AW93" s="286"/>
      <c r="AX93" s="286"/>
      <c r="AY93" s="286"/>
      <c r="AZ93" s="286"/>
      <c r="BA93" s="286"/>
      <c r="BB93" s="286"/>
      <c r="BC93" s="286"/>
      <c r="BD93" s="286"/>
      <c r="BE93" s="286"/>
      <c r="BF93" s="286"/>
      <c r="BG93" s="286"/>
      <c r="BH93" s="286"/>
      <c r="BI93" s="286"/>
      <c r="BJ93" s="286"/>
      <c r="BK93" s="286"/>
      <c r="BL93" s="286"/>
      <c r="BM93" s="286"/>
      <c r="BN93" s="286"/>
      <c r="BO93" s="286"/>
      <c r="BP93" s="286"/>
      <c r="BQ93" s="286"/>
      <c r="BR93" s="286"/>
      <c r="BS93" s="286"/>
      <c r="BT93" s="286"/>
      <c r="BU93" s="286"/>
      <c r="BV93" s="286"/>
      <c r="BW93" s="286"/>
      <c r="BX93" s="286"/>
      <c r="BY93" s="286"/>
      <c r="BZ93" s="286"/>
      <c r="CA93" s="286"/>
      <c r="CB93" s="286"/>
      <c r="CC93" s="286"/>
      <c r="CD93" s="286"/>
    </row>
    <row r="94" spans="1:131" hidden="1" outlineLevel="1" x14ac:dyDescent="0.35">
      <c r="A94" s="138"/>
      <c r="B94" s="138" t="s">
        <v>100</v>
      </c>
      <c r="C94" s="139"/>
      <c r="D94" s="140"/>
      <c r="E94" s="286"/>
      <c r="F94" s="286"/>
      <c r="G94" s="286"/>
      <c r="H94" s="286"/>
      <c r="I94" s="287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6"/>
      <c r="AU94" s="286"/>
      <c r="AV94" s="286"/>
      <c r="AW94" s="286"/>
      <c r="AX94" s="286"/>
      <c r="AY94" s="286"/>
      <c r="AZ94" s="286"/>
      <c r="BA94" s="286"/>
      <c r="BB94" s="286"/>
      <c r="BC94" s="286"/>
      <c r="BD94" s="286"/>
      <c r="BE94" s="286"/>
      <c r="BF94" s="286"/>
      <c r="BG94" s="286"/>
      <c r="BH94" s="286"/>
      <c r="BI94" s="286"/>
      <c r="BJ94" s="286"/>
      <c r="BK94" s="286"/>
      <c r="BL94" s="286"/>
      <c r="BM94" s="286"/>
      <c r="BN94" s="286"/>
      <c r="BO94" s="286"/>
      <c r="BP94" s="286"/>
      <c r="BQ94" s="286"/>
      <c r="BR94" s="286"/>
      <c r="BS94" s="286"/>
      <c r="BT94" s="286"/>
      <c r="BU94" s="286"/>
      <c r="BV94" s="286"/>
      <c r="BW94" s="286"/>
      <c r="BX94" s="286"/>
      <c r="BY94" s="286"/>
      <c r="BZ94" s="286"/>
      <c r="CA94" s="286"/>
      <c r="CB94" s="286"/>
      <c r="CC94" s="286"/>
      <c r="CD94" s="286"/>
    </row>
    <row r="95" spans="1:131" hidden="1" outlineLevel="2" x14ac:dyDescent="0.35">
      <c r="A95" s="138"/>
      <c r="B95" s="138"/>
      <c r="C95" s="139"/>
      <c r="D95" s="140"/>
      <c r="E95" s="292" t="str">
        <f t="shared" ref="E95:AJ95" si="77" xml:space="preserve"> E$81</f>
        <v xml:space="preserve">Last operating period flag </v>
      </c>
      <c r="F95" s="292">
        <f t="shared" si="77"/>
        <v>0</v>
      </c>
      <c r="G95" s="292" t="str">
        <f t="shared" si="77"/>
        <v>flag</v>
      </c>
      <c r="H95" s="292">
        <f t="shared" si="77"/>
        <v>1</v>
      </c>
      <c r="I95" s="292">
        <f t="shared" si="77"/>
        <v>0</v>
      </c>
      <c r="J95" s="292">
        <f t="shared" si="77"/>
        <v>0</v>
      </c>
      <c r="K95" s="292">
        <f t="shared" si="77"/>
        <v>0</v>
      </c>
      <c r="L95" s="292">
        <f t="shared" si="77"/>
        <v>0</v>
      </c>
      <c r="M95" s="292">
        <f t="shared" si="77"/>
        <v>0</v>
      </c>
      <c r="N95" s="292">
        <f t="shared" si="77"/>
        <v>0</v>
      </c>
      <c r="O95" s="292">
        <f t="shared" si="77"/>
        <v>0</v>
      </c>
      <c r="P95" s="292">
        <f t="shared" si="77"/>
        <v>0</v>
      </c>
      <c r="Q95" s="292">
        <f t="shared" si="77"/>
        <v>0</v>
      </c>
      <c r="R95" s="292">
        <f t="shared" si="77"/>
        <v>0</v>
      </c>
      <c r="S95" s="292">
        <f t="shared" si="77"/>
        <v>0</v>
      </c>
      <c r="T95" s="292">
        <f t="shared" si="77"/>
        <v>0</v>
      </c>
      <c r="U95" s="292">
        <f t="shared" si="77"/>
        <v>0</v>
      </c>
      <c r="V95" s="292">
        <f t="shared" si="77"/>
        <v>0</v>
      </c>
      <c r="W95" s="292">
        <f t="shared" si="77"/>
        <v>0</v>
      </c>
      <c r="X95" s="292">
        <f t="shared" si="77"/>
        <v>0</v>
      </c>
      <c r="Y95" s="292">
        <f t="shared" si="77"/>
        <v>0</v>
      </c>
      <c r="Z95" s="292">
        <f t="shared" si="77"/>
        <v>0</v>
      </c>
      <c r="AA95" s="292">
        <f t="shared" si="77"/>
        <v>0</v>
      </c>
      <c r="AB95" s="292">
        <f t="shared" si="77"/>
        <v>0</v>
      </c>
      <c r="AC95" s="292">
        <f t="shared" si="77"/>
        <v>0</v>
      </c>
      <c r="AD95" s="292">
        <f t="shared" si="77"/>
        <v>0</v>
      </c>
      <c r="AE95" s="292">
        <f t="shared" si="77"/>
        <v>0</v>
      </c>
      <c r="AF95" s="292">
        <f t="shared" si="77"/>
        <v>0</v>
      </c>
      <c r="AG95" s="292">
        <f t="shared" si="77"/>
        <v>0</v>
      </c>
      <c r="AH95" s="292">
        <f t="shared" si="77"/>
        <v>0</v>
      </c>
      <c r="AI95" s="292">
        <f t="shared" si="77"/>
        <v>0</v>
      </c>
      <c r="AJ95" s="292">
        <f t="shared" si="77"/>
        <v>0</v>
      </c>
      <c r="AK95" s="292">
        <f t="shared" ref="AK95:BP95" si="78" xml:space="preserve"> AK$81</f>
        <v>0</v>
      </c>
      <c r="AL95" s="292">
        <f t="shared" si="78"/>
        <v>0</v>
      </c>
      <c r="AM95" s="292">
        <f t="shared" si="78"/>
        <v>0</v>
      </c>
      <c r="AN95" s="292">
        <f t="shared" si="78"/>
        <v>0</v>
      </c>
      <c r="AO95" s="292">
        <f t="shared" si="78"/>
        <v>0</v>
      </c>
      <c r="AP95" s="292">
        <f t="shared" si="78"/>
        <v>0</v>
      </c>
      <c r="AQ95" s="292">
        <f t="shared" si="78"/>
        <v>0</v>
      </c>
      <c r="AR95" s="292">
        <f t="shared" si="78"/>
        <v>0</v>
      </c>
      <c r="AS95" s="292">
        <f t="shared" si="78"/>
        <v>0</v>
      </c>
      <c r="AT95" s="292">
        <f t="shared" si="78"/>
        <v>0</v>
      </c>
      <c r="AU95" s="292">
        <f t="shared" si="78"/>
        <v>0</v>
      </c>
      <c r="AV95" s="292">
        <f t="shared" si="78"/>
        <v>0</v>
      </c>
      <c r="AW95" s="292">
        <f t="shared" si="78"/>
        <v>0</v>
      </c>
      <c r="AX95" s="292">
        <f t="shared" si="78"/>
        <v>0</v>
      </c>
      <c r="AY95" s="292">
        <f t="shared" si="78"/>
        <v>0</v>
      </c>
      <c r="AZ95" s="292">
        <f t="shared" si="78"/>
        <v>0</v>
      </c>
      <c r="BA95" s="292">
        <f t="shared" si="78"/>
        <v>0</v>
      </c>
      <c r="BB95" s="292">
        <f t="shared" si="78"/>
        <v>0</v>
      </c>
      <c r="BC95" s="292">
        <f t="shared" si="78"/>
        <v>0</v>
      </c>
      <c r="BD95" s="292">
        <f t="shared" si="78"/>
        <v>0</v>
      </c>
      <c r="BE95" s="292">
        <f t="shared" si="78"/>
        <v>0</v>
      </c>
      <c r="BF95" s="292">
        <f t="shared" si="78"/>
        <v>0</v>
      </c>
      <c r="BG95" s="292">
        <f t="shared" si="78"/>
        <v>0</v>
      </c>
      <c r="BH95" s="292">
        <f t="shared" si="78"/>
        <v>0</v>
      </c>
      <c r="BI95" s="292">
        <f t="shared" si="78"/>
        <v>0</v>
      </c>
      <c r="BJ95" s="292">
        <f t="shared" si="78"/>
        <v>0</v>
      </c>
      <c r="BK95" s="292">
        <f t="shared" si="78"/>
        <v>0</v>
      </c>
      <c r="BL95" s="292">
        <f t="shared" si="78"/>
        <v>0</v>
      </c>
      <c r="BM95" s="292">
        <f t="shared" si="78"/>
        <v>0</v>
      </c>
      <c r="BN95" s="292">
        <f t="shared" si="78"/>
        <v>0</v>
      </c>
      <c r="BO95" s="292">
        <f t="shared" si="78"/>
        <v>0</v>
      </c>
      <c r="BP95" s="292">
        <f t="shared" si="78"/>
        <v>0</v>
      </c>
      <c r="BQ95" s="292">
        <f t="shared" ref="BQ95:CD95" si="79" xml:space="preserve"> BQ$81</f>
        <v>0</v>
      </c>
      <c r="BR95" s="292">
        <f t="shared" si="79"/>
        <v>0</v>
      </c>
      <c r="BS95" s="292">
        <f t="shared" si="79"/>
        <v>0</v>
      </c>
      <c r="BT95" s="292">
        <f t="shared" si="79"/>
        <v>0</v>
      </c>
      <c r="BU95" s="292">
        <f t="shared" si="79"/>
        <v>1</v>
      </c>
      <c r="BV95" s="292">
        <f t="shared" si="79"/>
        <v>0</v>
      </c>
      <c r="BW95" s="292">
        <f t="shared" si="79"/>
        <v>0</v>
      </c>
      <c r="BX95" s="292">
        <f t="shared" si="79"/>
        <v>0</v>
      </c>
      <c r="BY95" s="292">
        <f t="shared" si="79"/>
        <v>0</v>
      </c>
      <c r="BZ95" s="292">
        <f t="shared" si="79"/>
        <v>0</v>
      </c>
      <c r="CA95" s="292">
        <f t="shared" si="79"/>
        <v>0</v>
      </c>
      <c r="CB95" s="292">
        <f t="shared" si="79"/>
        <v>0</v>
      </c>
      <c r="CC95" s="292">
        <f t="shared" si="79"/>
        <v>0</v>
      </c>
      <c r="CD95" s="292">
        <f t="shared" si="79"/>
        <v>0</v>
      </c>
    </row>
    <row r="96" spans="1:131" hidden="1" outlineLevel="2" x14ac:dyDescent="0.35">
      <c r="A96" s="138"/>
      <c r="B96" s="138"/>
      <c r="C96" s="139"/>
      <c r="D96" s="140"/>
      <c r="E96" s="170" t="s">
        <v>100</v>
      </c>
      <c r="F96" s="170"/>
      <c r="G96" s="170"/>
      <c r="H96" s="170"/>
      <c r="I96" s="170"/>
      <c r="J96" s="170">
        <f t="shared" ref="J96:AO96" si="80" xml:space="preserve"> I95</f>
        <v>0</v>
      </c>
      <c r="K96" s="170">
        <f t="shared" si="80"/>
        <v>0</v>
      </c>
      <c r="L96" s="170">
        <f t="shared" si="80"/>
        <v>0</v>
      </c>
      <c r="M96" s="170">
        <f t="shared" si="80"/>
        <v>0</v>
      </c>
      <c r="N96" s="170">
        <f t="shared" si="80"/>
        <v>0</v>
      </c>
      <c r="O96" s="170">
        <f t="shared" si="80"/>
        <v>0</v>
      </c>
      <c r="P96" s="170">
        <f t="shared" si="80"/>
        <v>0</v>
      </c>
      <c r="Q96" s="170">
        <f t="shared" si="80"/>
        <v>0</v>
      </c>
      <c r="R96" s="170">
        <f t="shared" si="80"/>
        <v>0</v>
      </c>
      <c r="S96" s="170">
        <f t="shared" si="80"/>
        <v>0</v>
      </c>
      <c r="T96" s="170">
        <f t="shared" si="80"/>
        <v>0</v>
      </c>
      <c r="U96" s="170">
        <f t="shared" si="80"/>
        <v>0</v>
      </c>
      <c r="V96" s="170">
        <f t="shared" si="80"/>
        <v>0</v>
      </c>
      <c r="W96" s="170">
        <f t="shared" si="80"/>
        <v>0</v>
      </c>
      <c r="X96" s="170">
        <f t="shared" si="80"/>
        <v>0</v>
      </c>
      <c r="Y96" s="170">
        <f t="shared" si="80"/>
        <v>0</v>
      </c>
      <c r="Z96" s="170">
        <f t="shared" si="80"/>
        <v>0</v>
      </c>
      <c r="AA96" s="170">
        <f t="shared" si="80"/>
        <v>0</v>
      </c>
      <c r="AB96" s="170">
        <f t="shared" si="80"/>
        <v>0</v>
      </c>
      <c r="AC96" s="170">
        <f t="shared" si="80"/>
        <v>0</v>
      </c>
      <c r="AD96" s="170">
        <f t="shared" si="80"/>
        <v>0</v>
      </c>
      <c r="AE96" s="170">
        <f t="shared" si="80"/>
        <v>0</v>
      </c>
      <c r="AF96" s="170">
        <f t="shared" si="80"/>
        <v>0</v>
      </c>
      <c r="AG96" s="170">
        <f t="shared" si="80"/>
        <v>0</v>
      </c>
      <c r="AH96" s="170">
        <f t="shared" si="80"/>
        <v>0</v>
      </c>
      <c r="AI96" s="170">
        <f t="shared" si="80"/>
        <v>0</v>
      </c>
      <c r="AJ96" s="170">
        <f t="shared" si="80"/>
        <v>0</v>
      </c>
      <c r="AK96" s="170">
        <f t="shared" si="80"/>
        <v>0</v>
      </c>
      <c r="AL96" s="170">
        <f t="shared" si="80"/>
        <v>0</v>
      </c>
      <c r="AM96" s="170">
        <f t="shared" si="80"/>
        <v>0</v>
      </c>
      <c r="AN96" s="170">
        <f t="shared" si="80"/>
        <v>0</v>
      </c>
      <c r="AO96" s="170">
        <f t="shared" si="80"/>
        <v>0</v>
      </c>
      <c r="AP96" s="170">
        <f t="shared" ref="AP96:BU96" si="81" xml:space="preserve"> AO95</f>
        <v>0</v>
      </c>
      <c r="AQ96" s="170">
        <f t="shared" si="81"/>
        <v>0</v>
      </c>
      <c r="AR96" s="170">
        <f t="shared" si="81"/>
        <v>0</v>
      </c>
      <c r="AS96" s="170">
        <f t="shared" si="81"/>
        <v>0</v>
      </c>
      <c r="AT96" s="170">
        <f t="shared" si="81"/>
        <v>0</v>
      </c>
      <c r="AU96" s="170">
        <f t="shared" si="81"/>
        <v>0</v>
      </c>
      <c r="AV96" s="170">
        <f t="shared" si="81"/>
        <v>0</v>
      </c>
      <c r="AW96" s="170">
        <f t="shared" si="81"/>
        <v>0</v>
      </c>
      <c r="AX96" s="170">
        <f t="shared" si="81"/>
        <v>0</v>
      </c>
      <c r="AY96" s="170">
        <f t="shared" si="81"/>
        <v>0</v>
      </c>
      <c r="AZ96" s="170">
        <f t="shared" si="81"/>
        <v>0</v>
      </c>
      <c r="BA96" s="170">
        <f t="shared" si="81"/>
        <v>0</v>
      </c>
      <c r="BB96" s="170">
        <f t="shared" si="81"/>
        <v>0</v>
      </c>
      <c r="BC96" s="170">
        <f t="shared" si="81"/>
        <v>0</v>
      </c>
      <c r="BD96" s="170">
        <f t="shared" si="81"/>
        <v>0</v>
      </c>
      <c r="BE96" s="170">
        <f t="shared" si="81"/>
        <v>0</v>
      </c>
      <c r="BF96" s="170">
        <f t="shared" si="81"/>
        <v>0</v>
      </c>
      <c r="BG96" s="170">
        <f t="shared" si="81"/>
        <v>0</v>
      </c>
      <c r="BH96" s="170">
        <f t="shared" si="81"/>
        <v>0</v>
      </c>
      <c r="BI96" s="170">
        <f t="shared" si="81"/>
        <v>0</v>
      </c>
      <c r="BJ96" s="170">
        <f t="shared" si="81"/>
        <v>0</v>
      </c>
      <c r="BK96" s="170">
        <f t="shared" si="81"/>
        <v>0</v>
      </c>
      <c r="BL96" s="170">
        <f t="shared" si="81"/>
        <v>0</v>
      </c>
      <c r="BM96" s="170">
        <f t="shared" si="81"/>
        <v>0</v>
      </c>
      <c r="BN96" s="170">
        <f t="shared" si="81"/>
        <v>0</v>
      </c>
      <c r="BO96" s="170">
        <f t="shared" si="81"/>
        <v>0</v>
      </c>
      <c r="BP96" s="170">
        <f t="shared" si="81"/>
        <v>0</v>
      </c>
      <c r="BQ96" s="170">
        <f t="shared" si="81"/>
        <v>0</v>
      </c>
      <c r="BR96" s="170">
        <f t="shared" si="81"/>
        <v>0</v>
      </c>
      <c r="BS96" s="170">
        <f t="shared" si="81"/>
        <v>0</v>
      </c>
      <c r="BT96" s="170">
        <f t="shared" si="81"/>
        <v>0</v>
      </c>
      <c r="BU96" s="170">
        <f t="shared" si="81"/>
        <v>0</v>
      </c>
      <c r="BV96" s="170">
        <f t="shared" ref="BV96:CD96" si="82" xml:space="preserve"> BU95</f>
        <v>1</v>
      </c>
      <c r="BW96" s="170">
        <f t="shared" si="82"/>
        <v>0</v>
      </c>
      <c r="BX96" s="170">
        <f t="shared" si="82"/>
        <v>0</v>
      </c>
      <c r="BY96" s="170">
        <f t="shared" si="82"/>
        <v>0</v>
      </c>
      <c r="BZ96" s="170">
        <f t="shared" si="82"/>
        <v>0</v>
      </c>
      <c r="CA96" s="170">
        <f t="shared" si="82"/>
        <v>0</v>
      </c>
      <c r="CB96" s="170">
        <f t="shared" si="82"/>
        <v>0</v>
      </c>
      <c r="CC96" s="170">
        <f t="shared" si="82"/>
        <v>0</v>
      </c>
      <c r="CD96" s="170">
        <f t="shared" si="82"/>
        <v>0</v>
      </c>
    </row>
    <row r="97" spans="1:131" hidden="1" outlineLevel="2" x14ac:dyDescent="0.35">
      <c r="A97" s="138"/>
      <c r="B97" s="138"/>
      <c r="C97" s="139"/>
      <c r="D97" s="14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70"/>
      <c r="AK97" s="170"/>
      <c r="AL97" s="170"/>
      <c r="AM97" s="170"/>
      <c r="AN97" s="170"/>
      <c r="AO97" s="170"/>
      <c r="AP97" s="170"/>
      <c r="AQ97" s="170"/>
      <c r="AR97" s="170"/>
      <c r="AS97" s="170"/>
      <c r="AT97" s="170"/>
      <c r="AU97" s="170"/>
      <c r="AV97" s="170"/>
      <c r="AW97" s="170"/>
      <c r="AX97" s="170"/>
      <c r="AY97" s="170"/>
      <c r="AZ97" s="170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70"/>
      <c r="BS97" s="170"/>
      <c r="BT97" s="170"/>
      <c r="BU97" s="170"/>
      <c r="BV97" s="170"/>
      <c r="BW97" s="170"/>
      <c r="BX97" s="170"/>
      <c r="BY97" s="170"/>
      <c r="BZ97" s="170"/>
      <c r="CA97" s="170"/>
      <c r="CB97" s="170"/>
      <c r="CC97" s="170"/>
      <c r="CD97" s="170"/>
    </row>
    <row r="98" spans="1:131" hidden="1" outlineLevel="2" x14ac:dyDescent="0.35">
      <c r="A98" s="138"/>
      <c r="B98" s="138"/>
      <c r="C98" s="139"/>
      <c r="D98" s="140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  <c r="CC98" s="137"/>
      <c r="CD98" s="137"/>
    </row>
    <row r="99" spans="1:131" x14ac:dyDescent="0.35">
      <c r="A99" s="138"/>
      <c r="B99" s="138"/>
      <c r="C99" s="139"/>
      <c r="D99" s="140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  <c r="CC99" s="137"/>
      <c r="CD99" s="137"/>
    </row>
    <row r="100" spans="1:131" collapsed="1" x14ac:dyDescent="0.35">
      <c r="A100" s="138" t="s">
        <v>129</v>
      </c>
      <c r="B100" s="138"/>
      <c r="C100" s="139"/>
      <c r="D100" s="140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  <c r="CC100" s="137"/>
      <c r="CD100" s="137"/>
    </row>
    <row r="101" spans="1:131" hidden="1" outlineLevel="1" x14ac:dyDescent="0.35">
      <c r="A101" s="138"/>
      <c r="B101" s="138"/>
      <c r="C101" s="139"/>
      <c r="D101" s="140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  <c r="CC101" s="137"/>
      <c r="CD101" s="137"/>
    </row>
    <row r="102" spans="1:131" hidden="1" outlineLevel="1" x14ac:dyDescent="0.35">
      <c r="A102" s="138"/>
      <c r="B102" s="138" t="s">
        <v>131</v>
      </c>
      <c r="C102" s="139"/>
      <c r="D102" s="140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  <c r="CC102" s="137"/>
      <c r="CD102" s="137"/>
    </row>
    <row r="103" spans="1:131" hidden="1" outlineLevel="2" x14ac:dyDescent="0.35">
      <c r="A103" s="138"/>
      <c r="B103" s="138"/>
      <c r="C103" s="139"/>
      <c r="D103" s="140"/>
      <c r="E103" s="174" t="str">
        <f t="shared" ref="E103:AJ103" si="83" xml:space="preserve"> E$87</f>
        <v>Operating period flag</v>
      </c>
      <c r="F103" s="174">
        <f t="shared" si="83"/>
        <v>0</v>
      </c>
      <c r="G103" s="174" t="str">
        <f t="shared" si="83"/>
        <v>flag</v>
      </c>
      <c r="H103" s="174">
        <f t="shared" si="83"/>
        <v>60</v>
      </c>
      <c r="I103" s="174">
        <f t="shared" si="83"/>
        <v>0</v>
      </c>
      <c r="J103" s="174">
        <f t="shared" si="83"/>
        <v>0</v>
      </c>
      <c r="K103" s="174">
        <f t="shared" si="83"/>
        <v>0</v>
      </c>
      <c r="L103" s="174">
        <f t="shared" si="83"/>
        <v>0</v>
      </c>
      <c r="M103" s="174">
        <f t="shared" si="83"/>
        <v>0</v>
      </c>
      <c r="N103" s="174">
        <f t="shared" si="83"/>
        <v>1</v>
      </c>
      <c r="O103" s="174">
        <f t="shared" si="83"/>
        <v>1</v>
      </c>
      <c r="P103" s="174">
        <f t="shared" si="83"/>
        <v>1</v>
      </c>
      <c r="Q103" s="174">
        <f t="shared" si="83"/>
        <v>1</v>
      </c>
      <c r="R103" s="174">
        <f t="shared" si="83"/>
        <v>1</v>
      </c>
      <c r="S103" s="174">
        <f t="shared" si="83"/>
        <v>1</v>
      </c>
      <c r="T103" s="174">
        <f t="shared" si="83"/>
        <v>1</v>
      </c>
      <c r="U103" s="174">
        <f t="shared" si="83"/>
        <v>1</v>
      </c>
      <c r="V103" s="174">
        <f t="shared" si="83"/>
        <v>1</v>
      </c>
      <c r="W103" s="174">
        <f t="shared" si="83"/>
        <v>1</v>
      </c>
      <c r="X103" s="174">
        <f t="shared" si="83"/>
        <v>1</v>
      </c>
      <c r="Y103" s="174">
        <f t="shared" si="83"/>
        <v>1</v>
      </c>
      <c r="Z103" s="174">
        <f t="shared" si="83"/>
        <v>1</v>
      </c>
      <c r="AA103" s="174">
        <f t="shared" si="83"/>
        <v>1</v>
      </c>
      <c r="AB103" s="174">
        <f t="shared" si="83"/>
        <v>1</v>
      </c>
      <c r="AC103" s="174">
        <f t="shared" si="83"/>
        <v>1</v>
      </c>
      <c r="AD103" s="174">
        <f t="shared" si="83"/>
        <v>1</v>
      </c>
      <c r="AE103" s="174">
        <f t="shared" si="83"/>
        <v>1</v>
      </c>
      <c r="AF103" s="174">
        <f t="shared" si="83"/>
        <v>1</v>
      </c>
      <c r="AG103" s="174">
        <f t="shared" si="83"/>
        <v>1</v>
      </c>
      <c r="AH103" s="174">
        <f t="shared" si="83"/>
        <v>1</v>
      </c>
      <c r="AI103" s="174">
        <f t="shared" si="83"/>
        <v>1</v>
      </c>
      <c r="AJ103" s="174">
        <f t="shared" si="83"/>
        <v>1</v>
      </c>
      <c r="AK103" s="174">
        <f t="shared" ref="AK103:BP103" si="84" xml:space="preserve"> AK$87</f>
        <v>1</v>
      </c>
      <c r="AL103" s="174">
        <f t="shared" si="84"/>
        <v>1</v>
      </c>
      <c r="AM103" s="174">
        <f t="shared" si="84"/>
        <v>1</v>
      </c>
      <c r="AN103" s="174">
        <f t="shared" si="84"/>
        <v>1</v>
      </c>
      <c r="AO103" s="174">
        <f t="shared" si="84"/>
        <v>1</v>
      </c>
      <c r="AP103" s="174">
        <f t="shared" si="84"/>
        <v>1</v>
      </c>
      <c r="AQ103" s="174">
        <f t="shared" si="84"/>
        <v>1</v>
      </c>
      <c r="AR103" s="174">
        <f t="shared" si="84"/>
        <v>1</v>
      </c>
      <c r="AS103" s="174">
        <f t="shared" si="84"/>
        <v>1</v>
      </c>
      <c r="AT103" s="174">
        <f t="shared" si="84"/>
        <v>1</v>
      </c>
      <c r="AU103" s="174">
        <f t="shared" si="84"/>
        <v>1</v>
      </c>
      <c r="AV103" s="174">
        <f t="shared" si="84"/>
        <v>1</v>
      </c>
      <c r="AW103" s="174">
        <f t="shared" si="84"/>
        <v>1</v>
      </c>
      <c r="AX103" s="174">
        <f t="shared" si="84"/>
        <v>1</v>
      </c>
      <c r="AY103" s="174">
        <f t="shared" si="84"/>
        <v>1</v>
      </c>
      <c r="AZ103" s="174">
        <f t="shared" si="84"/>
        <v>1</v>
      </c>
      <c r="BA103" s="174">
        <f t="shared" si="84"/>
        <v>1</v>
      </c>
      <c r="BB103" s="174">
        <f t="shared" si="84"/>
        <v>1</v>
      </c>
      <c r="BC103" s="174">
        <f t="shared" si="84"/>
        <v>1</v>
      </c>
      <c r="BD103" s="174">
        <f t="shared" si="84"/>
        <v>1</v>
      </c>
      <c r="BE103" s="174">
        <f t="shared" si="84"/>
        <v>1</v>
      </c>
      <c r="BF103" s="174">
        <f t="shared" si="84"/>
        <v>1</v>
      </c>
      <c r="BG103" s="174">
        <f t="shared" si="84"/>
        <v>1</v>
      </c>
      <c r="BH103" s="174">
        <f t="shared" si="84"/>
        <v>1</v>
      </c>
      <c r="BI103" s="174">
        <f t="shared" si="84"/>
        <v>1</v>
      </c>
      <c r="BJ103" s="174">
        <f t="shared" si="84"/>
        <v>1</v>
      </c>
      <c r="BK103" s="174">
        <f t="shared" si="84"/>
        <v>1</v>
      </c>
      <c r="BL103" s="174">
        <f t="shared" si="84"/>
        <v>1</v>
      </c>
      <c r="BM103" s="174">
        <f t="shared" si="84"/>
        <v>1</v>
      </c>
      <c r="BN103" s="174">
        <f t="shared" si="84"/>
        <v>1</v>
      </c>
      <c r="BO103" s="174">
        <f t="shared" si="84"/>
        <v>1</v>
      </c>
      <c r="BP103" s="174">
        <f t="shared" si="84"/>
        <v>1</v>
      </c>
      <c r="BQ103" s="174">
        <f t="shared" ref="BQ103:CD103" si="85" xml:space="preserve"> BQ$87</f>
        <v>1</v>
      </c>
      <c r="BR103" s="174">
        <f t="shared" si="85"/>
        <v>1</v>
      </c>
      <c r="BS103" s="174">
        <f t="shared" si="85"/>
        <v>1</v>
      </c>
      <c r="BT103" s="174">
        <f t="shared" si="85"/>
        <v>1</v>
      </c>
      <c r="BU103" s="174">
        <f t="shared" si="85"/>
        <v>1</v>
      </c>
      <c r="BV103" s="174">
        <f t="shared" si="85"/>
        <v>0</v>
      </c>
      <c r="BW103" s="174">
        <f t="shared" si="85"/>
        <v>0</v>
      </c>
      <c r="BX103" s="174">
        <f t="shared" si="85"/>
        <v>0</v>
      </c>
      <c r="BY103" s="174">
        <f t="shared" si="85"/>
        <v>0</v>
      </c>
      <c r="BZ103" s="174">
        <f t="shared" si="85"/>
        <v>0</v>
      </c>
      <c r="CA103" s="174">
        <f t="shared" si="85"/>
        <v>0</v>
      </c>
      <c r="CB103" s="174">
        <f t="shared" si="85"/>
        <v>0</v>
      </c>
      <c r="CC103" s="174">
        <f t="shared" si="85"/>
        <v>0</v>
      </c>
      <c r="CD103" s="174">
        <f t="shared" si="85"/>
        <v>0</v>
      </c>
    </row>
    <row r="104" spans="1:131" hidden="1" outlineLevel="2" x14ac:dyDescent="0.35">
      <c r="A104" s="138"/>
      <c r="B104" s="138"/>
      <c r="C104" s="139"/>
      <c r="D104" s="140"/>
      <c r="E104" s="137" t="s">
        <v>103</v>
      </c>
      <c r="F104" s="137"/>
      <c r="G104" s="137"/>
      <c r="H104" s="137"/>
      <c r="I104" s="137"/>
      <c r="J104" s="137">
        <f t="shared" ref="J104:AO104" si="86">I104 + J103</f>
        <v>0</v>
      </c>
      <c r="K104" s="137">
        <f t="shared" si="86"/>
        <v>0</v>
      </c>
      <c r="L104" s="137">
        <f t="shared" si="86"/>
        <v>0</v>
      </c>
      <c r="M104" s="137">
        <f t="shared" si="86"/>
        <v>0</v>
      </c>
      <c r="N104" s="137">
        <f t="shared" si="86"/>
        <v>1</v>
      </c>
      <c r="O104" s="137">
        <f t="shared" si="86"/>
        <v>2</v>
      </c>
      <c r="P104" s="137">
        <f t="shared" si="86"/>
        <v>3</v>
      </c>
      <c r="Q104" s="137">
        <f t="shared" si="86"/>
        <v>4</v>
      </c>
      <c r="R104" s="137">
        <f t="shared" si="86"/>
        <v>5</v>
      </c>
      <c r="S104" s="137">
        <f t="shared" si="86"/>
        <v>6</v>
      </c>
      <c r="T104" s="137">
        <f t="shared" si="86"/>
        <v>7</v>
      </c>
      <c r="U104" s="137">
        <f t="shared" si="86"/>
        <v>8</v>
      </c>
      <c r="V104" s="137">
        <f t="shared" si="86"/>
        <v>9</v>
      </c>
      <c r="W104" s="137">
        <f t="shared" si="86"/>
        <v>10</v>
      </c>
      <c r="X104" s="137">
        <f t="shared" si="86"/>
        <v>11</v>
      </c>
      <c r="Y104" s="137">
        <f t="shared" si="86"/>
        <v>12</v>
      </c>
      <c r="Z104" s="137">
        <f t="shared" si="86"/>
        <v>13</v>
      </c>
      <c r="AA104" s="137">
        <f t="shared" si="86"/>
        <v>14</v>
      </c>
      <c r="AB104" s="137">
        <f t="shared" si="86"/>
        <v>15</v>
      </c>
      <c r="AC104" s="137">
        <f t="shared" si="86"/>
        <v>16</v>
      </c>
      <c r="AD104" s="137">
        <f t="shared" si="86"/>
        <v>17</v>
      </c>
      <c r="AE104" s="137">
        <f t="shared" si="86"/>
        <v>18</v>
      </c>
      <c r="AF104" s="137">
        <f t="shared" si="86"/>
        <v>19</v>
      </c>
      <c r="AG104" s="137">
        <f t="shared" si="86"/>
        <v>20</v>
      </c>
      <c r="AH104" s="137">
        <f t="shared" si="86"/>
        <v>21</v>
      </c>
      <c r="AI104" s="137">
        <f t="shared" si="86"/>
        <v>22</v>
      </c>
      <c r="AJ104" s="137">
        <f t="shared" si="86"/>
        <v>23</v>
      </c>
      <c r="AK104" s="137">
        <f t="shared" si="86"/>
        <v>24</v>
      </c>
      <c r="AL104" s="137">
        <f t="shared" si="86"/>
        <v>25</v>
      </c>
      <c r="AM104" s="137">
        <f t="shared" si="86"/>
        <v>26</v>
      </c>
      <c r="AN104" s="137">
        <f t="shared" si="86"/>
        <v>27</v>
      </c>
      <c r="AO104" s="137">
        <f t="shared" si="86"/>
        <v>28</v>
      </c>
      <c r="AP104" s="137">
        <f t="shared" ref="AP104:BU104" si="87">AO104 + AP103</f>
        <v>29</v>
      </c>
      <c r="AQ104" s="137">
        <f t="shared" si="87"/>
        <v>30</v>
      </c>
      <c r="AR104" s="137">
        <f t="shared" si="87"/>
        <v>31</v>
      </c>
      <c r="AS104" s="137">
        <f t="shared" si="87"/>
        <v>32</v>
      </c>
      <c r="AT104" s="137">
        <f t="shared" si="87"/>
        <v>33</v>
      </c>
      <c r="AU104" s="137">
        <f t="shared" si="87"/>
        <v>34</v>
      </c>
      <c r="AV104" s="137">
        <f t="shared" si="87"/>
        <v>35</v>
      </c>
      <c r="AW104" s="137">
        <f t="shared" si="87"/>
        <v>36</v>
      </c>
      <c r="AX104" s="137">
        <f t="shared" si="87"/>
        <v>37</v>
      </c>
      <c r="AY104" s="137">
        <f t="shared" si="87"/>
        <v>38</v>
      </c>
      <c r="AZ104" s="137">
        <f t="shared" si="87"/>
        <v>39</v>
      </c>
      <c r="BA104" s="137">
        <f t="shared" si="87"/>
        <v>40</v>
      </c>
      <c r="BB104" s="137">
        <f t="shared" si="87"/>
        <v>41</v>
      </c>
      <c r="BC104" s="137">
        <f t="shared" si="87"/>
        <v>42</v>
      </c>
      <c r="BD104" s="137">
        <f t="shared" si="87"/>
        <v>43</v>
      </c>
      <c r="BE104" s="137">
        <f t="shared" si="87"/>
        <v>44</v>
      </c>
      <c r="BF104" s="137">
        <f t="shared" si="87"/>
        <v>45</v>
      </c>
      <c r="BG104" s="137">
        <f t="shared" si="87"/>
        <v>46</v>
      </c>
      <c r="BH104" s="137">
        <f t="shared" si="87"/>
        <v>47</v>
      </c>
      <c r="BI104" s="137">
        <f t="shared" si="87"/>
        <v>48</v>
      </c>
      <c r="BJ104" s="137">
        <f t="shared" si="87"/>
        <v>49</v>
      </c>
      <c r="BK104" s="137">
        <f t="shared" si="87"/>
        <v>50</v>
      </c>
      <c r="BL104" s="137">
        <f t="shared" si="87"/>
        <v>51</v>
      </c>
      <c r="BM104" s="137">
        <f t="shared" si="87"/>
        <v>52</v>
      </c>
      <c r="BN104" s="137">
        <f t="shared" si="87"/>
        <v>53</v>
      </c>
      <c r="BO104" s="137">
        <f t="shared" si="87"/>
        <v>54</v>
      </c>
      <c r="BP104" s="137">
        <f t="shared" si="87"/>
        <v>55</v>
      </c>
      <c r="BQ104" s="137">
        <f t="shared" si="87"/>
        <v>56</v>
      </c>
      <c r="BR104" s="137">
        <f t="shared" si="87"/>
        <v>57</v>
      </c>
      <c r="BS104" s="137">
        <f t="shared" si="87"/>
        <v>58</v>
      </c>
      <c r="BT104" s="137">
        <f t="shared" si="87"/>
        <v>59</v>
      </c>
      <c r="BU104" s="137">
        <f t="shared" si="87"/>
        <v>60</v>
      </c>
      <c r="BV104" s="137">
        <f t="shared" ref="BV104:CD104" si="88">BU104 + BV103</f>
        <v>60</v>
      </c>
      <c r="BW104" s="137">
        <f t="shared" si="88"/>
        <v>60</v>
      </c>
      <c r="BX104" s="137">
        <f t="shared" si="88"/>
        <v>60</v>
      </c>
      <c r="BY104" s="137">
        <f t="shared" si="88"/>
        <v>60</v>
      </c>
      <c r="BZ104" s="137">
        <f t="shared" si="88"/>
        <v>60</v>
      </c>
      <c r="CA104" s="137">
        <f t="shared" si="88"/>
        <v>60</v>
      </c>
      <c r="CB104" s="137">
        <f t="shared" si="88"/>
        <v>60</v>
      </c>
      <c r="CC104" s="137">
        <f t="shared" si="88"/>
        <v>60</v>
      </c>
      <c r="CD104" s="137">
        <f t="shared" si="88"/>
        <v>60</v>
      </c>
    </row>
    <row r="105" spans="1:131" hidden="1" outlineLevel="2" x14ac:dyDescent="0.35">
      <c r="A105" s="138"/>
      <c r="B105" s="138"/>
      <c r="C105" s="139"/>
      <c r="D105" s="140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  <c r="CC105" s="137"/>
      <c r="CD105" s="137"/>
    </row>
    <row r="106" spans="1:131" hidden="1" outlineLevel="2" x14ac:dyDescent="0.35">
      <c r="A106" s="48"/>
      <c r="B106" s="48"/>
      <c r="C106" s="49"/>
      <c r="D106" s="50"/>
      <c r="E106" s="37" t="str">
        <f xml:space="preserve"> InpC!E$69</f>
        <v>Number of periods in a year</v>
      </c>
      <c r="F106" s="37">
        <f xml:space="preserve"> InpC!F$69</f>
        <v>4</v>
      </c>
      <c r="G106" s="37" t="str">
        <f xml:space="preserve"> InpC!G$69</f>
        <v>periods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</row>
    <row r="107" spans="1:131" hidden="1" outlineLevel="2" x14ac:dyDescent="0.35">
      <c r="A107" s="138"/>
      <c r="B107" s="138"/>
      <c r="C107" s="139"/>
      <c r="D107" s="140"/>
      <c r="E107" s="174" t="str">
        <f t="shared" ref="E107:AJ107" si="89" xml:space="preserve"> E$104</f>
        <v>Contract period number</v>
      </c>
      <c r="F107" s="174">
        <f t="shared" si="89"/>
        <v>0</v>
      </c>
      <c r="G107" s="174">
        <f t="shared" si="89"/>
        <v>0</v>
      </c>
      <c r="H107" s="174">
        <f t="shared" si="89"/>
        <v>0</v>
      </c>
      <c r="I107" s="174">
        <f t="shared" si="89"/>
        <v>0</v>
      </c>
      <c r="J107" s="174">
        <f t="shared" si="89"/>
        <v>0</v>
      </c>
      <c r="K107" s="174">
        <f t="shared" si="89"/>
        <v>0</v>
      </c>
      <c r="L107" s="174">
        <f t="shared" si="89"/>
        <v>0</v>
      </c>
      <c r="M107" s="174">
        <f t="shared" si="89"/>
        <v>0</v>
      </c>
      <c r="N107" s="174">
        <f t="shared" si="89"/>
        <v>1</v>
      </c>
      <c r="O107" s="174">
        <f t="shared" si="89"/>
        <v>2</v>
      </c>
      <c r="P107" s="174">
        <f t="shared" si="89"/>
        <v>3</v>
      </c>
      <c r="Q107" s="174">
        <f t="shared" si="89"/>
        <v>4</v>
      </c>
      <c r="R107" s="174">
        <f t="shared" si="89"/>
        <v>5</v>
      </c>
      <c r="S107" s="174">
        <f t="shared" si="89"/>
        <v>6</v>
      </c>
      <c r="T107" s="174">
        <f t="shared" si="89"/>
        <v>7</v>
      </c>
      <c r="U107" s="174">
        <f t="shared" si="89"/>
        <v>8</v>
      </c>
      <c r="V107" s="174">
        <f t="shared" si="89"/>
        <v>9</v>
      </c>
      <c r="W107" s="174">
        <f t="shared" si="89"/>
        <v>10</v>
      </c>
      <c r="X107" s="174">
        <f t="shared" si="89"/>
        <v>11</v>
      </c>
      <c r="Y107" s="174">
        <f t="shared" si="89"/>
        <v>12</v>
      </c>
      <c r="Z107" s="174">
        <f t="shared" si="89"/>
        <v>13</v>
      </c>
      <c r="AA107" s="174">
        <f t="shared" si="89"/>
        <v>14</v>
      </c>
      <c r="AB107" s="174">
        <f t="shared" si="89"/>
        <v>15</v>
      </c>
      <c r="AC107" s="174">
        <f t="shared" si="89"/>
        <v>16</v>
      </c>
      <c r="AD107" s="174">
        <f t="shared" si="89"/>
        <v>17</v>
      </c>
      <c r="AE107" s="174">
        <f t="shared" si="89"/>
        <v>18</v>
      </c>
      <c r="AF107" s="174">
        <f t="shared" si="89"/>
        <v>19</v>
      </c>
      <c r="AG107" s="174">
        <f t="shared" si="89"/>
        <v>20</v>
      </c>
      <c r="AH107" s="174">
        <f t="shared" si="89"/>
        <v>21</v>
      </c>
      <c r="AI107" s="174">
        <f t="shared" si="89"/>
        <v>22</v>
      </c>
      <c r="AJ107" s="174">
        <f t="shared" si="89"/>
        <v>23</v>
      </c>
      <c r="AK107" s="174">
        <f t="shared" ref="AK107:BP107" si="90" xml:space="preserve"> AK$104</f>
        <v>24</v>
      </c>
      <c r="AL107" s="174">
        <f t="shared" si="90"/>
        <v>25</v>
      </c>
      <c r="AM107" s="174">
        <f t="shared" si="90"/>
        <v>26</v>
      </c>
      <c r="AN107" s="174">
        <f t="shared" si="90"/>
        <v>27</v>
      </c>
      <c r="AO107" s="174">
        <f t="shared" si="90"/>
        <v>28</v>
      </c>
      <c r="AP107" s="174">
        <f t="shared" si="90"/>
        <v>29</v>
      </c>
      <c r="AQ107" s="174">
        <f t="shared" si="90"/>
        <v>30</v>
      </c>
      <c r="AR107" s="174">
        <f t="shared" si="90"/>
        <v>31</v>
      </c>
      <c r="AS107" s="174">
        <f t="shared" si="90"/>
        <v>32</v>
      </c>
      <c r="AT107" s="174">
        <f t="shared" si="90"/>
        <v>33</v>
      </c>
      <c r="AU107" s="174">
        <f t="shared" si="90"/>
        <v>34</v>
      </c>
      <c r="AV107" s="174">
        <f t="shared" si="90"/>
        <v>35</v>
      </c>
      <c r="AW107" s="174">
        <f t="shared" si="90"/>
        <v>36</v>
      </c>
      <c r="AX107" s="174">
        <f t="shared" si="90"/>
        <v>37</v>
      </c>
      <c r="AY107" s="174">
        <f t="shared" si="90"/>
        <v>38</v>
      </c>
      <c r="AZ107" s="174">
        <f t="shared" si="90"/>
        <v>39</v>
      </c>
      <c r="BA107" s="174">
        <f t="shared" si="90"/>
        <v>40</v>
      </c>
      <c r="BB107" s="174">
        <f t="shared" si="90"/>
        <v>41</v>
      </c>
      <c r="BC107" s="174">
        <f t="shared" si="90"/>
        <v>42</v>
      </c>
      <c r="BD107" s="174">
        <f t="shared" si="90"/>
        <v>43</v>
      </c>
      <c r="BE107" s="174">
        <f t="shared" si="90"/>
        <v>44</v>
      </c>
      <c r="BF107" s="174">
        <f t="shared" si="90"/>
        <v>45</v>
      </c>
      <c r="BG107" s="174">
        <f t="shared" si="90"/>
        <v>46</v>
      </c>
      <c r="BH107" s="174">
        <f t="shared" si="90"/>
        <v>47</v>
      </c>
      <c r="BI107" s="174">
        <f t="shared" si="90"/>
        <v>48</v>
      </c>
      <c r="BJ107" s="174">
        <f t="shared" si="90"/>
        <v>49</v>
      </c>
      <c r="BK107" s="174">
        <f t="shared" si="90"/>
        <v>50</v>
      </c>
      <c r="BL107" s="174">
        <f t="shared" si="90"/>
        <v>51</v>
      </c>
      <c r="BM107" s="174">
        <f t="shared" si="90"/>
        <v>52</v>
      </c>
      <c r="BN107" s="174">
        <f t="shared" si="90"/>
        <v>53</v>
      </c>
      <c r="BO107" s="174">
        <f t="shared" si="90"/>
        <v>54</v>
      </c>
      <c r="BP107" s="174">
        <f t="shared" si="90"/>
        <v>55</v>
      </c>
      <c r="BQ107" s="174">
        <f t="shared" ref="BQ107:CD107" si="91" xml:space="preserve"> BQ$104</f>
        <v>56</v>
      </c>
      <c r="BR107" s="174">
        <f t="shared" si="91"/>
        <v>57</v>
      </c>
      <c r="BS107" s="174">
        <f t="shared" si="91"/>
        <v>58</v>
      </c>
      <c r="BT107" s="174">
        <f t="shared" si="91"/>
        <v>59</v>
      </c>
      <c r="BU107" s="174">
        <f t="shared" si="91"/>
        <v>60</v>
      </c>
      <c r="BV107" s="174">
        <f t="shared" si="91"/>
        <v>60</v>
      </c>
      <c r="BW107" s="174">
        <f t="shared" si="91"/>
        <v>60</v>
      </c>
      <c r="BX107" s="174">
        <f t="shared" si="91"/>
        <v>60</v>
      </c>
      <c r="BY107" s="174">
        <f t="shared" si="91"/>
        <v>60</v>
      </c>
      <c r="BZ107" s="174">
        <f t="shared" si="91"/>
        <v>60</v>
      </c>
      <c r="CA107" s="174">
        <f t="shared" si="91"/>
        <v>60</v>
      </c>
      <c r="CB107" s="174">
        <f t="shared" si="91"/>
        <v>60</v>
      </c>
      <c r="CC107" s="174">
        <f t="shared" si="91"/>
        <v>60</v>
      </c>
      <c r="CD107" s="174">
        <f t="shared" si="91"/>
        <v>60</v>
      </c>
    </row>
    <row r="108" spans="1:131" hidden="1" outlineLevel="2" x14ac:dyDescent="0.35">
      <c r="A108" s="138"/>
      <c r="B108" s="138"/>
      <c r="C108" s="139"/>
      <c r="D108" s="140"/>
      <c r="E108" s="174" t="str">
        <f t="shared" ref="E108:BP108" si="92" xml:space="preserve"> E$87</f>
        <v>Operating period flag</v>
      </c>
      <c r="F108" s="174">
        <f t="shared" si="92"/>
        <v>0</v>
      </c>
      <c r="G108" s="174" t="str">
        <f t="shared" si="92"/>
        <v>flag</v>
      </c>
      <c r="H108" s="174">
        <f t="shared" si="92"/>
        <v>60</v>
      </c>
      <c r="I108" s="174">
        <f t="shared" si="92"/>
        <v>0</v>
      </c>
      <c r="J108" s="174">
        <f t="shared" si="92"/>
        <v>0</v>
      </c>
      <c r="K108" s="174">
        <f t="shared" si="92"/>
        <v>0</v>
      </c>
      <c r="L108" s="174">
        <f t="shared" si="92"/>
        <v>0</v>
      </c>
      <c r="M108" s="174">
        <f t="shared" si="92"/>
        <v>0</v>
      </c>
      <c r="N108" s="174">
        <f t="shared" si="92"/>
        <v>1</v>
      </c>
      <c r="O108" s="174">
        <f t="shared" si="92"/>
        <v>1</v>
      </c>
      <c r="P108" s="174">
        <f t="shared" si="92"/>
        <v>1</v>
      </c>
      <c r="Q108" s="174">
        <f t="shared" si="92"/>
        <v>1</v>
      </c>
      <c r="R108" s="174">
        <f t="shared" si="92"/>
        <v>1</v>
      </c>
      <c r="S108" s="174">
        <f t="shared" si="92"/>
        <v>1</v>
      </c>
      <c r="T108" s="174">
        <f t="shared" si="92"/>
        <v>1</v>
      </c>
      <c r="U108" s="174">
        <f t="shared" si="92"/>
        <v>1</v>
      </c>
      <c r="V108" s="174">
        <f t="shared" si="92"/>
        <v>1</v>
      </c>
      <c r="W108" s="174">
        <f t="shared" si="92"/>
        <v>1</v>
      </c>
      <c r="X108" s="174">
        <f t="shared" si="92"/>
        <v>1</v>
      </c>
      <c r="Y108" s="174">
        <f t="shared" si="92"/>
        <v>1</v>
      </c>
      <c r="Z108" s="174">
        <f t="shared" si="92"/>
        <v>1</v>
      </c>
      <c r="AA108" s="174">
        <f t="shared" si="92"/>
        <v>1</v>
      </c>
      <c r="AB108" s="174">
        <f t="shared" si="92"/>
        <v>1</v>
      </c>
      <c r="AC108" s="174">
        <f t="shared" si="92"/>
        <v>1</v>
      </c>
      <c r="AD108" s="174">
        <f t="shared" si="92"/>
        <v>1</v>
      </c>
      <c r="AE108" s="174">
        <f t="shared" si="92"/>
        <v>1</v>
      </c>
      <c r="AF108" s="174">
        <f t="shared" si="92"/>
        <v>1</v>
      </c>
      <c r="AG108" s="174">
        <f t="shared" si="92"/>
        <v>1</v>
      </c>
      <c r="AH108" s="174">
        <f t="shared" si="92"/>
        <v>1</v>
      </c>
      <c r="AI108" s="174">
        <f t="shared" si="92"/>
        <v>1</v>
      </c>
      <c r="AJ108" s="174">
        <f t="shared" si="92"/>
        <v>1</v>
      </c>
      <c r="AK108" s="174">
        <f t="shared" si="92"/>
        <v>1</v>
      </c>
      <c r="AL108" s="174">
        <f t="shared" si="92"/>
        <v>1</v>
      </c>
      <c r="AM108" s="174">
        <f t="shared" si="92"/>
        <v>1</v>
      </c>
      <c r="AN108" s="174">
        <f t="shared" si="92"/>
        <v>1</v>
      </c>
      <c r="AO108" s="174">
        <f t="shared" si="92"/>
        <v>1</v>
      </c>
      <c r="AP108" s="174">
        <f t="shared" si="92"/>
        <v>1</v>
      </c>
      <c r="AQ108" s="174">
        <f t="shared" si="92"/>
        <v>1</v>
      </c>
      <c r="AR108" s="174">
        <f t="shared" si="92"/>
        <v>1</v>
      </c>
      <c r="AS108" s="174">
        <f t="shared" si="92"/>
        <v>1</v>
      </c>
      <c r="AT108" s="174">
        <f t="shared" si="92"/>
        <v>1</v>
      </c>
      <c r="AU108" s="174">
        <f t="shared" si="92"/>
        <v>1</v>
      </c>
      <c r="AV108" s="174">
        <f t="shared" si="92"/>
        <v>1</v>
      </c>
      <c r="AW108" s="174">
        <f t="shared" si="92"/>
        <v>1</v>
      </c>
      <c r="AX108" s="174">
        <f t="shared" si="92"/>
        <v>1</v>
      </c>
      <c r="AY108" s="174">
        <f t="shared" si="92"/>
        <v>1</v>
      </c>
      <c r="AZ108" s="174">
        <f t="shared" si="92"/>
        <v>1</v>
      </c>
      <c r="BA108" s="174">
        <f t="shared" si="92"/>
        <v>1</v>
      </c>
      <c r="BB108" s="174">
        <f t="shared" si="92"/>
        <v>1</v>
      </c>
      <c r="BC108" s="174">
        <f t="shared" si="92"/>
        <v>1</v>
      </c>
      <c r="BD108" s="174">
        <f t="shared" si="92"/>
        <v>1</v>
      </c>
      <c r="BE108" s="174">
        <f t="shared" si="92"/>
        <v>1</v>
      </c>
      <c r="BF108" s="174">
        <f t="shared" si="92"/>
        <v>1</v>
      </c>
      <c r="BG108" s="174">
        <f t="shared" si="92"/>
        <v>1</v>
      </c>
      <c r="BH108" s="174">
        <f t="shared" si="92"/>
        <v>1</v>
      </c>
      <c r="BI108" s="174">
        <f t="shared" si="92"/>
        <v>1</v>
      </c>
      <c r="BJ108" s="174">
        <f t="shared" si="92"/>
        <v>1</v>
      </c>
      <c r="BK108" s="174">
        <f t="shared" si="92"/>
        <v>1</v>
      </c>
      <c r="BL108" s="174">
        <f t="shared" si="92"/>
        <v>1</v>
      </c>
      <c r="BM108" s="174">
        <f t="shared" si="92"/>
        <v>1</v>
      </c>
      <c r="BN108" s="174">
        <f t="shared" si="92"/>
        <v>1</v>
      </c>
      <c r="BO108" s="174">
        <f t="shared" si="92"/>
        <v>1</v>
      </c>
      <c r="BP108" s="174">
        <f t="shared" si="92"/>
        <v>1</v>
      </c>
      <c r="BQ108" s="174">
        <f t="shared" ref="BQ108:CD108" si="93" xml:space="preserve"> BQ$87</f>
        <v>1</v>
      </c>
      <c r="BR108" s="174">
        <f t="shared" si="93"/>
        <v>1</v>
      </c>
      <c r="BS108" s="174">
        <f t="shared" si="93"/>
        <v>1</v>
      </c>
      <c r="BT108" s="174">
        <f t="shared" si="93"/>
        <v>1</v>
      </c>
      <c r="BU108" s="174">
        <f t="shared" si="93"/>
        <v>1</v>
      </c>
      <c r="BV108" s="174">
        <f t="shared" si="93"/>
        <v>0</v>
      </c>
      <c r="BW108" s="174">
        <f t="shared" si="93"/>
        <v>0</v>
      </c>
      <c r="BX108" s="174">
        <f t="shared" si="93"/>
        <v>0</v>
      </c>
      <c r="BY108" s="174">
        <f t="shared" si="93"/>
        <v>0</v>
      </c>
      <c r="BZ108" s="174">
        <f t="shared" si="93"/>
        <v>0</v>
      </c>
      <c r="CA108" s="174">
        <f t="shared" si="93"/>
        <v>0</v>
      </c>
      <c r="CB108" s="174">
        <f t="shared" si="93"/>
        <v>0</v>
      </c>
      <c r="CC108" s="174">
        <f t="shared" si="93"/>
        <v>0</v>
      </c>
      <c r="CD108" s="174">
        <f t="shared" si="93"/>
        <v>0</v>
      </c>
    </row>
    <row r="109" spans="1:131" s="312" customFormat="1" hidden="1" outlineLevel="2" x14ac:dyDescent="0.35">
      <c r="A109" s="58"/>
      <c r="B109" s="58"/>
      <c r="C109" s="59"/>
      <c r="D109" s="60"/>
      <c r="E109" s="61" t="s">
        <v>131</v>
      </c>
      <c r="F109" s="61"/>
      <c r="G109" s="61" t="s">
        <v>14</v>
      </c>
      <c r="H109" s="61"/>
      <c r="I109" s="61"/>
      <c r="J109" s="61">
        <f t="shared" ref="J109:AO109" si="94" xml:space="preserve"> IF( I109 = $F106, 1, I109 + 1) * J108</f>
        <v>0</v>
      </c>
      <c r="K109" s="61">
        <f t="shared" si="94"/>
        <v>0</v>
      </c>
      <c r="L109" s="61">
        <f t="shared" si="94"/>
        <v>0</v>
      </c>
      <c r="M109" s="61">
        <f t="shared" si="94"/>
        <v>0</v>
      </c>
      <c r="N109" s="61">
        <f t="shared" si="94"/>
        <v>1</v>
      </c>
      <c r="O109" s="61">
        <f t="shared" si="94"/>
        <v>2</v>
      </c>
      <c r="P109" s="61">
        <f t="shared" si="94"/>
        <v>3</v>
      </c>
      <c r="Q109" s="61">
        <f t="shared" si="94"/>
        <v>4</v>
      </c>
      <c r="R109" s="61">
        <f t="shared" si="94"/>
        <v>1</v>
      </c>
      <c r="S109" s="61">
        <f t="shared" si="94"/>
        <v>2</v>
      </c>
      <c r="T109" s="61">
        <f t="shared" si="94"/>
        <v>3</v>
      </c>
      <c r="U109" s="61">
        <f t="shared" si="94"/>
        <v>4</v>
      </c>
      <c r="V109" s="61">
        <f t="shared" si="94"/>
        <v>1</v>
      </c>
      <c r="W109" s="61">
        <f t="shared" si="94"/>
        <v>2</v>
      </c>
      <c r="X109" s="61">
        <f t="shared" si="94"/>
        <v>3</v>
      </c>
      <c r="Y109" s="61">
        <f t="shared" si="94"/>
        <v>4</v>
      </c>
      <c r="Z109" s="61">
        <f t="shared" si="94"/>
        <v>1</v>
      </c>
      <c r="AA109" s="61">
        <f t="shared" si="94"/>
        <v>2</v>
      </c>
      <c r="AB109" s="61">
        <f t="shared" si="94"/>
        <v>3</v>
      </c>
      <c r="AC109" s="61">
        <f t="shared" si="94"/>
        <v>4</v>
      </c>
      <c r="AD109" s="61">
        <f t="shared" si="94"/>
        <v>1</v>
      </c>
      <c r="AE109" s="61">
        <f t="shared" si="94"/>
        <v>2</v>
      </c>
      <c r="AF109" s="61">
        <f t="shared" si="94"/>
        <v>3</v>
      </c>
      <c r="AG109" s="61">
        <f t="shared" si="94"/>
        <v>4</v>
      </c>
      <c r="AH109" s="61">
        <f t="shared" si="94"/>
        <v>1</v>
      </c>
      <c r="AI109" s="61">
        <f t="shared" si="94"/>
        <v>2</v>
      </c>
      <c r="AJ109" s="61">
        <f t="shared" si="94"/>
        <v>3</v>
      </c>
      <c r="AK109" s="61">
        <f t="shared" si="94"/>
        <v>4</v>
      </c>
      <c r="AL109" s="61">
        <f t="shared" si="94"/>
        <v>1</v>
      </c>
      <c r="AM109" s="61">
        <f t="shared" si="94"/>
        <v>2</v>
      </c>
      <c r="AN109" s="61">
        <f t="shared" si="94"/>
        <v>3</v>
      </c>
      <c r="AO109" s="61">
        <f t="shared" si="94"/>
        <v>4</v>
      </c>
      <c r="AP109" s="61">
        <f t="shared" ref="AP109:BU109" si="95" xml:space="preserve"> IF( AO109 = $F106, 1, AO109 + 1) * AP108</f>
        <v>1</v>
      </c>
      <c r="AQ109" s="61">
        <f t="shared" si="95"/>
        <v>2</v>
      </c>
      <c r="AR109" s="61">
        <f t="shared" si="95"/>
        <v>3</v>
      </c>
      <c r="AS109" s="61">
        <f t="shared" si="95"/>
        <v>4</v>
      </c>
      <c r="AT109" s="61">
        <f t="shared" si="95"/>
        <v>1</v>
      </c>
      <c r="AU109" s="61">
        <f t="shared" si="95"/>
        <v>2</v>
      </c>
      <c r="AV109" s="61">
        <f t="shared" si="95"/>
        <v>3</v>
      </c>
      <c r="AW109" s="61">
        <f t="shared" si="95"/>
        <v>4</v>
      </c>
      <c r="AX109" s="61">
        <f t="shared" si="95"/>
        <v>1</v>
      </c>
      <c r="AY109" s="61">
        <f t="shared" si="95"/>
        <v>2</v>
      </c>
      <c r="AZ109" s="61">
        <f t="shared" si="95"/>
        <v>3</v>
      </c>
      <c r="BA109" s="61">
        <f t="shared" si="95"/>
        <v>4</v>
      </c>
      <c r="BB109" s="61">
        <f t="shared" si="95"/>
        <v>1</v>
      </c>
      <c r="BC109" s="61">
        <f t="shared" si="95"/>
        <v>2</v>
      </c>
      <c r="BD109" s="61">
        <f t="shared" si="95"/>
        <v>3</v>
      </c>
      <c r="BE109" s="61">
        <f t="shared" si="95"/>
        <v>4</v>
      </c>
      <c r="BF109" s="61">
        <f t="shared" si="95"/>
        <v>1</v>
      </c>
      <c r="BG109" s="61">
        <f t="shared" si="95"/>
        <v>2</v>
      </c>
      <c r="BH109" s="61">
        <f t="shared" si="95"/>
        <v>3</v>
      </c>
      <c r="BI109" s="61">
        <f t="shared" si="95"/>
        <v>4</v>
      </c>
      <c r="BJ109" s="61">
        <f t="shared" si="95"/>
        <v>1</v>
      </c>
      <c r="BK109" s="61">
        <f t="shared" si="95"/>
        <v>2</v>
      </c>
      <c r="BL109" s="61">
        <f t="shared" si="95"/>
        <v>3</v>
      </c>
      <c r="BM109" s="61">
        <f t="shared" si="95"/>
        <v>4</v>
      </c>
      <c r="BN109" s="61">
        <f t="shared" si="95"/>
        <v>1</v>
      </c>
      <c r="BO109" s="61">
        <f t="shared" si="95"/>
        <v>2</v>
      </c>
      <c r="BP109" s="61">
        <f t="shared" si="95"/>
        <v>3</v>
      </c>
      <c r="BQ109" s="61">
        <f t="shared" si="95"/>
        <v>4</v>
      </c>
      <c r="BR109" s="61">
        <f t="shared" si="95"/>
        <v>1</v>
      </c>
      <c r="BS109" s="61">
        <f t="shared" si="95"/>
        <v>2</v>
      </c>
      <c r="BT109" s="61">
        <f t="shared" si="95"/>
        <v>3</v>
      </c>
      <c r="BU109" s="61">
        <f t="shared" si="95"/>
        <v>4</v>
      </c>
      <c r="BV109" s="61">
        <f t="shared" ref="BV109:CD109" si="96" xml:space="preserve"> IF( BU109 = $F106, 1, BU109 + 1) * BV108</f>
        <v>0</v>
      </c>
      <c r="BW109" s="61">
        <f t="shared" si="96"/>
        <v>0</v>
      </c>
      <c r="BX109" s="61">
        <f t="shared" si="96"/>
        <v>0</v>
      </c>
      <c r="BY109" s="61">
        <f t="shared" si="96"/>
        <v>0</v>
      </c>
      <c r="BZ109" s="61">
        <f t="shared" si="96"/>
        <v>0</v>
      </c>
      <c r="CA109" s="61">
        <f t="shared" si="96"/>
        <v>0</v>
      </c>
      <c r="CB109" s="61">
        <f t="shared" si="96"/>
        <v>0</v>
      </c>
      <c r="CC109" s="61">
        <f t="shared" si="96"/>
        <v>0</v>
      </c>
      <c r="CD109" s="61">
        <f t="shared" si="96"/>
        <v>0</v>
      </c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</row>
    <row r="110" spans="1:131" hidden="1" outlineLevel="1" x14ac:dyDescent="0.35">
      <c r="A110" s="138"/>
      <c r="B110" s="138"/>
      <c r="C110" s="139"/>
      <c r="D110" s="140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  <c r="CC110" s="137"/>
      <c r="CD110" s="137"/>
    </row>
    <row r="111" spans="1:131" hidden="1" outlineLevel="1" x14ac:dyDescent="0.35">
      <c r="A111" s="138"/>
      <c r="B111" s="138" t="s">
        <v>104</v>
      </c>
      <c r="C111" s="139"/>
      <c r="D111" s="140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  <c r="CC111" s="137"/>
      <c r="CD111" s="137"/>
    </row>
    <row r="112" spans="1:131" hidden="1" outlineLevel="2" x14ac:dyDescent="0.35">
      <c r="A112" s="248"/>
      <c r="B112" s="248"/>
      <c r="C112" s="249"/>
      <c r="D112" s="250"/>
      <c r="E112" s="42" t="str">
        <f xml:space="preserve"> InpC!E$69</f>
        <v>Number of periods in a year</v>
      </c>
      <c r="F112" s="42">
        <f xml:space="preserve"> InpC!F$69</f>
        <v>4</v>
      </c>
      <c r="G112" s="42" t="str">
        <f xml:space="preserve"> InpC!G$69</f>
        <v>periods</v>
      </c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</row>
    <row r="113" spans="1:131" hidden="1" outlineLevel="2" x14ac:dyDescent="0.35">
      <c r="A113" s="215"/>
      <c r="B113" s="215"/>
      <c r="C113" s="216"/>
      <c r="D113" s="96"/>
      <c r="E113" s="98" t="str">
        <f t="shared" ref="E113:AJ113" si="97" xml:space="preserve"> E$33</f>
        <v>End of contract year flag</v>
      </c>
      <c r="F113" s="98">
        <f t="shared" si="97"/>
        <v>0</v>
      </c>
      <c r="G113" s="98">
        <f t="shared" si="97"/>
        <v>0</v>
      </c>
      <c r="H113" s="98">
        <f t="shared" si="97"/>
        <v>0</v>
      </c>
      <c r="I113" s="98">
        <f t="shared" si="97"/>
        <v>0</v>
      </c>
      <c r="J113" s="98">
        <f t="shared" si="97"/>
        <v>0</v>
      </c>
      <c r="K113" s="98">
        <f t="shared" si="97"/>
        <v>0</v>
      </c>
      <c r="L113" s="98">
        <f t="shared" si="97"/>
        <v>0</v>
      </c>
      <c r="M113" s="98">
        <f t="shared" si="97"/>
        <v>1</v>
      </c>
      <c r="N113" s="98">
        <f t="shared" si="97"/>
        <v>0</v>
      </c>
      <c r="O113" s="98">
        <f t="shared" si="97"/>
        <v>0</v>
      </c>
      <c r="P113" s="98">
        <f t="shared" si="97"/>
        <v>0</v>
      </c>
      <c r="Q113" s="98">
        <f t="shared" si="97"/>
        <v>0</v>
      </c>
      <c r="R113" s="98">
        <f t="shared" si="97"/>
        <v>0</v>
      </c>
      <c r="S113" s="98">
        <f t="shared" si="97"/>
        <v>0</v>
      </c>
      <c r="T113" s="98">
        <f t="shared" si="97"/>
        <v>0</v>
      </c>
      <c r="U113" s="98">
        <f t="shared" si="97"/>
        <v>0</v>
      </c>
      <c r="V113" s="98">
        <f t="shared" si="97"/>
        <v>0</v>
      </c>
      <c r="W113" s="98">
        <f t="shared" si="97"/>
        <v>0</v>
      </c>
      <c r="X113" s="98">
        <f t="shared" si="97"/>
        <v>0</v>
      </c>
      <c r="Y113" s="98">
        <f t="shared" si="97"/>
        <v>1</v>
      </c>
      <c r="Z113" s="98">
        <f t="shared" si="97"/>
        <v>0</v>
      </c>
      <c r="AA113" s="98">
        <f t="shared" si="97"/>
        <v>0</v>
      </c>
      <c r="AB113" s="98">
        <f t="shared" si="97"/>
        <v>0</v>
      </c>
      <c r="AC113" s="98">
        <f t="shared" si="97"/>
        <v>0</v>
      </c>
      <c r="AD113" s="98">
        <f t="shared" si="97"/>
        <v>0</v>
      </c>
      <c r="AE113" s="98">
        <f t="shared" si="97"/>
        <v>0</v>
      </c>
      <c r="AF113" s="98">
        <f t="shared" si="97"/>
        <v>0</v>
      </c>
      <c r="AG113" s="98">
        <f t="shared" si="97"/>
        <v>0</v>
      </c>
      <c r="AH113" s="98">
        <f t="shared" si="97"/>
        <v>0</v>
      </c>
      <c r="AI113" s="98">
        <f t="shared" si="97"/>
        <v>0</v>
      </c>
      <c r="AJ113" s="98">
        <f t="shared" si="97"/>
        <v>0</v>
      </c>
      <c r="AK113" s="98">
        <f t="shared" ref="AK113:BP113" si="98" xml:space="preserve"> AK$33</f>
        <v>1</v>
      </c>
      <c r="AL113" s="98">
        <f t="shared" si="98"/>
        <v>0</v>
      </c>
      <c r="AM113" s="98">
        <f t="shared" si="98"/>
        <v>0</v>
      </c>
      <c r="AN113" s="98">
        <f t="shared" si="98"/>
        <v>0</v>
      </c>
      <c r="AO113" s="98">
        <f t="shared" si="98"/>
        <v>0</v>
      </c>
      <c r="AP113" s="98">
        <f t="shared" si="98"/>
        <v>0</v>
      </c>
      <c r="AQ113" s="98">
        <f t="shared" si="98"/>
        <v>0</v>
      </c>
      <c r="AR113" s="98">
        <f t="shared" si="98"/>
        <v>0</v>
      </c>
      <c r="AS113" s="98">
        <f t="shared" si="98"/>
        <v>0</v>
      </c>
      <c r="AT113" s="98">
        <f t="shared" si="98"/>
        <v>0</v>
      </c>
      <c r="AU113" s="98">
        <f t="shared" si="98"/>
        <v>0</v>
      </c>
      <c r="AV113" s="98">
        <f t="shared" si="98"/>
        <v>0</v>
      </c>
      <c r="AW113" s="98">
        <f t="shared" si="98"/>
        <v>1</v>
      </c>
      <c r="AX113" s="98">
        <f t="shared" si="98"/>
        <v>0</v>
      </c>
      <c r="AY113" s="98">
        <f t="shared" si="98"/>
        <v>0</v>
      </c>
      <c r="AZ113" s="98">
        <f t="shared" si="98"/>
        <v>0</v>
      </c>
      <c r="BA113" s="98">
        <f t="shared" si="98"/>
        <v>0</v>
      </c>
      <c r="BB113" s="98">
        <f t="shared" si="98"/>
        <v>0</v>
      </c>
      <c r="BC113" s="98">
        <f t="shared" si="98"/>
        <v>0</v>
      </c>
      <c r="BD113" s="98">
        <f t="shared" si="98"/>
        <v>0</v>
      </c>
      <c r="BE113" s="98">
        <f t="shared" si="98"/>
        <v>0</v>
      </c>
      <c r="BF113" s="98">
        <f t="shared" si="98"/>
        <v>0</v>
      </c>
      <c r="BG113" s="98">
        <f t="shared" si="98"/>
        <v>0</v>
      </c>
      <c r="BH113" s="98">
        <f t="shared" si="98"/>
        <v>0</v>
      </c>
      <c r="BI113" s="98">
        <f t="shared" si="98"/>
        <v>1</v>
      </c>
      <c r="BJ113" s="98">
        <f t="shared" si="98"/>
        <v>0</v>
      </c>
      <c r="BK113" s="98">
        <f t="shared" si="98"/>
        <v>0</v>
      </c>
      <c r="BL113" s="98">
        <f t="shared" si="98"/>
        <v>0</v>
      </c>
      <c r="BM113" s="98">
        <f t="shared" si="98"/>
        <v>0</v>
      </c>
      <c r="BN113" s="98">
        <f t="shared" si="98"/>
        <v>0</v>
      </c>
      <c r="BO113" s="98">
        <f t="shared" si="98"/>
        <v>0</v>
      </c>
      <c r="BP113" s="98">
        <f t="shared" si="98"/>
        <v>0</v>
      </c>
      <c r="BQ113" s="98">
        <f t="shared" ref="BQ113:CD113" si="99" xml:space="preserve"> BQ$33</f>
        <v>0</v>
      </c>
      <c r="BR113" s="98">
        <f t="shared" si="99"/>
        <v>0</v>
      </c>
      <c r="BS113" s="98">
        <f t="shared" si="99"/>
        <v>0</v>
      </c>
      <c r="BT113" s="98">
        <f t="shared" si="99"/>
        <v>0</v>
      </c>
      <c r="BU113" s="98">
        <f t="shared" si="99"/>
        <v>1</v>
      </c>
      <c r="BV113" s="98">
        <f t="shared" si="99"/>
        <v>0</v>
      </c>
      <c r="BW113" s="98">
        <f t="shared" si="99"/>
        <v>0</v>
      </c>
      <c r="BX113" s="98">
        <f t="shared" si="99"/>
        <v>0</v>
      </c>
      <c r="BY113" s="98">
        <f t="shared" si="99"/>
        <v>0</v>
      </c>
      <c r="BZ113" s="98">
        <f t="shared" si="99"/>
        <v>0</v>
      </c>
      <c r="CA113" s="98">
        <f t="shared" si="99"/>
        <v>0</v>
      </c>
      <c r="CB113" s="98">
        <f t="shared" si="99"/>
        <v>0</v>
      </c>
      <c r="CC113" s="98">
        <f t="shared" si="99"/>
        <v>0</v>
      </c>
      <c r="CD113" s="98">
        <f t="shared" si="99"/>
        <v>0</v>
      </c>
    </row>
    <row r="114" spans="1:131" hidden="1" outlineLevel="2" x14ac:dyDescent="0.35">
      <c r="A114" s="215"/>
      <c r="B114" s="215"/>
      <c r="C114" s="216"/>
      <c r="D114" s="96"/>
      <c r="E114" s="98" t="str">
        <f t="shared" ref="E114:BP114" si="100" xml:space="preserve"> E$87</f>
        <v>Operating period flag</v>
      </c>
      <c r="F114" s="98">
        <f t="shared" si="100"/>
        <v>0</v>
      </c>
      <c r="G114" s="98" t="str">
        <f t="shared" si="100"/>
        <v>flag</v>
      </c>
      <c r="H114" s="98">
        <f t="shared" si="100"/>
        <v>60</v>
      </c>
      <c r="I114" s="98">
        <f t="shared" si="100"/>
        <v>0</v>
      </c>
      <c r="J114" s="98">
        <f t="shared" si="100"/>
        <v>0</v>
      </c>
      <c r="K114" s="98">
        <f t="shared" si="100"/>
        <v>0</v>
      </c>
      <c r="L114" s="98">
        <f t="shared" si="100"/>
        <v>0</v>
      </c>
      <c r="M114" s="98">
        <f t="shared" si="100"/>
        <v>0</v>
      </c>
      <c r="N114" s="98">
        <f t="shared" si="100"/>
        <v>1</v>
      </c>
      <c r="O114" s="98">
        <f t="shared" si="100"/>
        <v>1</v>
      </c>
      <c r="P114" s="98">
        <f t="shared" si="100"/>
        <v>1</v>
      </c>
      <c r="Q114" s="98">
        <f t="shared" si="100"/>
        <v>1</v>
      </c>
      <c r="R114" s="98">
        <f t="shared" si="100"/>
        <v>1</v>
      </c>
      <c r="S114" s="98">
        <f t="shared" si="100"/>
        <v>1</v>
      </c>
      <c r="T114" s="98">
        <f t="shared" si="100"/>
        <v>1</v>
      </c>
      <c r="U114" s="98">
        <f t="shared" si="100"/>
        <v>1</v>
      </c>
      <c r="V114" s="98">
        <f t="shared" si="100"/>
        <v>1</v>
      </c>
      <c r="W114" s="98">
        <f t="shared" si="100"/>
        <v>1</v>
      </c>
      <c r="X114" s="98">
        <f t="shared" si="100"/>
        <v>1</v>
      </c>
      <c r="Y114" s="98">
        <f t="shared" si="100"/>
        <v>1</v>
      </c>
      <c r="Z114" s="98">
        <f t="shared" si="100"/>
        <v>1</v>
      </c>
      <c r="AA114" s="98">
        <f t="shared" si="100"/>
        <v>1</v>
      </c>
      <c r="AB114" s="98">
        <f t="shared" si="100"/>
        <v>1</v>
      </c>
      <c r="AC114" s="98">
        <f t="shared" si="100"/>
        <v>1</v>
      </c>
      <c r="AD114" s="98">
        <f t="shared" si="100"/>
        <v>1</v>
      </c>
      <c r="AE114" s="98">
        <f t="shared" si="100"/>
        <v>1</v>
      </c>
      <c r="AF114" s="98">
        <f t="shared" si="100"/>
        <v>1</v>
      </c>
      <c r="AG114" s="98">
        <f t="shared" si="100"/>
        <v>1</v>
      </c>
      <c r="AH114" s="98">
        <f t="shared" si="100"/>
        <v>1</v>
      </c>
      <c r="AI114" s="98">
        <f t="shared" si="100"/>
        <v>1</v>
      </c>
      <c r="AJ114" s="98">
        <f t="shared" si="100"/>
        <v>1</v>
      </c>
      <c r="AK114" s="98">
        <f t="shared" si="100"/>
        <v>1</v>
      </c>
      <c r="AL114" s="98">
        <f t="shared" si="100"/>
        <v>1</v>
      </c>
      <c r="AM114" s="98">
        <f t="shared" si="100"/>
        <v>1</v>
      </c>
      <c r="AN114" s="98">
        <f t="shared" si="100"/>
        <v>1</v>
      </c>
      <c r="AO114" s="98">
        <f t="shared" si="100"/>
        <v>1</v>
      </c>
      <c r="AP114" s="98">
        <f t="shared" si="100"/>
        <v>1</v>
      </c>
      <c r="AQ114" s="98">
        <f t="shared" si="100"/>
        <v>1</v>
      </c>
      <c r="AR114" s="98">
        <f t="shared" si="100"/>
        <v>1</v>
      </c>
      <c r="AS114" s="98">
        <f t="shared" si="100"/>
        <v>1</v>
      </c>
      <c r="AT114" s="98">
        <f t="shared" si="100"/>
        <v>1</v>
      </c>
      <c r="AU114" s="98">
        <f t="shared" si="100"/>
        <v>1</v>
      </c>
      <c r="AV114" s="98">
        <f t="shared" si="100"/>
        <v>1</v>
      </c>
      <c r="AW114" s="98">
        <f t="shared" si="100"/>
        <v>1</v>
      </c>
      <c r="AX114" s="98">
        <f t="shared" si="100"/>
        <v>1</v>
      </c>
      <c r="AY114" s="98">
        <f t="shared" si="100"/>
        <v>1</v>
      </c>
      <c r="AZ114" s="98">
        <f t="shared" si="100"/>
        <v>1</v>
      </c>
      <c r="BA114" s="98">
        <f t="shared" si="100"/>
        <v>1</v>
      </c>
      <c r="BB114" s="98">
        <f t="shared" si="100"/>
        <v>1</v>
      </c>
      <c r="BC114" s="98">
        <f t="shared" si="100"/>
        <v>1</v>
      </c>
      <c r="BD114" s="98">
        <f t="shared" si="100"/>
        <v>1</v>
      </c>
      <c r="BE114" s="98">
        <f t="shared" si="100"/>
        <v>1</v>
      </c>
      <c r="BF114" s="98">
        <f t="shared" si="100"/>
        <v>1</v>
      </c>
      <c r="BG114" s="98">
        <f t="shared" si="100"/>
        <v>1</v>
      </c>
      <c r="BH114" s="98">
        <f t="shared" si="100"/>
        <v>1</v>
      </c>
      <c r="BI114" s="98">
        <f t="shared" si="100"/>
        <v>1</v>
      </c>
      <c r="BJ114" s="98">
        <f t="shared" si="100"/>
        <v>1</v>
      </c>
      <c r="BK114" s="98">
        <f t="shared" si="100"/>
        <v>1</v>
      </c>
      <c r="BL114" s="98">
        <f t="shared" si="100"/>
        <v>1</v>
      </c>
      <c r="BM114" s="98">
        <f t="shared" si="100"/>
        <v>1</v>
      </c>
      <c r="BN114" s="98">
        <f t="shared" si="100"/>
        <v>1</v>
      </c>
      <c r="BO114" s="98">
        <f t="shared" si="100"/>
        <v>1</v>
      </c>
      <c r="BP114" s="98">
        <f t="shared" si="100"/>
        <v>1</v>
      </c>
      <c r="BQ114" s="98">
        <f t="shared" ref="BQ114:CD114" si="101" xml:space="preserve"> BQ$87</f>
        <v>1</v>
      </c>
      <c r="BR114" s="98">
        <f t="shared" si="101"/>
        <v>1</v>
      </c>
      <c r="BS114" s="98">
        <f t="shared" si="101"/>
        <v>1</v>
      </c>
      <c r="BT114" s="98">
        <f t="shared" si="101"/>
        <v>1</v>
      </c>
      <c r="BU114" s="98">
        <f t="shared" si="101"/>
        <v>1</v>
      </c>
      <c r="BV114" s="98">
        <f t="shared" si="101"/>
        <v>0</v>
      </c>
      <c r="BW114" s="98">
        <f t="shared" si="101"/>
        <v>0</v>
      </c>
      <c r="BX114" s="98">
        <f t="shared" si="101"/>
        <v>0</v>
      </c>
      <c r="BY114" s="98">
        <f t="shared" si="101"/>
        <v>0</v>
      </c>
      <c r="BZ114" s="98">
        <f t="shared" si="101"/>
        <v>0</v>
      </c>
      <c r="CA114" s="98">
        <f t="shared" si="101"/>
        <v>0</v>
      </c>
      <c r="CB114" s="98">
        <f t="shared" si="101"/>
        <v>0</v>
      </c>
      <c r="CC114" s="98">
        <f t="shared" si="101"/>
        <v>0</v>
      </c>
      <c r="CD114" s="98">
        <f t="shared" si="101"/>
        <v>0</v>
      </c>
    </row>
    <row r="115" spans="1:131" s="312" customFormat="1" hidden="1" outlineLevel="2" x14ac:dyDescent="0.35">
      <c r="A115" s="131"/>
      <c r="B115" s="131"/>
      <c r="C115" s="132"/>
      <c r="D115" s="133"/>
      <c r="E115" s="134" t="s">
        <v>104</v>
      </c>
      <c r="F115" s="134"/>
      <c r="G115" s="134" t="s">
        <v>14</v>
      </c>
      <c r="H115" s="134"/>
      <c r="I115" s="134"/>
      <c r="J115" s="134">
        <f t="shared" ref="J115:AO115" si="102" xml:space="preserve"> (I115 + I113) * J114</f>
        <v>0</v>
      </c>
      <c r="K115" s="134">
        <f t="shared" si="102"/>
        <v>0</v>
      </c>
      <c r="L115" s="134">
        <f t="shared" si="102"/>
        <v>0</v>
      </c>
      <c r="M115" s="134">
        <f t="shared" si="102"/>
        <v>0</v>
      </c>
      <c r="N115" s="134">
        <f t="shared" si="102"/>
        <v>1</v>
      </c>
      <c r="O115" s="134">
        <f t="shared" si="102"/>
        <v>1</v>
      </c>
      <c r="P115" s="134">
        <f t="shared" si="102"/>
        <v>1</v>
      </c>
      <c r="Q115" s="134">
        <f t="shared" si="102"/>
        <v>1</v>
      </c>
      <c r="R115" s="134">
        <f t="shared" si="102"/>
        <v>1</v>
      </c>
      <c r="S115" s="134">
        <f t="shared" si="102"/>
        <v>1</v>
      </c>
      <c r="T115" s="134">
        <f t="shared" si="102"/>
        <v>1</v>
      </c>
      <c r="U115" s="134">
        <f t="shared" si="102"/>
        <v>1</v>
      </c>
      <c r="V115" s="134">
        <f t="shared" si="102"/>
        <v>1</v>
      </c>
      <c r="W115" s="134">
        <f t="shared" si="102"/>
        <v>1</v>
      </c>
      <c r="X115" s="134">
        <f t="shared" si="102"/>
        <v>1</v>
      </c>
      <c r="Y115" s="134">
        <f t="shared" si="102"/>
        <v>1</v>
      </c>
      <c r="Z115" s="134">
        <f t="shared" si="102"/>
        <v>2</v>
      </c>
      <c r="AA115" s="134">
        <f t="shared" si="102"/>
        <v>2</v>
      </c>
      <c r="AB115" s="134">
        <f t="shared" si="102"/>
        <v>2</v>
      </c>
      <c r="AC115" s="134">
        <f t="shared" si="102"/>
        <v>2</v>
      </c>
      <c r="AD115" s="134">
        <f t="shared" si="102"/>
        <v>2</v>
      </c>
      <c r="AE115" s="134">
        <f t="shared" si="102"/>
        <v>2</v>
      </c>
      <c r="AF115" s="134">
        <f t="shared" si="102"/>
        <v>2</v>
      </c>
      <c r="AG115" s="134">
        <f t="shared" si="102"/>
        <v>2</v>
      </c>
      <c r="AH115" s="134">
        <f t="shared" si="102"/>
        <v>2</v>
      </c>
      <c r="AI115" s="134">
        <f t="shared" si="102"/>
        <v>2</v>
      </c>
      <c r="AJ115" s="134">
        <f t="shared" si="102"/>
        <v>2</v>
      </c>
      <c r="AK115" s="134">
        <f t="shared" si="102"/>
        <v>2</v>
      </c>
      <c r="AL115" s="134">
        <f t="shared" si="102"/>
        <v>3</v>
      </c>
      <c r="AM115" s="134">
        <f t="shared" si="102"/>
        <v>3</v>
      </c>
      <c r="AN115" s="134">
        <f t="shared" si="102"/>
        <v>3</v>
      </c>
      <c r="AO115" s="134">
        <f t="shared" si="102"/>
        <v>3</v>
      </c>
      <c r="AP115" s="134">
        <f t="shared" ref="AP115:BU115" si="103" xml:space="preserve"> (AO115 + AO113) * AP114</f>
        <v>3</v>
      </c>
      <c r="AQ115" s="134">
        <f t="shared" si="103"/>
        <v>3</v>
      </c>
      <c r="AR115" s="134">
        <f t="shared" si="103"/>
        <v>3</v>
      </c>
      <c r="AS115" s="134">
        <f t="shared" si="103"/>
        <v>3</v>
      </c>
      <c r="AT115" s="134">
        <f t="shared" si="103"/>
        <v>3</v>
      </c>
      <c r="AU115" s="134">
        <f t="shared" si="103"/>
        <v>3</v>
      </c>
      <c r="AV115" s="134">
        <f t="shared" si="103"/>
        <v>3</v>
      </c>
      <c r="AW115" s="134">
        <f t="shared" si="103"/>
        <v>3</v>
      </c>
      <c r="AX115" s="134">
        <f t="shared" si="103"/>
        <v>4</v>
      </c>
      <c r="AY115" s="134">
        <f t="shared" si="103"/>
        <v>4</v>
      </c>
      <c r="AZ115" s="134">
        <f t="shared" si="103"/>
        <v>4</v>
      </c>
      <c r="BA115" s="134">
        <f t="shared" si="103"/>
        <v>4</v>
      </c>
      <c r="BB115" s="134">
        <f t="shared" si="103"/>
        <v>4</v>
      </c>
      <c r="BC115" s="134">
        <f t="shared" si="103"/>
        <v>4</v>
      </c>
      <c r="BD115" s="134">
        <f t="shared" si="103"/>
        <v>4</v>
      </c>
      <c r="BE115" s="134">
        <f t="shared" si="103"/>
        <v>4</v>
      </c>
      <c r="BF115" s="134">
        <f t="shared" si="103"/>
        <v>4</v>
      </c>
      <c r="BG115" s="134">
        <f t="shared" si="103"/>
        <v>4</v>
      </c>
      <c r="BH115" s="134">
        <f t="shared" si="103"/>
        <v>4</v>
      </c>
      <c r="BI115" s="134">
        <f t="shared" si="103"/>
        <v>4</v>
      </c>
      <c r="BJ115" s="134">
        <f t="shared" si="103"/>
        <v>5</v>
      </c>
      <c r="BK115" s="134">
        <f t="shared" si="103"/>
        <v>5</v>
      </c>
      <c r="BL115" s="134">
        <f t="shared" si="103"/>
        <v>5</v>
      </c>
      <c r="BM115" s="134">
        <f t="shared" si="103"/>
        <v>5</v>
      </c>
      <c r="BN115" s="134">
        <f t="shared" si="103"/>
        <v>5</v>
      </c>
      <c r="BO115" s="134">
        <f t="shared" si="103"/>
        <v>5</v>
      </c>
      <c r="BP115" s="134">
        <f t="shared" si="103"/>
        <v>5</v>
      </c>
      <c r="BQ115" s="134">
        <f t="shared" si="103"/>
        <v>5</v>
      </c>
      <c r="BR115" s="134">
        <f t="shared" si="103"/>
        <v>5</v>
      </c>
      <c r="BS115" s="134">
        <f t="shared" si="103"/>
        <v>5</v>
      </c>
      <c r="BT115" s="134">
        <f t="shared" si="103"/>
        <v>5</v>
      </c>
      <c r="BU115" s="134">
        <f t="shared" si="103"/>
        <v>5</v>
      </c>
      <c r="BV115" s="134">
        <f t="shared" ref="BV115:CD115" si="104" xml:space="preserve"> (BU115 + BU113) * BV114</f>
        <v>0</v>
      </c>
      <c r="BW115" s="134">
        <f t="shared" si="104"/>
        <v>0</v>
      </c>
      <c r="BX115" s="134">
        <f t="shared" si="104"/>
        <v>0</v>
      </c>
      <c r="BY115" s="134">
        <f t="shared" si="104"/>
        <v>0</v>
      </c>
      <c r="BZ115" s="134">
        <f t="shared" si="104"/>
        <v>0</v>
      </c>
      <c r="CA115" s="134">
        <f t="shared" si="104"/>
        <v>0</v>
      </c>
      <c r="CB115" s="134">
        <f t="shared" si="104"/>
        <v>0</v>
      </c>
      <c r="CC115" s="134">
        <f t="shared" si="104"/>
        <v>0</v>
      </c>
      <c r="CD115" s="134">
        <f t="shared" si="104"/>
        <v>0</v>
      </c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</row>
    <row r="116" spans="1:131" hidden="1" outlineLevel="2" x14ac:dyDescent="0.35">
      <c r="A116" s="177"/>
      <c r="B116" s="138"/>
      <c r="C116" s="178"/>
      <c r="D116" s="179"/>
      <c r="E116" s="180"/>
      <c r="F116" s="180"/>
      <c r="G116" s="180"/>
      <c r="H116" s="180"/>
      <c r="I116" s="270"/>
      <c r="J116" s="136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180"/>
      <c r="BA116" s="180"/>
      <c r="BB116" s="180"/>
      <c r="BC116" s="180"/>
      <c r="BD116" s="180"/>
      <c r="BE116" s="180"/>
      <c r="BF116" s="180"/>
      <c r="BG116" s="180"/>
      <c r="BH116" s="180"/>
      <c r="BI116" s="180"/>
      <c r="BJ116" s="180"/>
      <c r="BK116" s="180"/>
      <c r="BL116" s="180"/>
      <c r="BM116" s="180"/>
      <c r="BN116" s="180"/>
      <c r="BO116" s="180"/>
      <c r="BP116" s="180"/>
      <c r="BQ116" s="180"/>
      <c r="BR116" s="180"/>
      <c r="BS116" s="180"/>
      <c r="BT116" s="180"/>
      <c r="BU116" s="180"/>
      <c r="BV116" s="180"/>
      <c r="BW116" s="180"/>
      <c r="BX116" s="180"/>
      <c r="BY116" s="180"/>
      <c r="BZ116" s="180"/>
      <c r="CA116" s="180"/>
      <c r="CB116" s="180"/>
      <c r="CC116" s="180"/>
      <c r="CD116" s="180"/>
    </row>
    <row r="117" spans="1:131" x14ac:dyDescent="0.35">
      <c r="A117" s="138"/>
      <c r="B117" s="138"/>
      <c r="C117" s="139"/>
      <c r="D117" s="140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  <c r="CC117" s="137"/>
      <c r="CD117" s="137"/>
    </row>
    <row r="118" spans="1:131" collapsed="1" x14ac:dyDescent="0.35">
      <c r="A118" s="138" t="s">
        <v>172</v>
      </c>
      <c r="B118" s="138"/>
      <c r="C118" s="139"/>
      <c r="D118" s="140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  <c r="CC118" s="137"/>
      <c r="CD118" s="137"/>
    </row>
    <row r="119" spans="1:131" hidden="1" outlineLevel="1" x14ac:dyDescent="0.35">
      <c r="A119" s="138"/>
      <c r="B119" s="138"/>
      <c r="C119" s="139"/>
      <c r="D119" s="140"/>
      <c r="E119" s="346" t="str">
        <f t="shared" ref="E119:AJ119" si="105" xml:space="preserve"> E$20</f>
        <v>Model period beginning</v>
      </c>
      <c r="F119" s="346">
        <f t="shared" si="105"/>
        <v>0</v>
      </c>
      <c r="G119" s="346" t="str">
        <f t="shared" si="105"/>
        <v>date</v>
      </c>
      <c r="H119" s="346">
        <f t="shared" si="105"/>
        <v>0</v>
      </c>
      <c r="I119" s="346">
        <f t="shared" si="105"/>
        <v>0</v>
      </c>
      <c r="J119" s="346">
        <f t="shared" si="105"/>
        <v>44166</v>
      </c>
      <c r="K119" s="346">
        <f t="shared" si="105"/>
        <v>44197</v>
      </c>
      <c r="L119" s="346">
        <f t="shared" si="105"/>
        <v>44228</v>
      </c>
      <c r="M119" s="346">
        <f t="shared" si="105"/>
        <v>44256</v>
      </c>
      <c r="N119" s="346">
        <f t="shared" si="105"/>
        <v>44287</v>
      </c>
      <c r="O119" s="346">
        <f t="shared" si="105"/>
        <v>44317</v>
      </c>
      <c r="P119" s="346">
        <f t="shared" si="105"/>
        <v>44348</v>
      </c>
      <c r="Q119" s="346">
        <f t="shared" si="105"/>
        <v>44378</v>
      </c>
      <c r="R119" s="346">
        <f t="shared" si="105"/>
        <v>44409</v>
      </c>
      <c r="S119" s="346">
        <f t="shared" si="105"/>
        <v>44440</v>
      </c>
      <c r="T119" s="346">
        <f t="shared" si="105"/>
        <v>44470</v>
      </c>
      <c r="U119" s="346">
        <f t="shared" si="105"/>
        <v>44501</v>
      </c>
      <c r="V119" s="346">
        <f t="shared" si="105"/>
        <v>44531</v>
      </c>
      <c r="W119" s="346">
        <f t="shared" si="105"/>
        <v>44562</v>
      </c>
      <c r="X119" s="346">
        <f t="shared" si="105"/>
        <v>44593</v>
      </c>
      <c r="Y119" s="346">
        <f t="shared" si="105"/>
        <v>44621</v>
      </c>
      <c r="Z119" s="346">
        <f t="shared" si="105"/>
        <v>44652</v>
      </c>
      <c r="AA119" s="346">
        <f t="shared" si="105"/>
        <v>44682</v>
      </c>
      <c r="AB119" s="346">
        <f t="shared" si="105"/>
        <v>44713</v>
      </c>
      <c r="AC119" s="346">
        <f t="shared" si="105"/>
        <v>44743</v>
      </c>
      <c r="AD119" s="346">
        <f t="shared" si="105"/>
        <v>44774</v>
      </c>
      <c r="AE119" s="346">
        <f t="shared" si="105"/>
        <v>44805</v>
      </c>
      <c r="AF119" s="346">
        <f t="shared" si="105"/>
        <v>44835</v>
      </c>
      <c r="AG119" s="346">
        <f t="shared" si="105"/>
        <v>44866</v>
      </c>
      <c r="AH119" s="346">
        <f t="shared" si="105"/>
        <v>44896</v>
      </c>
      <c r="AI119" s="346">
        <f t="shared" si="105"/>
        <v>44927</v>
      </c>
      <c r="AJ119" s="346">
        <f t="shared" si="105"/>
        <v>44958</v>
      </c>
      <c r="AK119" s="346">
        <f t="shared" ref="AK119:BP119" si="106" xml:space="preserve"> AK$20</f>
        <v>44986</v>
      </c>
      <c r="AL119" s="346">
        <f t="shared" si="106"/>
        <v>45017</v>
      </c>
      <c r="AM119" s="346">
        <f t="shared" si="106"/>
        <v>45047</v>
      </c>
      <c r="AN119" s="346">
        <f t="shared" si="106"/>
        <v>45078</v>
      </c>
      <c r="AO119" s="346">
        <f t="shared" si="106"/>
        <v>45108</v>
      </c>
      <c r="AP119" s="346">
        <f t="shared" si="106"/>
        <v>45139</v>
      </c>
      <c r="AQ119" s="346">
        <f t="shared" si="106"/>
        <v>45170</v>
      </c>
      <c r="AR119" s="346">
        <f t="shared" si="106"/>
        <v>45200</v>
      </c>
      <c r="AS119" s="346">
        <f t="shared" si="106"/>
        <v>45231</v>
      </c>
      <c r="AT119" s="346">
        <f t="shared" si="106"/>
        <v>45261</v>
      </c>
      <c r="AU119" s="346">
        <f t="shared" si="106"/>
        <v>45292</v>
      </c>
      <c r="AV119" s="346">
        <f t="shared" si="106"/>
        <v>45323</v>
      </c>
      <c r="AW119" s="346">
        <f t="shared" si="106"/>
        <v>45352</v>
      </c>
      <c r="AX119" s="346">
        <f t="shared" si="106"/>
        <v>45383</v>
      </c>
      <c r="AY119" s="346">
        <f t="shared" si="106"/>
        <v>45413</v>
      </c>
      <c r="AZ119" s="346">
        <f t="shared" si="106"/>
        <v>45444</v>
      </c>
      <c r="BA119" s="346">
        <f t="shared" si="106"/>
        <v>45474</v>
      </c>
      <c r="BB119" s="346">
        <f t="shared" si="106"/>
        <v>45505</v>
      </c>
      <c r="BC119" s="346">
        <f t="shared" si="106"/>
        <v>45536</v>
      </c>
      <c r="BD119" s="346">
        <f t="shared" si="106"/>
        <v>45566</v>
      </c>
      <c r="BE119" s="346">
        <f t="shared" si="106"/>
        <v>45597</v>
      </c>
      <c r="BF119" s="346">
        <f t="shared" si="106"/>
        <v>45627</v>
      </c>
      <c r="BG119" s="346">
        <f t="shared" si="106"/>
        <v>45658</v>
      </c>
      <c r="BH119" s="346">
        <f t="shared" si="106"/>
        <v>45689</v>
      </c>
      <c r="BI119" s="346">
        <f t="shared" si="106"/>
        <v>45717</v>
      </c>
      <c r="BJ119" s="346">
        <f t="shared" si="106"/>
        <v>45748</v>
      </c>
      <c r="BK119" s="346">
        <f t="shared" si="106"/>
        <v>45778</v>
      </c>
      <c r="BL119" s="346">
        <f t="shared" si="106"/>
        <v>45809</v>
      </c>
      <c r="BM119" s="346">
        <f t="shared" si="106"/>
        <v>45839</v>
      </c>
      <c r="BN119" s="346">
        <f t="shared" si="106"/>
        <v>45870</v>
      </c>
      <c r="BO119" s="346">
        <f t="shared" si="106"/>
        <v>45901</v>
      </c>
      <c r="BP119" s="346">
        <f t="shared" si="106"/>
        <v>45931</v>
      </c>
      <c r="BQ119" s="346">
        <f t="shared" ref="BQ119:CD119" si="107" xml:space="preserve"> BQ$20</f>
        <v>45962</v>
      </c>
      <c r="BR119" s="346">
        <f t="shared" si="107"/>
        <v>45992</v>
      </c>
      <c r="BS119" s="346">
        <f t="shared" si="107"/>
        <v>46023</v>
      </c>
      <c r="BT119" s="346">
        <f t="shared" si="107"/>
        <v>46054</v>
      </c>
      <c r="BU119" s="346">
        <f t="shared" si="107"/>
        <v>46082</v>
      </c>
      <c r="BV119" s="346">
        <f t="shared" si="107"/>
        <v>46113</v>
      </c>
      <c r="BW119" s="346">
        <f t="shared" si="107"/>
        <v>46143</v>
      </c>
      <c r="BX119" s="346">
        <f t="shared" si="107"/>
        <v>46174</v>
      </c>
      <c r="BY119" s="346">
        <f t="shared" si="107"/>
        <v>46204</v>
      </c>
      <c r="BZ119" s="346">
        <f t="shared" si="107"/>
        <v>46235</v>
      </c>
      <c r="CA119" s="346">
        <f t="shared" si="107"/>
        <v>46266</v>
      </c>
      <c r="CB119" s="346">
        <f t="shared" si="107"/>
        <v>46296</v>
      </c>
      <c r="CC119" s="346">
        <f t="shared" si="107"/>
        <v>46327</v>
      </c>
      <c r="CD119" s="346">
        <f t="shared" si="107"/>
        <v>46357</v>
      </c>
    </row>
    <row r="120" spans="1:131" hidden="1" outlineLevel="1" x14ac:dyDescent="0.35">
      <c r="A120" s="177"/>
      <c r="B120" s="138"/>
      <c r="C120" s="178"/>
      <c r="D120" s="179"/>
      <c r="E120" s="272" t="str">
        <f t="shared" ref="E120:BP120" si="108" xml:space="preserve"> E$25</f>
        <v>Model period ending</v>
      </c>
      <c r="F120" s="272">
        <f t="shared" si="108"/>
        <v>0</v>
      </c>
      <c r="G120" s="272" t="str">
        <f t="shared" si="108"/>
        <v>date</v>
      </c>
      <c r="H120" s="272">
        <f t="shared" si="108"/>
        <v>0</v>
      </c>
      <c r="I120" s="273">
        <f t="shared" si="108"/>
        <v>0</v>
      </c>
      <c r="J120" s="272">
        <f t="shared" si="108"/>
        <v>44196</v>
      </c>
      <c r="K120" s="272">
        <f t="shared" si="108"/>
        <v>44227</v>
      </c>
      <c r="L120" s="272">
        <f t="shared" si="108"/>
        <v>44255</v>
      </c>
      <c r="M120" s="272">
        <f t="shared" si="108"/>
        <v>44286</v>
      </c>
      <c r="N120" s="272">
        <f t="shared" si="108"/>
        <v>44316</v>
      </c>
      <c r="O120" s="272">
        <f t="shared" si="108"/>
        <v>44347</v>
      </c>
      <c r="P120" s="272">
        <f t="shared" si="108"/>
        <v>44377</v>
      </c>
      <c r="Q120" s="272">
        <f t="shared" si="108"/>
        <v>44408</v>
      </c>
      <c r="R120" s="272">
        <f t="shared" si="108"/>
        <v>44439</v>
      </c>
      <c r="S120" s="272">
        <f t="shared" si="108"/>
        <v>44469</v>
      </c>
      <c r="T120" s="272">
        <f t="shared" si="108"/>
        <v>44500</v>
      </c>
      <c r="U120" s="272">
        <f t="shared" si="108"/>
        <v>44530</v>
      </c>
      <c r="V120" s="272">
        <f t="shared" si="108"/>
        <v>44561</v>
      </c>
      <c r="W120" s="272">
        <f t="shared" si="108"/>
        <v>44592</v>
      </c>
      <c r="X120" s="272">
        <f t="shared" si="108"/>
        <v>44620</v>
      </c>
      <c r="Y120" s="272">
        <f t="shared" si="108"/>
        <v>44651</v>
      </c>
      <c r="Z120" s="272">
        <f t="shared" si="108"/>
        <v>44681</v>
      </c>
      <c r="AA120" s="272">
        <f t="shared" si="108"/>
        <v>44712</v>
      </c>
      <c r="AB120" s="272">
        <f t="shared" si="108"/>
        <v>44742</v>
      </c>
      <c r="AC120" s="272">
        <f t="shared" si="108"/>
        <v>44773</v>
      </c>
      <c r="AD120" s="272">
        <f t="shared" si="108"/>
        <v>44804</v>
      </c>
      <c r="AE120" s="272">
        <f t="shared" si="108"/>
        <v>44834</v>
      </c>
      <c r="AF120" s="272">
        <f t="shared" si="108"/>
        <v>44865</v>
      </c>
      <c r="AG120" s="272">
        <f t="shared" si="108"/>
        <v>44895</v>
      </c>
      <c r="AH120" s="272">
        <f t="shared" si="108"/>
        <v>44926</v>
      </c>
      <c r="AI120" s="272">
        <f t="shared" si="108"/>
        <v>44957</v>
      </c>
      <c r="AJ120" s="272">
        <f t="shared" si="108"/>
        <v>44985</v>
      </c>
      <c r="AK120" s="272">
        <f t="shared" si="108"/>
        <v>45016</v>
      </c>
      <c r="AL120" s="272">
        <f t="shared" si="108"/>
        <v>45046</v>
      </c>
      <c r="AM120" s="272">
        <f t="shared" si="108"/>
        <v>45077</v>
      </c>
      <c r="AN120" s="272">
        <f t="shared" si="108"/>
        <v>45107</v>
      </c>
      <c r="AO120" s="272">
        <f t="shared" si="108"/>
        <v>45138</v>
      </c>
      <c r="AP120" s="272">
        <f t="shared" si="108"/>
        <v>45169</v>
      </c>
      <c r="AQ120" s="272">
        <f t="shared" si="108"/>
        <v>45199</v>
      </c>
      <c r="AR120" s="272">
        <f t="shared" si="108"/>
        <v>45230</v>
      </c>
      <c r="AS120" s="272">
        <f t="shared" si="108"/>
        <v>45260</v>
      </c>
      <c r="AT120" s="272">
        <f t="shared" si="108"/>
        <v>45291</v>
      </c>
      <c r="AU120" s="272">
        <f t="shared" si="108"/>
        <v>45322</v>
      </c>
      <c r="AV120" s="272">
        <f t="shared" si="108"/>
        <v>45351</v>
      </c>
      <c r="AW120" s="272">
        <f t="shared" si="108"/>
        <v>45382</v>
      </c>
      <c r="AX120" s="272">
        <f t="shared" si="108"/>
        <v>45412</v>
      </c>
      <c r="AY120" s="272">
        <f t="shared" si="108"/>
        <v>45443</v>
      </c>
      <c r="AZ120" s="272">
        <f t="shared" si="108"/>
        <v>45473</v>
      </c>
      <c r="BA120" s="272">
        <f t="shared" si="108"/>
        <v>45504</v>
      </c>
      <c r="BB120" s="272">
        <f t="shared" si="108"/>
        <v>45535</v>
      </c>
      <c r="BC120" s="272">
        <f t="shared" si="108"/>
        <v>45565</v>
      </c>
      <c r="BD120" s="272">
        <f t="shared" si="108"/>
        <v>45596</v>
      </c>
      <c r="BE120" s="272">
        <f t="shared" si="108"/>
        <v>45626</v>
      </c>
      <c r="BF120" s="272">
        <f t="shared" si="108"/>
        <v>45657</v>
      </c>
      <c r="BG120" s="272">
        <f t="shared" si="108"/>
        <v>45688</v>
      </c>
      <c r="BH120" s="272">
        <f t="shared" si="108"/>
        <v>45716</v>
      </c>
      <c r="BI120" s="272">
        <f t="shared" si="108"/>
        <v>45747</v>
      </c>
      <c r="BJ120" s="272">
        <f t="shared" si="108"/>
        <v>45777</v>
      </c>
      <c r="BK120" s="272">
        <f t="shared" si="108"/>
        <v>45808</v>
      </c>
      <c r="BL120" s="272">
        <f t="shared" si="108"/>
        <v>45838</v>
      </c>
      <c r="BM120" s="272">
        <f t="shared" si="108"/>
        <v>45869</v>
      </c>
      <c r="BN120" s="272">
        <f t="shared" si="108"/>
        <v>45900</v>
      </c>
      <c r="BO120" s="272">
        <f t="shared" si="108"/>
        <v>45930</v>
      </c>
      <c r="BP120" s="272">
        <f t="shared" si="108"/>
        <v>45961</v>
      </c>
      <c r="BQ120" s="272">
        <f t="shared" ref="BQ120:CD120" si="109" xml:space="preserve"> BQ$25</f>
        <v>45991</v>
      </c>
      <c r="BR120" s="272">
        <f t="shared" si="109"/>
        <v>46022</v>
      </c>
      <c r="BS120" s="272">
        <f t="shared" si="109"/>
        <v>46053</v>
      </c>
      <c r="BT120" s="272">
        <f t="shared" si="109"/>
        <v>46081</v>
      </c>
      <c r="BU120" s="272">
        <f t="shared" si="109"/>
        <v>46112</v>
      </c>
      <c r="BV120" s="272">
        <f t="shared" si="109"/>
        <v>46142</v>
      </c>
      <c r="BW120" s="272">
        <f t="shared" si="109"/>
        <v>46173</v>
      </c>
      <c r="BX120" s="272">
        <f t="shared" si="109"/>
        <v>46203</v>
      </c>
      <c r="BY120" s="272">
        <f t="shared" si="109"/>
        <v>46234</v>
      </c>
      <c r="BZ120" s="272">
        <f t="shared" si="109"/>
        <v>46265</v>
      </c>
      <c r="CA120" s="272">
        <f t="shared" si="109"/>
        <v>46295</v>
      </c>
      <c r="CB120" s="272">
        <f t="shared" si="109"/>
        <v>46326</v>
      </c>
      <c r="CC120" s="272">
        <f t="shared" si="109"/>
        <v>46356</v>
      </c>
      <c r="CD120" s="272">
        <f t="shared" si="109"/>
        <v>46387</v>
      </c>
    </row>
    <row r="121" spans="1:131" s="129" customFormat="1" hidden="1" outlineLevel="1" x14ac:dyDescent="0.35">
      <c r="A121" s="58"/>
      <c r="B121" s="58"/>
      <c r="C121" s="59"/>
      <c r="D121" s="60"/>
      <c r="E121" s="94" t="s">
        <v>173</v>
      </c>
      <c r="F121" s="94"/>
      <c r="G121" s="94" t="s">
        <v>168</v>
      </c>
      <c r="H121" s="94"/>
      <c r="I121" s="61"/>
      <c r="J121" s="94">
        <f t="shared" ref="J121:AO121" si="110" xml:space="preserve"> J120 - J119 + 1</f>
        <v>31</v>
      </c>
      <c r="K121" s="94">
        <f t="shared" si="110"/>
        <v>31</v>
      </c>
      <c r="L121" s="94">
        <f t="shared" si="110"/>
        <v>28</v>
      </c>
      <c r="M121" s="94">
        <f t="shared" si="110"/>
        <v>31</v>
      </c>
      <c r="N121" s="94">
        <f t="shared" si="110"/>
        <v>30</v>
      </c>
      <c r="O121" s="94">
        <f t="shared" si="110"/>
        <v>31</v>
      </c>
      <c r="P121" s="94">
        <f t="shared" si="110"/>
        <v>30</v>
      </c>
      <c r="Q121" s="94">
        <f t="shared" si="110"/>
        <v>31</v>
      </c>
      <c r="R121" s="94">
        <f t="shared" si="110"/>
        <v>31</v>
      </c>
      <c r="S121" s="94">
        <f t="shared" si="110"/>
        <v>30</v>
      </c>
      <c r="T121" s="94">
        <f t="shared" si="110"/>
        <v>31</v>
      </c>
      <c r="U121" s="94">
        <f t="shared" si="110"/>
        <v>30</v>
      </c>
      <c r="V121" s="94">
        <f t="shared" si="110"/>
        <v>31</v>
      </c>
      <c r="W121" s="94">
        <f t="shared" si="110"/>
        <v>31</v>
      </c>
      <c r="X121" s="94">
        <f t="shared" si="110"/>
        <v>28</v>
      </c>
      <c r="Y121" s="94">
        <f t="shared" si="110"/>
        <v>31</v>
      </c>
      <c r="Z121" s="94">
        <f t="shared" si="110"/>
        <v>30</v>
      </c>
      <c r="AA121" s="94">
        <f t="shared" si="110"/>
        <v>31</v>
      </c>
      <c r="AB121" s="94">
        <f t="shared" si="110"/>
        <v>30</v>
      </c>
      <c r="AC121" s="94">
        <f t="shared" si="110"/>
        <v>31</v>
      </c>
      <c r="AD121" s="94">
        <f t="shared" si="110"/>
        <v>31</v>
      </c>
      <c r="AE121" s="94">
        <f t="shared" si="110"/>
        <v>30</v>
      </c>
      <c r="AF121" s="94">
        <f t="shared" si="110"/>
        <v>31</v>
      </c>
      <c r="AG121" s="94">
        <f t="shared" si="110"/>
        <v>30</v>
      </c>
      <c r="AH121" s="94">
        <f t="shared" si="110"/>
        <v>31</v>
      </c>
      <c r="AI121" s="94">
        <f t="shared" si="110"/>
        <v>31</v>
      </c>
      <c r="AJ121" s="94">
        <f t="shared" si="110"/>
        <v>28</v>
      </c>
      <c r="AK121" s="94">
        <f t="shared" si="110"/>
        <v>31</v>
      </c>
      <c r="AL121" s="94">
        <f t="shared" si="110"/>
        <v>30</v>
      </c>
      <c r="AM121" s="94">
        <f t="shared" si="110"/>
        <v>31</v>
      </c>
      <c r="AN121" s="94">
        <f t="shared" si="110"/>
        <v>30</v>
      </c>
      <c r="AO121" s="94">
        <f t="shared" si="110"/>
        <v>31</v>
      </c>
      <c r="AP121" s="94">
        <f t="shared" ref="AP121:BU121" si="111" xml:space="preserve"> AP120 - AP119 + 1</f>
        <v>31</v>
      </c>
      <c r="AQ121" s="94">
        <f t="shared" si="111"/>
        <v>30</v>
      </c>
      <c r="AR121" s="94">
        <f t="shared" si="111"/>
        <v>31</v>
      </c>
      <c r="AS121" s="94">
        <f t="shared" si="111"/>
        <v>30</v>
      </c>
      <c r="AT121" s="94">
        <f t="shared" si="111"/>
        <v>31</v>
      </c>
      <c r="AU121" s="94">
        <f t="shared" si="111"/>
        <v>31</v>
      </c>
      <c r="AV121" s="94">
        <f t="shared" si="111"/>
        <v>29</v>
      </c>
      <c r="AW121" s="94">
        <f t="shared" si="111"/>
        <v>31</v>
      </c>
      <c r="AX121" s="94">
        <f t="shared" si="111"/>
        <v>30</v>
      </c>
      <c r="AY121" s="94">
        <f t="shared" si="111"/>
        <v>31</v>
      </c>
      <c r="AZ121" s="94">
        <f t="shared" si="111"/>
        <v>30</v>
      </c>
      <c r="BA121" s="94">
        <f t="shared" si="111"/>
        <v>31</v>
      </c>
      <c r="BB121" s="94">
        <f t="shared" si="111"/>
        <v>31</v>
      </c>
      <c r="BC121" s="94">
        <f t="shared" si="111"/>
        <v>30</v>
      </c>
      <c r="BD121" s="94">
        <f t="shared" si="111"/>
        <v>31</v>
      </c>
      <c r="BE121" s="94">
        <f t="shared" si="111"/>
        <v>30</v>
      </c>
      <c r="BF121" s="94">
        <f t="shared" si="111"/>
        <v>31</v>
      </c>
      <c r="BG121" s="94">
        <f t="shared" si="111"/>
        <v>31</v>
      </c>
      <c r="BH121" s="94">
        <f t="shared" si="111"/>
        <v>28</v>
      </c>
      <c r="BI121" s="94">
        <f t="shared" si="111"/>
        <v>31</v>
      </c>
      <c r="BJ121" s="94">
        <f t="shared" si="111"/>
        <v>30</v>
      </c>
      <c r="BK121" s="94">
        <f t="shared" si="111"/>
        <v>31</v>
      </c>
      <c r="BL121" s="94">
        <f t="shared" si="111"/>
        <v>30</v>
      </c>
      <c r="BM121" s="94">
        <f t="shared" si="111"/>
        <v>31</v>
      </c>
      <c r="BN121" s="94">
        <f t="shared" si="111"/>
        <v>31</v>
      </c>
      <c r="BO121" s="94">
        <f t="shared" si="111"/>
        <v>30</v>
      </c>
      <c r="BP121" s="94">
        <f t="shared" si="111"/>
        <v>31</v>
      </c>
      <c r="BQ121" s="94">
        <f t="shared" si="111"/>
        <v>30</v>
      </c>
      <c r="BR121" s="94">
        <f t="shared" si="111"/>
        <v>31</v>
      </c>
      <c r="BS121" s="94">
        <f t="shared" si="111"/>
        <v>31</v>
      </c>
      <c r="BT121" s="94">
        <f t="shared" si="111"/>
        <v>28</v>
      </c>
      <c r="BU121" s="94">
        <f t="shared" si="111"/>
        <v>31</v>
      </c>
      <c r="BV121" s="94">
        <f t="shared" ref="BV121:CD121" si="112" xml:space="preserve"> BV120 - BV119 + 1</f>
        <v>30</v>
      </c>
      <c r="BW121" s="94">
        <f t="shared" si="112"/>
        <v>31</v>
      </c>
      <c r="BX121" s="94">
        <f t="shared" si="112"/>
        <v>30</v>
      </c>
      <c r="BY121" s="94">
        <f t="shared" si="112"/>
        <v>31</v>
      </c>
      <c r="BZ121" s="94">
        <f t="shared" si="112"/>
        <v>31</v>
      </c>
      <c r="CA121" s="94">
        <f t="shared" si="112"/>
        <v>30</v>
      </c>
      <c r="CB121" s="94">
        <f t="shared" si="112"/>
        <v>31</v>
      </c>
      <c r="CC121" s="94">
        <f t="shared" si="112"/>
        <v>30</v>
      </c>
      <c r="CD121" s="94">
        <f t="shared" si="112"/>
        <v>31</v>
      </c>
      <c r="CE121" s="347"/>
      <c r="CF121" s="347"/>
      <c r="CG121" s="347"/>
      <c r="CH121" s="347"/>
      <c r="CI121" s="347"/>
      <c r="CJ121" s="347"/>
      <c r="CK121" s="347"/>
      <c r="CL121" s="347"/>
      <c r="CM121" s="347"/>
      <c r="CN121" s="347"/>
      <c r="CO121" s="347"/>
      <c r="CP121" s="347"/>
      <c r="CQ121" s="347"/>
      <c r="CR121" s="347"/>
      <c r="CS121" s="347"/>
      <c r="CT121" s="347"/>
      <c r="CU121" s="347"/>
      <c r="CV121" s="347"/>
      <c r="CW121" s="347"/>
      <c r="CX121" s="347"/>
      <c r="CY121" s="347"/>
      <c r="CZ121" s="347"/>
      <c r="DA121" s="347"/>
      <c r="DB121" s="347"/>
      <c r="DC121" s="347"/>
      <c r="DD121" s="347"/>
      <c r="DE121" s="347"/>
      <c r="DF121" s="347"/>
      <c r="DG121" s="347"/>
      <c r="DH121" s="347"/>
      <c r="DI121" s="347"/>
      <c r="DJ121" s="347"/>
      <c r="DK121" s="347"/>
      <c r="DL121" s="347"/>
      <c r="DM121" s="347"/>
      <c r="DN121" s="347"/>
      <c r="DO121" s="347"/>
      <c r="DP121" s="347"/>
      <c r="DQ121" s="347"/>
      <c r="DR121" s="347"/>
      <c r="DS121" s="347"/>
      <c r="DT121" s="347"/>
      <c r="DU121" s="347"/>
      <c r="DV121" s="347"/>
      <c r="DW121" s="347"/>
      <c r="DX121" s="347"/>
      <c r="DY121" s="347"/>
      <c r="DZ121" s="347"/>
      <c r="EA121" s="347"/>
    </row>
    <row r="122" spans="1:131" hidden="1" outlineLevel="1" x14ac:dyDescent="0.35">
      <c r="A122" s="138"/>
      <c r="B122" s="138"/>
      <c r="C122" s="139"/>
      <c r="D122" s="140"/>
      <c r="E122" s="136"/>
      <c r="F122" s="136"/>
      <c r="G122" s="136"/>
      <c r="H122" s="136"/>
      <c r="I122" s="137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  <c r="BP122" s="136"/>
      <c r="BQ122" s="136"/>
      <c r="BR122" s="136"/>
      <c r="BS122" s="136"/>
      <c r="BT122" s="136"/>
      <c r="BU122" s="136"/>
      <c r="BV122" s="136"/>
      <c r="BW122" s="136"/>
      <c r="BX122" s="136"/>
      <c r="BY122" s="136"/>
      <c r="BZ122" s="136"/>
      <c r="CA122" s="136"/>
      <c r="CB122" s="136"/>
      <c r="CC122" s="136"/>
      <c r="CD122" s="136"/>
    </row>
    <row r="123" spans="1:131" x14ac:dyDescent="0.35">
      <c r="A123" s="138"/>
      <c r="B123" s="138"/>
      <c r="C123" s="139"/>
      <c r="D123" s="140"/>
      <c r="E123" s="136"/>
      <c r="F123" s="136"/>
      <c r="G123" s="136"/>
      <c r="H123" s="136"/>
      <c r="I123" s="137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  <c r="BP123" s="136"/>
      <c r="BQ123" s="136"/>
      <c r="BR123" s="136"/>
      <c r="BS123" s="136"/>
      <c r="BT123" s="136"/>
      <c r="BU123" s="136"/>
      <c r="BV123" s="136"/>
      <c r="BW123" s="136"/>
      <c r="BX123" s="136"/>
      <c r="BY123" s="136"/>
      <c r="BZ123" s="136"/>
      <c r="CA123" s="136"/>
      <c r="CB123" s="136"/>
      <c r="CC123" s="136"/>
      <c r="CD123" s="136"/>
    </row>
    <row r="124" spans="1:131" collapsed="1" x14ac:dyDescent="0.35">
      <c r="A124" s="138" t="s">
        <v>206</v>
      </c>
      <c r="B124" s="138"/>
      <c r="C124" s="139"/>
      <c r="D124" s="140"/>
      <c r="E124" s="136"/>
      <c r="F124" s="136"/>
      <c r="G124" s="136"/>
      <c r="H124" s="136"/>
      <c r="I124" s="137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  <c r="BP124" s="136"/>
      <c r="BQ124" s="136"/>
      <c r="BR124" s="136"/>
      <c r="BS124" s="136"/>
      <c r="BT124" s="136"/>
      <c r="BU124" s="136"/>
      <c r="BV124" s="136"/>
      <c r="BW124" s="136"/>
      <c r="BX124" s="136"/>
      <c r="BY124" s="136"/>
      <c r="BZ124" s="136"/>
      <c r="CA124" s="136"/>
      <c r="CB124" s="136"/>
      <c r="CC124" s="136"/>
      <c r="CD124" s="136"/>
    </row>
    <row r="125" spans="1:131" hidden="1" outlineLevel="1" x14ac:dyDescent="0.35">
      <c r="A125" s="177"/>
      <c r="B125" s="138"/>
      <c r="C125" s="178"/>
      <c r="D125" s="179"/>
      <c r="E125" s="272" t="str">
        <f t="shared" ref="E125:BP125" si="113" xml:space="preserve"> E$25</f>
        <v>Model period ending</v>
      </c>
      <c r="F125" s="272">
        <f t="shared" si="113"/>
        <v>0</v>
      </c>
      <c r="G125" s="272" t="str">
        <f t="shared" si="113"/>
        <v>date</v>
      </c>
      <c r="H125" s="272">
        <f t="shared" si="113"/>
        <v>0</v>
      </c>
      <c r="I125" s="273">
        <f t="shared" si="113"/>
        <v>0</v>
      </c>
      <c r="J125" s="272">
        <f t="shared" si="113"/>
        <v>44196</v>
      </c>
      <c r="K125" s="272">
        <f t="shared" si="113"/>
        <v>44227</v>
      </c>
      <c r="L125" s="272">
        <f t="shared" si="113"/>
        <v>44255</v>
      </c>
      <c r="M125" s="272">
        <f t="shared" si="113"/>
        <v>44286</v>
      </c>
      <c r="N125" s="272">
        <f t="shared" si="113"/>
        <v>44316</v>
      </c>
      <c r="O125" s="272">
        <f t="shared" si="113"/>
        <v>44347</v>
      </c>
      <c r="P125" s="272">
        <f t="shared" si="113"/>
        <v>44377</v>
      </c>
      <c r="Q125" s="272">
        <f t="shared" si="113"/>
        <v>44408</v>
      </c>
      <c r="R125" s="272">
        <f t="shared" si="113"/>
        <v>44439</v>
      </c>
      <c r="S125" s="272">
        <f t="shared" si="113"/>
        <v>44469</v>
      </c>
      <c r="T125" s="272">
        <f t="shared" si="113"/>
        <v>44500</v>
      </c>
      <c r="U125" s="272">
        <f t="shared" si="113"/>
        <v>44530</v>
      </c>
      <c r="V125" s="272">
        <f t="shared" si="113"/>
        <v>44561</v>
      </c>
      <c r="W125" s="272">
        <f t="shared" si="113"/>
        <v>44592</v>
      </c>
      <c r="X125" s="272">
        <f t="shared" si="113"/>
        <v>44620</v>
      </c>
      <c r="Y125" s="272">
        <f t="shared" si="113"/>
        <v>44651</v>
      </c>
      <c r="Z125" s="272">
        <f t="shared" si="113"/>
        <v>44681</v>
      </c>
      <c r="AA125" s="272">
        <f t="shared" si="113"/>
        <v>44712</v>
      </c>
      <c r="AB125" s="272">
        <f t="shared" si="113"/>
        <v>44742</v>
      </c>
      <c r="AC125" s="272">
        <f t="shared" si="113"/>
        <v>44773</v>
      </c>
      <c r="AD125" s="272">
        <f t="shared" si="113"/>
        <v>44804</v>
      </c>
      <c r="AE125" s="272">
        <f t="shared" si="113"/>
        <v>44834</v>
      </c>
      <c r="AF125" s="272">
        <f t="shared" si="113"/>
        <v>44865</v>
      </c>
      <c r="AG125" s="272">
        <f t="shared" si="113"/>
        <v>44895</v>
      </c>
      <c r="AH125" s="272">
        <f t="shared" si="113"/>
        <v>44926</v>
      </c>
      <c r="AI125" s="272">
        <f t="shared" si="113"/>
        <v>44957</v>
      </c>
      <c r="AJ125" s="272">
        <f t="shared" si="113"/>
        <v>44985</v>
      </c>
      <c r="AK125" s="272">
        <f t="shared" si="113"/>
        <v>45016</v>
      </c>
      <c r="AL125" s="272">
        <f t="shared" si="113"/>
        <v>45046</v>
      </c>
      <c r="AM125" s="272">
        <f t="shared" si="113"/>
        <v>45077</v>
      </c>
      <c r="AN125" s="272">
        <f t="shared" si="113"/>
        <v>45107</v>
      </c>
      <c r="AO125" s="272">
        <f t="shared" si="113"/>
        <v>45138</v>
      </c>
      <c r="AP125" s="272">
        <f t="shared" si="113"/>
        <v>45169</v>
      </c>
      <c r="AQ125" s="272">
        <f t="shared" si="113"/>
        <v>45199</v>
      </c>
      <c r="AR125" s="272">
        <f t="shared" si="113"/>
        <v>45230</v>
      </c>
      <c r="AS125" s="272">
        <f t="shared" si="113"/>
        <v>45260</v>
      </c>
      <c r="AT125" s="272">
        <f t="shared" si="113"/>
        <v>45291</v>
      </c>
      <c r="AU125" s="272">
        <f t="shared" si="113"/>
        <v>45322</v>
      </c>
      <c r="AV125" s="272">
        <f t="shared" si="113"/>
        <v>45351</v>
      </c>
      <c r="AW125" s="272">
        <f t="shared" si="113"/>
        <v>45382</v>
      </c>
      <c r="AX125" s="272">
        <f t="shared" si="113"/>
        <v>45412</v>
      </c>
      <c r="AY125" s="272">
        <f t="shared" si="113"/>
        <v>45443</v>
      </c>
      <c r="AZ125" s="272">
        <f t="shared" si="113"/>
        <v>45473</v>
      </c>
      <c r="BA125" s="272">
        <f t="shared" si="113"/>
        <v>45504</v>
      </c>
      <c r="BB125" s="272">
        <f t="shared" si="113"/>
        <v>45535</v>
      </c>
      <c r="BC125" s="272">
        <f t="shared" si="113"/>
        <v>45565</v>
      </c>
      <c r="BD125" s="272">
        <f t="shared" si="113"/>
        <v>45596</v>
      </c>
      <c r="BE125" s="272">
        <f t="shared" si="113"/>
        <v>45626</v>
      </c>
      <c r="BF125" s="272">
        <f t="shared" si="113"/>
        <v>45657</v>
      </c>
      <c r="BG125" s="272">
        <f t="shared" si="113"/>
        <v>45688</v>
      </c>
      <c r="BH125" s="272">
        <f t="shared" si="113"/>
        <v>45716</v>
      </c>
      <c r="BI125" s="272">
        <f t="shared" si="113"/>
        <v>45747</v>
      </c>
      <c r="BJ125" s="272">
        <f t="shared" si="113"/>
        <v>45777</v>
      </c>
      <c r="BK125" s="272">
        <f t="shared" si="113"/>
        <v>45808</v>
      </c>
      <c r="BL125" s="272">
        <f t="shared" si="113"/>
        <v>45838</v>
      </c>
      <c r="BM125" s="272">
        <f t="shared" si="113"/>
        <v>45869</v>
      </c>
      <c r="BN125" s="272">
        <f t="shared" si="113"/>
        <v>45900</v>
      </c>
      <c r="BO125" s="272">
        <f t="shared" si="113"/>
        <v>45930</v>
      </c>
      <c r="BP125" s="272">
        <f t="shared" si="113"/>
        <v>45961</v>
      </c>
      <c r="BQ125" s="272">
        <f t="shared" ref="BQ125:CD125" si="114" xml:space="preserve"> BQ$25</f>
        <v>45991</v>
      </c>
      <c r="BR125" s="272">
        <f t="shared" si="114"/>
        <v>46022</v>
      </c>
      <c r="BS125" s="272">
        <f t="shared" si="114"/>
        <v>46053</v>
      </c>
      <c r="BT125" s="272">
        <f t="shared" si="114"/>
        <v>46081</v>
      </c>
      <c r="BU125" s="272">
        <f t="shared" si="114"/>
        <v>46112</v>
      </c>
      <c r="BV125" s="272">
        <f t="shared" si="114"/>
        <v>46142</v>
      </c>
      <c r="BW125" s="272">
        <f t="shared" si="114"/>
        <v>46173</v>
      </c>
      <c r="BX125" s="272">
        <f t="shared" si="114"/>
        <v>46203</v>
      </c>
      <c r="BY125" s="272">
        <f t="shared" si="114"/>
        <v>46234</v>
      </c>
      <c r="BZ125" s="272">
        <f t="shared" si="114"/>
        <v>46265</v>
      </c>
      <c r="CA125" s="272">
        <f t="shared" si="114"/>
        <v>46295</v>
      </c>
      <c r="CB125" s="272">
        <f t="shared" si="114"/>
        <v>46326</v>
      </c>
      <c r="CC125" s="272">
        <f t="shared" si="114"/>
        <v>46356</v>
      </c>
      <c r="CD125" s="272">
        <f t="shared" si="114"/>
        <v>46387</v>
      </c>
    </row>
    <row r="126" spans="1:131" s="347" customFormat="1" hidden="1" outlineLevel="1" x14ac:dyDescent="0.35">
      <c r="A126" s="58"/>
      <c r="B126" s="58"/>
      <c r="C126" s="59"/>
      <c r="D126" s="60"/>
      <c r="E126" s="94" t="s">
        <v>207</v>
      </c>
      <c r="F126" s="94"/>
      <c r="G126" s="94" t="s">
        <v>72</v>
      </c>
      <c r="H126" s="94"/>
      <c r="I126" s="61"/>
      <c r="J126" s="94">
        <f t="shared" ref="J126:AO126" si="115" xml:space="preserve"> MONTH(J125)</f>
        <v>12</v>
      </c>
      <c r="K126" s="94">
        <f t="shared" si="115"/>
        <v>1</v>
      </c>
      <c r="L126" s="94">
        <f t="shared" si="115"/>
        <v>2</v>
      </c>
      <c r="M126" s="94">
        <f t="shared" si="115"/>
        <v>3</v>
      </c>
      <c r="N126" s="94">
        <f t="shared" si="115"/>
        <v>4</v>
      </c>
      <c r="O126" s="94">
        <f t="shared" si="115"/>
        <v>5</v>
      </c>
      <c r="P126" s="94">
        <f t="shared" si="115"/>
        <v>6</v>
      </c>
      <c r="Q126" s="94">
        <f t="shared" si="115"/>
        <v>7</v>
      </c>
      <c r="R126" s="94">
        <f t="shared" si="115"/>
        <v>8</v>
      </c>
      <c r="S126" s="94">
        <f t="shared" si="115"/>
        <v>9</v>
      </c>
      <c r="T126" s="94">
        <f t="shared" si="115"/>
        <v>10</v>
      </c>
      <c r="U126" s="94">
        <f t="shared" si="115"/>
        <v>11</v>
      </c>
      <c r="V126" s="94">
        <f t="shared" si="115"/>
        <v>12</v>
      </c>
      <c r="W126" s="94">
        <f t="shared" si="115"/>
        <v>1</v>
      </c>
      <c r="X126" s="94">
        <f t="shared" si="115"/>
        <v>2</v>
      </c>
      <c r="Y126" s="94">
        <f t="shared" si="115"/>
        <v>3</v>
      </c>
      <c r="Z126" s="94">
        <f t="shared" si="115"/>
        <v>4</v>
      </c>
      <c r="AA126" s="94">
        <f t="shared" si="115"/>
        <v>5</v>
      </c>
      <c r="AB126" s="94">
        <f t="shared" si="115"/>
        <v>6</v>
      </c>
      <c r="AC126" s="94">
        <f t="shared" si="115"/>
        <v>7</v>
      </c>
      <c r="AD126" s="94">
        <f t="shared" si="115"/>
        <v>8</v>
      </c>
      <c r="AE126" s="94">
        <f t="shared" si="115"/>
        <v>9</v>
      </c>
      <c r="AF126" s="94">
        <f t="shared" si="115"/>
        <v>10</v>
      </c>
      <c r="AG126" s="94">
        <f t="shared" si="115"/>
        <v>11</v>
      </c>
      <c r="AH126" s="94">
        <f t="shared" si="115"/>
        <v>12</v>
      </c>
      <c r="AI126" s="94">
        <f t="shared" si="115"/>
        <v>1</v>
      </c>
      <c r="AJ126" s="94">
        <f t="shared" si="115"/>
        <v>2</v>
      </c>
      <c r="AK126" s="94">
        <f t="shared" si="115"/>
        <v>3</v>
      </c>
      <c r="AL126" s="94">
        <f t="shared" si="115"/>
        <v>4</v>
      </c>
      <c r="AM126" s="94">
        <f t="shared" si="115"/>
        <v>5</v>
      </c>
      <c r="AN126" s="94">
        <f t="shared" si="115"/>
        <v>6</v>
      </c>
      <c r="AO126" s="94">
        <f t="shared" si="115"/>
        <v>7</v>
      </c>
      <c r="AP126" s="94">
        <f t="shared" ref="AP126:BU126" si="116" xml:space="preserve"> MONTH(AP125)</f>
        <v>8</v>
      </c>
      <c r="AQ126" s="94">
        <f t="shared" si="116"/>
        <v>9</v>
      </c>
      <c r="AR126" s="94">
        <f t="shared" si="116"/>
        <v>10</v>
      </c>
      <c r="AS126" s="94">
        <f t="shared" si="116"/>
        <v>11</v>
      </c>
      <c r="AT126" s="94">
        <f t="shared" si="116"/>
        <v>12</v>
      </c>
      <c r="AU126" s="94">
        <f t="shared" si="116"/>
        <v>1</v>
      </c>
      <c r="AV126" s="94">
        <f t="shared" si="116"/>
        <v>2</v>
      </c>
      <c r="AW126" s="94">
        <f t="shared" si="116"/>
        <v>3</v>
      </c>
      <c r="AX126" s="94">
        <f t="shared" si="116"/>
        <v>4</v>
      </c>
      <c r="AY126" s="94">
        <f t="shared" si="116"/>
        <v>5</v>
      </c>
      <c r="AZ126" s="94">
        <f t="shared" si="116"/>
        <v>6</v>
      </c>
      <c r="BA126" s="94">
        <f t="shared" si="116"/>
        <v>7</v>
      </c>
      <c r="BB126" s="94">
        <f t="shared" si="116"/>
        <v>8</v>
      </c>
      <c r="BC126" s="94">
        <f t="shared" si="116"/>
        <v>9</v>
      </c>
      <c r="BD126" s="94">
        <f t="shared" si="116"/>
        <v>10</v>
      </c>
      <c r="BE126" s="94">
        <f t="shared" si="116"/>
        <v>11</v>
      </c>
      <c r="BF126" s="94">
        <f t="shared" si="116"/>
        <v>12</v>
      </c>
      <c r="BG126" s="94">
        <f t="shared" si="116"/>
        <v>1</v>
      </c>
      <c r="BH126" s="94">
        <f t="shared" si="116"/>
        <v>2</v>
      </c>
      <c r="BI126" s="94">
        <f t="shared" si="116"/>
        <v>3</v>
      </c>
      <c r="BJ126" s="94">
        <f t="shared" si="116"/>
        <v>4</v>
      </c>
      <c r="BK126" s="94">
        <f t="shared" si="116"/>
        <v>5</v>
      </c>
      <c r="BL126" s="94">
        <f t="shared" si="116"/>
        <v>6</v>
      </c>
      <c r="BM126" s="94">
        <f t="shared" si="116"/>
        <v>7</v>
      </c>
      <c r="BN126" s="94">
        <f t="shared" si="116"/>
        <v>8</v>
      </c>
      <c r="BO126" s="94">
        <f t="shared" si="116"/>
        <v>9</v>
      </c>
      <c r="BP126" s="94">
        <f t="shared" si="116"/>
        <v>10</v>
      </c>
      <c r="BQ126" s="94">
        <f t="shared" si="116"/>
        <v>11</v>
      </c>
      <c r="BR126" s="94">
        <f t="shared" si="116"/>
        <v>12</v>
      </c>
      <c r="BS126" s="94">
        <f t="shared" si="116"/>
        <v>1</v>
      </c>
      <c r="BT126" s="94">
        <f t="shared" si="116"/>
        <v>2</v>
      </c>
      <c r="BU126" s="94">
        <f t="shared" si="116"/>
        <v>3</v>
      </c>
      <c r="BV126" s="94">
        <f t="shared" ref="BV126:CD126" si="117" xml:space="preserve"> MONTH(BV125)</f>
        <v>4</v>
      </c>
      <c r="BW126" s="94">
        <f t="shared" si="117"/>
        <v>5</v>
      </c>
      <c r="BX126" s="94">
        <f t="shared" si="117"/>
        <v>6</v>
      </c>
      <c r="BY126" s="94">
        <f t="shared" si="117"/>
        <v>7</v>
      </c>
      <c r="BZ126" s="94">
        <f t="shared" si="117"/>
        <v>8</v>
      </c>
      <c r="CA126" s="94">
        <f t="shared" si="117"/>
        <v>9</v>
      </c>
      <c r="CB126" s="94">
        <f t="shared" si="117"/>
        <v>10</v>
      </c>
      <c r="CC126" s="94">
        <f t="shared" si="117"/>
        <v>11</v>
      </c>
      <c r="CD126" s="94">
        <f t="shared" si="117"/>
        <v>12</v>
      </c>
    </row>
    <row r="127" spans="1:131" x14ac:dyDescent="0.35">
      <c r="A127" s="138"/>
      <c r="B127" s="138"/>
      <c r="C127" s="139"/>
      <c r="D127" s="140"/>
      <c r="E127" s="136"/>
      <c r="F127" s="136"/>
      <c r="G127" s="136"/>
      <c r="H127" s="136"/>
      <c r="I127" s="137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  <c r="BP127" s="136"/>
      <c r="BQ127" s="136"/>
      <c r="BR127" s="136"/>
      <c r="BS127" s="136"/>
      <c r="BT127" s="136"/>
      <c r="BU127" s="136"/>
      <c r="BV127" s="136"/>
      <c r="BW127" s="136"/>
      <c r="BX127" s="136"/>
      <c r="BY127" s="136"/>
      <c r="BZ127" s="136"/>
      <c r="CA127" s="136"/>
      <c r="CB127" s="136"/>
      <c r="CC127" s="136"/>
      <c r="CD127" s="136"/>
    </row>
    <row r="128" spans="1:131" x14ac:dyDescent="0.35">
      <c r="A128" s="138" t="s">
        <v>62</v>
      </c>
      <c r="B128" s="138"/>
      <c r="C128" s="139"/>
      <c r="D128" s="140"/>
      <c r="E128" s="136"/>
      <c r="F128" s="136"/>
      <c r="G128" s="136"/>
      <c r="H128" s="136"/>
      <c r="I128" s="137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  <c r="BP128" s="136"/>
      <c r="BQ128" s="136"/>
      <c r="BR128" s="136"/>
      <c r="BS128" s="136"/>
      <c r="BT128" s="136"/>
      <c r="BU128" s="136"/>
      <c r="BV128" s="136"/>
      <c r="BW128" s="136"/>
      <c r="BX128" s="136"/>
      <c r="BY128" s="136"/>
      <c r="BZ128" s="136"/>
      <c r="CA128" s="136"/>
      <c r="CB128" s="136"/>
      <c r="CC128" s="136"/>
      <c r="CD128" s="136"/>
    </row>
  </sheetData>
  <conditionalFormatting sqref="F2:F4">
    <cfRule type="cellIs" dxfId="31" priority="1" stopIfTrue="1" operator="notEqual">
      <formula>0</formula>
    </cfRule>
    <cfRule type="cellIs" dxfId="30" priority="2" stopIfTrue="1" operator="equal">
      <formula>""</formula>
    </cfRule>
  </conditionalFormatting>
  <conditionalFormatting sqref="J3:CD3">
    <cfRule type="cellIs" dxfId="29" priority="13" operator="equal">
      <formula>"Fin Close"</formula>
    </cfRule>
    <cfRule type="cellIs" dxfId="28" priority="15" stopIfTrue="1" operator="equal">
      <formula>"Operations"</formula>
    </cfRule>
  </conditionalFormatting>
  <dataValidations count="1">
    <dataValidation allowBlank="1" showInputMessage="1" showErrorMessage="1" sqref="E35:H3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08"/>
  <sheetViews>
    <sheetView tabSelected="1" defaultGridColor="0" colorId="8" zoomScaleNormal="100" workbookViewId="0">
      <pane xSplit="9" ySplit="5" topLeftCell="J50" activePane="bottomRight" state="frozen"/>
      <selection activeCell="E45" sqref="E45"/>
      <selection pane="topRight" activeCell="E45" sqref="E45"/>
      <selection pane="bottomLeft" activeCell="E45" sqref="E45"/>
      <selection pane="bottomRight" activeCell="N66" sqref="N6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31" width="0" hidden="1" customWidth="1"/>
    <col min="132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>
        <v>0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8" spans="1:82" x14ac:dyDescent="0.35">
      <c r="A8" s="8" t="s">
        <v>150</v>
      </c>
    </row>
    <row r="9" spans="1:82" outlineLevel="1" x14ac:dyDescent="0.35"/>
    <row r="10" spans="1:82" outlineLevel="1" x14ac:dyDescent="0.35">
      <c r="B10" s="8" t="s">
        <v>164</v>
      </c>
    </row>
    <row r="11" spans="1:82" outlineLevel="2" x14ac:dyDescent="0.35">
      <c r="A11" s="304"/>
      <c r="B11" s="304"/>
      <c r="C11" s="305"/>
      <c r="D11" s="197"/>
      <c r="E11" s="306" t="str">
        <f xml:space="preserve"> InpC!E$40</f>
        <v>Annual degradation</v>
      </c>
      <c r="F11" s="306">
        <f xml:space="preserve"> InpC!F$40</f>
        <v>5.0000000000000001E-3</v>
      </c>
      <c r="G11" s="306" t="str">
        <f xml:space="preserve"> InpC!G$40</f>
        <v>% p.a.</v>
      </c>
      <c r="H11" s="197"/>
      <c r="I11" s="199"/>
      <c r="J11" s="198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  <c r="BQ11" s="136"/>
      <c r="BR11" s="136"/>
      <c r="BS11" s="136"/>
      <c r="BT11" s="136"/>
      <c r="BU11" s="136"/>
      <c r="BV11" s="136"/>
      <c r="BW11" s="136"/>
      <c r="BX11" s="136"/>
      <c r="BY11" s="136"/>
      <c r="BZ11" s="136"/>
      <c r="CA11" s="136"/>
      <c r="CB11" s="136"/>
      <c r="CC11" s="136"/>
      <c r="CD11" s="136"/>
    </row>
    <row r="12" spans="1:82" outlineLevel="2" x14ac:dyDescent="0.35">
      <c r="A12" s="138"/>
      <c r="B12" s="138"/>
      <c r="C12" s="139"/>
      <c r="D12" s="140"/>
      <c r="E12" s="307" t="str">
        <f xml:space="preserve"> Time!E$115</f>
        <v>Contract year number</v>
      </c>
      <c r="F12" s="307">
        <f xml:space="preserve"> Time!F$115</f>
        <v>0</v>
      </c>
      <c r="G12" s="307" t="str">
        <f xml:space="preserve"> Time!G$115</f>
        <v>counter</v>
      </c>
      <c r="H12" s="307">
        <f xml:space="preserve"> Time!H$115</f>
        <v>0</v>
      </c>
      <c r="I12" s="307">
        <f xml:space="preserve"> Time!I$115</f>
        <v>0</v>
      </c>
      <c r="J12" s="307">
        <f xml:space="preserve"> Time!J$115</f>
        <v>0</v>
      </c>
      <c r="K12" s="307">
        <f xml:space="preserve"> Time!K$115</f>
        <v>0</v>
      </c>
      <c r="L12" s="307">
        <f xml:space="preserve"> Time!L$115</f>
        <v>0</v>
      </c>
      <c r="M12" s="307">
        <f xml:space="preserve"> Time!M$115</f>
        <v>0</v>
      </c>
      <c r="N12" s="307">
        <f xml:space="preserve"> Time!N$115</f>
        <v>1</v>
      </c>
      <c r="O12" s="307">
        <f xml:space="preserve"> Time!O$115</f>
        <v>1</v>
      </c>
      <c r="P12" s="307">
        <f xml:space="preserve"> Time!P$115</f>
        <v>1</v>
      </c>
      <c r="Q12" s="307">
        <f xml:space="preserve"> Time!Q$115</f>
        <v>1</v>
      </c>
      <c r="R12" s="307">
        <f xml:space="preserve"> Time!R$115</f>
        <v>1</v>
      </c>
      <c r="S12" s="307">
        <f xml:space="preserve"> Time!S$115</f>
        <v>1</v>
      </c>
      <c r="T12" s="307">
        <f xml:space="preserve"> Time!T$115</f>
        <v>1</v>
      </c>
      <c r="U12" s="307">
        <f xml:space="preserve"> Time!U$115</f>
        <v>1</v>
      </c>
      <c r="V12" s="307">
        <f xml:space="preserve"> Time!V$115</f>
        <v>1</v>
      </c>
      <c r="W12" s="307">
        <f xml:space="preserve"> Time!W$115</f>
        <v>1</v>
      </c>
      <c r="X12" s="307">
        <f xml:space="preserve"> Time!X$115</f>
        <v>1</v>
      </c>
      <c r="Y12" s="307">
        <f xml:space="preserve"> Time!Y$115</f>
        <v>1</v>
      </c>
      <c r="Z12" s="307">
        <f xml:space="preserve"> Time!Z$115</f>
        <v>2</v>
      </c>
      <c r="AA12" s="307">
        <f xml:space="preserve"> Time!AA$115</f>
        <v>2</v>
      </c>
      <c r="AB12" s="307">
        <f xml:space="preserve"> Time!AB$115</f>
        <v>2</v>
      </c>
      <c r="AC12" s="307">
        <f xml:space="preserve"> Time!AC$115</f>
        <v>2</v>
      </c>
      <c r="AD12" s="307">
        <f xml:space="preserve"> Time!AD$115</f>
        <v>2</v>
      </c>
      <c r="AE12" s="307">
        <f xml:space="preserve"> Time!AE$115</f>
        <v>2</v>
      </c>
      <c r="AF12" s="307">
        <f xml:space="preserve"> Time!AF$115</f>
        <v>2</v>
      </c>
      <c r="AG12" s="307">
        <f xml:space="preserve"> Time!AG$115</f>
        <v>2</v>
      </c>
      <c r="AH12" s="307">
        <f xml:space="preserve"> Time!AH$115</f>
        <v>2</v>
      </c>
      <c r="AI12" s="307">
        <f xml:space="preserve"> Time!AI$115</f>
        <v>2</v>
      </c>
      <c r="AJ12" s="307">
        <f xml:space="preserve"> Time!AJ$115</f>
        <v>2</v>
      </c>
      <c r="AK12" s="307">
        <f xml:space="preserve"> Time!AK$115</f>
        <v>2</v>
      </c>
      <c r="AL12" s="307">
        <f xml:space="preserve"> Time!AL$115</f>
        <v>3</v>
      </c>
      <c r="AM12" s="307">
        <f xml:space="preserve"> Time!AM$115</f>
        <v>3</v>
      </c>
      <c r="AN12" s="307">
        <f xml:space="preserve"> Time!AN$115</f>
        <v>3</v>
      </c>
      <c r="AO12" s="307">
        <f xml:space="preserve"> Time!AO$115</f>
        <v>3</v>
      </c>
      <c r="AP12" s="307">
        <f xml:space="preserve"> Time!AP$115</f>
        <v>3</v>
      </c>
      <c r="AQ12" s="307">
        <f xml:space="preserve"> Time!AQ$115</f>
        <v>3</v>
      </c>
      <c r="AR12" s="307">
        <f xml:space="preserve"> Time!AR$115</f>
        <v>3</v>
      </c>
      <c r="AS12" s="307">
        <f xml:space="preserve"> Time!AS$115</f>
        <v>3</v>
      </c>
      <c r="AT12" s="307">
        <f xml:space="preserve"> Time!AT$115</f>
        <v>3</v>
      </c>
      <c r="AU12" s="307">
        <f xml:space="preserve"> Time!AU$115</f>
        <v>3</v>
      </c>
      <c r="AV12" s="307">
        <f xml:space="preserve"> Time!AV$115</f>
        <v>3</v>
      </c>
      <c r="AW12" s="307">
        <f xml:space="preserve"> Time!AW$115</f>
        <v>3</v>
      </c>
      <c r="AX12" s="307">
        <f xml:space="preserve"> Time!AX$115</f>
        <v>4</v>
      </c>
      <c r="AY12" s="307">
        <f xml:space="preserve"> Time!AY$115</f>
        <v>4</v>
      </c>
      <c r="AZ12" s="307">
        <f xml:space="preserve"> Time!AZ$115</f>
        <v>4</v>
      </c>
      <c r="BA12" s="307">
        <f xml:space="preserve"> Time!BA$115</f>
        <v>4</v>
      </c>
      <c r="BB12" s="307">
        <f xml:space="preserve"> Time!BB$115</f>
        <v>4</v>
      </c>
      <c r="BC12" s="307">
        <f xml:space="preserve"> Time!BC$115</f>
        <v>4</v>
      </c>
      <c r="BD12" s="307">
        <f xml:space="preserve"> Time!BD$115</f>
        <v>4</v>
      </c>
      <c r="BE12" s="307">
        <f xml:space="preserve"> Time!BE$115</f>
        <v>4</v>
      </c>
      <c r="BF12" s="307">
        <f xml:space="preserve"> Time!BF$115</f>
        <v>4</v>
      </c>
      <c r="BG12" s="307">
        <f xml:space="preserve"> Time!BG$115</f>
        <v>4</v>
      </c>
      <c r="BH12" s="307">
        <f xml:space="preserve"> Time!BH$115</f>
        <v>4</v>
      </c>
      <c r="BI12" s="307">
        <f xml:space="preserve"> Time!BI$115</f>
        <v>4</v>
      </c>
      <c r="BJ12" s="307">
        <f xml:space="preserve"> Time!BJ$115</f>
        <v>5</v>
      </c>
      <c r="BK12" s="307">
        <f xml:space="preserve"> Time!BK$115</f>
        <v>5</v>
      </c>
      <c r="BL12" s="307">
        <f xml:space="preserve"> Time!BL$115</f>
        <v>5</v>
      </c>
      <c r="BM12" s="307">
        <f xml:space="preserve"> Time!BM$115</f>
        <v>5</v>
      </c>
      <c r="BN12" s="307">
        <f xml:space="preserve"> Time!BN$115</f>
        <v>5</v>
      </c>
      <c r="BO12" s="307">
        <f xml:space="preserve"> Time!BO$115</f>
        <v>5</v>
      </c>
      <c r="BP12" s="307">
        <f xml:space="preserve"> Time!BP$115</f>
        <v>5</v>
      </c>
      <c r="BQ12" s="307">
        <f xml:space="preserve"> Time!BQ$115</f>
        <v>5</v>
      </c>
      <c r="BR12" s="307">
        <f xml:space="preserve"> Time!BR$115</f>
        <v>5</v>
      </c>
      <c r="BS12" s="307">
        <f xml:space="preserve"> Time!BS$115</f>
        <v>5</v>
      </c>
      <c r="BT12" s="307">
        <f xml:space="preserve"> Time!BT$115</f>
        <v>5</v>
      </c>
      <c r="BU12" s="307">
        <f xml:space="preserve"> Time!BU$115</f>
        <v>5</v>
      </c>
      <c r="BV12" s="307">
        <f xml:space="preserve"> Time!BV$115</f>
        <v>0</v>
      </c>
      <c r="BW12" s="307">
        <f xml:space="preserve"> Time!BW$115</f>
        <v>0</v>
      </c>
      <c r="BX12" s="307">
        <f xml:space="preserve"> Time!BX$115</f>
        <v>0</v>
      </c>
      <c r="BY12" s="307">
        <f xml:space="preserve"> Time!BY$115</f>
        <v>0</v>
      </c>
      <c r="BZ12" s="307">
        <f xml:space="preserve"> Time!BZ$115</f>
        <v>0</v>
      </c>
      <c r="CA12" s="307">
        <f xml:space="preserve"> Time!CA$115</f>
        <v>0</v>
      </c>
      <c r="CB12" s="307">
        <f xml:space="preserve"> Time!CB$115</f>
        <v>0</v>
      </c>
      <c r="CC12" s="307">
        <f xml:space="preserve"> Time!CC$115</f>
        <v>0</v>
      </c>
      <c r="CD12" s="307">
        <f xml:space="preserve"> Time!CD$115</f>
        <v>0</v>
      </c>
    </row>
    <row r="13" spans="1:82" outlineLevel="2" x14ac:dyDescent="0.35">
      <c r="A13" s="138"/>
      <c r="B13" s="138"/>
      <c r="C13" s="139"/>
      <c r="D13" s="140"/>
      <c r="E13" s="307" t="str">
        <f xml:space="preserve"> Time!E$87</f>
        <v>Operating period flag</v>
      </c>
      <c r="F13" s="307">
        <f xml:space="preserve"> Time!F$87</f>
        <v>0</v>
      </c>
      <c r="G13" s="307" t="str">
        <f xml:space="preserve"> Time!G$87</f>
        <v>flag</v>
      </c>
      <c r="H13" s="307">
        <f xml:space="preserve"> Time!H$87</f>
        <v>60</v>
      </c>
      <c r="I13" s="307">
        <f xml:space="preserve"> Time!I$87</f>
        <v>0</v>
      </c>
      <c r="J13" s="307">
        <f xml:space="preserve"> Time!J$87</f>
        <v>0</v>
      </c>
      <c r="K13" s="307">
        <f xml:space="preserve"> Time!K$87</f>
        <v>0</v>
      </c>
      <c r="L13" s="307">
        <f xml:space="preserve"> Time!L$87</f>
        <v>0</v>
      </c>
      <c r="M13" s="307">
        <f xml:space="preserve"> Time!M$87</f>
        <v>0</v>
      </c>
      <c r="N13" s="307">
        <f xml:space="preserve"> Time!N$87</f>
        <v>1</v>
      </c>
      <c r="O13" s="307">
        <f xml:space="preserve"> Time!O$87</f>
        <v>1</v>
      </c>
      <c r="P13" s="307">
        <f xml:space="preserve"> Time!P$87</f>
        <v>1</v>
      </c>
      <c r="Q13" s="307">
        <f xml:space="preserve"> Time!Q$87</f>
        <v>1</v>
      </c>
      <c r="R13" s="307">
        <f xml:space="preserve"> Time!R$87</f>
        <v>1</v>
      </c>
      <c r="S13" s="307">
        <f xml:space="preserve"> Time!S$87</f>
        <v>1</v>
      </c>
      <c r="T13" s="307">
        <f xml:space="preserve"> Time!T$87</f>
        <v>1</v>
      </c>
      <c r="U13" s="307">
        <f xml:space="preserve"> Time!U$87</f>
        <v>1</v>
      </c>
      <c r="V13" s="307">
        <f xml:space="preserve"> Time!V$87</f>
        <v>1</v>
      </c>
      <c r="W13" s="307">
        <f xml:space="preserve"> Time!W$87</f>
        <v>1</v>
      </c>
      <c r="X13" s="307">
        <f xml:space="preserve"> Time!X$87</f>
        <v>1</v>
      </c>
      <c r="Y13" s="307">
        <f xml:space="preserve"> Time!Y$87</f>
        <v>1</v>
      </c>
      <c r="Z13" s="307">
        <f xml:space="preserve"> Time!Z$87</f>
        <v>1</v>
      </c>
      <c r="AA13" s="307">
        <f xml:space="preserve"> Time!AA$87</f>
        <v>1</v>
      </c>
      <c r="AB13" s="307">
        <f xml:space="preserve"> Time!AB$87</f>
        <v>1</v>
      </c>
      <c r="AC13" s="307">
        <f xml:space="preserve"> Time!AC$87</f>
        <v>1</v>
      </c>
      <c r="AD13" s="307">
        <f xml:space="preserve"> Time!AD$87</f>
        <v>1</v>
      </c>
      <c r="AE13" s="307">
        <f xml:space="preserve"> Time!AE$87</f>
        <v>1</v>
      </c>
      <c r="AF13" s="307">
        <f xml:space="preserve"> Time!AF$87</f>
        <v>1</v>
      </c>
      <c r="AG13" s="307">
        <f xml:space="preserve"> Time!AG$87</f>
        <v>1</v>
      </c>
      <c r="AH13" s="307">
        <f xml:space="preserve"> Time!AH$87</f>
        <v>1</v>
      </c>
      <c r="AI13" s="307">
        <f xml:space="preserve"> Time!AI$87</f>
        <v>1</v>
      </c>
      <c r="AJ13" s="307">
        <f xml:space="preserve"> Time!AJ$87</f>
        <v>1</v>
      </c>
      <c r="AK13" s="307">
        <f xml:space="preserve"> Time!AK$87</f>
        <v>1</v>
      </c>
      <c r="AL13" s="307">
        <f xml:space="preserve"> Time!AL$87</f>
        <v>1</v>
      </c>
      <c r="AM13" s="307">
        <f xml:space="preserve"> Time!AM$87</f>
        <v>1</v>
      </c>
      <c r="AN13" s="307">
        <f xml:space="preserve"> Time!AN$87</f>
        <v>1</v>
      </c>
      <c r="AO13" s="307">
        <f xml:space="preserve"> Time!AO$87</f>
        <v>1</v>
      </c>
      <c r="AP13" s="307">
        <f xml:space="preserve"> Time!AP$87</f>
        <v>1</v>
      </c>
      <c r="AQ13" s="307">
        <f xml:space="preserve"> Time!AQ$87</f>
        <v>1</v>
      </c>
      <c r="AR13" s="307">
        <f xml:space="preserve"> Time!AR$87</f>
        <v>1</v>
      </c>
      <c r="AS13" s="307">
        <f xml:space="preserve"> Time!AS$87</f>
        <v>1</v>
      </c>
      <c r="AT13" s="307">
        <f xml:space="preserve"> Time!AT$87</f>
        <v>1</v>
      </c>
      <c r="AU13" s="307">
        <f xml:space="preserve"> Time!AU$87</f>
        <v>1</v>
      </c>
      <c r="AV13" s="307">
        <f xml:space="preserve"> Time!AV$87</f>
        <v>1</v>
      </c>
      <c r="AW13" s="307">
        <f xml:space="preserve"> Time!AW$87</f>
        <v>1</v>
      </c>
      <c r="AX13" s="307">
        <f xml:space="preserve"> Time!AX$87</f>
        <v>1</v>
      </c>
      <c r="AY13" s="307">
        <f xml:space="preserve"> Time!AY$87</f>
        <v>1</v>
      </c>
      <c r="AZ13" s="307">
        <f xml:space="preserve"> Time!AZ$87</f>
        <v>1</v>
      </c>
      <c r="BA13" s="307">
        <f xml:space="preserve"> Time!BA$87</f>
        <v>1</v>
      </c>
      <c r="BB13" s="307">
        <f xml:space="preserve"> Time!BB$87</f>
        <v>1</v>
      </c>
      <c r="BC13" s="307">
        <f xml:space="preserve"> Time!BC$87</f>
        <v>1</v>
      </c>
      <c r="BD13" s="307">
        <f xml:space="preserve"> Time!BD$87</f>
        <v>1</v>
      </c>
      <c r="BE13" s="307">
        <f xml:space="preserve"> Time!BE$87</f>
        <v>1</v>
      </c>
      <c r="BF13" s="307">
        <f xml:space="preserve"> Time!BF$87</f>
        <v>1</v>
      </c>
      <c r="BG13" s="307">
        <f xml:space="preserve"> Time!BG$87</f>
        <v>1</v>
      </c>
      <c r="BH13" s="307">
        <f xml:space="preserve"> Time!BH$87</f>
        <v>1</v>
      </c>
      <c r="BI13" s="307">
        <f xml:space="preserve"> Time!BI$87</f>
        <v>1</v>
      </c>
      <c r="BJ13" s="307">
        <f xml:space="preserve"> Time!BJ$87</f>
        <v>1</v>
      </c>
      <c r="BK13" s="307">
        <f xml:space="preserve"> Time!BK$87</f>
        <v>1</v>
      </c>
      <c r="BL13" s="307">
        <f xml:space="preserve"> Time!BL$87</f>
        <v>1</v>
      </c>
      <c r="BM13" s="307">
        <f xml:space="preserve"> Time!BM$87</f>
        <v>1</v>
      </c>
      <c r="BN13" s="307">
        <f xml:space="preserve"> Time!BN$87</f>
        <v>1</v>
      </c>
      <c r="BO13" s="307">
        <f xml:space="preserve"> Time!BO$87</f>
        <v>1</v>
      </c>
      <c r="BP13" s="307">
        <f xml:space="preserve"> Time!BP$87</f>
        <v>1</v>
      </c>
      <c r="BQ13" s="307">
        <f xml:space="preserve"> Time!BQ$87</f>
        <v>1</v>
      </c>
      <c r="BR13" s="307">
        <f xml:space="preserve"> Time!BR$87</f>
        <v>1</v>
      </c>
      <c r="BS13" s="307">
        <f xml:space="preserve"> Time!BS$87</f>
        <v>1</v>
      </c>
      <c r="BT13" s="307">
        <f xml:space="preserve"> Time!BT$87</f>
        <v>1</v>
      </c>
      <c r="BU13" s="307">
        <f xml:space="preserve"> Time!BU$87</f>
        <v>1</v>
      </c>
      <c r="BV13" s="307">
        <f xml:space="preserve"> Time!BV$87</f>
        <v>0</v>
      </c>
      <c r="BW13" s="307">
        <f xml:space="preserve"> Time!BW$87</f>
        <v>0</v>
      </c>
      <c r="BX13" s="307">
        <f xml:space="preserve"> Time!BX$87</f>
        <v>0</v>
      </c>
      <c r="BY13" s="307">
        <f xml:space="preserve"> Time!BY$87</f>
        <v>0</v>
      </c>
      <c r="BZ13" s="307">
        <f xml:space="preserve"> Time!BZ$87</f>
        <v>0</v>
      </c>
      <c r="CA13" s="307">
        <f xml:space="preserve"> Time!CA$87</f>
        <v>0</v>
      </c>
      <c r="CB13" s="307">
        <f xml:space="preserve"> Time!CB$87</f>
        <v>0</v>
      </c>
      <c r="CC13" s="307">
        <f xml:space="preserve"> Time!CC$87</f>
        <v>0</v>
      </c>
      <c r="CD13" s="307">
        <f xml:space="preserve"> Time!CD$87</f>
        <v>0</v>
      </c>
    </row>
    <row r="14" spans="1:82" outlineLevel="2" x14ac:dyDescent="0.35">
      <c r="A14" s="138"/>
      <c r="B14" s="138"/>
      <c r="C14" s="139"/>
      <c r="D14" s="140"/>
      <c r="E14" s="136" t="s">
        <v>165</v>
      </c>
      <c r="F14" s="136"/>
      <c r="G14" s="136" t="s">
        <v>151</v>
      </c>
      <c r="H14" s="136"/>
      <c r="I14" s="137"/>
      <c r="J14" s="198">
        <f t="shared" ref="J14:AO14" si="0" xml:space="preserve"> IF( J13 = 1, 1 / ((1 + $F11) ^ (J12 - 1)), 0)</f>
        <v>0</v>
      </c>
      <c r="K14" s="198">
        <f t="shared" si="0"/>
        <v>0</v>
      </c>
      <c r="L14" s="198">
        <f t="shared" si="0"/>
        <v>0</v>
      </c>
      <c r="M14" s="198">
        <f t="shared" si="0"/>
        <v>0</v>
      </c>
      <c r="N14" s="198">
        <f t="shared" si="0"/>
        <v>1</v>
      </c>
      <c r="O14" s="198">
        <f t="shared" si="0"/>
        <v>1</v>
      </c>
      <c r="P14" s="198">
        <f t="shared" si="0"/>
        <v>1</v>
      </c>
      <c r="Q14" s="198">
        <f t="shared" si="0"/>
        <v>1</v>
      </c>
      <c r="R14" s="198">
        <f t="shared" si="0"/>
        <v>1</v>
      </c>
      <c r="S14" s="198">
        <f t="shared" si="0"/>
        <v>1</v>
      </c>
      <c r="T14" s="198">
        <f t="shared" si="0"/>
        <v>1</v>
      </c>
      <c r="U14" s="198">
        <f t="shared" si="0"/>
        <v>1</v>
      </c>
      <c r="V14" s="198">
        <f t="shared" si="0"/>
        <v>1</v>
      </c>
      <c r="W14" s="198">
        <f t="shared" si="0"/>
        <v>1</v>
      </c>
      <c r="X14" s="198">
        <f t="shared" si="0"/>
        <v>1</v>
      </c>
      <c r="Y14" s="198">
        <f t="shared" si="0"/>
        <v>1</v>
      </c>
      <c r="Z14" s="198">
        <f t="shared" si="0"/>
        <v>0.99502487562189068</v>
      </c>
      <c r="AA14" s="198">
        <f t="shared" si="0"/>
        <v>0.99502487562189068</v>
      </c>
      <c r="AB14" s="198">
        <f t="shared" si="0"/>
        <v>0.99502487562189068</v>
      </c>
      <c r="AC14" s="198">
        <f t="shared" si="0"/>
        <v>0.99502487562189068</v>
      </c>
      <c r="AD14" s="198">
        <f t="shared" si="0"/>
        <v>0.99502487562189068</v>
      </c>
      <c r="AE14" s="198">
        <f t="shared" si="0"/>
        <v>0.99502487562189068</v>
      </c>
      <c r="AF14" s="198">
        <f t="shared" si="0"/>
        <v>0.99502487562189068</v>
      </c>
      <c r="AG14" s="198">
        <f t="shared" si="0"/>
        <v>0.99502487562189068</v>
      </c>
      <c r="AH14" s="198">
        <f t="shared" si="0"/>
        <v>0.99502487562189068</v>
      </c>
      <c r="AI14" s="198">
        <f t="shared" si="0"/>
        <v>0.99502487562189068</v>
      </c>
      <c r="AJ14" s="198">
        <f t="shared" si="0"/>
        <v>0.99502487562189068</v>
      </c>
      <c r="AK14" s="198">
        <f t="shared" si="0"/>
        <v>0.99502487562189068</v>
      </c>
      <c r="AL14" s="198">
        <f t="shared" si="0"/>
        <v>0.99007450310635903</v>
      </c>
      <c r="AM14" s="198">
        <f t="shared" si="0"/>
        <v>0.99007450310635903</v>
      </c>
      <c r="AN14" s="198">
        <f t="shared" si="0"/>
        <v>0.99007450310635903</v>
      </c>
      <c r="AO14" s="198">
        <f t="shared" si="0"/>
        <v>0.99007450310635903</v>
      </c>
      <c r="AP14" s="198">
        <f t="shared" ref="AP14:BU14" si="1" xml:space="preserve"> IF( AP13 = 1, 1 / ((1 + $F11) ^ (AP12 - 1)), 0)</f>
        <v>0.99007450310635903</v>
      </c>
      <c r="AQ14" s="198">
        <f t="shared" si="1"/>
        <v>0.99007450310635903</v>
      </c>
      <c r="AR14" s="198">
        <f t="shared" si="1"/>
        <v>0.99007450310635903</v>
      </c>
      <c r="AS14" s="198">
        <f t="shared" si="1"/>
        <v>0.99007450310635903</v>
      </c>
      <c r="AT14" s="198">
        <f t="shared" si="1"/>
        <v>0.99007450310635903</v>
      </c>
      <c r="AU14" s="198">
        <f t="shared" si="1"/>
        <v>0.99007450310635903</v>
      </c>
      <c r="AV14" s="198">
        <f t="shared" si="1"/>
        <v>0.99007450310635903</v>
      </c>
      <c r="AW14" s="198">
        <f t="shared" si="1"/>
        <v>0.99007450310635903</v>
      </c>
      <c r="AX14" s="198">
        <f t="shared" si="1"/>
        <v>0.98514875930981005</v>
      </c>
      <c r="AY14" s="198">
        <f t="shared" si="1"/>
        <v>0.98514875930981005</v>
      </c>
      <c r="AZ14" s="198">
        <f t="shared" si="1"/>
        <v>0.98514875930981005</v>
      </c>
      <c r="BA14" s="198">
        <f t="shared" si="1"/>
        <v>0.98514875930981005</v>
      </c>
      <c r="BB14" s="198">
        <f t="shared" si="1"/>
        <v>0.98514875930981005</v>
      </c>
      <c r="BC14" s="198">
        <f t="shared" si="1"/>
        <v>0.98514875930981005</v>
      </c>
      <c r="BD14" s="198">
        <f t="shared" si="1"/>
        <v>0.98514875930981005</v>
      </c>
      <c r="BE14" s="198">
        <f t="shared" si="1"/>
        <v>0.98514875930981005</v>
      </c>
      <c r="BF14" s="198">
        <f t="shared" si="1"/>
        <v>0.98514875930981005</v>
      </c>
      <c r="BG14" s="198">
        <f t="shared" si="1"/>
        <v>0.98514875930981005</v>
      </c>
      <c r="BH14" s="198">
        <f t="shared" si="1"/>
        <v>0.98514875930981005</v>
      </c>
      <c r="BI14" s="198">
        <f t="shared" si="1"/>
        <v>0.98514875930981005</v>
      </c>
      <c r="BJ14" s="198">
        <f t="shared" si="1"/>
        <v>0.9802475217013038</v>
      </c>
      <c r="BK14" s="198">
        <f t="shared" si="1"/>
        <v>0.9802475217013038</v>
      </c>
      <c r="BL14" s="198">
        <f t="shared" si="1"/>
        <v>0.9802475217013038</v>
      </c>
      <c r="BM14" s="198">
        <f t="shared" si="1"/>
        <v>0.9802475217013038</v>
      </c>
      <c r="BN14" s="198">
        <f t="shared" si="1"/>
        <v>0.9802475217013038</v>
      </c>
      <c r="BO14" s="198">
        <f t="shared" si="1"/>
        <v>0.9802475217013038</v>
      </c>
      <c r="BP14" s="198">
        <f t="shared" si="1"/>
        <v>0.9802475217013038</v>
      </c>
      <c r="BQ14" s="198">
        <f t="shared" si="1"/>
        <v>0.9802475217013038</v>
      </c>
      <c r="BR14" s="198">
        <f t="shared" si="1"/>
        <v>0.9802475217013038</v>
      </c>
      <c r="BS14" s="198">
        <f t="shared" si="1"/>
        <v>0.9802475217013038</v>
      </c>
      <c r="BT14" s="198">
        <f t="shared" si="1"/>
        <v>0.9802475217013038</v>
      </c>
      <c r="BU14" s="198">
        <f t="shared" si="1"/>
        <v>0.9802475217013038</v>
      </c>
      <c r="BV14" s="198">
        <f t="shared" ref="BV14:CD14" si="2" xml:space="preserve"> IF( BV13 = 1, 1 / ((1 + $F11) ^ (BV12 - 1)), 0)</f>
        <v>0</v>
      </c>
      <c r="BW14" s="198">
        <f t="shared" si="2"/>
        <v>0</v>
      </c>
      <c r="BX14" s="198">
        <f t="shared" si="2"/>
        <v>0</v>
      </c>
      <c r="BY14" s="198">
        <f t="shared" si="2"/>
        <v>0</v>
      </c>
      <c r="BZ14" s="198">
        <f t="shared" si="2"/>
        <v>0</v>
      </c>
      <c r="CA14" s="198">
        <f t="shared" si="2"/>
        <v>0</v>
      </c>
      <c r="CB14" s="198">
        <f t="shared" si="2"/>
        <v>0</v>
      </c>
      <c r="CC14" s="198">
        <f t="shared" si="2"/>
        <v>0</v>
      </c>
      <c r="CD14" s="198">
        <f t="shared" si="2"/>
        <v>0</v>
      </c>
    </row>
    <row r="15" spans="1:82" outlineLevel="1" x14ac:dyDescent="0.35"/>
    <row r="16" spans="1:82" outlineLevel="1" x14ac:dyDescent="0.35">
      <c r="B16" s="8" t="s">
        <v>152</v>
      </c>
    </row>
    <row r="17" spans="1:82" outlineLevel="2" x14ac:dyDescent="0.35">
      <c r="E17" s="348" t="str">
        <f xml:space="preserve"> InpC!E$26</f>
        <v>January</v>
      </c>
      <c r="F17" s="348">
        <f xml:space="preserve"> InpC!F$26</f>
        <v>3.5112117879781773E-2</v>
      </c>
      <c r="G17" s="348" t="str">
        <f xml:space="preserve"> InpC!G$26</f>
        <v>% of annual yield</v>
      </c>
    </row>
    <row r="18" spans="1:82" outlineLevel="2" x14ac:dyDescent="0.35">
      <c r="E18" s="348" t="str">
        <f xml:space="preserve"> InpC!E$27</f>
        <v xml:space="preserve">February </v>
      </c>
      <c r="F18" s="348">
        <f xml:space="preserve"> InpC!F$27</f>
        <v>4.7E-2</v>
      </c>
      <c r="G18" s="348" t="str">
        <f xml:space="preserve"> InpC!G$27</f>
        <v>% of annual yield</v>
      </c>
    </row>
    <row r="19" spans="1:82" outlineLevel="2" x14ac:dyDescent="0.35">
      <c r="E19" s="348" t="str">
        <f xml:space="preserve"> InpC!E$28</f>
        <v>March</v>
      </c>
      <c r="F19" s="348">
        <f xml:space="preserve"> InpC!F$28</f>
        <v>5.1999999999999998E-2</v>
      </c>
      <c r="G19" s="348" t="str">
        <f xml:space="preserve"> InpC!G$28</f>
        <v>% of annual yield</v>
      </c>
    </row>
    <row r="20" spans="1:82" outlineLevel="2" x14ac:dyDescent="0.35">
      <c r="E20" s="348" t="str">
        <f xml:space="preserve"> InpC!E$29</f>
        <v>April</v>
      </c>
      <c r="F20" s="348">
        <f xml:space="preserve"> InpC!F$29</f>
        <v>7.0999999999999994E-2</v>
      </c>
      <c r="G20" s="348" t="str">
        <f xml:space="preserve"> InpC!G$29</f>
        <v>% of annual yield</v>
      </c>
    </row>
    <row r="21" spans="1:82" outlineLevel="2" x14ac:dyDescent="0.35">
      <c r="E21" s="348" t="str">
        <f xml:space="preserve"> InpC!E$30</f>
        <v>May</v>
      </c>
      <c r="F21" s="348">
        <f xml:space="preserve"> InpC!F$30</f>
        <v>9.0999999999999998E-2</v>
      </c>
      <c r="G21" s="348" t="str">
        <f xml:space="preserve"> InpC!G$30</f>
        <v>% of annual yield</v>
      </c>
    </row>
    <row r="22" spans="1:82" outlineLevel="2" x14ac:dyDescent="0.35">
      <c r="E22" s="348" t="str">
        <f xml:space="preserve"> InpC!E$31</f>
        <v>June</v>
      </c>
      <c r="F22" s="348">
        <f xml:space="preserve"> InpC!F$31</f>
        <v>0.10199999999999999</v>
      </c>
      <c r="G22" s="348" t="str">
        <f xml:space="preserve"> InpC!G$31</f>
        <v>% of annual yield</v>
      </c>
    </row>
    <row r="23" spans="1:82" outlineLevel="2" x14ac:dyDescent="0.35">
      <c r="E23" s="348" t="str">
        <f xml:space="preserve"> InpC!E$32</f>
        <v>July</v>
      </c>
      <c r="F23" s="348">
        <f xml:space="preserve"> InpC!F$32</f>
        <v>0.1238878821202184</v>
      </c>
      <c r="G23" s="348" t="str">
        <f xml:space="preserve"> InpC!G$32</f>
        <v>% of annual yield</v>
      </c>
    </row>
    <row r="24" spans="1:82" outlineLevel="2" x14ac:dyDescent="0.35">
      <c r="E24" s="348" t="str">
        <f xml:space="preserve"> InpC!E$33</f>
        <v>August</v>
      </c>
      <c r="F24" s="348">
        <f xml:space="preserve"> InpC!F$33</f>
        <v>0.14199999999999999</v>
      </c>
      <c r="G24" s="348" t="str">
        <f xml:space="preserve"> InpC!G$33</f>
        <v>% of annual yield</v>
      </c>
    </row>
    <row r="25" spans="1:82" outlineLevel="2" x14ac:dyDescent="0.35">
      <c r="E25" s="348" t="str">
        <f xml:space="preserve"> InpC!E$34</f>
        <v>September</v>
      </c>
      <c r="F25" s="348">
        <f xml:space="preserve"> InpC!F$34</f>
        <v>0.13200000000000001</v>
      </c>
      <c r="G25" s="348" t="str">
        <f xml:space="preserve"> InpC!G$34</f>
        <v>% of annual yield</v>
      </c>
    </row>
    <row r="26" spans="1:82" outlineLevel="2" x14ac:dyDescent="0.35">
      <c r="E26" s="348" t="str">
        <f xml:space="preserve"> InpC!E$35</f>
        <v>October</v>
      </c>
      <c r="F26" s="348">
        <f xml:space="preserve"> InpC!F$35</f>
        <v>0.10199999999999999</v>
      </c>
      <c r="G26" s="348" t="str">
        <f xml:space="preserve"> InpC!G$35</f>
        <v>% of annual yield</v>
      </c>
    </row>
    <row r="27" spans="1:82" outlineLevel="2" x14ac:dyDescent="0.35">
      <c r="E27" s="348" t="str">
        <f xml:space="preserve"> InpC!E$36</f>
        <v>November</v>
      </c>
      <c r="F27" s="348">
        <f xml:space="preserve"> InpC!F$36</f>
        <v>6.0999999999999999E-2</v>
      </c>
      <c r="G27" s="348" t="str">
        <f xml:space="preserve"> InpC!G$36</f>
        <v>% of annual yield</v>
      </c>
    </row>
    <row r="28" spans="1:82" s="173" customFormat="1" outlineLevel="2" x14ac:dyDescent="0.35">
      <c r="A28" s="172"/>
      <c r="B28" s="172"/>
      <c r="C28" s="349"/>
      <c r="D28" s="52"/>
      <c r="E28" s="350" t="str">
        <f xml:space="preserve"> InpC!E$37</f>
        <v>December</v>
      </c>
      <c r="F28" s="350">
        <f xml:space="preserve"> InpC!F$37</f>
        <v>4.1000000000000002E-2</v>
      </c>
      <c r="G28" s="350" t="str">
        <f xml:space="preserve"> InpC!G$37</f>
        <v>% of annual yield</v>
      </c>
      <c r="H28" s="171"/>
      <c r="I28" s="5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</row>
    <row r="29" spans="1:82" outlineLevel="2" x14ac:dyDescent="0.35">
      <c r="E29" s="93" t="str">
        <f xml:space="preserve"> Time!E$126</f>
        <v>Month number</v>
      </c>
      <c r="F29" s="93">
        <f xml:space="preserve"> Time!F$126</f>
        <v>0</v>
      </c>
      <c r="G29" s="93" t="str">
        <f xml:space="preserve"> Time!G$126</f>
        <v>month</v>
      </c>
      <c r="H29" s="93">
        <f xml:space="preserve"> Time!H$126</f>
        <v>0</v>
      </c>
      <c r="I29" s="93">
        <f xml:space="preserve"> Time!I$126</f>
        <v>0</v>
      </c>
      <c r="J29" s="93">
        <f xml:space="preserve"> Time!J$126</f>
        <v>12</v>
      </c>
      <c r="K29" s="93">
        <f xml:space="preserve"> Time!K$126</f>
        <v>1</v>
      </c>
      <c r="L29" s="93">
        <f xml:space="preserve"> Time!L$126</f>
        <v>2</v>
      </c>
      <c r="M29" s="93">
        <f xml:space="preserve"> Time!M$126</f>
        <v>3</v>
      </c>
      <c r="N29" s="93">
        <f xml:space="preserve"> Time!N$126</f>
        <v>4</v>
      </c>
      <c r="O29" s="93">
        <f xml:space="preserve"> Time!O$126</f>
        <v>5</v>
      </c>
      <c r="P29" s="93">
        <f xml:space="preserve"> Time!P$126</f>
        <v>6</v>
      </c>
      <c r="Q29" s="93">
        <f xml:space="preserve"> Time!Q$126</f>
        <v>7</v>
      </c>
      <c r="R29" s="93">
        <f xml:space="preserve"> Time!R$126</f>
        <v>8</v>
      </c>
      <c r="S29" s="93">
        <f xml:space="preserve"> Time!S$126</f>
        <v>9</v>
      </c>
      <c r="T29" s="93">
        <f xml:space="preserve"> Time!T$126</f>
        <v>10</v>
      </c>
      <c r="U29" s="93">
        <f xml:space="preserve"> Time!U$126</f>
        <v>11</v>
      </c>
      <c r="V29" s="93">
        <f xml:space="preserve"> Time!V$126</f>
        <v>12</v>
      </c>
      <c r="W29" s="93">
        <f xml:space="preserve"> Time!W$126</f>
        <v>1</v>
      </c>
      <c r="X29" s="93">
        <f xml:space="preserve"> Time!X$126</f>
        <v>2</v>
      </c>
      <c r="Y29" s="93">
        <f xml:space="preserve"> Time!Y$126</f>
        <v>3</v>
      </c>
      <c r="Z29" s="93">
        <f xml:space="preserve"> Time!Z$126</f>
        <v>4</v>
      </c>
      <c r="AA29" s="93">
        <f xml:space="preserve"> Time!AA$126</f>
        <v>5</v>
      </c>
      <c r="AB29" s="93">
        <f xml:space="preserve"> Time!AB$126</f>
        <v>6</v>
      </c>
      <c r="AC29" s="93">
        <f xml:space="preserve"> Time!AC$126</f>
        <v>7</v>
      </c>
      <c r="AD29" s="93">
        <f xml:space="preserve"> Time!AD$126</f>
        <v>8</v>
      </c>
      <c r="AE29" s="93">
        <f xml:space="preserve"> Time!AE$126</f>
        <v>9</v>
      </c>
      <c r="AF29" s="93">
        <f xml:space="preserve"> Time!AF$126</f>
        <v>10</v>
      </c>
      <c r="AG29" s="93">
        <f xml:space="preserve"> Time!AG$126</f>
        <v>11</v>
      </c>
      <c r="AH29" s="93">
        <f xml:space="preserve"> Time!AH$126</f>
        <v>12</v>
      </c>
      <c r="AI29" s="93">
        <f xml:space="preserve"> Time!AI$126</f>
        <v>1</v>
      </c>
      <c r="AJ29" s="93">
        <f xml:space="preserve"> Time!AJ$126</f>
        <v>2</v>
      </c>
      <c r="AK29" s="93">
        <f xml:space="preserve"> Time!AK$126</f>
        <v>3</v>
      </c>
      <c r="AL29" s="93">
        <f xml:space="preserve"> Time!AL$126</f>
        <v>4</v>
      </c>
      <c r="AM29" s="93">
        <f xml:space="preserve"> Time!AM$126</f>
        <v>5</v>
      </c>
      <c r="AN29" s="93">
        <f xml:space="preserve"> Time!AN$126</f>
        <v>6</v>
      </c>
      <c r="AO29" s="93">
        <f xml:space="preserve"> Time!AO$126</f>
        <v>7</v>
      </c>
      <c r="AP29" s="93">
        <f xml:space="preserve"> Time!AP$126</f>
        <v>8</v>
      </c>
      <c r="AQ29" s="93">
        <f xml:space="preserve"> Time!AQ$126</f>
        <v>9</v>
      </c>
      <c r="AR29" s="93">
        <f xml:space="preserve"> Time!AR$126</f>
        <v>10</v>
      </c>
      <c r="AS29" s="93">
        <f xml:space="preserve"> Time!AS$126</f>
        <v>11</v>
      </c>
      <c r="AT29" s="93">
        <f xml:space="preserve"> Time!AT$126</f>
        <v>12</v>
      </c>
      <c r="AU29" s="93">
        <f xml:space="preserve"> Time!AU$126</f>
        <v>1</v>
      </c>
      <c r="AV29" s="93">
        <f xml:space="preserve"> Time!AV$126</f>
        <v>2</v>
      </c>
      <c r="AW29" s="93">
        <f xml:space="preserve"> Time!AW$126</f>
        <v>3</v>
      </c>
      <c r="AX29" s="93">
        <f xml:space="preserve"> Time!AX$126</f>
        <v>4</v>
      </c>
      <c r="AY29" s="93">
        <f xml:space="preserve"> Time!AY$126</f>
        <v>5</v>
      </c>
      <c r="AZ29" s="93">
        <f xml:space="preserve"> Time!AZ$126</f>
        <v>6</v>
      </c>
      <c r="BA29" s="93">
        <f xml:space="preserve"> Time!BA$126</f>
        <v>7</v>
      </c>
      <c r="BB29" s="93">
        <f xml:space="preserve"> Time!BB$126</f>
        <v>8</v>
      </c>
      <c r="BC29" s="93">
        <f xml:space="preserve"> Time!BC$126</f>
        <v>9</v>
      </c>
      <c r="BD29" s="93">
        <f xml:space="preserve"> Time!BD$126</f>
        <v>10</v>
      </c>
      <c r="BE29" s="93">
        <f xml:space="preserve"> Time!BE$126</f>
        <v>11</v>
      </c>
      <c r="BF29" s="93">
        <f xml:space="preserve"> Time!BF$126</f>
        <v>12</v>
      </c>
      <c r="BG29" s="93">
        <f xml:space="preserve"> Time!BG$126</f>
        <v>1</v>
      </c>
      <c r="BH29" s="93">
        <f xml:space="preserve"> Time!BH$126</f>
        <v>2</v>
      </c>
      <c r="BI29" s="93">
        <f xml:space="preserve"> Time!BI$126</f>
        <v>3</v>
      </c>
      <c r="BJ29" s="93">
        <f xml:space="preserve"> Time!BJ$126</f>
        <v>4</v>
      </c>
      <c r="BK29" s="93">
        <f xml:space="preserve"> Time!BK$126</f>
        <v>5</v>
      </c>
      <c r="BL29" s="93">
        <f xml:space="preserve"> Time!BL$126</f>
        <v>6</v>
      </c>
      <c r="BM29" s="93">
        <f xml:space="preserve"> Time!BM$126</f>
        <v>7</v>
      </c>
      <c r="BN29" s="93">
        <f xml:space="preserve"> Time!BN$126</f>
        <v>8</v>
      </c>
      <c r="BO29" s="93">
        <f xml:space="preserve"> Time!BO$126</f>
        <v>9</v>
      </c>
      <c r="BP29" s="93">
        <f xml:space="preserve"> Time!BP$126</f>
        <v>10</v>
      </c>
      <c r="BQ29" s="93">
        <f xml:space="preserve"> Time!BQ$126</f>
        <v>11</v>
      </c>
      <c r="BR29" s="93">
        <f xml:space="preserve"> Time!BR$126</f>
        <v>12</v>
      </c>
      <c r="BS29" s="93">
        <f xml:space="preserve"> Time!BS$126</f>
        <v>1</v>
      </c>
      <c r="BT29" s="93">
        <f xml:space="preserve"> Time!BT$126</f>
        <v>2</v>
      </c>
      <c r="BU29" s="93">
        <f xml:space="preserve"> Time!BU$126</f>
        <v>3</v>
      </c>
      <c r="BV29" s="93">
        <f xml:space="preserve"> Time!BV$126</f>
        <v>4</v>
      </c>
      <c r="BW29" s="93">
        <f xml:space="preserve"> Time!BW$126</f>
        <v>5</v>
      </c>
      <c r="BX29" s="93">
        <f xml:space="preserve"> Time!BX$126</f>
        <v>6</v>
      </c>
      <c r="BY29" s="93">
        <f xml:space="preserve"> Time!BY$126</f>
        <v>7</v>
      </c>
      <c r="BZ29" s="93">
        <f xml:space="preserve"> Time!BZ$126</f>
        <v>8</v>
      </c>
      <c r="CA29" s="93">
        <f xml:space="preserve"> Time!CA$126</f>
        <v>9</v>
      </c>
      <c r="CB29" s="93">
        <f xml:space="preserve"> Time!CB$126</f>
        <v>10</v>
      </c>
      <c r="CC29" s="93">
        <f xml:space="preserve"> Time!CC$126</f>
        <v>11</v>
      </c>
      <c r="CD29" s="93">
        <f xml:space="preserve"> Time!CD$126</f>
        <v>12</v>
      </c>
    </row>
    <row r="30" spans="1:82" s="173" customFormat="1" outlineLevel="2" x14ac:dyDescent="0.35">
      <c r="A30" s="172"/>
      <c r="B30" s="172"/>
      <c r="C30" s="349"/>
      <c r="D30" s="52"/>
      <c r="E30" s="171" t="s">
        <v>152</v>
      </c>
      <c r="F30" s="171"/>
      <c r="G30" s="171" t="s">
        <v>151</v>
      </c>
      <c r="H30" s="171"/>
      <c r="I30" s="51"/>
      <c r="J30" s="171">
        <f t="shared" ref="J30:AO30" si="3" xml:space="preserve"> INDEX($F17:$F28, J29)</f>
        <v>4.1000000000000002E-2</v>
      </c>
      <c r="K30" s="171">
        <f t="shared" si="3"/>
        <v>3.5112117879781773E-2</v>
      </c>
      <c r="L30" s="171">
        <f t="shared" si="3"/>
        <v>4.7E-2</v>
      </c>
      <c r="M30" s="171">
        <f t="shared" si="3"/>
        <v>5.1999999999999998E-2</v>
      </c>
      <c r="N30" s="171">
        <f t="shared" si="3"/>
        <v>7.0999999999999994E-2</v>
      </c>
      <c r="O30" s="171">
        <f t="shared" si="3"/>
        <v>9.0999999999999998E-2</v>
      </c>
      <c r="P30" s="171">
        <f t="shared" si="3"/>
        <v>0.10199999999999999</v>
      </c>
      <c r="Q30" s="171">
        <f t="shared" si="3"/>
        <v>0.1238878821202184</v>
      </c>
      <c r="R30" s="171">
        <f t="shared" si="3"/>
        <v>0.14199999999999999</v>
      </c>
      <c r="S30" s="171">
        <f t="shared" si="3"/>
        <v>0.13200000000000001</v>
      </c>
      <c r="T30" s="171">
        <f t="shared" si="3"/>
        <v>0.10199999999999999</v>
      </c>
      <c r="U30" s="171">
        <f t="shared" si="3"/>
        <v>6.0999999999999999E-2</v>
      </c>
      <c r="V30" s="171">
        <f t="shared" si="3"/>
        <v>4.1000000000000002E-2</v>
      </c>
      <c r="W30" s="171">
        <f t="shared" si="3"/>
        <v>3.5112117879781773E-2</v>
      </c>
      <c r="X30" s="171">
        <f t="shared" si="3"/>
        <v>4.7E-2</v>
      </c>
      <c r="Y30" s="171">
        <f t="shared" si="3"/>
        <v>5.1999999999999998E-2</v>
      </c>
      <c r="Z30" s="171">
        <f t="shared" si="3"/>
        <v>7.0999999999999994E-2</v>
      </c>
      <c r="AA30" s="171">
        <f t="shared" si="3"/>
        <v>9.0999999999999998E-2</v>
      </c>
      <c r="AB30" s="171">
        <f t="shared" si="3"/>
        <v>0.10199999999999999</v>
      </c>
      <c r="AC30" s="171">
        <f t="shared" si="3"/>
        <v>0.1238878821202184</v>
      </c>
      <c r="AD30" s="171">
        <f t="shared" si="3"/>
        <v>0.14199999999999999</v>
      </c>
      <c r="AE30" s="171">
        <f t="shared" si="3"/>
        <v>0.13200000000000001</v>
      </c>
      <c r="AF30" s="171">
        <f t="shared" si="3"/>
        <v>0.10199999999999999</v>
      </c>
      <c r="AG30" s="171">
        <f t="shared" si="3"/>
        <v>6.0999999999999999E-2</v>
      </c>
      <c r="AH30" s="171">
        <f t="shared" si="3"/>
        <v>4.1000000000000002E-2</v>
      </c>
      <c r="AI30" s="171">
        <f t="shared" si="3"/>
        <v>3.5112117879781773E-2</v>
      </c>
      <c r="AJ30" s="171">
        <f t="shared" si="3"/>
        <v>4.7E-2</v>
      </c>
      <c r="AK30" s="171">
        <f t="shared" si="3"/>
        <v>5.1999999999999998E-2</v>
      </c>
      <c r="AL30" s="171">
        <f t="shared" si="3"/>
        <v>7.0999999999999994E-2</v>
      </c>
      <c r="AM30" s="171">
        <f t="shared" si="3"/>
        <v>9.0999999999999998E-2</v>
      </c>
      <c r="AN30" s="171">
        <f t="shared" si="3"/>
        <v>0.10199999999999999</v>
      </c>
      <c r="AO30" s="171">
        <f t="shared" si="3"/>
        <v>0.1238878821202184</v>
      </c>
      <c r="AP30" s="171">
        <f t="shared" ref="AP30:BU30" si="4" xml:space="preserve"> INDEX($F17:$F28, AP29)</f>
        <v>0.14199999999999999</v>
      </c>
      <c r="AQ30" s="171">
        <f t="shared" si="4"/>
        <v>0.13200000000000001</v>
      </c>
      <c r="AR30" s="171">
        <f t="shared" si="4"/>
        <v>0.10199999999999999</v>
      </c>
      <c r="AS30" s="171">
        <f t="shared" si="4"/>
        <v>6.0999999999999999E-2</v>
      </c>
      <c r="AT30" s="171">
        <f t="shared" si="4"/>
        <v>4.1000000000000002E-2</v>
      </c>
      <c r="AU30" s="171">
        <f t="shared" si="4"/>
        <v>3.5112117879781773E-2</v>
      </c>
      <c r="AV30" s="171">
        <f t="shared" si="4"/>
        <v>4.7E-2</v>
      </c>
      <c r="AW30" s="171">
        <f t="shared" si="4"/>
        <v>5.1999999999999998E-2</v>
      </c>
      <c r="AX30" s="171">
        <f t="shared" si="4"/>
        <v>7.0999999999999994E-2</v>
      </c>
      <c r="AY30" s="171">
        <f t="shared" si="4"/>
        <v>9.0999999999999998E-2</v>
      </c>
      <c r="AZ30" s="171">
        <f t="shared" si="4"/>
        <v>0.10199999999999999</v>
      </c>
      <c r="BA30" s="171">
        <f t="shared" si="4"/>
        <v>0.1238878821202184</v>
      </c>
      <c r="BB30" s="171">
        <f t="shared" si="4"/>
        <v>0.14199999999999999</v>
      </c>
      <c r="BC30" s="171">
        <f t="shared" si="4"/>
        <v>0.13200000000000001</v>
      </c>
      <c r="BD30" s="171">
        <f t="shared" si="4"/>
        <v>0.10199999999999999</v>
      </c>
      <c r="BE30" s="171">
        <f t="shared" si="4"/>
        <v>6.0999999999999999E-2</v>
      </c>
      <c r="BF30" s="171">
        <f t="shared" si="4"/>
        <v>4.1000000000000002E-2</v>
      </c>
      <c r="BG30" s="171">
        <f t="shared" si="4"/>
        <v>3.5112117879781773E-2</v>
      </c>
      <c r="BH30" s="171">
        <f t="shared" si="4"/>
        <v>4.7E-2</v>
      </c>
      <c r="BI30" s="171">
        <f t="shared" si="4"/>
        <v>5.1999999999999998E-2</v>
      </c>
      <c r="BJ30" s="171">
        <f t="shared" si="4"/>
        <v>7.0999999999999994E-2</v>
      </c>
      <c r="BK30" s="171">
        <f t="shared" si="4"/>
        <v>9.0999999999999998E-2</v>
      </c>
      <c r="BL30" s="171">
        <f t="shared" si="4"/>
        <v>0.10199999999999999</v>
      </c>
      <c r="BM30" s="171">
        <f t="shared" si="4"/>
        <v>0.1238878821202184</v>
      </c>
      <c r="BN30" s="171">
        <f t="shared" si="4"/>
        <v>0.14199999999999999</v>
      </c>
      <c r="BO30" s="171">
        <f t="shared" si="4"/>
        <v>0.13200000000000001</v>
      </c>
      <c r="BP30" s="171">
        <f t="shared" si="4"/>
        <v>0.10199999999999999</v>
      </c>
      <c r="BQ30" s="171">
        <f t="shared" si="4"/>
        <v>6.0999999999999999E-2</v>
      </c>
      <c r="BR30" s="171">
        <f t="shared" si="4"/>
        <v>4.1000000000000002E-2</v>
      </c>
      <c r="BS30" s="171">
        <f t="shared" si="4"/>
        <v>3.5112117879781773E-2</v>
      </c>
      <c r="BT30" s="171">
        <f t="shared" si="4"/>
        <v>4.7E-2</v>
      </c>
      <c r="BU30" s="171">
        <f t="shared" si="4"/>
        <v>5.1999999999999998E-2</v>
      </c>
      <c r="BV30" s="171">
        <f t="shared" ref="BV30:CD30" si="5" xml:space="preserve"> INDEX($F17:$F28, BV29)</f>
        <v>7.0999999999999994E-2</v>
      </c>
      <c r="BW30" s="171">
        <f t="shared" si="5"/>
        <v>9.0999999999999998E-2</v>
      </c>
      <c r="BX30" s="171">
        <f t="shared" si="5"/>
        <v>0.10199999999999999</v>
      </c>
      <c r="BY30" s="171">
        <f t="shared" si="5"/>
        <v>0.1238878821202184</v>
      </c>
      <c r="BZ30" s="171">
        <f t="shared" si="5"/>
        <v>0.14199999999999999</v>
      </c>
      <c r="CA30" s="171">
        <f t="shared" si="5"/>
        <v>0.13200000000000001</v>
      </c>
      <c r="CB30" s="171">
        <f t="shared" si="5"/>
        <v>0.10199999999999999</v>
      </c>
      <c r="CC30" s="171">
        <f t="shared" si="5"/>
        <v>6.0999999999999999E-2</v>
      </c>
      <c r="CD30" s="171">
        <f t="shared" si="5"/>
        <v>4.1000000000000002E-2</v>
      </c>
    </row>
    <row r="31" spans="1:82" outlineLevel="2" x14ac:dyDescent="0.35"/>
    <row r="32" spans="1:82" outlineLevel="1" x14ac:dyDescent="0.35"/>
    <row r="33" spans="1:82" outlineLevel="1" x14ac:dyDescent="0.35">
      <c r="B33" s="8" t="s">
        <v>153</v>
      </c>
    </row>
    <row r="34" spans="1:82" outlineLevel="2" x14ac:dyDescent="0.35">
      <c r="A34" s="138"/>
      <c r="B34" s="138"/>
      <c r="C34" s="139"/>
      <c r="D34" s="140"/>
      <c r="E34" s="296" t="str">
        <f xml:space="preserve"> InpC!E$41</f>
        <v>Year 1 P50 yield</v>
      </c>
      <c r="F34" s="296">
        <f xml:space="preserve"> InpC!F$41</f>
        <v>250</v>
      </c>
      <c r="G34" s="296" t="str">
        <f xml:space="preserve"> InpC!G$41</f>
        <v>GWh</v>
      </c>
      <c r="H34" s="170"/>
      <c r="I34" s="137"/>
      <c r="J34" s="137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  <c r="BX34" s="136"/>
      <c r="BY34" s="136"/>
      <c r="BZ34" s="136"/>
      <c r="CA34" s="136"/>
      <c r="CB34" s="136"/>
      <c r="CC34" s="136"/>
      <c r="CD34" s="136"/>
    </row>
    <row r="35" spans="1:82" outlineLevel="2" x14ac:dyDescent="0.35">
      <c r="A35" s="138"/>
      <c r="B35" s="138"/>
      <c r="C35" s="139"/>
      <c r="D35" s="140"/>
      <c r="E35" s="308" t="str">
        <f xml:space="preserve"> InpC!E$42</f>
        <v xml:space="preserve">Availability </v>
      </c>
      <c r="F35" s="308">
        <f xml:space="preserve"> InpC!F$42</f>
        <v>0.97</v>
      </c>
      <c r="G35" s="308" t="str">
        <f xml:space="preserve"> InpC!G$42</f>
        <v>%</v>
      </c>
      <c r="H35" s="170"/>
      <c r="I35" s="137"/>
      <c r="J35" s="137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  <c r="BX35" s="136"/>
      <c r="BY35" s="136"/>
      <c r="BZ35" s="136"/>
      <c r="CA35" s="136"/>
      <c r="CB35" s="136"/>
      <c r="CC35" s="136"/>
      <c r="CD35" s="136"/>
    </row>
    <row r="36" spans="1:82" outlineLevel="2" x14ac:dyDescent="0.35">
      <c r="A36" s="304"/>
      <c r="B36" s="304"/>
      <c r="C36" s="305"/>
      <c r="D36" s="197"/>
      <c r="E36" s="171" t="str">
        <f t="shared" ref="E36:AJ36" si="6" xml:space="preserve"> E$14</f>
        <v>Compound degradation</v>
      </c>
      <c r="F36" s="171">
        <f t="shared" si="6"/>
        <v>0</v>
      </c>
      <c r="G36" s="171" t="str">
        <f t="shared" si="6"/>
        <v>%</v>
      </c>
      <c r="H36" s="171">
        <f t="shared" si="6"/>
        <v>0</v>
      </c>
      <c r="I36" s="171">
        <f t="shared" si="6"/>
        <v>0</v>
      </c>
      <c r="J36" s="171">
        <f t="shared" si="6"/>
        <v>0</v>
      </c>
      <c r="K36" s="171">
        <f t="shared" si="6"/>
        <v>0</v>
      </c>
      <c r="L36" s="171">
        <f t="shared" si="6"/>
        <v>0</v>
      </c>
      <c r="M36" s="171">
        <f t="shared" si="6"/>
        <v>0</v>
      </c>
      <c r="N36" s="171">
        <f t="shared" si="6"/>
        <v>1</v>
      </c>
      <c r="O36" s="171">
        <f t="shared" si="6"/>
        <v>1</v>
      </c>
      <c r="P36" s="171">
        <f t="shared" si="6"/>
        <v>1</v>
      </c>
      <c r="Q36" s="171">
        <f t="shared" si="6"/>
        <v>1</v>
      </c>
      <c r="R36" s="171">
        <f t="shared" si="6"/>
        <v>1</v>
      </c>
      <c r="S36" s="171">
        <f t="shared" si="6"/>
        <v>1</v>
      </c>
      <c r="T36" s="171">
        <f t="shared" si="6"/>
        <v>1</v>
      </c>
      <c r="U36" s="171">
        <f t="shared" si="6"/>
        <v>1</v>
      </c>
      <c r="V36" s="171">
        <f t="shared" si="6"/>
        <v>1</v>
      </c>
      <c r="W36" s="171">
        <f t="shared" si="6"/>
        <v>1</v>
      </c>
      <c r="X36" s="171">
        <f t="shared" si="6"/>
        <v>1</v>
      </c>
      <c r="Y36" s="171">
        <f t="shared" si="6"/>
        <v>1</v>
      </c>
      <c r="Z36" s="171">
        <f t="shared" si="6"/>
        <v>0.99502487562189068</v>
      </c>
      <c r="AA36" s="171">
        <f t="shared" si="6"/>
        <v>0.99502487562189068</v>
      </c>
      <c r="AB36" s="171">
        <f t="shared" si="6"/>
        <v>0.99502487562189068</v>
      </c>
      <c r="AC36" s="171">
        <f t="shared" si="6"/>
        <v>0.99502487562189068</v>
      </c>
      <c r="AD36" s="171">
        <f t="shared" si="6"/>
        <v>0.99502487562189068</v>
      </c>
      <c r="AE36" s="171">
        <f t="shared" si="6"/>
        <v>0.99502487562189068</v>
      </c>
      <c r="AF36" s="171">
        <f t="shared" si="6"/>
        <v>0.99502487562189068</v>
      </c>
      <c r="AG36" s="171">
        <f t="shared" si="6"/>
        <v>0.99502487562189068</v>
      </c>
      <c r="AH36" s="171">
        <f t="shared" si="6"/>
        <v>0.99502487562189068</v>
      </c>
      <c r="AI36" s="171">
        <f t="shared" si="6"/>
        <v>0.99502487562189068</v>
      </c>
      <c r="AJ36" s="171">
        <f t="shared" si="6"/>
        <v>0.99502487562189068</v>
      </c>
      <c r="AK36" s="171">
        <f t="shared" ref="AK36:BP36" si="7" xml:space="preserve"> AK$14</f>
        <v>0.99502487562189068</v>
      </c>
      <c r="AL36" s="171">
        <f t="shared" si="7"/>
        <v>0.99007450310635903</v>
      </c>
      <c r="AM36" s="171">
        <f t="shared" si="7"/>
        <v>0.99007450310635903</v>
      </c>
      <c r="AN36" s="171">
        <f t="shared" si="7"/>
        <v>0.99007450310635903</v>
      </c>
      <c r="AO36" s="171">
        <f t="shared" si="7"/>
        <v>0.99007450310635903</v>
      </c>
      <c r="AP36" s="171">
        <f t="shared" si="7"/>
        <v>0.99007450310635903</v>
      </c>
      <c r="AQ36" s="171">
        <f t="shared" si="7"/>
        <v>0.99007450310635903</v>
      </c>
      <c r="AR36" s="171">
        <f t="shared" si="7"/>
        <v>0.99007450310635903</v>
      </c>
      <c r="AS36" s="171">
        <f t="shared" si="7"/>
        <v>0.99007450310635903</v>
      </c>
      <c r="AT36" s="171">
        <f t="shared" si="7"/>
        <v>0.99007450310635903</v>
      </c>
      <c r="AU36" s="171">
        <f t="shared" si="7"/>
        <v>0.99007450310635903</v>
      </c>
      <c r="AV36" s="171">
        <f t="shared" si="7"/>
        <v>0.99007450310635903</v>
      </c>
      <c r="AW36" s="171">
        <f t="shared" si="7"/>
        <v>0.99007450310635903</v>
      </c>
      <c r="AX36" s="171">
        <f t="shared" si="7"/>
        <v>0.98514875930981005</v>
      </c>
      <c r="AY36" s="171">
        <f t="shared" si="7"/>
        <v>0.98514875930981005</v>
      </c>
      <c r="AZ36" s="171">
        <f t="shared" si="7"/>
        <v>0.98514875930981005</v>
      </c>
      <c r="BA36" s="171">
        <f t="shared" si="7"/>
        <v>0.98514875930981005</v>
      </c>
      <c r="BB36" s="171">
        <f t="shared" si="7"/>
        <v>0.98514875930981005</v>
      </c>
      <c r="BC36" s="171">
        <f t="shared" si="7"/>
        <v>0.98514875930981005</v>
      </c>
      <c r="BD36" s="171">
        <f t="shared" si="7"/>
        <v>0.98514875930981005</v>
      </c>
      <c r="BE36" s="171">
        <f t="shared" si="7"/>
        <v>0.98514875930981005</v>
      </c>
      <c r="BF36" s="171">
        <f t="shared" si="7"/>
        <v>0.98514875930981005</v>
      </c>
      <c r="BG36" s="171">
        <f t="shared" si="7"/>
        <v>0.98514875930981005</v>
      </c>
      <c r="BH36" s="171">
        <f t="shared" si="7"/>
        <v>0.98514875930981005</v>
      </c>
      <c r="BI36" s="171">
        <f t="shared" si="7"/>
        <v>0.98514875930981005</v>
      </c>
      <c r="BJ36" s="171">
        <f t="shared" si="7"/>
        <v>0.9802475217013038</v>
      </c>
      <c r="BK36" s="171">
        <f t="shared" si="7"/>
        <v>0.9802475217013038</v>
      </c>
      <c r="BL36" s="171">
        <f t="shared" si="7"/>
        <v>0.9802475217013038</v>
      </c>
      <c r="BM36" s="171">
        <f t="shared" si="7"/>
        <v>0.9802475217013038</v>
      </c>
      <c r="BN36" s="171">
        <f t="shared" si="7"/>
        <v>0.9802475217013038</v>
      </c>
      <c r="BO36" s="171">
        <f t="shared" si="7"/>
        <v>0.9802475217013038</v>
      </c>
      <c r="BP36" s="171">
        <f t="shared" si="7"/>
        <v>0.9802475217013038</v>
      </c>
      <c r="BQ36" s="171">
        <f t="shared" ref="BQ36:CD36" si="8" xml:space="preserve"> BQ$14</f>
        <v>0.9802475217013038</v>
      </c>
      <c r="BR36" s="171">
        <f t="shared" si="8"/>
        <v>0.9802475217013038</v>
      </c>
      <c r="BS36" s="171">
        <f t="shared" si="8"/>
        <v>0.9802475217013038</v>
      </c>
      <c r="BT36" s="171">
        <f t="shared" si="8"/>
        <v>0.9802475217013038</v>
      </c>
      <c r="BU36" s="171">
        <f t="shared" si="8"/>
        <v>0.9802475217013038</v>
      </c>
      <c r="BV36" s="171">
        <f t="shared" si="8"/>
        <v>0</v>
      </c>
      <c r="BW36" s="171">
        <f t="shared" si="8"/>
        <v>0</v>
      </c>
      <c r="BX36" s="171">
        <f t="shared" si="8"/>
        <v>0</v>
      </c>
      <c r="BY36" s="171">
        <f t="shared" si="8"/>
        <v>0</v>
      </c>
      <c r="BZ36" s="171">
        <f t="shared" si="8"/>
        <v>0</v>
      </c>
      <c r="CA36" s="171">
        <f t="shared" si="8"/>
        <v>0</v>
      </c>
      <c r="CB36" s="171">
        <f t="shared" si="8"/>
        <v>0</v>
      </c>
      <c r="CC36" s="171">
        <f t="shared" si="8"/>
        <v>0</v>
      </c>
      <c r="CD36" s="171">
        <f t="shared" si="8"/>
        <v>0</v>
      </c>
    </row>
    <row r="37" spans="1:82" outlineLevel="2" x14ac:dyDescent="0.35">
      <c r="A37" s="304"/>
      <c r="B37" s="304"/>
      <c r="C37" s="305"/>
      <c r="D37" s="197"/>
      <c r="E37" s="171" t="str">
        <f t="shared" ref="E37:AJ37" si="9" xml:space="preserve"> E$30</f>
        <v>Seasonality adjustment</v>
      </c>
      <c r="F37" s="171">
        <f t="shared" si="9"/>
        <v>0</v>
      </c>
      <c r="G37" s="171" t="str">
        <f t="shared" si="9"/>
        <v>%</v>
      </c>
      <c r="H37" s="171">
        <f t="shared" si="9"/>
        <v>0</v>
      </c>
      <c r="I37" s="171">
        <f t="shared" si="9"/>
        <v>0</v>
      </c>
      <c r="J37" s="171">
        <f t="shared" si="9"/>
        <v>4.1000000000000002E-2</v>
      </c>
      <c r="K37" s="171">
        <f t="shared" si="9"/>
        <v>3.5112117879781773E-2</v>
      </c>
      <c r="L37" s="171">
        <f t="shared" si="9"/>
        <v>4.7E-2</v>
      </c>
      <c r="M37" s="171">
        <f t="shared" si="9"/>
        <v>5.1999999999999998E-2</v>
      </c>
      <c r="N37" s="171">
        <f t="shared" si="9"/>
        <v>7.0999999999999994E-2</v>
      </c>
      <c r="O37" s="171">
        <f t="shared" si="9"/>
        <v>9.0999999999999998E-2</v>
      </c>
      <c r="P37" s="171">
        <f t="shared" si="9"/>
        <v>0.10199999999999999</v>
      </c>
      <c r="Q37" s="171">
        <f t="shared" si="9"/>
        <v>0.1238878821202184</v>
      </c>
      <c r="R37" s="171">
        <f t="shared" si="9"/>
        <v>0.14199999999999999</v>
      </c>
      <c r="S37" s="171">
        <f t="shared" si="9"/>
        <v>0.13200000000000001</v>
      </c>
      <c r="T37" s="171">
        <f t="shared" si="9"/>
        <v>0.10199999999999999</v>
      </c>
      <c r="U37" s="171">
        <f t="shared" si="9"/>
        <v>6.0999999999999999E-2</v>
      </c>
      <c r="V37" s="171">
        <f t="shared" si="9"/>
        <v>4.1000000000000002E-2</v>
      </c>
      <c r="W37" s="171">
        <f t="shared" si="9"/>
        <v>3.5112117879781773E-2</v>
      </c>
      <c r="X37" s="171">
        <f t="shared" si="9"/>
        <v>4.7E-2</v>
      </c>
      <c r="Y37" s="171">
        <f t="shared" si="9"/>
        <v>5.1999999999999998E-2</v>
      </c>
      <c r="Z37" s="171">
        <f t="shared" si="9"/>
        <v>7.0999999999999994E-2</v>
      </c>
      <c r="AA37" s="171">
        <f t="shared" si="9"/>
        <v>9.0999999999999998E-2</v>
      </c>
      <c r="AB37" s="171">
        <f t="shared" si="9"/>
        <v>0.10199999999999999</v>
      </c>
      <c r="AC37" s="171">
        <f t="shared" si="9"/>
        <v>0.1238878821202184</v>
      </c>
      <c r="AD37" s="171">
        <f t="shared" si="9"/>
        <v>0.14199999999999999</v>
      </c>
      <c r="AE37" s="171">
        <f t="shared" si="9"/>
        <v>0.13200000000000001</v>
      </c>
      <c r="AF37" s="171">
        <f t="shared" si="9"/>
        <v>0.10199999999999999</v>
      </c>
      <c r="AG37" s="171">
        <f t="shared" si="9"/>
        <v>6.0999999999999999E-2</v>
      </c>
      <c r="AH37" s="171">
        <f t="shared" si="9"/>
        <v>4.1000000000000002E-2</v>
      </c>
      <c r="AI37" s="171">
        <f t="shared" si="9"/>
        <v>3.5112117879781773E-2</v>
      </c>
      <c r="AJ37" s="171">
        <f t="shared" si="9"/>
        <v>4.7E-2</v>
      </c>
      <c r="AK37" s="171">
        <f t="shared" ref="AK37:BP37" si="10" xml:space="preserve"> AK$30</f>
        <v>5.1999999999999998E-2</v>
      </c>
      <c r="AL37" s="171">
        <f t="shared" si="10"/>
        <v>7.0999999999999994E-2</v>
      </c>
      <c r="AM37" s="171">
        <f t="shared" si="10"/>
        <v>9.0999999999999998E-2</v>
      </c>
      <c r="AN37" s="171">
        <f t="shared" si="10"/>
        <v>0.10199999999999999</v>
      </c>
      <c r="AO37" s="171">
        <f t="shared" si="10"/>
        <v>0.1238878821202184</v>
      </c>
      <c r="AP37" s="171">
        <f t="shared" si="10"/>
        <v>0.14199999999999999</v>
      </c>
      <c r="AQ37" s="171">
        <f t="shared" si="10"/>
        <v>0.13200000000000001</v>
      </c>
      <c r="AR37" s="171">
        <f t="shared" si="10"/>
        <v>0.10199999999999999</v>
      </c>
      <c r="AS37" s="171">
        <f t="shared" si="10"/>
        <v>6.0999999999999999E-2</v>
      </c>
      <c r="AT37" s="171">
        <f t="shared" si="10"/>
        <v>4.1000000000000002E-2</v>
      </c>
      <c r="AU37" s="171">
        <f t="shared" si="10"/>
        <v>3.5112117879781773E-2</v>
      </c>
      <c r="AV37" s="171">
        <f t="shared" si="10"/>
        <v>4.7E-2</v>
      </c>
      <c r="AW37" s="171">
        <f t="shared" si="10"/>
        <v>5.1999999999999998E-2</v>
      </c>
      <c r="AX37" s="171">
        <f t="shared" si="10"/>
        <v>7.0999999999999994E-2</v>
      </c>
      <c r="AY37" s="171">
        <f t="shared" si="10"/>
        <v>9.0999999999999998E-2</v>
      </c>
      <c r="AZ37" s="171">
        <f t="shared" si="10"/>
        <v>0.10199999999999999</v>
      </c>
      <c r="BA37" s="171">
        <f t="shared" si="10"/>
        <v>0.1238878821202184</v>
      </c>
      <c r="BB37" s="171">
        <f t="shared" si="10"/>
        <v>0.14199999999999999</v>
      </c>
      <c r="BC37" s="171">
        <f t="shared" si="10"/>
        <v>0.13200000000000001</v>
      </c>
      <c r="BD37" s="171">
        <f t="shared" si="10"/>
        <v>0.10199999999999999</v>
      </c>
      <c r="BE37" s="171">
        <f t="shared" si="10"/>
        <v>6.0999999999999999E-2</v>
      </c>
      <c r="BF37" s="171">
        <f t="shared" si="10"/>
        <v>4.1000000000000002E-2</v>
      </c>
      <c r="BG37" s="171">
        <f t="shared" si="10"/>
        <v>3.5112117879781773E-2</v>
      </c>
      <c r="BH37" s="171">
        <f t="shared" si="10"/>
        <v>4.7E-2</v>
      </c>
      <c r="BI37" s="171">
        <f t="shared" si="10"/>
        <v>5.1999999999999998E-2</v>
      </c>
      <c r="BJ37" s="171">
        <f t="shared" si="10"/>
        <v>7.0999999999999994E-2</v>
      </c>
      <c r="BK37" s="171">
        <f t="shared" si="10"/>
        <v>9.0999999999999998E-2</v>
      </c>
      <c r="BL37" s="171">
        <f t="shared" si="10"/>
        <v>0.10199999999999999</v>
      </c>
      <c r="BM37" s="171">
        <f t="shared" si="10"/>
        <v>0.1238878821202184</v>
      </c>
      <c r="BN37" s="171">
        <f t="shared" si="10"/>
        <v>0.14199999999999999</v>
      </c>
      <c r="BO37" s="171">
        <f t="shared" si="10"/>
        <v>0.13200000000000001</v>
      </c>
      <c r="BP37" s="171">
        <f t="shared" si="10"/>
        <v>0.10199999999999999</v>
      </c>
      <c r="BQ37" s="171">
        <f t="shared" ref="BQ37:CD37" si="11" xml:space="preserve"> BQ$30</f>
        <v>6.0999999999999999E-2</v>
      </c>
      <c r="BR37" s="171">
        <f t="shared" si="11"/>
        <v>4.1000000000000002E-2</v>
      </c>
      <c r="BS37" s="171">
        <f t="shared" si="11"/>
        <v>3.5112117879781773E-2</v>
      </c>
      <c r="BT37" s="171">
        <f t="shared" si="11"/>
        <v>4.7E-2</v>
      </c>
      <c r="BU37" s="171">
        <f t="shared" si="11"/>
        <v>5.1999999999999998E-2</v>
      </c>
      <c r="BV37" s="171">
        <f t="shared" si="11"/>
        <v>7.0999999999999994E-2</v>
      </c>
      <c r="BW37" s="171">
        <f t="shared" si="11"/>
        <v>9.0999999999999998E-2</v>
      </c>
      <c r="BX37" s="171">
        <f t="shared" si="11"/>
        <v>0.10199999999999999</v>
      </c>
      <c r="BY37" s="171">
        <f t="shared" si="11"/>
        <v>0.1238878821202184</v>
      </c>
      <c r="BZ37" s="171">
        <f t="shared" si="11"/>
        <v>0.14199999999999999</v>
      </c>
      <c r="CA37" s="171">
        <f t="shared" si="11"/>
        <v>0.13200000000000001</v>
      </c>
      <c r="CB37" s="171">
        <f t="shared" si="11"/>
        <v>0.10199999999999999</v>
      </c>
      <c r="CC37" s="171">
        <f t="shared" si="11"/>
        <v>6.0999999999999999E-2</v>
      </c>
      <c r="CD37" s="171">
        <f t="shared" si="11"/>
        <v>4.1000000000000002E-2</v>
      </c>
    </row>
    <row r="38" spans="1:82" outlineLevel="2" x14ac:dyDescent="0.35">
      <c r="A38" s="309"/>
      <c r="B38" s="309"/>
      <c r="C38" s="310"/>
      <c r="D38" s="23"/>
      <c r="E38" s="21" t="s">
        <v>153</v>
      </c>
      <c r="F38" s="21"/>
      <c r="G38" s="21" t="s">
        <v>154</v>
      </c>
      <c r="H38" s="21">
        <f xml:space="preserve"> SUM(J38:CD38)</f>
        <v>1200.4951974867963</v>
      </c>
      <c r="I38" s="21"/>
      <c r="J38" s="21">
        <f t="shared" ref="J38:AO38" si="12" xml:space="preserve"> $F34 * $F35 * J36 * J37</f>
        <v>0</v>
      </c>
      <c r="K38" s="21">
        <f t="shared" si="12"/>
        <v>0</v>
      </c>
      <c r="L38" s="21">
        <f t="shared" si="12"/>
        <v>0</v>
      </c>
      <c r="M38" s="21">
        <f t="shared" si="12"/>
        <v>0</v>
      </c>
      <c r="N38" s="21">
        <f t="shared" si="12"/>
        <v>17.217499999999998</v>
      </c>
      <c r="O38" s="21">
        <f t="shared" si="12"/>
        <v>22.067499999999999</v>
      </c>
      <c r="P38" s="21">
        <f t="shared" si="12"/>
        <v>24.734999999999999</v>
      </c>
      <c r="Q38" s="21">
        <f t="shared" si="12"/>
        <v>30.042811414152961</v>
      </c>
      <c r="R38" s="21">
        <f t="shared" si="12"/>
        <v>34.434999999999995</v>
      </c>
      <c r="S38" s="21">
        <f t="shared" si="12"/>
        <v>32.01</v>
      </c>
      <c r="T38" s="21">
        <f t="shared" si="12"/>
        <v>24.734999999999999</v>
      </c>
      <c r="U38" s="21">
        <f t="shared" si="12"/>
        <v>14.7925</v>
      </c>
      <c r="V38" s="21">
        <f t="shared" si="12"/>
        <v>9.9425000000000008</v>
      </c>
      <c r="W38" s="21">
        <f t="shared" si="12"/>
        <v>8.5146885858470807</v>
      </c>
      <c r="X38" s="21">
        <f t="shared" si="12"/>
        <v>11.397500000000001</v>
      </c>
      <c r="Y38" s="21">
        <f t="shared" si="12"/>
        <v>12.61</v>
      </c>
      <c r="Z38" s="21">
        <f t="shared" si="12"/>
        <v>17.131840796019901</v>
      </c>
      <c r="AA38" s="21">
        <f t="shared" si="12"/>
        <v>21.957711442786071</v>
      </c>
      <c r="AB38" s="21">
        <f t="shared" si="12"/>
        <v>24.611940298507466</v>
      </c>
      <c r="AC38" s="21">
        <f t="shared" si="12"/>
        <v>29.893344690699468</v>
      </c>
      <c r="AD38" s="21">
        <f t="shared" si="12"/>
        <v>34.263681592039802</v>
      </c>
      <c r="AE38" s="21">
        <f t="shared" si="12"/>
        <v>31.850746268656724</v>
      </c>
      <c r="AF38" s="21">
        <f t="shared" si="12"/>
        <v>24.611940298507466</v>
      </c>
      <c r="AG38" s="21">
        <f t="shared" si="12"/>
        <v>14.718905472636818</v>
      </c>
      <c r="AH38" s="21">
        <f t="shared" si="12"/>
        <v>9.8930348258706484</v>
      </c>
      <c r="AI38" s="21">
        <f t="shared" si="12"/>
        <v>8.4723269510916239</v>
      </c>
      <c r="AJ38" s="21">
        <f t="shared" si="12"/>
        <v>11.3407960199005</v>
      </c>
      <c r="AK38" s="21">
        <f t="shared" si="12"/>
        <v>12.547263681592041</v>
      </c>
      <c r="AL38" s="21">
        <f t="shared" si="12"/>
        <v>17.046607757233737</v>
      </c>
      <c r="AM38" s="21">
        <f t="shared" si="12"/>
        <v>21.848469097299578</v>
      </c>
      <c r="AN38" s="21">
        <f t="shared" si="12"/>
        <v>24.489492834335792</v>
      </c>
      <c r="AO38" s="21">
        <f t="shared" si="12"/>
        <v>29.744621582785545</v>
      </c>
      <c r="AP38" s="21">
        <f t="shared" ref="AP38:BU38" si="13" xml:space="preserve"> $F34 * $F35 * AP36 * AP37</f>
        <v>34.093215514467474</v>
      </c>
      <c r="AQ38" s="21">
        <f t="shared" si="13"/>
        <v>31.692284844434557</v>
      </c>
      <c r="AR38" s="21">
        <f t="shared" si="13"/>
        <v>24.489492834335792</v>
      </c>
      <c r="AS38" s="21">
        <f t="shared" si="13"/>
        <v>14.645677087200816</v>
      </c>
      <c r="AT38" s="21">
        <f t="shared" si="13"/>
        <v>9.8438157471349754</v>
      </c>
      <c r="AU38" s="21">
        <f t="shared" si="13"/>
        <v>8.4301760707379358</v>
      </c>
      <c r="AV38" s="21">
        <f t="shared" si="13"/>
        <v>11.284374149154727</v>
      </c>
      <c r="AW38" s="21">
        <f t="shared" si="13"/>
        <v>12.484839484171188</v>
      </c>
      <c r="AX38" s="21">
        <f t="shared" si="13"/>
        <v>16.961798763416652</v>
      </c>
      <c r="AY38" s="21">
        <f t="shared" si="13"/>
        <v>21.739770246069234</v>
      </c>
      <c r="AZ38" s="21">
        <f t="shared" si="13"/>
        <v>24.367654561528148</v>
      </c>
      <c r="BA38" s="21">
        <f t="shared" si="13"/>
        <v>29.596638390831391</v>
      </c>
      <c r="BB38" s="21">
        <f t="shared" si="13"/>
        <v>33.923597526833305</v>
      </c>
      <c r="BC38" s="21">
        <f t="shared" si="13"/>
        <v>31.534611785507021</v>
      </c>
      <c r="BD38" s="21">
        <f t="shared" si="13"/>
        <v>24.367654561528148</v>
      </c>
      <c r="BE38" s="21">
        <f t="shared" si="13"/>
        <v>14.572813022090365</v>
      </c>
      <c r="BF38" s="21">
        <f t="shared" si="13"/>
        <v>9.7948415394377868</v>
      </c>
      <c r="BG38" s="21">
        <f t="shared" si="13"/>
        <v>8.3882348962566518</v>
      </c>
      <c r="BH38" s="21">
        <f t="shared" si="13"/>
        <v>11.228232984233561</v>
      </c>
      <c r="BI38" s="21">
        <f t="shared" si="13"/>
        <v>12.422725854896704</v>
      </c>
      <c r="BJ38" s="21">
        <f t="shared" si="13"/>
        <v>16.877411704892197</v>
      </c>
      <c r="BK38" s="21">
        <f t="shared" si="13"/>
        <v>21.631612185143521</v>
      </c>
      <c r="BL38" s="21">
        <f t="shared" si="13"/>
        <v>24.246422449281749</v>
      </c>
      <c r="BM38" s="21">
        <f t="shared" si="13"/>
        <v>29.449391433663084</v>
      </c>
      <c r="BN38" s="21">
        <f t="shared" si="13"/>
        <v>33.754823409784393</v>
      </c>
      <c r="BO38" s="21">
        <f t="shared" si="13"/>
        <v>31.377723169658736</v>
      </c>
      <c r="BP38" s="21">
        <f t="shared" si="13"/>
        <v>24.246422449281749</v>
      </c>
      <c r="BQ38" s="21">
        <f t="shared" si="13"/>
        <v>14.500311464766536</v>
      </c>
      <c r="BR38" s="21">
        <f t="shared" si="13"/>
        <v>9.7461109845152141</v>
      </c>
      <c r="BS38" s="21">
        <f t="shared" si="13"/>
        <v>8.346502384334979</v>
      </c>
      <c r="BT38" s="21">
        <f t="shared" si="13"/>
        <v>11.17237112859061</v>
      </c>
      <c r="BU38" s="21">
        <f t="shared" si="13"/>
        <v>12.36092124865344</v>
      </c>
      <c r="BV38" s="21">
        <f t="shared" ref="BV38:CD38" si="14" xml:space="preserve"> $F34 * $F35 * BV36 * BV37</f>
        <v>0</v>
      </c>
      <c r="BW38" s="21">
        <f t="shared" si="14"/>
        <v>0</v>
      </c>
      <c r="BX38" s="21">
        <f t="shared" si="14"/>
        <v>0</v>
      </c>
      <c r="BY38" s="21">
        <f t="shared" si="14"/>
        <v>0</v>
      </c>
      <c r="BZ38" s="21">
        <f t="shared" si="14"/>
        <v>0</v>
      </c>
      <c r="CA38" s="21">
        <f t="shared" si="14"/>
        <v>0</v>
      </c>
      <c r="CB38" s="21">
        <f t="shared" si="14"/>
        <v>0</v>
      </c>
      <c r="CC38" s="21">
        <f t="shared" si="14"/>
        <v>0</v>
      </c>
      <c r="CD38" s="21">
        <f t="shared" si="14"/>
        <v>0</v>
      </c>
    </row>
    <row r="39" spans="1:82" outlineLevel="1" x14ac:dyDescent="0.35"/>
    <row r="40" spans="1:82" outlineLevel="1" x14ac:dyDescent="0.35">
      <c r="B40" s="8" t="s">
        <v>155</v>
      </c>
    </row>
    <row r="41" spans="1:82" outlineLevel="2" x14ac:dyDescent="0.35">
      <c r="E41" s="296" t="str">
        <f xml:space="preserve"> InpC!E$44</f>
        <v>Power tariff</v>
      </c>
      <c r="F41" s="340">
        <f xml:space="preserve"> InpC!F$44</f>
        <v>6.5000000000000002E-2</v>
      </c>
      <c r="G41" s="296" t="str">
        <f xml:space="preserve"> InpC!G$44</f>
        <v>USD / kWh</v>
      </c>
      <c r="H41" s="26"/>
    </row>
    <row r="42" spans="1:82" outlineLevel="2" x14ac:dyDescent="0.35">
      <c r="A42" s="138"/>
      <c r="B42" s="138"/>
      <c r="C42" s="139"/>
      <c r="D42" s="140"/>
      <c r="E42" s="307" t="str">
        <f xml:space="preserve"> InpC!E$72</f>
        <v>GWh to kWh conversion</v>
      </c>
      <c r="F42" s="307">
        <f xml:space="preserve"> InpC!F$72</f>
        <v>1000000</v>
      </c>
      <c r="G42" s="307" t="str">
        <f xml:space="preserve"> InpC!G$72</f>
        <v>kWh / GWh</v>
      </c>
      <c r="H42" s="170"/>
      <c r="I42" s="137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  <c r="BP42" s="136"/>
      <c r="BQ42" s="136"/>
      <c r="BR42" s="136"/>
      <c r="BS42" s="136"/>
      <c r="BT42" s="136"/>
      <c r="BU42" s="136"/>
      <c r="BV42" s="136"/>
      <c r="BW42" s="136"/>
      <c r="BX42" s="136"/>
      <c r="BY42" s="136"/>
      <c r="BZ42" s="136"/>
      <c r="CA42" s="136"/>
      <c r="CB42" s="136"/>
      <c r="CC42" s="136"/>
      <c r="CD42" s="136"/>
    </row>
    <row r="43" spans="1:82" outlineLevel="2" x14ac:dyDescent="0.35">
      <c r="A43" s="138"/>
      <c r="B43" s="138"/>
      <c r="C43" s="139"/>
      <c r="D43" s="140"/>
      <c r="E43" s="95" t="str">
        <f xml:space="preserve"> InpC!E$73</f>
        <v>Units in a thousand</v>
      </c>
      <c r="F43" s="95">
        <f xml:space="preserve"> InpC!F$73</f>
        <v>1000</v>
      </c>
      <c r="G43" s="95" t="str">
        <f xml:space="preserve"> InpC!G$73</f>
        <v>units</v>
      </c>
      <c r="H43" s="136"/>
      <c r="I43" s="137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  <c r="BP43" s="136"/>
      <c r="BQ43" s="136"/>
      <c r="BR43" s="136"/>
      <c r="BS43" s="136"/>
      <c r="BT43" s="136"/>
      <c r="BU43" s="136"/>
      <c r="BV43" s="136"/>
      <c r="BW43" s="136"/>
      <c r="BX43" s="136"/>
      <c r="BY43" s="136"/>
      <c r="BZ43" s="136"/>
      <c r="CA43" s="136"/>
      <c r="CB43" s="136"/>
      <c r="CC43" s="136"/>
      <c r="CD43" s="136"/>
    </row>
    <row r="44" spans="1:82" outlineLevel="2" x14ac:dyDescent="0.35">
      <c r="A44" s="138"/>
      <c r="B44" s="138"/>
      <c r="C44" s="139"/>
      <c r="D44" s="140"/>
      <c r="E44" s="311" t="str">
        <f t="shared" ref="E44:AJ44" si="15" xml:space="preserve"> E$38</f>
        <v>Electricity generation</v>
      </c>
      <c r="F44" s="311">
        <f t="shared" si="15"/>
        <v>0</v>
      </c>
      <c r="G44" s="311" t="str">
        <f t="shared" si="15"/>
        <v>GWh</v>
      </c>
      <c r="H44" s="311">
        <f t="shared" si="15"/>
        <v>1200.4951974867963</v>
      </c>
      <c r="I44" s="311">
        <f t="shared" si="15"/>
        <v>0</v>
      </c>
      <c r="J44" s="311">
        <f t="shared" si="15"/>
        <v>0</v>
      </c>
      <c r="K44" s="311">
        <f t="shared" si="15"/>
        <v>0</v>
      </c>
      <c r="L44" s="311">
        <f t="shared" si="15"/>
        <v>0</v>
      </c>
      <c r="M44" s="311">
        <f t="shared" si="15"/>
        <v>0</v>
      </c>
      <c r="N44" s="311">
        <f t="shared" si="15"/>
        <v>17.217499999999998</v>
      </c>
      <c r="O44" s="311">
        <f t="shared" si="15"/>
        <v>22.067499999999999</v>
      </c>
      <c r="P44" s="311">
        <f t="shared" si="15"/>
        <v>24.734999999999999</v>
      </c>
      <c r="Q44" s="311">
        <f t="shared" si="15"/>
        <v>30.042811414152961</v>
      </c>
      <c r="R44" s="311">
        <f t="shared" si="15"/>
        <v>34.434999999999995</v>
      </c>
      <c r="S44" s="311">
        <f t="shared" si="15"/>
        <v>32.01</v>
      </c>
      <c r="T44" s="311">
        <f t="shared" si="15"/>
        <v>24.734999999999999</v>
      </c>
      <c r="U44" s="311">
        <f t="shared" si="15"/>
        <v>14.7925</v>
      </c>
      <c r="V44" s="311">
        <f t="shared" si="15"/>
        <v>9.9425000000000008</v>
      </c>
      <c r="W44" s="311">
        <f t="shared" si="15"/>
        <v>8.5146885858470807</v>
      </c>
      <c r="X44" s="311">
        <f t="shared" si="15"/>
        <v>11.397500000000001</v>
      </c>
      <c r="Y44" s="311">
        <f t="shared" si="15"/>
        <v>12.61</v>
      </c>
      <c r="Z44" s="311">
        <f t="shared" si="15"/>
        <v>17.131840796019901</v>
      </c>
      <c r="AA44" s="311">
        <f t="shared" si="15"/>
        <v>21.957711442786071</v>
      </c>
      <c r="AB44" s="311">
        <f t="shared" si="15"/>
        <v>24.611940298507466</v>
      </c>
      <c r="AC44" s="311">
        <f t="shared" si="15"/>
        <v>29.893344690699468</v>
      </c>
      <c r="AD44" s="311">
        <f t="shared" si="15"/>
        <v>34.263681592039802</v>
      </c>
      <c r="AE44" s="311">
        <f t="shared" si="15"/>
        <v>31.850746268656724</v>
      </c>
      <c r="AF44" s="311">
        <f t="shared" si="15"/>
        <v>24.611940298507466</v>
      </c>
      <c r="AG44" s="311">
        <f t="shared" si="15"/>
        <v>14.718905472636818</v>
      </c>
      <c r="AH44" s="311">
        <f t="shared" si="15"/>
        <v>9.8930348258706484</v>
      </c>
      <c r="AI44" s="311">
        <f t="shared" si="15"/>
        <v>8.4723269510916239</v>
      </c>
      <c r="AJ44" s="311">
        <f t="shared" si="15"/>
        <v>11.3407960199005</v>
      </c>
      <c r="AK44" s="311">
        <f t="shared" ref="AK44:BP44" si="16" xml:space="preserve"> AK$38</f>
        <v>12.547263681592041</v>
      </c>
      <c r="AL44" s="311">
        <f t="shared" si="16"/>
        <v>17.046607757233737</v>
      </c>
      <c r="AM44" s="311">
        <f t="shared" si="16"/>
        <v>21.848469097299578</v>
      </c>
      <c r="AN44" s="311">
        <f t="shared" si="16"/>
        <v>24.489492834335792</v>
      </c>
      <c r="AO44" s="311">
        <f t="shared" si="16"/>
        <v>29.744621582785545</v>
      </c>
      <c r="AP44" s="311">
        <f t="shared" si="16"/>
        <v>34.093215514467474</v>
      </c>
      <c r="AQ44" s="311">
        <f t="shared" si="16"/>
        <v>31.692284844434557</v>
      </c>
      <c r="AR44" s="311">
        <f t="shared" si="16"/>
        <v>24.489492834335792</v>
      </c>
      <c r="AS44" s="311">
        <f t="shared" si="16"/>
        <v>14.645677087200816</v>
      </c>
      <c r="AT44" s="311">
        <f t="shared" si="16"/>
        <v>9.8438157471349754</v>
      </c>
      <c r="AU44" s="311">
        <f t="shared" si="16"/>
        <v>8.4301760707379358</v>
      </c>
      <c r="AV44" s="311">
        <f t="shared" si="16"/>
        <v>11.284374149154727</v>
      </c>
      <c r="AW44" s="311">
        <f t="shared" si="16"/>
        <v>12.484839484171188</v>
      </c>
      <c r="AX44" s="311">
        <f t="shared" si="16"/>
        <v>16.961798763416652</v>
      </c>
      <c r="AY44" s="311">
        <f t="shared" si="16"/>
        <v>21.739770246069234</v>
      </c>
      <c r="AZ44" s="311">
        <f t="shared" si="16"/>
        <v>24.367654561528148</v>
      </c>
      <c r="BA44" s="311">
        <f t="shared" si="16"/>
        <v>29.596638390831391</v>
      </c>
      <c r="BB44" s="311">
        <f t="shared" si="16"/>
        <v>33.923597526833305</v>
      </c>
      <c r="BC44" s="311">
        <f t="shared" si="16"/>
        <v>31.534611785507021</v>
      </c>
      <c r="BD44" s="311">
        <f t="shared" si="16"/>
        <v>24.367654561528148</v>
      </c>
      <c r="BE44" s="311">
        <f t="shared" si="16"/>
        <v>14.572813022090365</v>
      </c>
      <c r="BF44" s="311">
        <f t="shared" si="16"/>
        <v>9.7948415394377868</v>
      </c>
      <c r="BG44" s="311">
        <f t="shared" si="16"/>
        <v>8.3882348962566518</v>
      </c>
      <c r="BH44" s="311">
        <f t="shared" si="16"/>
        <v>11.228232984233561</v>
      </c>
      <c r="BI44" s="311">
        <f t="shared" si="16"/>
        <v>12.422725854896704</v>
      </c>
      <c r="BJ44" s="311">
        <f t="shared" si="16"/>
        <v>16.877411704892197</v>
      </c>
      <c r="BK44" s="311">
        <f t="shared" si="16"/>
        <v>21.631612185143521</v>
      </c>
      <c r="BL44" s="311">
        <f t="shared" si="16"/>
        <v>24.246422449281749</v>
      </c>
      <c r="BM44" s="311">
        <f t="shared" si="16"/>
        <v>29.449391433663084</v>
      </c>
      <c r="BN44" s="311">
        <f t="shared" si="16"/>
        <v>33.754823409784393</v>
      </c>
      <c r="BO44" s="311">
        <f t="shared" si="16"/>
        <v>31.377723169658736</v>
      </c>
      <c r="BP44" s="311">
        <f t="shared" si="16"/>
        <v>24.246422449281749</v>
      </c>
      <c r="BQ44" s="311">
        <f t="shared" ref="BQ44:CD44" si="17" xml:space="preserve"> BQ$38</f>
        <v>14.500311464766536</v>
      </c>
      <c r="BR44" s="311">
        <f t="shared" si="17"/>
        <v>9.7461109845152141</v>
      </c>
      <c r="BS44" s="311">
        <f t="shared" si="17"/>
        <v>8.346502384334979</v>
      </c>
      <c r="BT44" s="311">
        <f t="shared" si="17"/>
        <v>11.17237112859061</v>
      </c>
      <c r="BU44" s="311">
        <f t="shared" si="17"/>
        <v>12.36092124865344</v>
      </c>
      <c r="BV44" s="311">
        <f t="shared" si="17"/>
        <v>0</v>
      </c>
      <c r="BW44" s="311">
        <f t="shared" si="17"/>
        <v>0</v>
      </c>
      <c r="BX44" s="311">
        <f t="shared" si="17"/>
        <v>0</v>
      </c>
      <c r="BY44" s="311">
        <f t="shared" si="17"/>
        <v>0</v>
      </c>
      <c r="BZ44" s="311">
        <f t="shared" si="17"/>
        <v>0</v>
      </c>
      <c r="CA44" s="311">
        <f t="shared" si="17"/>
        <v>0</v>
      </c>
      <c r="CB44" s="311">
        <f t="shared" si="17"/>
        <v>0</v>
      </c>
      <c r="CC44" s="311">
        <f t="shared" si="17"/>
        <v>0</v>
      </c>
      <c r="CD44" s="311">
        <f t="shared" si="17"/>
        <v>0</v>
      </c>
    </row>
    <row r="45" spans="1:82" outlineLevel="2" x14ac:dyDescent="0.35">
      <c r="A45" s="138"/>
      <c r="B45" s="138"/>
      <c r="C45" s="139"/>
      <c r="D45" s="140"/>
      <c r="E45" s="307" t="str">
        <f xml:space="preserve"> Time!E$87</f>
        <v>Operating period flag</v>
      </c>
      <c r="F45" s="307">
        <f xml:space="preserve"> Time!F$87</f>
        <v>0</v>
      </c>
      <c r="G45" s="307" t="str">
        <f xml:space="preserve"> Time!G$87</f>
        <v>flag</v>
      </c>
      <c r="H45" s="307">
        <f xml:space="preserve"> Time!H$87</f>
        <v>60</v>
      </c>
      <c r="I45" s="307">
        <f xml:space="preserve"> Time!I$87</f>
        <v>0</v>
      </c>
      <c r="J45" s="307">
        <f xml:space="preserve"> Time!J$87</f>
        <v>0</v>
      </c>
      <c r="K45" s="307">
        <f xml:space="preserve"> Time!K$87</f>
        <v>0</v>
      </c>
      <c r="L45" s="307">
        <f xml:space="preserve"> Time!L$87</f>
        <v>0</v>
      </c>
      <c r="M45" s="307">
        <f xml:space="preserve"> Time!M$87</f>
        <v>0</v>
      </c>
      <c r="N45" s="307">
        <f xml:space="preserve"> Time!N$87</f>
        <v>1</v>
      </c>
      <c r="O45" s="307">
        <f xml:space="preserve"> Time!O$87</f>
        <v>1</v>
      </c>
      <c r="P45" s="307">
        <f xml:space="preserve"> Time!P$87</f>
        <v>1</v>
      </c>
      <c r="Q45" s="307">
        <f xml:space="preserve"> Time!Q$87</f>
        <v>1</v>
      </c>
      <c r="R45" s="307">
        <f xml:space="preserve"> Time!R$87</f>
        <v>1</v>
      </c>
      <c r="S45" s="307">
        <f xml:space="preserve"> Time!S$87</f>
        <v>1</v>
      </c>
      <c r="T45" s="307">
        <f xml:space="preserve"> Time!T$87</f>
        <v>1</v>
      </c>
      <c r="U45" s="307">
        <f xml:space="preserve"> Time!U$87</f>
        <v>1</v>
      </c>
      <c r="V45" s="307">
        <f xml:space="preserve"> Time!V$87</f>
        <v>1</v>
      </c>
      <c r="W45" s="307">
        <f xml:space="preserve"> Time!W$87</f>
        <v>1</v>
      </c>
      <c r="X45" s="307">
        <f xml:space="preserve"> Time!X$87</f>
        <v>1</v>
      </c>
      <c r="Y45" s="307">
        <f xml:space="preserve"> Time!Y$87</f>
        <v>1</v>
      </c>
      <c r="Z45" s="307">
        <f xml:space="preserve"> Time!Z$87</f>
        <v>1</v>
      </c>
      <c r="AA45" s="307">
        <f xml:space="preserve"> Time!AA$87</f>
        <v>1</v>
      </c>
      <c r="AB45" s="307">
        <f xml:space="preserve"> Time!AB$87</f>
        <v>1</v>
      </c>
      <c r="AC45" s="307">
        <f xml:space="preserve"> Time!AC$87</f>
        <v>1</v>
      </c>
      <c r="AD45" s="307">
        <f xml:space="preserve"> Time!AD$87</f>
        <v>1</v>
      </c>
      <c r="AE45" s="307">
        <f xml:space="preserve"> Time!AE$87</f>
        <v>1</v>
      </c>
      <c r="AF45" s="307">
        <f xml:space="preserve"> Time!AF$87</f>
        <v>1</v>
      </c>
      <c r="AG45" s="307">
        <f xml:space="preserve"> Time!AG$87</f>
        <v>1</v>
      </c>
      <c r="AH45" s="307">
        <f xml:space="preserve"> Time!AH$87</f>
        <v>1</v>
      </c>
      <c r="AI45" s="307">
        <f xml:space="preserve"> Time!AI$87</f>
        <v>1</v>
      </c>
      <c r="AJ45" s="307">
        <f xml:space="preserve"> Time!AJ$87</f>
        <v>1</v>
      </c>
      <c r="AK45" s="307">
        <f xml:space="preserve"> Time!AK$87</f>
        <v>1</v>
      </c>
      <c r="AL45" s="307">
        <f xml:space="preserve"> Time!AL$87</f>
        <v>1</v>
      </c>
      <c r="AM45" s="307">
        <f xml:space="preserve"> Time!AM$87</f>
        <v>1</v>
      </c>
      <c r="AN45" s="307">
        <f xml:space="preserve"> Time!AN$87</f>
        <v>1</v>
      </c>
      <c r="AO45" s="307">
        <f xml:space="preserve"> Time!AO$87</f>
        <v>1</v>
      </c>
      <c r="AP45" s="307">
        <f xml:space="preserve"> Time!AP$87</f>
        <v>1</v>
      </c>
      <c r="AQ45" s="307">
        <f xml:space="preserve"> Time!AQ$87</f>
        <v>1</v>
      </c>
      <c r="AR45" s="307">
        <f xml:space="preserve"> Time!AR$87</f>
        <v>1</v>
      </c>
      <c r="AS45" s="307">
        <f xml:space="preserve"> Time!AS$87</f>
        <v>1</v>
      </c>
      <c r="AT45" s="307">
        <f xml:space="preserve"> Time!AT$87</f>
        <v>1</v>
      </c>
      <c r="AU45" s="307">
        <f xml:space="preserve"> Time!AU$87</f>
        <v>1</v>
      </c>
      <c r="AV45" s="307">
        <f xml:space="preserve"> Time!AV$87</f>
        <v>1</v>
      </c>
      <c r="AW45" s="307">
        <f xml:space="preserve"> Time!AW$87</f>
        <v>1</v>
      </c>
      <c r="AX45" s="307">
        <f xml:space="preserve"> Time!AX$87</f>
        <v>1</v>
      </c>
      <c r="AY45" s="307">
        <f xml:space="preserve"> Time!AY$87</f>
        <v>1</v>
      </c>
      <c r="AZ45" s="307">
        <f xml:space="preserve"> Time!AZ$87</f>
        <v>1</v>
      </c>
      <c r="BA45" s="307">
        <f xml:space="preserve"> Time!BA$87</f>
        <v>1</v>
      </c>
      <c r="BB45" s="307">
        <f xml:space="preserve"> Time!BB$87</f>
        <v>1</v>
      </c>
      <c r="BC45" s="307">
        <f xml:space="preserve"> Time!BC$87</f>
        <v>1</v>
      </c>
      <c r="BD45" s="307">
        <f xml:space="preserve"> Time!BD$87</f>
        <v>1</v>
      </c>
      <c r="BE45" s="307">
        <f xml:space="preserve"> Time!BE$87</f>
        <v>1</v>
      </c>
      <c r="BF45" s="307">
        <f xml:space="preserve"> Time!BF$87</f>
        <v>1</v>
      </c>
      <c r="BG45" s="307">
        <f xml:space="preserve"> Time!BG$87</f>
        <v>1</v>
      </c>
      <c r="BH45" s="307">
        <f xml:space="preserve"> Time!BH$87</f>
        <v>1</v>
      </c>
      <c r="BI45" s="307">
        <f xml:space="preserve"> Time!BI$87</f>
        <v>1</v>
      </c>
      <c r="BJ45" s="307">
        <f xml:space="preserve"> Time!BJ$87</f>
        <v>1</v>
      </c>
      <c r="BK45" s="307">
        <f xml:space="preserve"> Time!BK$87</f>
        <v>1</v>
      </c>
      <c r="BL45" s="307">
        <f xml:space="preserve"> Time!BL$87</f>
        <v>1</v>
      </c>
      <c r="BM45" s="307">
        <f xml:space="preserve"> Time!BM$87</f>
        <v>1</v>
      </c>
      <c r="BN45" s="307">
        <f xml:space="preserve"> Time!BN$87</f>
        <v>1</v>
      </c>
      <c r="BO45" s="307">
        <f xml:space="preserve"> Time!BO$87</f>
        <v>1</v>
      </c>
      <c r="BP45" s="307">
        <f xml:space="preserve"> Time!BP$87</f>
        <v>1</v>
      </c>
      <c r="BQ45" s="307">
        <f xml:space="preserve"> Time!BQ$87</f>
        <v>1</v>
      </c>
      <c r="BR45" s="307">
        <f xml:space="preserve"> Time!BR$87</f>
        <v>1</v>
      </c>
      <c r="BS45" s="307">
        <f xml:space="preserve"> Time!BS$87</f>
        <v>1</v>
      </c>
      <c r="BT45" s="307">
        <f xml:space="preserve"> Time!BT$87</f>
        <v>1</v>
      </c>
      <c r="BU45" s="307">
        <f xml:space="preserve"> Time!BU$87</f>
        <v>1</v>
      </c>
      <c r="BV45" s="307">
        <f xml:space="preserve"> Time!BV$87</f>
        <v>0</v>
      </c>
      <c r="BW45" s="307">
        <f xml:space="preserve"> Time!BW$87</f>
        <v>0</v>
      </c>
      <c r="BX45" s="307">
        <f xml:space="preserve"> Time!BX$87</f>
        <v>0</v>
      </c>
      <c r="BY45" s="307">
        <f xml:space="preserve"> Time!BY$87</f>
        <v>0</v>
      </c>
      <c r="BZ45" s="307">
        <f xml:space="preserve"> Time!BZ$87</f>
        <v>0</v>
      </c>
      <c r="CA45" s="307">
        <f xml:space="preserve"> Time!CA$87</f>
        <v>0</v>
      </c>
      <c r="CB45" s="307">
        <f xml:space="preserve"> Time!CB$87</f>
        <v>0</v>
      </c>
      <c r="CC45" s="307">
        <f xml:space="preserve"> Time!CC$87</f>
        <v>0</v>
      </c>
      <c r="CD45" s="307">
        <f xml:space="preserve"> Time!CD$87</f>
        <v>0</v>
      </c>
    </row>
    <row r="46" spans="1:82" outlineLevel="2" x14ac:dyDescent="0.35">
      <c r="A46" s="58"/>
      <c r="B46" s="58"/>
      <c r="C46" s="59"/>
      <c r="D46" s="60"/>
      <c r="E46" s="344" t="s">
        <v>155</v>
      </c>
      <c r="F46" s="344"/>
      <c r="G46" s="344" t="str">
        <f xml:space="preserve"> SMU</f>
        <v>$ 000s</v>
      </c>
      <c r="H46" s="344">
        <f xml:space="preserve"> SUM(J46:CD46)</f>
        <v>78032.187836641722</v>
      </c>
      <c r="I46" s="344"/>
      <c r="J46" s="344">
        <f t="shared" ref="J46:AO46" si="18" xml:space="preserve"> $F41 * $F42 / $F43 * J44  * J45</f>
        <v>0</v>
      </c>
      <c r="K46" s="344">
        <f t="shared" si="18"/>
        <v>0</v>
      </c>
      <c r="L46" s="344">
        <f t="shared" si="18"/>
        <v>0</v>
      </c>
      <c r="M46" s="344">
        <f t="shared" si="18"/>
        <v>0</v>
      </c>
      <c r="N46" s="344">
        <f t="shared" si="18"/>
        <v>1119.1374999999998</v>
      </c>
      <c r="O46" s="344">
        <f t="shared" si="18"/>
        <v>1434.3875</v>
      </c>
      <c r="P46" s="344">
        <f t="shared" si="18"/>
        <v>1607.7749999999999</v>
      </c>
      <c r="Q46" s="344">
        <f t="shared" si="18"/>
        <v>1952.7827419199425</v>
      </c>
      <c r="R46" s="344">
        <f t="shared" si="18"/>
        <v>2238.2749999999996</v>
      </c>
      <c r="S46" s="344">
        <f t="shared" si="18"/>
        <v>2080.65</v>
      </c>
      <c r="T46" s="344">
        <f t="shared" si="18"/>
        <v>1607.7749999999999</v>
      </c>
      <c r="U46" s="344">
        <f t="shared" si="18"/>
        <v>961.51250000000005</v>
      </c>
      <c r="V46" s="344">
        <f t="shared" si="18"/>
        <v>646.26250000000005</v>
      </c>
      <c r="W46" s="344">
        <f t="shared" si="18"/>
        <v>553.45475808006029</v>
      </c>
      <c r="X46" s="344">
        <f t="shared" si="18"/>
        <v>740.83750000000009</v>
      </c>
      <c r="Y46" s="344">
        <f t="shared" si="18"/>
        <v>819.65</v>
      </c>
      <c r="Z46" s="344">
        <f t="shared" si="18"/>
        <v>1113.5696517412935</v>
      </c>
      <c r="AA46" s="344">
        <f t="shared" si="18"/>
        <v>1427.2512437810947</v>
      </c>
      <c r="AB46" s="344">
        <f t="shared" si="18"/>
        <v>1599.7761194029854</v>
      </c>
      <c r="AC46" s="344">
        <f t="shared" si="18"/>
        <v>1943.0674048954654</v>
      </c>
      <c r="AD46" s="344">
        <f t="shared" si="18"/>
        <v>2227.1393034825869</v>
      </c>
      <c r="AE46" s="344">
        <f t="shared" si="18"/>
        <v>2070.2985074626872</v>
      </c>
      <c r="AF46" s="344">
        <f t="shared" si="18"/>
        <v>1599.7761194029854</v>
      </c>
      <c r="AG46" s="344">
        <f t="shared" si="18"/>
        <v>956.72885572139319</v>
      </c>
      <c r="AH46" s="344">
        <f t="shared" si="18"/>
        <v>643.0472636815922</v>
      </c>
      <c r="AI46" s="344">
        <f t="shared" si="18"/>
        <v>550.70125182095558</v>
      </c>
      <c r="AJ46" s="344">
        <f t="shared" si="18"/>
        <v>737.1517412935325</v>
      </c>
      <c r="AK46" s="344">
        <f t="shared" si="18"/>
        <v>815.57213930348269</v>
      </c>
      <c r="AL46" s="344">
        <f t="shared" si="18"/>
        <v>1108.0295042201928</v>
      </c>
      <c r="AM46" s="344">
        <f t="shared" si="18"/>
        <v>1420.1504913244726</v>
      </c>
      <c r="AN46" s="344">
        <f t="shared" si="18"/>
        <v>1591.8170342318265</v>
      </c>
      <c r="AO46" s="344">
        <f t="shared" si="18"/>
        <v>1933.4004028810605</v>
      </c>
      <c r="AP46" s="344">
        <f t="shared" ref="AP46:BU46" si="19" xml:space="preserve"> $F41 * $F42 / $F43 * AP44  * AP45</f>
        <v>2216.0590084403857</v>
      </c>
      <c r="AQ46" s="344">
        <f t="shared" si="19"/>
        <v>2059.9985148882461</v>
      </c>
      <c r="AR46" s="344">
        <f t="shared" si="19"/>
        <v>1591.8170342318265</v>
      </c>
      <c r="AS46" s="344">
        <f t="shared" si="19"/>
        <v>951.9690106680531</v>
      </c>
      <c r="AT46" s="344">
        <f t="shared" si="19"/>
        <v>639.84802356377338</v>
      </c>
      <c r="AU46" s="344">
        <f t="shared" si="19"/>
        <v>547.96144459796585</v>
      </c>
      <c r="AV46" s="344">
        <f t="shared" si="19"/>
        <v>733.48431969505725</v>
      </c>
      <c r="AW46" s="344">
        <f t="shared" si="19"/>
        <v>811.51456647112718</v>
      </c>
      <c r="AX46" s="344">
        <f t="shared" si="19"/>
        <v>1102.5169196220825</v>
      </c>
      <c r="AY46" s="344">
        <f t="shared" si="19"/>
        <v>1413.0850659945002</v>
      </c>
      <c r="AZ46" s="344">
        <f t="shared" si="19"/>
        <v>1583.8975464993296</v>
      </c>
      <c r="BA46" s="344">
        <f t="shared" si="19"/>
        <v>1923.7814954040405</v>
      </c>
      <c r="BB46" s="344">
        <f t="shared" si="19"/>
        <v>2205.0338392441649</v>
      </c>
      <c r="BC46" s="344">
        <f t="shared" si="19"/>
        <v>2049.7497660579565</v>
      </c>
      <c r="BD46" s="344">
        <f t="shared" si="19"/>
        <v>1583.8975464993296</v>
      </c>
      <c r="BE46" s="344">
        <f t="shared" si="19"/>
        <v>947.23284643587374</v>
      </c>
      <c r="BF46" s="344">
        <f t="shared" si="19"/>
        <v>636.66470006345617</v>
      </c>
      <c r="BG46" s="344">
        <f t="shared" si="19"/>
        <v>545.23526825668239</v>
      </c>
      <c r="BH46" s="344">
        <f t="shared" si="19"/>
        <v>729.8351439751815</v>
      </c>
      <c r="BI46" s="344">
        <f t="shared" si="19"/>
        <v>807.4771805682858</v>
      </c>
      <c r="BJ46" s="344">
        <f t="shared" si="19"/>
        <v>1097.0317608179928</v>
      </c>
      <c r="BK46" s="344">
        <f t="shared" si="19"/>
        <v>1406.0547920343288</v>
      </c>
      <c r="BL46" s="344">
        <f t="shared" si="19"/>
        <v>1576.0174592033136</v>
      </c>
      <c r="BM46" s="344">
        <f t="shared" si="19"/>
        <v>1914.2104431881005</v>
      </c>
      <c r="BN46" s="344">
        <f t="shared" si="19"/>
        <v>2194.0635216359856</v>
      </c>
      <c r="BO46" s="344">
        <f t="shared" si="19"/>
        <v>2039.5520060278179</v>
      </c>
      <c r="BP46" s="344">
        <f t="shared" si="19"/>
        <v>1576.0174592033136</v>
      </c>
      <c r="BQ46" s="344">
        <f t="shared" si="19"/>
        <v>942.52024520982491</v>
      </c>
      <c r="BR46" s="344">
        <f t="shared" si="19"/>
        <v>633.49721399348891</v>
      </c>
      <c r="BS46" s="344">
        <f t="shared" si="19"/>
        <v>542.5226549817736</v>
      </c>
      <c r="BT46" s="344">
        <f t="shared" si="19"/>
        <v>726.20412335838967</v>
      </c>
      <c r="BU46" s="344">
        <f t="shared" si="19"/>
        <v>803.45988116247361</v>
      </c>
      <c r="BV46" s="344">
        <f t="shared" ref="BV46:CD46" si="20" xml:space="preserve"> $F41 * $F42 / $F43 * BV44  * BV45</f>
        <v>0</v>
      </c>
      <c r="BW46" s="344">
        <f t="shared" si="20"/>
        <v>0</v>
      </c>
      <c r="BX46" s="344">
        <f t="shared" si="20"/>
        <v>0</v>
      </c>
      <c r="BY46" s="344">
        <f t="shared" si="20"/>
        <v>0</v>
      </c>
      <c r="BZ46" s="344">
        <f t="shared" si="20"/>
        <v>0</v>
      </c>
      <c r="CA46" s="344">
        <f t="shared" si="20"/>
        <v>0</v>
      </c>
      <c r="CB46" s="344">
        <f t="shared" si="20"/>
        <v>0</v>
      </c>
      <c r="CC46" s="344">
        <f t="shared" si="20"/>
        <v>0</v>
      </c>
      <c r="CD46" s="344">
        <f t="shared" si="20"/>
        <v>0</v>
      </c>
    </row>
    <row r="47" spans="1:82" outlineLevel="2" x14ac:dyDescent="0.35"/>
    <row r="49" spans="1:82" x14ac:dyDescent="0.35">
      <c r="A49" s="8" t="s">
        <v>167</v>
      </c>
    </row>
    <row r="50" spans="1:82" outlineLevel="1" x14ac:dyDescent="0.35"/>
    <row r="51" spans="1:82" outlineLevel="1" x14ac:dyDescent="0.35">
      <c r="B51" s="8" t="s">
        <v>193</v>
      </c>
    </row>
    <row r="52" spans="1:82" outlineLevel="2" x14ac:dyDescent="0.35">
      <c r="E52" s="93" t="str">
        <f xml:space="preserve"> InpC!E$53</f>
        <v>Accounts receivable - month 1</v>
      </c>
      <c r="F52" s="93">
        <f xml:space="preserve"> InpC!F$53</f>
        <v>1310</v>
      </c>
      <c r="G52" s="93" t="str">
        <f xml:space="preserve"> InpC!G$53</f>
        <v>$ 000s</v>
      </c>
    </row>
    <row r="53" spans="1:82" outlineLevel="2" x14ac:dyDescent="0.35">
      <c r="E53" s="93" t="str">
        <f xml:space="preserve"> InpC!E$54</f>
        <v>Accounts receivable - month 2</v>
      </c>
      <c r="F53" s="93">
        <f xml:space="preserve"> InpC!F$54</f>
        <v>1298</v>
      </c>
      <c r="G53" s="93" t="str">
        <f xml:space="preserve"> InpC!G$54</f>
        <v>$ 000s</v>
      </c>
    </row>
    <row r="54" spans="1:82" outlineLevel="2" x14ac:dyDescent="0.35">
      <c r="E54" s="93" t="str">
        <f xml:space="preserve"> InpC!E$55</f>
        <v>Accounts receivable - month 3</v>
      </c>
      <c r="F54" s="93">
        <f xml:space="preserve"> InpC!F$55</f>
        <v>0</v>
      </c>
      <c r="G54" s="93" t="str">
        <f xml:space="preserve"> InpC!G$55</f>
        <v>$ 000s</v>
      </c>
    </row>
    <row r="55" spans="1:82" outlineLevel="2" x14ac:dyDescent="0.35">
      <c r="E55" s="93" t="str">
        <f xml:space="preserve"> InpC!E$56</f>
        <v>Accounts receivable - month 4</v>
      </c>
      <c r="F55" s="93">
        <f xml:space="preserve"> InpC!F$56</f>
        <v>0</v>
      </c>
      <c r="G55" s="93" t="str">
        <f xml:space="preserve"> InpC!G$56</f>
        <v>$ 000s</v>
      </c>
    </row>
    <row r="56" spans="1:82" outlineLevel="2" x14ac:dyDescent="0.35">
      <c r="E56" s="93" t="str">
        <f xml:space="preserve"> InpC!E$57</f>
        <v>Accounts receivable - month 5</v>
      </c>
      <c r="F56" s="93">
        <f xml:space="preserve"> InpC!F$57</f>
        <v>0</v>
      </c>
      <c r="G56" s="93" t="str">
        <f xml:space="preserve"> InpC!G$57</f>
        <v>$ 000s</v>
      </c>
    </row>
    <row r="57" spans="1:82" outlineLevel="2" x14ac:dyDescent="0.35">
      <c r="E57" s="93" t="str">
        <f xml:space="preserve"> InpC!E$58</f>
        <v>Accounts receivable - month 6</v>
      </c>
      <c r="F57" s="93">
        <f xml:space="preserve"> InpC!F$58</f>
        <v>0</v>
      </c>
      <c r="G57" s="93" t="str">
        <f xml:space="preserve"> InpC!G$58</f>
        <v>$ 000s</v>
      </c>
    </row>
    <row r="58" spans="1:82" outlineLevel="2" x14ac:dyDescent="0.35">
      <c r="E58" s="93" t="str">
        <f xml:space="preserve"> Time!E$91</f>
        <v>Operating period counter</v>
      </c>
      <c r="F58" s="93">
        <f xml:space="preserve"> Time!F$91</f>
        <v>0</v>
      </c>
      <c r="G58" s="93">
        <f xml:space="preserve"> Time!G$91</f>
        <v>0</v>
      </c>
      <c r="H58" s="93">
        <f xml:space="preserve"> Time!H$91</f>
        <v>0</v>
      </c>
      <c r="I58" s="93">
        <f xml:space="preserve"> Time!I$91</f>
        <v>0</v>
      </c>
      <c r="J58" s="93">
        <f xml:space="preserve"> Time!J$91</f>
        <v>0</v>
      </c>
      <c r="K58" s="93">
        <f xml:space="preserve"> Time!K$91</f>
        <v>0</v>
      </c>
      <c r="L58" s="93">
        <f xml:space="preserve"> Time!L$91</f>
        <v>0</v>
      </c>
      <c r="M58" s="93">
        <f xml:space="preserve"> Time!M$91</f>
        <v>0</v>
      </c>
      <c r="N58" s="93">
        <f xml:space="preserve"> Time!N$91</f>
        <v>1</v>
      </c>
      <c r="O58" s="93">
        <f xml:space="preserve"> Time!O$91</f>
        <v>2</v>
      </c>
      <c r="P58" s="93">
        <f xml:space="preserve"> Time!P$91</f>
        <v>3</v>
      </c>
      <c r="Q58" s="93">
        <f xml:space="preserve"> Time!Q$91</f>
        <v>4</v>
      </c>
      <c r="R58" s="93">
        <f xml:space="preserve"> Time!R$91</f>
        <v>5</v>
      </c>
      <c r="S58" s="93">
        <f xml:space="preserve"> Time!S$91</f>
        <v>6</v>
      </c>
      <c r="T58" s="93">
        <f xml:space="preserve"> Time!T$91</f>
        <v>7</v>
      </c>
      <c r="U58" s="93">
        <f xml:space="preserve"> Time!U$91</f>
        <v>8</v>
      </c>
      <c r="V58" s="93">
        <f xml:space="preserve"> Time!V$91</f>
        <v>9</v>
      </c>
      <c r="W58" s="93">
        <f xml:space="preserve"> Time!W$91</f>
        <v>10</v>
      </c>
      <c r="X58" s="93">
        <f xml:space="preserve"> Time!X$91</f>
        <v>11</v>
      </c>
      <c r="Y58" s="93">
        <f xml:space="preserve"> Time!Y$91</f>
        <v>12</v>
      </c>
      <c r="Z58" s="93">
        <f xml:space="preserve"> Time!Z$91</f>
        <v>13</v>
      </c>
      <c r="AA58" s="93">
        <f xml:space="preserve"> Time!AA$91</f>
        <v>14</v>
      </c>
      <c r="AB58" s="93">
        <f xml:space="preserve"> Time!AB$91</f>
        <v>15</v>
      </c>
      <c r="AC58" s="93">
        <f xml:space="preserve"> Time!AC$91</f>
        <v>16</v>
      </c>
      <c r="AD58" s="93">
        <f xml:space="preserve"> Time!AD$91</f>
        <v>17</v>
      </c>
      <c r="AE58" s="93">
        <f xml:space="preserve"> Time!AE$91</f>
        <v>18</v>
      </c>
      <c r="AF58" s="93">
        <f xml:space="preserve"> Time!AF$91</f>
        <v>19</v>
      </c>
      <c r="AG58" s="93">
        <f xml:space="preserve"> Time!AG$91</f>
        <v>20</v>
      </c>
      <c r="AH58" s="93">
        <f xml:space="preserve"> Time!AH$91</f>
        <v>21</v>
      </c>
      <c r="AI58" s="93">
        <f xml:space="preserve"> Time!AI$91</f>
        <v>22</v>
      </c>
      <c r="AJ58" s="93">
        <f xml:space="preserve"> Time!AJ$91</f>
        <v>23</v>
      </c>
      <c r="AK58" s="93">
        <f xml:space="preserve"> Time!AK$91</f>
        <v>24</v>
      </c>
      <c r="AL58" s="93">
        <f xml:space="preserve"> Time!AL$91</f>
        <v>25</v>
      </c>
      <c r="AM58" s="93">
        <f xml:space="preserve"> Time!AM$91</f>
        <v>26</v>
      </c>
      <c r="AN58" s="93">
        <f xml:space="preserve"> Time!AN$91</f>
        <v>27</v>
      </c>
      <c r="AO58" s="93">
        <f xml:space="preserve"> Time!AO$91</f>
        <v>28</v>
      </c>
      <c r="AP58" s="93">
        <f xml:space="preserve"> Time!AP$91</f>
        <v>29</v>
      </c>
      <c r="AQ58" s="93">
        <f xml:space="preserve"> Time!AQ$91</f>
        <v>30</v>
      </c>
      <c r="AR58" s="93">
        <f xml:space="preserve"> Time!AR$91</f>
        <v>31</v>
      </c>
      <c r="AS58" s="93">
        <f xml:space="preserve"> Time!AS$91</f>
        <v>32</v>
      </c>
      <c r="AT58" s="93">
        <f xml:space="preserve"> Time!AT$91</f>
        <v>33</v>
      </c>
      <c r="AU58" s="93">
        <f xml:space="preserve"> Time!AU$91</f>
        <v>34</v>
      </c>
      <c r="AV58" s="93">
        <f xml:space="preserve"> Time!AV$91</f>
        <v>35</v>
      </c>
      <c r="AW58" s="93">
        <f xml:space="preserve"> Time!AW$91</f>
        <v>36</v>
      </c>
      <c r="AX58" s="93">
        <f xml:space="preserve"> Time!AX$91</f>
        <v>37</v>
      </c>
      <c r="AY58" s="93">
        <f xml:space="preserve"> Time!AY$91</f>
        <v>38</v>
      </c>
      <c r="AZ58" s="93">
        <f xml:space="preserve"> Time!AZ$91</f>
        <v>39</v>
      </c>
      <c r="BA58" s="93">
        <f xml:space="preserve"> Time!BA$91</f>
        <v>40</v>
      </c>
      <c r="BB58" s="93">
        <f xml:space="preserve"> Time!BB$91</f>
        <v>41</v>
      </c>
      <c r="BC58" s="93">
        <f xml:space="preserve"> Time!BC$91</f>
        <v>42</v>
      </c>
      <c r="BD58" s="93">
        <f xml:space="preserve"> Time!BD$91</f>
        <v>43</v>
      </c>
      <c r="BE58" s="93">
        <f xml:space="preserve"> Time!BE$91</f>
        <v>44</v>
      </c>
      <c r="BF58" s="93">
        <f xml:space="preserve"> Time!BF$91</f>
        <v>45</v>
      </c>
      <c r="BG58" s="93">
        <f xml:space="preserve"> Time!BG$91</f>
        <v>46</v>
      </c>
      <c r="BH58" s="93">
        <f xml:space="preserve"> Time!BH$91</f>
        <v>47</v>
      </c>
      <c r="BI58" s="93">
        <f xml:space="preserve"> Time!BI$91</f>
        <v>48</v>
      </c>
      <c r="BJ58" s="93">
        <f xml:space="preserve"> Time!BJ$91</f>
        <v>49</v>
      </c>
      <c r="BK58" s="93">
        <f xml:space="preserve"> Time!BK$91</f>
        <v>50</v>
      </c>
      <c r="BL58" s="93">
        <f xml:space="preserve"> Time!BL$91</f>
        <v>51</v>
      </c>
      <c r="BM58" s="93">
        <f xml:space="preserve"> Time!BM$91</f>
        <v>52</v>
      </c>
      <c r="BN58" s="93">
        <f xml:space="preserve"> Time!BN$91</f>
        <v>53</v>
      </c>
      <c r="BO58" s="93">
        <f xml:space="preserve"> Time!BO$91</f>
        <v>54</v>
      </c>
      <c r="BP58" s="93">
        <f xml:space="preserve"> Time!BP$91</f>
        <v>55</v>
      </c>
      <c r="BQ58" s="93">
        <f xml:space="preserve"> Time!BQ$91</f>
        <v>56</v>
      </c>
      <c r="BR58" s="93">
        <f xml:space="preserve"> Time!BR$91</f>
        <v>57</v>
      </c>
      <c r="BS58" s="93">
        <f xml:space="preserve"> Time!BS$91</f>
        <v>58</v>
      </c>
      <c r="BT58" s="93">
        <f xml:space="preserve"> Time!BT$91</f>
        <v>59</v>
      </c>
      <c r="BU58" s="93">
        <f xml:space="preserve"> Time!BU$91</f>
        <v>60</v>
      </c>
      <c r="BV58" s="93">
        <f xml:space="preserve"> Time!BV$91</f>
        <v>60</v>
      </c>
      <c r="BW58" s="93">
        <f xml:space="preserve"> Time!BW$91</f>
        <v>60</v>
      </c>
      <c r="BX58" s="93">
        <f xml:space="preserve"> Time!BX$91</f>
        <v>60</v>
      </c>
      <c r="BY58" s="93">
        <f xml:space="preserve"> Time!BY$91</f>
        <v>60</v>
      </c>
      <c r="BZ58" s="93">
        <f xml:space="preserve"> Time!BZ$91</f>
        <v>60</v>
      </c>
      <c r="CA58" s="93">
        <f xml:space="preserve"> Time!CA$91</f>
        <v>60</v>
      </c>
      <c r="CB58" s="93">
        <f xml:space="preserve"> Time!CB$91</f>
        <v>60</v>
      </c>
      <c r="CC58" s="93">
        <f xml:space="preserve"> Time!CC$91</f>
        <v>60</v>
      </c>
      <c r="CD58" s="93">
        <f xml:space="preserve"> Time!CD$91</f>
        <v>60</v>
      </c>
    </row>
    <row r="59" spans="1:82" outlineLevel="2" x14ac:dyDescent="0.35">
      <c r="A59" s="138"/>
      <c r="B59" s="138"/>
      <c r="C59" s="139"/>
      <c r="D59" s="140"/>
      <c r="E59" s="307" t="str">
        <f xml:space="preserve"> Time!E$87</f>
        <v>Operating period flag</v>
      </c>
      <c r="F59" s="307">
        <f xml:space="preserve"> Time!F$87</f>
        <v>0</v>
      </c>
      <c r="G59" s="307" t="str">
        <f xml:space="preserve"> Time!G$87</f>
        <v>flag</v>
      </c>
      <c r="H59" s="307">
        <f xml:space="preserve"> Time!H$87</f>
        <v>60</v>
      </c>
      <c r="I59" s="307">
        <f xml:space="preserve"> Time!I$87</f>
        <v>0</v>
      </c>
      <c r="J59" s="307">
        <f xml:space="preserve"> Time!J$87</f>
        <v>0</v>
      </c>
      <c r="K59" s="307">
        <f xml:space="preserve"> Time!K$87</f>
        <v>0</v>
      </c>
      <c r="L59" s="307">
        <f xml:space="preserve"> Time!L$87</f>
        <v>0</v>
      </c>
      <c r="M59" s="307">
        <f xml:space="preserve"> Time!M$87</f>
        <v>0</v>
      </c>
      <c r="N59" s="307">
        <f xml:space="preserve"> Time!N$87</f>
        <v>1</v>
      </c>
      <c r="O59" s="307">
        <f xml:space="preserve"> Time!O$87</f>
        <v>1</v>
      </c>
      <c r="P59" s="307">
        <f xml:space="preserve"> Time!P$87</f>
        <v>1</v>
      </c>
      <c r="Q59" s="307">
        <f xml:space="preserve"> Time!Q$87</f>
        <v>1</v>
      </c>
      <c r="R59" s="307">
        <f xml:space="preserve"> Time!R$87</f>
        <v>1</v>
      </c>
      <c r="S59" s="307">
        <f xml:space="preserve"> Time!S$87</f>
        <v>1</v>
      </c>
      <c r="T59" s="307">
        <f xml:space="preserve"> Time!T$87</f>
        <v>1</v>
      </c>
      <c r="U59" s="307">
        <f xml:space="preserve"> Time!U$87</f>
        <v>1</v>
      </c>
      <c r="V59" s="307">
        <f xml:space="preserve"> Time!V$87</f>
        <v>1</v>
      </c>
      <c r="W59" s="307">
        <f xml:space="preserve"> Time!W$87</f>
        <v>1</v>
      </c>
      <c r="X59" s="307">
        <f xml:space="preserve"> Time!X$87</f>
        <v>1</v>
      </c>
      <c r="Y59" s="307">
        <f xml:space="preserve"> Time!Y$87</f>
        <v>1</v>
      </c>
      <c r="Z59" s="307">
        <f xml:space="preserve"> Time!Z$87</f>
        <v>1</v>
      </c>
      <c r="AA59" s="307">
        <f xml:space="preserve"> Time!AA$87</f>
        <v>1</v>
      </c>
      <c r="AB59" s="307">
        <f xml:space="preserve"> Time!AB$87</f>
        <v>1</v>
      </c>
      <c r="AC59" s="307">
        <f xml:space="preserve"> Time!AC$87</f>
        <v>1</v>
      </c>
      <c r="AD59" s="307">
        <f xml:space="preserve"> Time!AD$87</f>
        <v>1</v>
      </c>
      <c r="AE59" s="307">
        <f xml:space="preserve"> Time!AE$87</f>
        <v>1</v>
      </c>
      <c r="AF59" s="307">
        <f xml:space="preserve"> Time!AF$87</f>
        <v>1</v>
      </c>
      <c r="AG59" s="307">
        <f xml:space="preserve"> Time!AG$87</f>
        <v>1</v>
      </c>
      <c r="AH59" s="307">
        <f xml:space="preserve"> Time!AH$87</f>
        <v>1</v>
      </c>
      <c r="AI59" s="307">
        <f xml:space="preserve"> Time!AI$87</f>
        <v>1</v>
      </c>
      <c r="AJ59" s="307">
        <f xml:space="preserve"> Time!AJ$87</f>
        <v>1</v>
      </c>
      <c r="AK59" s="307">
        <f xml:space="preserve"> Time!AK$87</f>
        <v>1</v>
      </c>
      <c r="AL59" s="307">
        <f xml:space="preserve"> Time!AL$87</f>
        <v>1</v>
      </c>
      <c r="AM59" s="307">
        <f xml:space="preserve"> Time!AM$87</f>
        <v>1</v>
      </c>
      <c r="AN59" s="307">
        <f xml:space="preserve"> Time!AN$87</f>
        <v>1</v>
      </c>
      <c r="AO59" s="307">
        <f xml:space="preserve"> Time!AO$87</f>
        <v>1</v>
      </c>
      <c r="AP59" s="307">
        <f xml:space="preserve"> Time!AP$87</f>
        <v>1</v>
      </c>
      <c r="AQ59" s="307">
        <f xml:space="preserve"> Time!AQ$87</f>
        <v>1</v>
      </c>
      <c r="AR59" s="307">
        <f xml:space="preserve"> Time!AR$87</f>
        <v>1</v>
      </c>
      <c r="AS59" s="307">
        <f xml:space="preserve"> Time!AS$87</f>
        <v>1</v>
      </c>
      <c r="AT59" s="307">
        <f xml:space="preserve"> Time!AT$87</f>
        <v>1</v>
      </c>
      <c r="AU59" s="307">
        <f xml:space="preserve"> Time!AU$87</f>
        <v>1</v>
      </c>
      <c r="AV59" s="307">
        <f xml:space="preserve"> Time!AV$87</f>
        <v>1</v>
      </c>
      <c r="AW59" s="307">
        <f xml:space="preserve"> Time!AW$87</f>
        <v>1</v>
      </c>
      <c r="AX59" s="307">
        <f xml:space="preserve"> Time!AX$87</f>
        <v>1</v>
      </c>
      <c r="AY59" s="307">
        <f xml:space="preserve"> Time!AY$87</f>
        <v>1</v>
      </c>
      <c r="AZ59" s="307">
        <f xml:space="preserve"> Time!AZ$87</f>
        <v>1</v>
      </c>
      <c r="BA59" s="307">
        <f xml:space="preserve"> Time!BA$87</f>
        <v>1</v>
      </c>
      <c r="BB59" s="307">
        <f xml:space="preserve"> Time!BB$87</f>
        <v>1</v>
      </c>
      <c r="BC59" s="307">
        <f xml:space="preserve"> Time!BC$87</f>
        <v>1</v>
      </c>
      <c r="BD59" s="307">
        <f xml:space="preserve"> Time!BD$87</f>
        <v>1</v>
      </c>
      <c r="BE59" s="307">
        <f xml:space="preserve"> Time!BE$87</f>
        <v>1</v>
      </c>
      <c r="BF59" s="307">
        <f xml:space="preserve"> Time!BF$87</f>
        <v>1</v>
      </c>
      <c r="BG59" s="307">
        <f xml:space="preserve"> Time!BG$87</f>
        <v>1</v>
      </c>
      <c r="BH59" s="307">
        <f xml:space="preserve"> Time!BH$87</f>
        <v>1</v>
      </c>
      <c r="BI59" s="307">
        <f xml:space="preserve"> Time!BI$87</f>
        <v>1</v>
      </c>
      <c r="BJ59" s="307">
        <f xml:space="preserve"> Time!BJ$87</f>
        <v>1</v>
      </c>
      <c r="BK59" s="307">
        <f xml:space="preserve"> Time!BK$87</f>
        <v>1</v>
      </c>
      <c r="BL59" s="307">
        <f xml:space="preserve"> Time!BL$87</f>
        <v>1</v>
      </c>
      <c r="BM59" s="307">
        <f xml:space="preserve"> Time!BM$87</f>
        <v>1</v>
      </c>
      <c r="BN59" s="307">
        <f xml:space="preserve"> Time!BN$87</f>
        <v>1</v>
      </c>
      <c r="BO59" s="307">
        <f xml:space="preserve"> Time!BO$87</f>
        <v>1</v>
      </c>
      <c r="BP59" s="307">
        <f xml:space="preserve"> Time!BP$87</f>
        <v>1</v>
      </c>
      <c r="BQ59" s="307">
        <f xml:space="preserve"> Time!BQ$87</f>
        <v>1</v>
      </c>
      <c r="BR59" s="307">
        <f xml:space="preserve"> Time!BR$87</f>
        <v>1</v>
      </c>
      <c r="BS59" s="307">
        <f xml:space="preserve"> Time!BS$87</f>
        <v>1</v>
      </c>
      <c r="BT59" s="307">
        <f xml:space="preserve"> Time!BT$87</f>
        <v>1</v>
      </c>
      <c r="BU59" s="307">
        <f xml:space="preserve"> Time!BU$87</f>
        <v>1</v>
      </c>
      <c r="BV59" s="307">
        <f xml:space="preserve"> Time!BV$87</f>
        <v>0</v>
      </c>
      <c r="BW59" s="307">
        <f xml:space="preserve"> Time!BW$87</f>
        <v>0</v>
      </c>
      <c r="BX59" s="307">
        <f xml:space="preserve"> Time!BX$87</f>
        <v>0</v>
      </c>
      <c r="BY59" s="307">
        <f xml:space="preserve"> Time!BY$87</f>
        <v>0</v>
      </c>
      <c r="BZ59" s="307">
        <f xml:space="preserve"> Time!BZ$87</f>
        <v>0</v>
      </c>
      <c r="CA59" s="307">
        <f xml:space="preserve"> Time!CA$87</f>
        <v>0</v>
      </c>
      <c r="CB59" s="307">
        <f xml:space="preserve"> Time!CB$87</f>
        <v>0</v>
      </c>
      <c r="CC59" s="307">
        <f xml:space="preserve"> Time!CC$87</f>
        <v>0</v>
      </c>
      <c r="CD59" s="307">
        <f xml:space="preserve"> Time!CD$87</f>
        <v>0</v>
      </c>
    </row>
    <row r="60" spans="1:82" outlineLevel="2" x14ac:dyDescent="0.35">
      <c r="E60" s="7" t="s">
        <v>193</v>
      </c>
      <c r="H60" s="7">
        <f xml:space="preserve"> SUM(J60:CD60)</f>
        <v>2608</v>
      </c>
      <c r="J60" s="7">
        <f t="shared" ref="J60:AO60" si="21">IF(J59 = 1,  IF( J58 &lt; COUNTA($F52:$F57), INDEX($F52:$F57, J58), 0), 0)</f>
        <v>0</v>
      </c>
      <c r="K60" s="7">
        <f t="shared" si="21"/>
        <v>0</v>
      </c>
      <c r="L60" s="7">
        <f t="shared" si="21"/>
        <v>0</v>
      </c>
      <c r="M60" s="7">
        <f t="shared" si="21"/>
        <v>0</v>
      </c>
      <c r="N60" s="7">
        <f t="shared" si="21"/>
        <v>1310</v>
      </c>
      <c r="O60" s="7">
        <f t="shared" si="21"/>
        <v>1298</v>
      </c>
      <c r="P60" s="7">
        <f t="shared" si="21"/>
        <v>0</v>
      </c>
      <c r="Q60" s="7">
        <f t="shared" si="21"/>
        <v>0</v>
      </c>
      <c r="R60" s="7">
        <f t="shared" si="21"/>
        <v>0</v>
      </c>
      <c r="S60" s="7">
        <f t="shared" si="21"/>
        <v>0</v>
      </c>
      <c r="T60" s="7">
        <f t="shared" si="21"/>
        <v>0</v>
      </c>
      <c r="U60" s="7">
        <f t="shared" si="21"/>
        <v>0</v>
      </c>
      <c r="V60" s="7">
        <f t="shared" si="21"/>
        <v>0</v>
      </c>
      <c r="W60" s="7">
        <f t="shared" si="21"/>
        <v>0</v>
      </c>
      <c r="X60" s="7">
        <f t="shared" si="21"/>
        <v>0</v>
      </c>
      <c r="Y60" s="7">
        <f t="shared" si="21"/>
        <v>0</v>
      </c>
      <c r="Z60" s="7">
        <f t="shared" si="21"/>
        <v>0</v>
      </c>
      <c r="AA60" s="7">
        <f t="shared" si="21"/>
        <v>0</v>
      </c>
      <c r="AB60" s="7">
        <f t="shared" si="21"/>
        <v>0</v>
      </c>
      <c r="AC60" s="7">
        <f t="shared" si="21"/>
        <v>0</v>
      </c>
      <c r="AD60" s="7">
        <f t="shared" si="21"/>
        <v>0</v>
      </c>
      <c r="AE60" s="7">
        <f t="shared" si="21"/>
        <v>0</v>
      </c>
      <c r="AF60" s="7">
        <f t="shared" si="21"/>
        <v>0</v>
      </c>
      <c r="AG60" s="7">
        <f t="shared" si="21"/>
        <v>0</v>
      </c>
      <c r="AH60" s="7">
        <f t="shared" si="21"/>
        <v>0</v>
      </c>
      <c r="AI60" s="7">
        <f t="shared" si="21"/>
        <v>0</v>
      </c>
      <c r="AJ60" s="7">
        <f t="shared" si="21"/>
        <v>0</v>
      </c>
      <c r="AK60" s="7">
        <f t="shared" si="21"/>
        <v>0</v>
      </c>
      <c r="AL60" s="7">
        <f t="shared" si="21"/>
        <v>0</v>
      </c>
      <c r="AM60" s="7">
        <f t="shared" si="21"/>
        <v>0</v>
      </c>
      <c r="AN60" s="7">
        <f t="shared" si="21"/>
        <v>0</v>
      </c>
      <c r="AO60" s="7">
        <f t="shared" si="21"/>
        <v>0</v>
      </c>
      <c r="AP60" s="7">
        <f t="shared" ref="AP60:BU60" si="22">IF(AP59 = 1,  IF( AP58 &lt; COUNTA($F52:$F57), INDEX($F52:$F57, AP58), 0), 0)</f>
        <v>0</v>
      </c>
      <c r="AQ60" s="7">
        <f t="shared" si="22"/>
        <v>0</v>
      </c>
      <c r="AR60" s="7">
        <f t="shared" si="22"/>
        <v>0</v>
      </c>
      <c r="AS60" s="7">
        <f t="shared" si="22"/>
        <v>0</v>
      </c>
      <c r="AT60" s="7">
        <f t="shared" si="22"/>
        <v>0</v>
      </c>
      <c r="AU60" s="7">
        <f t="shared" si="22"/>
        <v>0</v>
      </c>
      <c r="AV60" s="7">
        <f t="shared" si="22"/>
        <v>0</v>
      </c>
      <c r="AW60" s="7">
        <f t="shared" si="22"/>
        <v>0</v>
      </c>
      <c r="AX60" s="7">
        <f t="shared" si="22"/>
        <v>0</v>
      </c>
      <c r="AY60" s="7">
        <f t="shared" si="22"/>
        <v>0</v>
      </c>
      <c r="AZ60" s="7">
        <f t="shared" si="22"/>
        <v>0</v>
      </c>
      <c r="BA60" s="7">
        <f t="shared" si="22"/>
        <v>0</v>
      </c>
      <c r="BB60" s="7">
        <f t="shared" si="22"/>
        <v>0</v>
      </c>
      <c r="BC60" s="7">
        <f t="shared" si="22"/>
        <v>0</v>
      </c>
      <c r="BD60" s="7">
        <f t="shared" si="22"/>
        <v>0</v>
      </c>
      <c r="BE60" s="7">
        <f t="shared" si="22"/>
        <v>0</v>
      </c>
      <c r="BF60" s="7">
        <f t="shared" si="22"/>
        <v>0</v>
      </c>
      <c r="BG60" s="7">
        <f t="shared" si="22"/>
        <v>0</v>
      </c>
      <c r="BH60" s="7">
        <f t="shared" si="22"/>
        <v>0</v>
      </c>
      <c r="BI60" s="7">
        <f t="shared" si="22"/>
        <v>0</v>
      </c>
      <c r="BJ60" s="7">
        <f t="shared" si="22"/>
        <v>0</v>
      </c>
      <c r="BK60" s="7">
        <f t="shared" si="22"/>
        <v>0</v>
      </c>
      <c r="BL60" s="7">
        <f t="shared" si="22"/>
        <v>0</v>
      </c>
      <c r="BM60" s="7">
        <f t="shared" si="22"/>
        <v>0</v>
      </c>
      <c r="BN60" s="7">
        <f t="shared" si="22"/>
        <v>0</v>
      </c>
      <c r="BO60" s="7">
        <f t="shared" si="22"/>
        <v>0</v>
      </c>
      <c r="BP60" s="7">
        <f t="shared" si="22"/>
        <v>0</v>
      </c>
      <c r="BQ60" s="7">
        <f t="shared" si="22"/>
        <v>0</v>
      </c>
      <c r="BR60" s="7">
        <f t="shared" si="22"/>
        <v>0</v>
      </c>
      <c r="BS60" s="7">
        <f t="shared" si="22"/>
        <v>0</v>
      </c>
      <c r="BT60" s="7">
        <f t="shared" si="22"/>
        <v>0</v>
      </c>
      <c r="BU60" s="7">
        <f t="shared" si="22"/>
        <v>0</v>
      </c>
      <c r="BV60" s="7">
        <f t="shared" ref="BV60:CD60" si="23">IF(BV59 = 1,  IF( BV58 &lt; COUNTA($F52:$F57), INDEX($F52:$F57, BV58), 0), 0)</f>
        <v>0</v>
      </c>
      <c r="BW60" s="7">
        <f t="shared" si="23"/>
        <v>0</v>
      </c>
      <c r="BX60" s="7">
        <f t="shared" si="23"/>
        <v>0</v>
      </c>
      <c r="BY60" s="7">
        <f t="shared" si="23"/>
        <v>0</v>
      </c>
      <c r="BZ60" s="7">
        <f t="shared" si="23"/>
        <v>0</v>
      </c>
      <c r="CA60" s="7">
        <f t="shared" si="23"/>
        <v>0</v>
      </c>
      <c r="CB60" s="7">
        <f t="shared" si="23"/>
        <v>0</v>
      </c>
      <c r="CC60" s="7">
        <f t="shared" si="23"/>
        <v>0</v>
      </c>
      <c r="CD60" s="7">
        <f t="shared" si="23"/>
        <v>0</v>
      </c>
    </row>
    <row r="61" spans="1:82" outlineLevel="1" x14ac:dyDescent="0.35"/>
    <row r="62" spans="1:82" outlineLevel="1" x14ac:dyDescent="0.35">
      <c r="B62" s="8" t="s">
        <v>184</v>
      </c>
    </row>
    <row r="63" spans="1:82" outlineLevel="2" x14ac:dyDescent="0.35">
      <c r="E63" s="296" t="str">
        <f xml:space="preserve"> InpC!E$47</f>
        <v>Invoice payment lag</v>
      </c>
      <c r="F63" s="296">
        <f xml:space="preserve"> InpC!F$47</f>
        <v>2</v>
      </c>
      <c r="G63" s="296" t="str">
        <f xml:space="preserve"> InpC!G$47</f>
        <v>months</v>
      </c>
      <c r="H63" s="26"/>
    </row>
    <row r="64" spans="1:82" outlineLevel="2" x14ac:dyDescent="0.35">
      <c r="E64" s="93" t="str">
        <f xml:space="preserve"> Time!E$10</f>
        <v>Model column counter</v>
      </c>
      <c r="F64" s="93">
        <f xml:space="preserve"> Time!F$10</f>
        <v>0</v>
      </c>
      <c r="G64" s="93" t="str">
        <f xml:space="preserve"> Time!G$10</f>
        <v>counter</v>
      </c>
      <c r="H64" s="93">
        <f xml:space="preserve"> Time!H$10</f>
        <v>0</v>
      </c>
      <c r="I64" s="93">
        <f xml:space="preserve"> Time!I$10</f>
        <v>0</v>
      </c>
      <c r="J64" s="93">
        <f xml:space="preserve"> Time!J$10</f>
        <v>1</v>
      </c>
      <c r="K64" s="93">
        <f xml:space="preserve"> Time!K$10</f>
        <v>2</v>
      </c>
      <c r="L64" s="93">
        <f xml:space="preserve"> Time!L$10</f>
        <v>3</v>
      </c>
      <c r="M64" s="93">
        <f xml:space="preserve"> Time!M$10</f>
        <v>4</v>
      </c>
      <c r="N64" s="93">
        <f xml:space="preserve"> Time!N$10</f>
        <v>5</v>
      </c>
      <c r="O64" s="93">
        <f xml:space="preserve"> Time!O$10</f>
        <v>6</v>
      </c>
      <c r="P64" s="93">
        <f xml:space="preserve"> Time!P$10</f>
        <v>7</v>
      </c>
      <c r="Q64" s="93">
        <f xml:space="preserve"> Time!Q$10</f>
        <v>8</v>
      </c>
      <c r="R64" s="93">
        <f xml:space="preserve"> Time!R$10</f>
        <v>9</v>
      </c>
      <c r="S64" s="93">
        <f xml:space="preserve"> Time!S$10</f>
        <v>10</v>
      </c>
      <c r="T64" s="93">
        <f xml:space="preserve"> Time!T$10</f>
        <v>11</v>
      </c>
      <c r="U64" s="93">
        <f xml:space="preserve"> Time!U$10</f>
        <v>12</v>
      </c>
      <c r="V64" s="93">
        <f xml:space="preserve"> Time!V$10</f>
        <v>13</v>
      </c>
      <c r="W64" s="93">
        <f xml:space="preserve"> Time!W$10</f>
        <v>14</v>
      </c>
      <c r="X64" s="93">
        <f xml:space="preserve"> Time!X$10</f>
        <v>15</v>
      </c>
      <c r="Y64" s="93">
        <f xml:space="preserve"> Time!Y$10</f>
        <v>16</v>
      </c>
      <c r="Z64" s="93">
        <f xml:space="preserve"> Time!Z$10</f>
        <v>17</v>
      </c>
      <c r="AA64" s="93">
        <f xml:space="preserve"> Time!AA$10</f>
        <v>18</v>
      </c>
      <c r="AB64" s="93">
        <f xml:space="preserve"> Time!AB$10</f>
        <v>19</v>
      </c>
      <c r="AC64" s="93">
        <f xml:space="preserve"> Time!AC$10</f>
        <v>20</v>
      </c>
      <c r="AD64" s="93">
        <f xml:space="preserve"> Time!AD$10</f>
        <v>21</v>
      </c>
      <c r="AE64" s="93">
        <f xml:space="preserve"> Time!AE$10</f>
        <v>22</v>
      </c>
      <c r="AF64" s="93">
        <f xml:space="preserve"> Time!AF$10</f>
        <v>23</v>
      </c>
      <c r="AG64" s="93">
        <f xml:space="preserve"> Time!AG$10</f>
        <v>24</v>
      </c>
      <c r="AH64" s="93">
        <f xml:space="preserve"> Time!AH$10</f>
        <v>25</v>
      </c>
      <c r="AI64" s="93">
        <f xml:space="preserve"> Time!AI$10</f>
        <v>26</v>
      </c>
      <c r="AJ64" s="93">
        <f xml:space="preserve"> Time!AJ$10</f>
        <v>27</v>
      </c>
      <c r="AK64" s="93">
        <f xml:space="preserve"> Time!AK$10</f>
        <v>28</v>
      </c>
      <c r="AL64" s="93">
        <f xml:space="preserve"> Time!AL$10</f>
        <v>29</v>
      </c>
      <c r="AM64" s="93">
        <f xml:space="preserve"> Time!AM$10</f>
        <v>30</v>
      </c>
      <c r="AN64" s="93">
        <f xml:space="preserve"> Time!AN$10</f>
        <v>31</v>
      </c>
      <c r="AO64" s="93">
        <f xml:space="preserve"> Time!AO$10</f>
        <v>32</v>
      </c>
      <c r="AP64" s="93">
        <f xml:space="preserve"> Time!AP$10</f>
        <v>33</v>
      </c>
      <c r="AQ64" s="93">
        <f xml:space="preserve"> Time!AQ$10</f>
        <v>34</v>
      </c>
      <c r="AR64" s="93">
        <f xml:space="preserve"> Time!AR$10</f>
        <v>35</v>
      </c>
      <c r="AS64" s="93">
        <f xml:space="preserve"> Time!AS$10</f>
        <v>36</v>
      </c>
      <c r="AT64" s="93">
        <f xml:space="preserve"> Time!AT$10</f>
        <v>37</v>
      </c>
      <c r="AU64" s="93">
        <f xml:space="preserve"> Time!AU$10</f>
        <v>38</v>
      </c>
      <c r="AV64" s="93">
        <f xml:space="preserve"> Time!AV$10</f>
        <v>39</v>
      </c>
      <c r="AW64" s="93">
        <f xml:space="preserve"> Time!AW$10</f>
        <v>40</v>
      </c>
      <c r="AX64" s="93">
        <f xml:space="preserve"> Time!AX$10</f>
        <v>41</v>
      </c>
      <c r="AY64" s="93">
        <f xml:space="preserve"> Time!AY$10</f>
        <v>42</v>
      </c>
      <c r="AZ64" s="93">
        <f xml:space="preserve"> Time!AZ$10</f>
        <v>43</v>
      </c>
      <c r="BA64" s="93">
        <f xml:space="preserve"> Time!BA$10</f>
        <v>44</v>
      </c>
      <c r="BB64" s="93">
        <f xml:space="preserve"> Time!BB$10</f>
        <v>45</v>
      </c>
      <c r="BC64" s="93">
        <f xml:space="preserve"> Time!BC$10</f>
        <v>46</v>
      </c>
      <c r="BD64" s="93">
        <f xml:space="preserve"> Time!BD$10</f>
        <v>47</v>
      </c>
      <c r="BE64" s="93">
        <f xml:space="preserve"> Time!BE$10</f>
        <v>48</v>
      </c>
      <c r="BF64" s="93">
        <f xml:space="preserve"> Time!BF$10</f>
        <v>49</v>
      </c>
      <c r="BG64" s="93">
        <f xml:space="preserve"> Time!BG$10</f>
        <v>50</v>
      </c>
      <c r="BH64" s="93">
        <f xml:space="preserve"> Time!BH$10</f>
        <v>51</v>
      </c>
      <c r="BI64" s="93">
        <f xml:space="preserve"> Time!BI$10</f>
        <v>52</v>
      </c>
      <c r="BJ64" s="93">
        <f xml:space="preserve"> Time!BJ$10</f>
        <v>53</v>
      </c>
      <c r="BK64" s="93">
        <f xml:space="preserve"> Time!BK$10</f>
        <v>54</v>
      </c>
      <c r="BL64" s="93">
        <f xml:space="preserve"> Time!BL$10</f>
        <v>55</v>
      </c>
      <c r="BM64" s="93">
        <f xml:space="preserve"> Time!BM$10</f>
        <v>56</v>
      </c>
      <c r="BN64" s="93">
        <f xml:space="preserve"> Time!BN$10</f>
        <v>57</v>
      </c>
      <c r="BO64" s="93">
        <f xml:space="preserve"> Time!BO$10</f>
        <v>58</v>
      </c>
      <c r="BP64" s="93">
        <f xml:space="preserve"> Time!BP$10</f>
        <v>59</v>
      </c>
      <c r="BQ64" s="93">
        <f xml:space="preserve"> Time!BQ$10</f>
        <v>60</v>
      </c>
      <c r="BR64" s="93">
        <f xml:space="preserve"> Time!BR$10</f>
        <v>61</v>
      </c>
      <c r="BS64" s="93">
        <f xml:space="preserve"> Time!BS$10</f>
        <v>62</v>
      </c>
      <c r="BT64" s="93">
        <f xml:space="preserve"> Time!BT$10</f>
        <v>63</v>
      </c>
      <c r="BU64" s="93">
        <f xml:space="preserve"> Time!BU$10</f>
        <v>64</v>
      </c>
      <c r="BV64" s="93">
        <f xml:space="preserve"> Time!BV$10</f>
        <v>65</v>
      </c>
      <c r="BW64" s="93">
        <f xml:space="preserve"> Time!BW$10</f>
        <v>66</v>
      </c>
      <c r="BX64" s="93">
        <f xml:space="preserve"> Time!BX$10</f>
        <v>67</v>
      </c>
      <c r="BY64" s="93">
        <f xml:space="preserve"> Time!BY$10</f>
        <v>68</v>
      </c>
      <c r="BZ64" s="93">
        <f xml:space="preserve"> Time!BZ$10</f>
        <v>69</v>
      </c>
      <c r="CA64" s="93">
        <f xml:space="preserve"> Time!CA$10</f>
        <v>70</v>
      </c>
      <c r="CB64" s="93">
        <f xml:space="preserve"> Time!CB$10</f>
        <v>71</v>
      </c>
      <c r="CC64" s="93">
        <f xml:space="preserve"> Time!CC$10</f>
        <v>72</v>
      </c>
      <c r="CD64" s="93">
        <f xml:space="preserve"> Time!CD$10</f>
        <v>73</v>
      </c>
    </row>
    <row r="65" spans="1:82" outlineLevel="2" x14ac:dyDescent="0.35">
      <c r="E65" s="311" t="str">
        <f t="shared" ref="E65:AJ65" si="24" xml:space="preserve"> E$46</f>
        <v>Electricity revenue</v>
      </c>
      <c r="F65" s="311">
        <f t="shared" si="24"/>
        <v>0</v>
      </c>
      <c r="G65" s="311" t="str">
        <f t="shared" si="24"/>
        <v>$ 000s</v>
      </c>
      <c r="H65" s="311">
        <f t="shared" si="24"/>
        <v>78032.187836641722</v>
      </c>
      <c r="I65" s="311">
        <f t="shared" si="24"/>
        <v>0</v>
      </c>
      <c r="J65" s="311">
        <f t="shared" si="24"/>
        <v>0</v>
      </c>
      <c r="K65" s="311">
        <f t="shared" si="24"/>
        <v>0</v>
      </c>
      <c r="L65" s="311">
        <f t="shared" si="24"/>
        <v>0</v>
      </c>
      <c r="M65" s="311">
        <f t="shared" si="24"/>
        <v>0</v>
      </c>
      <c r="N65" s="311">
        <f t="shared" si="24"/>
        <v>1119.1374999999998</v>
      </c>
      <c r="O65" s="311">
        <f t="shared" si="24"/>
        <v>1434.3875</v>
      </c>
      <c r="P65" s="311">
        <f t="shared" si="24"/>
        <v>1607.7749999999999</v>
      </c>
      <c r="Q65" s="311">
        <f t="shared" si="24"/>
        <v>1952.7827419199425</v>
      </c>
      <c r="R65" s="311">
        <f t="shared" si="24"/>
        <v>2238.2749999999996</v>
      </c>
      <c r="S65" s="311">
        <f t="shared" si="24"/>
        <v>2080.65</v>
      </c>
      <c r="T65" s="311">
        <f t="shared" si="24"/>
        <v>1607.7749999999999</v>
      </c>
      <c r="U65" s="311">
        <f t="shared" si="24"/>
        <v>961.51250000000005</v>
      </c>
      <c r="V65" s="311">
        <f t="shared" si="24"/>
        <v>646.26250000000005</v>
      </c>
      <c r="W65" s="311">
        <f t="shared" si="24"/>
        <v>553.45475808006029</v>
      </c>
      <c r="X65" s="311">
        <f t="shared" si="24"/>
        <v>740.83750000000009</v>
      </c>
      <c r="Y65" s="311">
        <f t="shared" si="24"/>
        <v>819.65</v>
      </c>
      <c r="Z65" s="311">
        <f t="shared" si="24"/>
        <v>1113.5696517412935</v>
      </c>
      <c r="AA65" s="311">
        <f t="shared" si="24"/>
        <v>1427.2512437810947</v>
      </c>
      <c r="AB65" s="311">
        <f t="shared" si="24"/>
        <v>1599.7761194029854</v>
      </c>
      <c r="AC65" s="311">
        <f t="shared" si="24"/>
        <v>1943.0674048954654</v>
      </c>
      <c r="AD65" s="311">
        <f t="shared" si="24"/>
        <v>2227.1393034825869</v>
      </c>
      <c r="AE65" s="311">
        <f t="shared" si="24"/>
        <v>2070.2985074626872</v>
      </c>
      <c r="AF65" s="311">
        <f t="shared" si="24"/>
        <v>1599.7761194029854</v>
      </c>
      <c r="AG65" s="311">
        <f t="shared" si="24"/>
        <v>956.72885572139319</v>
      </c>
      <c r="AH65" s="311">
        <f t="shared" si="24"/>
        <v>643.0472636815922</v>
      </c>
      <c r="AI65" s="311">
        <f t="shared" si="24"/>
        <v>550.70125182095558</v>
      </c>
      <c r="AJ65" s="311">
        <f t="shared" si="24"/>
        <v>737.1517412935325</v>
      </c>
      <c r="AK65" s="311">
        <f t="shared" ref="AK65:BP65" si="25" xml:space="preserve"> AK$46</f>
        <v>815.57213930348269</v>
      </c>
      <c r="AL65" s="311">
        <f t="shared" si="25"/>
        <v>1108.0295042201928</v>
      </c>
      <c r="AM65" s="311">
        <f t="shared" si="25"/>
        <v>1420.1504913244726</v>
      </c>
      <c r="AN65" s="311">
        <f t="shared" si="25"/>
        <v>1591.8170342318265</v>
      </c>
      <c r="AO65" s="311">
        <f t="shared" si="25"/>
        <v>1933.4004028810605</v>
      </c>
      <c r="AP65" s="311">
        <f t="shared" si="25"/>
        <v>2216.0590084403857</v>
      </c>
      <c r="AQ65" s="311">
        <f t="shared" si="25"/>
        <v>2059.9985148882461</v>
      </c>
      <c r="AR65" s="311">
        <f t="shared" si="25"/>
        <v>1591.8170342318265</v>
      </c>
      <c r="AS65" s="311">
        <f t="shared" si="25"/>
        <v>951.9690106680531</v>
      </c>
      <c r="AT65" s="311">
        <f t="shared" si="25"/>
        <v>639.84802356377338</v>
      </c>
      <c r="AU65" s="311">
        <f t="shared" si="25"/>
        <v>547.96144459796585</v>
      </c>
      <c r="AV65" s="311">
        <f t="shared" si="25"/>
        <v>733.48431969505725</v>
      </c>
      <c r="AW65" s="311">
        <f t="shared" si="25"/>
        <v>811.51456647112718</v>
      </c>
      <c r="AX65" s="311">
        <f t="shared" si="25"/>
        <v>1102.5169196220825</v>
      </c>
      <c r="AY65" s="311">
        <f t="shared" si="25"/>
        <v>1413.0850659945002</v>
      </c>
      <c r="AZ65" s="311">
        <f t="shared" si="25"/>
        <v>1583.8975464993296</v>
      </c>
      <c r="BA65" s="311">
        <f t="shared" si="25"/>
        <v>1923.7814954040405</v>
      </c>
      <c r="BB65" s="311">
        <f t="shared" si="25"/>
        <v>2205.0338392441649</v>
      </c>
      <c r="BC65" s="311">
        <f t="shared" si="25"/>
        <v>2049.7497660579565</v>
      </c>
      <c r="BD65" s="311">
        <f t="shared" si="25"/>
        <v>1583.8975464993296</v>
      </c>
      <c r="BE65" s="311">
        <f t="shared" si="25"/>
        <v>947.23284643587374</v>
      </c>
      <c r="BF65" s="311">
        <f t="shared" si="25"/>
        <v>636.66470006345617</v>
      </c>
      <c r="BG65" s="311">
        <f t="shared" si="25"/>
        <v>545.23526825668239</v>
      </c>
      <c r="BH65" s="311">
        <f t="shared" si="25"/>
        <v>729.8351439751815</v>
      </c>
      <c r="BI65" s="311">
        <f t="shared" si="25"/>
        <v>807.4771805682858</v>
      </c>
      <c r="BJ65" s="311">
        <f t="shared" si="25"/>
        <v>1097.0317608179928</v>
      </c>
      <c r="BK65" s="311">
        <f t="shared" si="25"/>
        <v>1406.0547920343288</v>
      </c>
      <c r="BL65" s="311">
        <f t="shared" si="25"/>
        <v>1576.0174592033136</v>
      </c>
      <c r="BM65" s="311">
        <f t="shared" si="25"/>
        <v>1914.2104431881005</v>
      </c>
      <c r="BN65" s="311">
        <f t="shared" si="25"/>
        <v>2194.0635216359856</v>
      </c>
      <c r="BO65" s="311">
        <f t="shared" si="25"/>
        <v>2039.5520060278179</v>
      </c>
      <c r="BP65" s="311">
        <f t="shared" si="25"/>
        <v>1576.0174592033136</v>
      </c>
      <c r="BQ65" s="311">
        <f t="shared" ref="BQ65:CD65" si="26" xml:space="preserve"> BQ$46</f>
        <v>942.52024520982491</v>
      </c>
      <c r="BR65" s="311">
        <f t="shared" si="26"/>
        <v>633.49721399348891</v>
      </c>
      <c r="BS65" s="311">
        <f t="shared" si="26"/>
        <v>542.5226549817736</v>
      </c>
      <c r="BT65" s="311">
        <f t="shared" si="26"/>
        <v>726.20412335838967</v>
      </c>
      <c r="BU65" s="311">
        <f t="shared" si="26"/>
        <v>803.45988116247361</v>
      </c>
      <c r="BV65" s="311">
        <f t="shared" si="26"/>
        <v>0</v>
      </c>
      <c r="BW65" s="311">
        <f t="shared" si="26"/>
        <v>0</v>
      </c>
      <c r="BX65" s="311">
        <f t="shared" si="26"/>
        <v>0</v>
      </c>
      <c r="BY65" s="311">
        <f t="shared" si="26"/>
        <v>0</v>
      </c>
      <c r="BZ65" s="311">
        <f t="shared" si="26"/>
        <v>0</v>
      </c>
      <c r="CA65" s="311">
        <f t="shared" si="26"/>
        <v>0</v>
      </c>
      <c r="CB65" s="311">
        <f t="shared" si="26"/>
        <v>0</v>
      </c>
      <c r="CC65" s="311">
        <f t="shared" si="26"/>
        <v>0</v>
      </c>
      <c r="CD65" s="311">
        <f t="shared" si="26"/>
        <v>0</v>
      </c>
    </row>
    <row r="66" spans="1:82" outlineLevel="2" x14ac:dyDescent="0.35">
      <c r="E66" s="7" t="s">
        <v>184</v>
      </c>
      <c r="G66" s="7" t="str">
        <f xml:space="preserve"> SMU</f>
        <v>$ 000s</v>
      </c>
      <c r="H66" s="7">
        <f xml:space="preserve"> SUM(J66:CD66)</f>
        <v>78032.187836641722</v>
      </c>
      <c r="I66" s="7"/>
      <c r="J66" s="94">
        <f t="shared" ref="J66:AO66" si="27" xml:space="preserve"> IF(J64 &gt; $F63, SUMIF($J64:$CD64, J64 - $F63, $J65:$CD65), 0)</f>
        <v>0</v>
      </c>
      <c r="K66" s="94">
        <f t="shared" si="27"/>
        <v>0</v>
      </c>
      <c r="L66" s="94">
        <f t="shared" si="27"/>
        <v>0</v>
      </c>
      <c r="M66" s="94">
        <f t="shared" si="27"/>
        <v>0</v>
      </c>
      <c r="N66" s="94">
        <f t="shared" si="27"/>
        <v>0</v>
      </c>
      <c r="O66" s="94">
        <f t="shared" si="27"/>
        <v>0</v>
      </c>
      <c r="P66" s="94">
        <f t="shared" si="27"/>
        <v>1119.1374999999998</v>
      </c>
      <c r="Q66" s="94">
        <f t="shared" si="27"/>
        <v>1434.3875</v>
      </c>
      <c r="R66" s="94">
        <f t="shared" si="27"/>
        <v>1607.7749999999999</v>
      </c>
      <c r="S66" s="94">
        <f t="shared" si="27"/>
        <v>1952.7827419199425</v>
      </c>
      <c r="T66" s="94">
        <f t="shared" si="27"/>
        <v>2238.2749999999996</v>
      </c>
      <c r="U66" s="94">
        <f t="shared" si="27"/>
        <v>2080.65</v>
      </c>
      <c r="V66" s="94">
        <f t="shared" si="27"/>
        <v>1607.7749999999999</v>
      </c>
      <c r="W66" s="94">
        <f t="shared" si="27"/>
        <v>961.51250000000005</v>
      </c>
      <c r="X66" s="94">
        <f t="shared" si="27"/>
        <v>646.26250000000005</v>
      </c>
      <c r="Y66" s="94">
        <f t="shared" si="27"/>
        <v>553.45475808006029</v>
      </c>
      <c r="Z66" s="94">
        <f t="shared" si="27"/>
        <v>740.83750000000009</v>
      </c>
      <c r="AA66" s="94">
        <f t="shared" si="27"/>
        <v>819.65</v>
      </c>
      <c r="AB66" s="94">
        <f t="shared" si="27"/>
        <v>1113.5696517412935</v>
      </c>
      <c r="AC66" s="94">
        <f t="shared" si="27"/>
        <v>1427.2512437810947</v>
      </c>
      <c r="AD66" s="94">
        <f t="shared" si="27"/>
        <v>1599.7761194029854</v>
      </c>
      <c r="AE66" s="94">
        <f t="shared" si="27"/>
        <v>1943.0674048954654</v>
      </c>
      <c r="AF66" s="94">
        <f t="shared" si="27"/>
        <v>2227.1393034825869</v>
      </c>
      <c r="AG66" s="94">
        <f t="shared" si="27"/>
        <v>2070.2985074626872</v>
      </c>
      <c r="AH66" s="94">
        <f t="shared" si="27"/>
        <v>1599.7761194029854</v>
      </c>
      <c r="AI66" s="94">
        <f t="shared" si="27"/>
        <v>956.72885572139319</v>
      </c>
      <c r="AJ66" s="94">
        <f t="shared" si="27"/>
        <v>643.0472636815922</v>
      </c>
      <c r="AK66" s="94">
        <f t="shared" si="27"/>
        <v>550.70125182095558</v>
      </c>
      <c r="AL66" s="94">
        <f t="shared" si="27"/>
        <v>737.1517412935325</v>
      </c>
      <c r="AM66" s="94">
        <f t="shared" si="27"/>
        <v>815.57213930348269</v>
      </c>
      <c r="AN66" s="94">
        <f t="shared" si="27"/>
        <v>1108.0295042201928</v>
      </c>
      <c r="AO66" s="94">
        <f t="shared" si="27"/>
        <v>1420.1504913244726</v>
      </c>
      <c r="AP66" s="94">
        <f t="shared" ref="AP66:BU66" si="28" xml:space="preserve"> IF(AP64 &gt; $F63, SUMIF($J64:$CD64, AP64 - $F63, $J65:$CD65), 0)</f>
        <v>1591.8170342318265</v>
      </c>
      <c r="AQ66" s="94">
        <f t="shared" si="28"/>
        <v>1933.4004028810605</v>
      </c>
      <c r="AR66" s="94">
        <f t="shared" si="28"/>
        <v>2216.0590084403857</v>
      </c>
      <c r="AS66" s="94">
        <f t="shared" si="28"/>
        <v>2059.9985148882461</v>
      </c>
      <c r="AT66" s="94">
        <f t="shared" si="28"/>
        <v>1591.8170342318265</v>
      </c>
      <c r="AU66" s="94">
        <f t="shared" si="28"/>
        <v>951.9690106680531</v>
      </c>
      <c r="AV66" s="94">
        <f t="shared" si="28"/>
        <v>639.84802356377338</v>
      </c>
      <c r="AW66" s="94">
        <f t="shared" si="28"/>
        <v>547.96144459796585</v>
      </c>
      <c r="AX66" s="94">
        <f t="shared" si="28"/>
        <v>733.48431969505725</v>
      </c>
      <c r="AY66" s="94">
        <f t="shared" si="28"/>
        <v>811.51456647112718</v>
      </c>
      <c r="AZ66" s="94">
        <f t="shared" si="28"/>
        <v>1102.5169196220825</v>
      </c>
      <c r="BA66" s="94">
        <f t="shared" si="28"/>
        <v>1413.0850659945002</v>
      </c>
      <c r="BB66" s="94">
        <f t="shared" si="28"/>
        <v>1583.8975464993296</v>
      </c>
      <c r="BC66" s="94">
        <f t="shared" si="28"/>
        <v>1923.7814954040405</v>
      </c>
      <c r="BD66" s="94">
        <f t="shared" si="28"/>
        <v>2205.0338392441649</v>
      </c>
      <c r="BE66" s="94">
        <f t="shared" si="28"/>
        <v>2049.7497660579565</v>
      </c>
      <c r="BF66" s="94">
        <f t="shared" si="28"/>
        <v>1583.8975464993296</v>
      </c>
      <c r="BG66" s="94">
        <f t="shared" si="28"/>
        <v>947.23284643587374</v>
      </c>
      <c r="BH66" s="94">
        <f t="shared" si="28"/>
        <v>636.66470006345617</v>
      </c>
      <c r="BI66" s="94">
        <f t="shared" si="28"/>
        <v>545.23526825668239</v>
      </c>
      <c r="BJ66" s="94">
        <f t="shared" si="28"/>
        <v>729.8351439751815</v>
      </c>
      <c r="BK66" s="94">
        <f t="shared" si="28"/>
        <v>807.4771805682858</v>
      </c>
      <c r="BL66" s="94">
        <f t="shared" si="28"/>
        <v>1097.0317608179928</v>
      </c>
      <c r="BM66" s="94">
        <f t="shared" si="28"/>
        <v>1406.0547920343288</v>
      </c>
      <c r="BN66" s="94">
        <f t="shared" si="28"/>
        <v>1576.0174592033136</v>
      </c>
      <c r="BO66" s="94">
        <f t="shared" si="28"/>
        <v>1914.2104431881005</v>
      </c>
      <c r="BP66" s="94">
        <f t="shared" si="28"/>
        <v>2194.0635216359856</v>
      </c>
      <c r="BQ66" s="94">
        <f t="shared" si="28"/>
        <v>2039.5520060278179</v>
      </c>
      <c r="BR66" s="94">
        <f t="shared" si="28"/>
        <v>1576.0174592033136</v>
      </c>
      <c r="BS66" s="94">
        <f t="shared" si="28"/>
        <v>942.52024520982491</v>
      </c>
      <c r="BT66" s="94">
        <f t="shared" si="28"/>
        <v>633.49721399348891</v>
      </c>
      <c r="BU66" s="94">
        <f t="shared" si="28"/>
        <v>542.5226549817736</v>
      </c>
      <c r="BV66" s="94">
        <f t="shared" ref="BV66:CD66" si="29" xml:space="preserve"> IF(BV64 &gt; $F63, SUMIF($J64:$CD64, BV64 - $F63, $J65:$CD65), 0)</f>
        <v>726.20412335838967</v>
      </c>
      <c r="BW66" s="94">
        <f t="shared" si="29"/>
        <v>803.45988116247361</v>
      </c>
      <c r="BX66" s="94">
        <f t="shared" si="29"/>
        <v>0</v>
      </c>
      <c r="BY66" s="94">
        <f t="shared" si="29"/>
        <v>0</v>
      </c>
      <c r="BZ66" s="94">
        <f t="shared" si="29"/>
        <v>0</v>
      </c>
      <c r="CA66" s="94">
        <f t="shared" si="29"/>
        <v>0</v>
      </c>
      <c r="CB66" s="94">
        <f t="shared" si="29"/>
        <v>0</v>
      </c>
      <c r="CC66" s="94">
        <f t="shared" si="29"/>
        <v>0</v>
      </c>
      <c r="CD66" s="94">
        <f t="shared" si="29"/>
        <v>0</v>
      </c>
    </row>
    <row r="67" spans="1:82" outlineLevel="1" x14ac:dyDescent="0.35">
      <c r="I67" s="7"/>
    </row>
    <row r="68" spans="1:82" outlineLevel="1" x14ac:dyDescent="0.35">
      <c r="B68" s="8" t="s">
        <v>174</v>
      </c>
      <c r="I68" s="7"/>
    </row>
    <row r="69" spans="1:82" outlineLevel="2" x14ac:dyDescent="0.35">
      <c r="E69" s="7" t="str">
        <f t="shared" ref="E69:AJ69" si="30" xml:space="preserve"> E$66</f>
        <v>Forecast invoice receipts</v>
      </c>
      <c r="F69" s="7">
        <f t="shared" si="30"/>
        <v>0</v>
      </c>
      <c r="G69" s="7" t="str">
        <f t="shared" si="30"/>
        <v>$ 000s</v>
      </c>
      <c r="H69" s="7">
        <f t="shared" si="30"/>
        <v>78032.187836641722</v>
      </c>
      <c r="I69" s="7">
        <f t="shared" si="30"/>
        <v>0</v>
      </c>
      <c r="J69" s="7">
        <f t="shared" si="30"/>
        <v>0</v>
      </c>
      <c r="K69" s="7">
        <f t="shared" si="30"/>
        <v>0</v>
      </c>
      <c r="L69" s="7">
        <f t="shared" si="30"/>
        <v>0</v>
      </c>
      <c r="M69" s="7">
        <f t="shared" si="30"/>
        <v>0</v>
      </c>
      <c r="N69" s="7">
        <f t="shared" si="30"/>
        <v>0</v>
      </c>
      <c r="O69" s="7">
        <f t="shared" si="30"/>
        <v>0</v>
      </c>
      <c r="P69" s="7">
        <f t="shared" si="30"/>
        <v>1119.1374999999998</v>
      </c>
      <c r="Q69" s="7">
        <f t="shared" si="30"/>
        <v>1434.3875</v>
      </c>
      <c r="R69" s="7">
        <f t="shared" si="30"/>
        <v>1607.7749999999999</v>
      </c>
      <c r="S69" s="7">
        <f t="shared" si="30"/>
        <v>1952.7827419199425</v>
      </c>
      <c r="T69" s="7">
        <f t="shared" si="30"/>
        <v>2238.2749999999996</v>
      </c>
      <c r="U69" s="7">
        <f t="shared" si="30"/>
        <v>2080.65</v>
      </c>
      <c r="V69" s="7">
        <f t="shared" si="30"/>
        <v>1607.7749999999999</v>
      </c>
      <c r="W69" s="7">
        <f t="shared" si="30"/>
        <v>961.51250000000005</v>
      </c>
      <c r="X69" s="7">
        <f t="shared" si="30"/>
        <v>646.26250000000005</v>
      </c>
      <c r="Y69" s="7">
        <f t="shared" si="30"/>
        <v>553.45475808006029</v>
      </c>
      <c r="Z69" s="7">
        <f t="shared" si="30"/>
        <v>740.83750000000009</v>
      </c>
      <c r="AA69" s="7">
        <f t="shared" si="30"/>
        <v>819.65</v>
      </c>
      <c r="AB69" s="7">
        <f t="shared" si="30"/>
        <v>1113.5696517412935</v>
      </c>
      <c r="AC69" s="7">
        <f t="shared" si="30"/>
        <v>1427.2512437810947</v>
      </c>
      <c r="AD69" s="7">
        <f t="shared" si="30"/>
        <v>1599.7761194029854</v>
      </c>
      <c r="AE69" s="7">
        <f t="shared" si="30"/>
        <v>1943.0674048954654</v>
      </c>
      <c r="AF69" s="7">
        <f t="shared" si="30"/>
        <v>2227.1393034825869</v>
      </c>
      <c r="AG69" s="7">
        <f t="shared" si="30"/>
        <v>2070.2985074626872</v>
      </c>
      <c r="AH69" s="7">
        <f t="shared" si="30"/>
        <v>1599.7761194029854</v>
      </c>
      <c r="AI69" s="7">
        <f t="shared" si="30"/>
        <v>956.72885572139319</v>
      </c>
      <c r="AJ69" s="7">
        <f t="shared" si="30"/>
        <v>643.0472636815922</v>
      </c>
      <c r="AK69" s="7">
        <f t="shared" ref="AK69:BP69" si="31" xml:space="preserve"> AK$66</f>
        <v>550.70125182095558</v>
      </c>
      <c r="AL69" s="7">
        <f t="shared" si="31"/>
        <v>737.1517412935325</v>
      </c>
      <c r="AM69" s="7">
        <f t="shared" si="31"/>
        <v>815.57213930348269</v>
      </c>
      <c r="AN69" s="7">
        <f t="shared" si="31"/>
        <v>1108.0295042201928</v>
      </c>
      <c r="AO69" s="7">
        <f t="shared" si="31"/>
        <v>1420.1504913244726</v>
      </c>
      <c r="AP69" s="7">
        <f t="shared" si="31"/>
        <v>1591.8170342318265</v>
      </c>
      <c r="AQ69" s="7">
        <f t="shared" si="31"/>
        <v>1933.4004028810605</v>
      </c>
      <c r="AR69" s="7">
        <f t="shared" si="31"/>
        <v>2216.0590084403857</v>
      </c>
      <c r="AS69" s="7">
        <f t="shared" si="31"/>
        <v>2059.9985148882461</v>
      </c>
      <c r="AT69" s="7">
        <f t="shared" si="31"/>
        <v>1591.8170342318265</v>
      </c>
      <c r="AU69" s="7">
        <f t="shared" si="31"/>
        <v>951.9690106680531</v>
      </c>
      <c r="AV69" s="7">
        <f t="shared" si="31"/>
        <v>639.84802356377338</v>
      </c>
      <c r="AW69" s="7">
        <f t="shared" si="31"/>
        <v>547.96144459796585</v>
      </c>
      <c r="AX69" s="7">
        <f t="shared" si="31"/>
        <v>733.48431969505725</v>
      </c>
      <c r="AY69" s="7">
        <f t="shared" si="31"/>
        <v>811.51456647112718</v>
      </c>
      <c r="AZ69" s="7">
        <f t="shared" si="31"/>
        <v>1102.5169196220825</v>
      </c>
      <c r="BA69" s="7">
        <f t="shared" si="31"/>
        <v>1413.0850659945002</v>
      </c>
      <c r="BB69" s="7">
        <f t="shared" si="31"/>
        <v>1583.8975464993296</v>
      </c>
      <c r="BC69" s="7">
        <f t="shared" si="31"/>
        <v>1923.7814954040405</v>
      </c>
      <c r="BD69" s="7">
        <f t="shared" si="31"/>
        <v>2205.0338392441649</v>
      </c>
      <c r="BE69" s="7">
        <f t="shared" si="31"/>
        <v>2049.7497660579565</v>
      </c>
      <c r="BF69" s="7">
        <f t="shared" si="31"/>
        <v>1583.8975464993296</v>
      </c>
      <c r="BG69" s="7">
        <f t="shared" si="31"/>
        <v>947.23284643587374</v>
      </c>
      <c r="BH69" s="7">
        <f t="shared" si="31"/>
        <v>636.66470006345617</v>
      </c>
      <c r="BI69" s="7">
        <f t="shared" si="31"/>
        <v>545.23526825668239</v>
      </c>
      <c r="BJ69" s="7">
        <f t="shared" si="31"/>
        <v>729.8351439751815</v>
      </c>
      <c r="BK69" s="7">
        <f t="shared" si="31"/>
        <v>807.4771805682858</v>
      </c>
      <c r="BL69" s="7">
        <f t="shared" si="31"/>
        <v>1097.0317608179928</v>
      </c>
      <c r="BM69" s="7">
        <f t="shared" si="31"/>
        <v>1406.0547920343288</v>
      </c>
      <c r="BN69" s="7">
        <f t="shared" si="31"/>
        <v>1576.0174592033136</v>
      </c>
      <c r="BO69" s="7">
        <f t="shared" si="31"/>
        <v>1914.2104431881005</v>
      </c>
      <c r="BP69" s="7">
        <f t="shared" si="31"/>
        <v>2194.0635216359856</v>
      </c>
      <c r="BQ69" s="7">
        <f t="shared" ref="BQ69:CD69" si="32" xml:space="preserve"> BQ$66</f>
        <v>2039.5520060278179</v>
      </c>
      <c r="BR69" s="7">
        <f t="shared" si="32"/>
        <v>1576.0174592033136</v>
      </c>
      <c r="BS69" s="7">
        <f t="shared" si="32"/>
        <v>942.52024520982491</v>
      </c>
      <c r="BT69" s="7">
        <f t="shared" si="32"/>
        <v>633.49721399348891</v>
      </c>
      <c r="BU69" s="7">
        <f t="shared" si="32"/>
        <v>542.5226549817736</v>
      </c>
      <c r="BV69" s="7">
        <f t="shared" si="32"/>
        <v>726.20412335838967</v>
      </c>
      <c r="BW69" s="7">
        <f t="shared" si="32"/>
        <v>803.45988116247361</v>
      </c>
      <c r="BX69" s="7">
        <f t="shared" si="32"/>
        <v>0</v>
      </c>
      <c r="BY69" s="7">
        <f t="shared" si="32"/>
        <v>0</v>
      </c>
      <c r="BZ69" s="7">
        <f t="shared" si="32"/>
        <v>0</v>
      </c>
      <c r="CA69" s="7">
        <f t="shared" si="32"/>
        <v>0</v>
      </c>
      <c r="CB69" s="7">
        <f t="shared" si="32"/>
        <v>0</v>
      </c>
      <c r="CC69" s="7">
        <f t="shared" si="32"/>
        <v>0</v>
      </c>
      <c r="CD69" s="7">
        <f t="shared" si="32"/>
        <v>0</v>
      </c>
    </row>
    <row r="70" spans="1:82" outlineLevel="2" x14ac:dyDescent="0.35">
      <c r="E70" s="7" t="str">
        <f t="shared" ref="E70:BP70" si="33" xml:space="preserve"> E$60</f>
        <v>Receipt of accounts receivable initial balances</v>
      </c>
      <c r="F70" s="7">
        <f t="shared" si="33"/>
        <v>0</v>
      </c>
      <c r="G70" s="7">
        <f t="shared" si="33"/>
        <v>0</v>
      </c>
      <c r="H70" s="7">
        <f t="shared" si="33"/>
        <v>2608</v>
      </c>
      <c r="I70" s="7">
        <f t="shared" si="33"/>
        <v>0</v>
      </c>
      <c r="J70" s="7">
        <f t="shared" si="33"/>
        <v>0</v>
      </c>
      <c r="K70" s="7">
        <f t="shared" si="33"/>
        <v>0</v>
      </c>
      <c r="L70" s="7">
        <f t="shared" si="33"/>
        <v>0</v>
      </c>
      <c r="M70" s="7">
        <f t="shared" si="33"/>
        <v>0</v>
      </c>
      <c r="N70" s="7">
        <f t="shared" si="33"/>
        <v>1310</v>
      </c>
      <c r="O70" s="7">
        <f t="shared" si="33"/>
        <v>1298</v>
      </c>
      <c r="P70" s="7">
        <f t="shared" si="33"/>
        <v>0</v>
      </c>
      <c r="Q70" s="7">
        <f t="shared" si="33"/>
        <v>0</v>
      </c>
      <c r="R70" s="7">
        <f t="shared" si="33"/>
        <v>0</v>
      </c>
      <c r="S70" s="7">
        <f t="shared" si="33"/>
        <v>0</v>
      </c>
      <c r="T70" s="7">
        <f t="shared" si="33"/>
        <v>0</v>
      </c>
      <c r="U70" s="7">
        <f t="shared" si="33"/>
        <v>0</v>
      </c>
      <c r="V70" s="7">
        <f t="shared" si="33"/>
        <v>0</v>
      </c>
      <c r="W70" s="7">
        <f t="shared" si="33"/>
        <v>0</v>
      </c>
      <c r="X70" s="7">
        <f t="shared" si="33"/>
        <v>0</v>
      </c>
      <c r="Y70" s="7">
        <f t="shared" si="33"/>
        <v>0</v>
      </c>
      <c r="Z70" s="7">
        <f t="shared" si="33"/>
        <v>0</v>
      </c>
      <c r="AA70" s="7">
        <f t="shared" si="33"/>
        <v>0</v>
      </c>
      <c r="AB70" s="7">
        <f t="shared" si="33"/>
        <v>0</v>
      </c>
      <c r="AC70" s="7">
        <f t="shared" si="33"/>
        <v>0</v>
      </c>
      <c r="AD70" s="7">
        <f t="shared" si="33"/>
        <v>0</v>
      </c>
      <c r="AE70" s="7">
        <f t="shared" si="33"/>
        <v>0</v>
      </c>
      <c r="AF70" s="7">
        <f t="shared" si="33"/>
        <v>0</v>
      </c>
      <c r="AG70" s="7">
        <f t="shared" si="33"/>
        <v>0</v>
      </c>
      <c r="AH70" s="7">
        <f t="shared" si="33"/>
        <v>0</v>
      </c>
      <c r="AI70" s="7">
        <f t="shared" si="33"/>
        <v>0</v>
      </c>
      <c r="AJ70" s="7">
        <f t="shared" si="33"/>
        <v>0</v>
      </c>
      <c r="AK70" s="7">
        <f t="shared" si="33"/>
        <v>0</v>
      </c>
      <c r="AL70" s="7">
        <f t="shared" si="33"/>
        <v>0</v>
      </c>
      <c r="AM70" s="7">
        <f t="shared" si="33"/>
        <v>0</v>
      </c>
      <c r="AN70" s="7">
        <f t="shared" si="33"/>
        <v>0</v>
      </c>
      <c r="AO70" s="7">
        <f t="shared" si="33"/>
        <v>0</v>
      </c>
      <c r="AP70" s="7">
        <f t="shared" si="33"/>
        <v>0</v>
      </c>
      <c r="AQ70" s="7">
        <f t="shared" si="33"/>
        <v>0</v>
      </c>
      <c r="AR70" s="7">
        <f t="shared" si="33"/>
        <v>0</v>
      </c>
      <c r="AS70" s="7">
        <f t="shared" si="33"/>
        <v>0</v>
      </c>
      <c r="AT70" s="7">
        <f t="shared" si="33"/>
        <v>0</v>
      </c>
      <c r="AU70" s="7">
        <f t="shared" si="33"/>
        <v>0</v>
      </c>
      <c r="AV70" s="7">
        <f t="shared" si="33"/>
        <v>0</v>
      </c>
      <c r="AW70" s="7">
        <f t="shared" si="33"/>
        <v>0</v>
      </c>
      <c r="AX70" s="7">
        <f t="shared" si="33"/>
        <v>0</v>
      </c>
      <c r="AY70" s="7">
        <f t="shared" si="33"/>
        <v>0</v>
      </c>
      <c r="AZ70" s="7">
        <f t="shared" si="33"/>
        <v>0</v>
      </c>
      <c r="BA70" s="7">
        <f t="shared" si="33"/>
        <v>0</v>
      </c>
      <c r="BB70" s="7">
        <f t="shared" si="33"/>
        <v>0</v>
      </c>
      <c r="BC70" s="7">
        <f t="shared" si="33"/>
        <v>0</v>
      </c>
      <c r="BD70" s="7">
        <f t="shared" si="33"/>
        <v>0</v>
      </c>
      <c r="BE70" s="7">
        <f t="shared" si="33"/>
        <v>0</v>
      </c>
      <c r="BF70" s="7">
        <f t="shared" si="33"/>
        <v>0</v>
      </c>
      <c r="BG70" s="7">
        <f t="shared" si="33"/>
        <v>0</v>
      </c>
      <c r="BH70" s="7">
        <f t="shared" si="33"/>
        <v>0</v>
      </c>
      <c r="BI70" s="7">
        <f t="shared" si="33"/>
        <v>0</v>
      </c>
      <c r="BJ70" s="7">
        <f t="shared" si="33"/>
        <v>0</v>
      </c>
      <c r="BK70" s="7">
        <f t="shared" si="33"/>
        <v>0</v>
      </c>
      <c r="BL70" s="7">
        <f t="shared" si="33"/>
        <v>0</v>
      </c>
      <c r="BM70" s="7">
        <f t="shared" si="33"/>
        <v>0</v>
      </c>
      <c r="BN70" s="7">
        <f t="shared" si="33"/>
        <v>0</v>
      </c>
      <c r="BO70" s="7">
        <f t="shared" si="33"/>
        <v>0</v>
      </c>
      <c r="BP70" s="7">
        <f t="shared" si="33"/>
        <v>0</v>
      </c>
      <c r="BQ70" s="7">
        <f t="shared" ref="BQ70:CD70" si="34" xml:space="preserve"> BQ$60</f>
        <v>0</v>
      </c>
      <c r="BR70" s="7">
        <f t="shared" si="34"/>
        <v>0</v>
      </c>
      <c r="BS70" s="7">
        <f t="shared" si="34"/>
        <v>0</v>
      </c>
      <c r="BT70" s="7">
        <f t="shared" si="34"/>
        <v>0</v>
      </c>
      <c r="BU70" s="7">
        <f t="shared" si="34"/>
        <v>0</v>
      </c>
      <c r="BV70" s="7">
        <f t="shared" si="34"/>
        <v>0</v>
      </c>
      <c r="BW70" s="7">
        <f t="shared" si="34"/>
        <v>0</v>
      </c>
      <c r="BX70" s="7">
        <f t="shared" si="34"/>
        <v>0</v>
      </c>
      <c r="BY70" s="7">
        <f t="shared" si="34"/>
        <v>0</v>
      </c>
      <c r="BZ70" s="7">
        <f t="shared" si="34"/>
        <v>0</v>
      </c>
      <c r="CA70" s="7">
        <f t="shared" si="34"/>
        <v>0</v>
      </c>
      <c r="CB70" s="7">
        <f t="shared" si="34"/>
        <v>0</v>
      </c>
      <c r="CC70" s="7">
        <f t="shared" si="34"/>
        <v>0</v>
      </c>
      <c r="CD70" s="7">
        <f t="shared" si="34"/>
        <v>0</v>
      </c>
    </row>
    <row r="71" spans="1:82" s="347" customFormat="1" outlineLevel="2" x14ac:dyDescent="0.35">
      <c r="A71" s="58"/>
      <c r="B71" s="58"/>
      <c r="C71" s="59"/>
      <c r="D71" s="60"/>
      <c r="E71" s="94" t="s">
        <v>174</v>
      </c>
      <c r="F71" s="94"/>
      <c r="G71" s="94" t="str">
        <f xml:space="preserve"> SMU</f>
        <v>$ 000s</v>
      </c>
      <c r="H71" s="94">
        <f xml:space="preserve"> SUM(J71:CD71)</f>
        <v>80640.187836641722</v>
      </c>
      <c r="I71" s="61"/>
      <c r="J71" s="94">
        <f t="shared" ref="J71:AO71" si="35">SUM(J69:J70)</f>
        <v>0</v>
      </c>
      <c r="K71" s="94">
        <f t="shared" si="35"/>
        <v>0</v>
      </c>
      <c r="L71" s="94">
        <f t="shared" si="35"/>
        <v>0</v>
      </c>
      <c r="M71" s="94">
        <f t="shared" si="35"/>
        <v>0</v>
      </c>
      <c r="N71" s="94">
        <f t="shared" si="35"/>
        <v>1310</v>
      </c>
      <c r="O71" s="94">
        <f t="shared" si="35"/>
        <v>1298</v>
      </c>
      <c r="P71" s="94">
        <f t="shared" si="35"/>
        <v>1119.1374999999998</v>
      </c>
      <c r="Q71" s="94">
        <f t="shared" si="35"/>
        <v>1434.3875</v>
      </c>
      <c r="R71" s="94">
        <f t="shared" si="35"/>
        <v>1607.7749999999999</v>
      </c>
      <c r="S71" s="94">
        <f t="shared" si="35"/>
        <v>1952.7827419199425</v>
      </c>
      <c r="T71" s="94">
        <f t="shared" si="35"/>
        <v>2238.2749999999996</v>
      </c>
      <c r="U71" s="94">
        <f t="shared" si="35"/>
        <v>2080.65</v>
      </c>
      <c r="V71" s="94">
        <f t="shared" si="35"/>
        <v>1607.7749999999999</v>
      </c>
      <c r="W71" s="94">
        <f t="shared" si="35"/>
        <v>961.51250000000005</v>
      </c>
      <c r="X71" s="94">
        <f t="shared" si="35"/>
        <v>646.26250000000005</v>
      </c>
      <c r="Y71" s="94">
        <f t="shared" si="35"/>
        <v>553.45475808006029</v>
      </c>
      <c r="Z71" s="94">
        <f t="shared" si="35"/>
        <v>740.83750000000009</v>
      </c>
      <c r="AA71" s="94">
        <f t="shared" si="35"/>
        <v>819.65</v>
      </c>
      <c r="AB71" s="94">
        <f t="shared" si="35"/>
        <v>1113.5696517412935</v>
      </c>
      <c r="AC71" s="94">
        <f t="shared" si="35"/>
        <v>1427.2512437810947</v>
      </c>
      <c r="AD71" s="94">
        <f t="shared" si="35"/>
        <v>1599.7761194029854</v>
      </c>
      <c r="AE71" s="94">
        <f t="shared" si="35"/>
        <v>1943.0674048954654</v>
      </c>
      <c r="AF71" s="94">
        <f t="shared" si="35"/>
        <v>2227.1393034825869</v>
      </c>
      <c r="AG71" s="94">
        <f t="shared" si="35"/>
        <v>2070.2985074626872</v>
      </c>
      <c r="AH71" s="94">
        <f t="shared" si="35"/>
        <v>1599.7761194029854</v>
      </c>
      <c r="AI71" s="94">
        <f t="shared" si="35"/>
        <v>956.72885572139319</v>
      </c>
      <c r="AJ71" s="94">
        <f t="shared" si="35"/>
        <v>643.0472636815922</v>
      </c>
      <c r="AK71" s="94">
        <f t="shared" si="35"/>
        <v>550.70125182095558</v>
      </c>
      <c r="AL71" s="94">
        <f t="shared" si="35"/>
        <v>737.1517412935325</v>
      </c>
      <c r="AM71" s="94">
        <f t="shared" si="35"/>
        <v>815.57213930348269</v>
      </c>
      <c r="AN71" s="94">
        <f t="shared" si="35"/>
        <v>1108.0295042201928</v>
      </c>
      <c r="AO71" s="94">
        <f t="shared" si="35"/>
        <v>1420.1504913244726</v>
      </c>
      <c r="AP71" s="94">
        <f t="shared" ref="AP71:BU71" si="36">SUM(AP69:AP70)</f>
        <v>1591.8170342318265</v>
      </c>
      <c r="AQ71" s="94">
        <f t="shared" si="36"/>
        <v>1933.4004028810605</v>
      </c>
      <c r="AR71" s="94">
        <f t="shared" si="36"/>
        <v>2216.0590084403857</v>
      </c>
      <c r="AS71" s="94">
        <f t="shared" si="36"/>
        <v>2059.9985148882461</v>
      </c>
      <c r="AT71" s="94">
        <f t="shared" si="36"/>
        <v>1591.8170342318265</v>
      </c>
      <c r="AU71" s="94">
        <f t="shared" si="36"/>
        <v>951.9690106680531</v>
      </c>
      <c r="AV71" s="94">
        <f t="shared" si="36"/>
        <v>639.84802356377338</v>
      </c>
      <c r="AW71" s="94">
        <f t="shared" si="36"/>
        <v>547.96144459796585</v>
      </c>
      <c r="AX71" s="94">
        <f t="shared" si="36"/>
        <v>733.48431969505725</v>
      </c>
      <c r="AY71" s="94">
        <f t="shared" si="36"/>
        <v>811.51456647112718</v>
      </c>
      <c r="AZ71" s="94">
        <f t="shared" si="36"/>
        <v>1102.5169196220825</v>
      </c>
      <c r="BA71" s="94">
        <f t="shared" si="36"/>
        <v>1413.0850659945002</v>
      </c>
      <c r="BB71" s="94">
        <f t="shared" si="36"/>
        <v>1583.8975464993296</v>
      </c>
      <c r="BC71" s="94">
        <f t="shared" si="36"/>
        <v>1923.7814954040405</v>
      </c>
      <c r="BD71" s="94">
        <f t="shared" si="36"/>
        <v>2205.0338392441649</v>
      </c>
      <c r="BE71" s="94">
        <f t="shared" si="36"/>
        <v>2049.7497660579565</v>
      </c>
      <c r="BF71" s="94">
        <f t="shared" si="36"/>
        <v>1583.8975464993296</v>
      </c>
      <c r="BG71" s="94">
        <f t="shared" si="36"/>
        <v>947.23284643587374</v>
      </c>
      <c r="BH71" s="94">
        <f t="shared" si="36"/>
        <v>636.66470006345617</v>
      </c>
      <c r="BI71" s="94">
        <f t="shared" si="36"/>
        <v>545.23526825668239</v>
      </c>
      <c r="BJ71" s="94">
        <f t="shared" si="36"/>
        <v>729.8351439751815</v>
      </c>
      <c r="BK71" s="94">
        <f t="shared" si="36"/>
        <v>807.4771805682858</v>
      </c>
      <c r="BL71" s="94">
        <f t="shared" si="36"/>
        <v>1097.0317608179928</v>
      </c>
      <c r="BM71" s="94">
        <f t="shared" si="36"/>
        <v>1406.0547920343288</v>
      </c>
      <c r="BN71" s="94">
        <f t="shared" si="36"/>
        <v>1576.0174592033136</v>
      </c>
      <c r="BO71" s="94">
        <f t="shared" si="36"/>
        <v>1914.2104431881005</v>
      </c>
      <c r="BP71" s="94">
        <f t="shared" si="36"/>
        <v>2194.0635216359856</v>
      </c>
      <c r="BQ71" s="94">
        <f t="shared" si="36"/>
        <v>2039.5520060278179</v>
      </c>
      <c r="BR71" s="94">
        <f t="shared" si="36"/>
        <v>1576.0174592033136</v>
      </c>
      <c r="BS71" s="94">
        <f t="shared" si="36"/>
        <v>942.52024520982491</v>
      </c>
      <c r="BT71" s="94">
        <f t="shared" si="36"/>
        <v>633.49721399348891</v>
      </c>
      <c r="BU71" s="94">
        <f t="shared" si="36"/>
        <v>542.5226549817736</v>
      </c>
      <c r="BV71" s="94">
        <f t="shared" ref="BV71:CD71" si="37">SUM(BV69:BV70)</f>
        <v>726.20412335838967</v>
      </c>
      <c r="BW71" s="94">
        <f t="shared" si="37"/>
        <v>803.45988116247361</v>
      </c>
      <c r="BX71" s="94">
        <f t="shared" si="37"/>
        <v>0</v>
      </c>
      <c r="BY71" s="94">
        <f t="shared" si="37"/>
        <v>0</v>
      </c>
      <c r="BZ71" s="94">
        <f t="shared" si="37"/>
        <v>0</v>
      </c>
      <c r="CA71" s="94">
        <f t="shared" si="37"/>
        <v>0</v>
      </c>
      <c r="CB71" s="94">
        <f t="shared" si="37"/>
        <v>0</v>
      </c>
      <c r="CC71" s="94">
        <f t="shared" si="37"/>
        <v>0</v>
      </c>
      <c r="CD71" s="94">
        <f t="shared" si="37"/>
        <v>0</v>
      </c>
    </row>
    <row r="72" spans="1:82" outlineLevel="1" x14ac:dyDescent="0.35"/>
    <row r="73" spans="1:82" outlineLevel="1" x14ac:dyDescent="0.35">
      <c r="B73" s="8" t="s">
        <v>175</v>
      </c>
    </row>
    <row r="74" spans="1:82" outlineLevel="2" x14ac:dyDescent="0.35"/>
    <row r="75" spans="1:82" outlineLevel="2" x14ac:dyDescent="0.35">
      <c r="A75" s="119"/>
      <c r="B75" s="119"/>
      <c r="C75" s="120"/>
      <c r="D75" s="121"/>
      <c r="E75" s="303" t="str">
        <f xml:space="preserve"> InpC!E$59</f>
        <v>Accounts receivable - initial balance</v>
      </c>
      <c r="F75" s="303">
        <f xml:space="preserve"> InpC!F$59</f>
        <v>2608</v>
      </c>
      <c r="G75" s="303" t="str">
        <f xml:space="preserve"> InpC!G$59</f>
        <v>$ 000s</v>
      </c>
      <c r="H75" s="123"/>
      <c r="I75" s="123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122"/>
      <c r="BQ75" s="122"/>
      <c r="BR75" s="122"/>
      <c r="BS75" s="122"/>
      <c r="BT75" s="122"/>
      <c r="BU75" s="122"/>
      <c r="BV75" s="122"/>
      <c r="BW75" s="122"/>
      <c r="BX75" s="122"/>
      <c r="BY75" s="122"/>
      <c r="BZ75" s="122"/>
      <c r="CA75" s="122"/>
      <c r="CB75" s="122"/>
      <c r="CC75" s="122"/>
      <c r="CD75" s="122"/>
    </row>
    <row r="76" spans="1:82" outlineLevel="2" x14ac:dyDescent="0.35">
      <c r="E76" s="307" t="str">
        <f xml:space="preserve"> Time!E$66</f>
        <v>Financial close date flag</v>
      </c>
      <c r="F76" s="307">
        <f xml:space="preserve"> Time!F$66</f>
        <v>0</v>
      </c>
      <c r="G76" s="307" t="str">
        <f xml:space="preserve"> Time!G$66</f>
        <v>flag</v>
      </c>
      <c r="H76" s="307">
        <f xml:space="preserve"> Time!H$66</f>
        <v>1</v>
      </c>
      <c r="I76" s="307">
        <f xml:space="preserve"> Time!I$66</f>
        <v>0</v>
      </c>
      <c r="J76" s="307">
        <f xml:space="preserve"> Time!J$66</f>
        <v>0</v>
      </c>
      <c r="K76" s="307">
        <f xml:space="preserve"> Time!K$66</f>
        <v>0</v>
      </c>
      <c r="L76" s="307">
        <f xml:space="preserve"> Time!L$66</f>
        <v>0</v>
      </c>
      <c r="M76" s="307">
        <f xml:space="preserve"> Time!M$66</f>
        <v>1</v>
      </c>
      <c r="N76" s="307">
        <f xml:space="preserve"> Time!N$66</f>
        <v>0</v>
      </c>
      <c r="O76" s="307">
        <f xml:space="preserve"> Time!O$66</f>
        <v>0</v>
      </c>
      <c r="P76" s="307">
        <f xml:space="preserve"> Time!P$66</f>
        <v>0</v>
      </c>
      <c r="Q76" s="307">
        <f xml:space="preserve"> Time!Q$66</f>
        <v>0</v>
      </c>
      <c r="R76" s="307">
        <f xml:space="preserve"> Time!R$66</f>
        <v>0</v>
      </c>
      <c r="S76" s="307">
        <f xml:space="preserve"> Time!S$66</f>
        <v>0</v>
      </c>
      <c r="T76" s="307">
        <f xml:space="preserve"> Time!T$66</f>
        <v>0</v>
      </c>
      <c r="U76" s="307">
        <f xml:space="preserve"> Time!U$66</f>
        <v>0</v>
      </c>
      <c r="V76" s="307">
        <f xml:space="preserve"> Time!V$66</f>
        <v>0</v>
      </c>
      <c r="W76" s="307">
        <f xml:space="preserve"> Time!W$66</f>
        <v>0</v>
      </c>
      <c r="X76" s="307">
        <f xml:space="preserve"> Time!X$66</f>
        <v>0</v>
      </c>
      <c r="Y76" s="307">
        <f xml:space="preserve"> Time!Y$66</f>
        <v>0</v>
      </c>
      <c r="Z76" s="307">
        <f xml:space="preserve"> Time!Z$66</f>
        <v>0</v>
      </c>
      <c r="AA76" s="307">
        <f xml:space="preserve"> Time!AA$66</f>
        <v>0</v>
      </c>
      <c r="AB76" s="307">
        <f xml:space="preserve"> Time!AB$66</f>
        <v>0</v>
      </c>
      <c r="AC76" s="307">
        <f xml:space="preserve"> Time!AC$66</f>
        <v>0</v>
      </c>
      <c r="AD76" s="307">
        <f xml:space="preserve"> Time!AD$66</f>
        <v>0</v>
      </c>
      <c r="AE76" s="307">
        <f xml:space="preserve"> Time!AE$66</f>
        <v>0</v>
      </c>
      <c r="AF76" s="307">
        <f xml:space="preserve"> Time!AF$66</f>
        <v>0</v>
      </c>
      <c r="AG76" s="307">
        <f xml:space="preserve"> Time!AG$66</f>
        <v>0</v>
      </c>
      <c r="AH76" s="307">
        <f xml:space="preserve"> Time!AH$66</f>
        <v>0</v>
      </c>
      <c r="AI76" s="307">
        <f xml:space="preserve"> Time!AI$66</f>
        <v>0</v>
      </c>
      <c r="AJ76" s="307">
        <f xml:space="preserve"> Time!AJ$66</f>
        <v>0</v>
      </c>
      <c r="AK76" s="307">
        <f xml:space="preserve"> Time!AK$66</f>
        <v>0</v>
      </c>
      <c r="AL76" s="307">
        <f xml:space="preserve"> Time!AL$66</f>
        <v>0</v>
      </c>
      <c r="AM76" s="307">
        <f xml:space="preserve"> Time!AM$66</f>
        <v>0</v>
      </c>
      <c r="AN76" s="307">
        <f xml:space="preserve"> Time!AN$66</f>
        <v>0</v>
      </c>
      <c r="AO76" s="307">
        <f xml:space="preserve"> Time!AO$66</f>
        <v>0</v>
      </c>
      <c r="AP76" s="307">
        <f xml:space="preserve"> Time!AP$66</f>
        <v>0</v>
      </c>
      <c r="AQ76" s="307">
        <f xml:space="preserve"> Time!AQ$66</f>
        <v>0</v>
      </c>
      <c r="AR76" s="307">
        <f xml:space="preserve"> Time!AR$66</f>
        <v>0</v>
      </c>
      <c r="AS76" s="307">
        <f xml:space="preserve"> Time!AS$66</f>
        <v>0</v>
      </c>
      <c r="AT76" s="307">
        <f xml:space="preserve"> Time!AT$66</f>
        <v>0</v>
      </c>
      <c r="AU76" s="307">
        <f xml:space="preserve"> Time!AU$66</f>
        <v>0</v>
      </c>
      <c r="AV76" s="307">
        <f xml:space="preserve"> Time!AV$66</f>
        <v>0</v>
      </c>
      <c r="AW76" s="307">
        <f xml:space="preserve"> Time!AW$66</f>
        <v>0</v>
      </c>
      <c r="AX76" s="307">
        <f xml:space="preserve"> Time!AX$66</f>
        <v>0</v>
      </c>
      <c r="AY76" s="307">
        <f xml:space="preserve"> Time!AY$66</f>
        <v>0</v>
      </c>
      <c r="AZ76" s="307">
        <f xml:space="preserve"> Time!AZ$66</f>
        <v>0</v>
      </c>
      <c r="BA76" s="307">
        <f xml:space="preserve"> Time!BA$66</f>
        <v>0</v>
      </c>
      <c r="BB76" s="307">
        <f xml:space="preserve"> Time!BB$66</f>
        <v>0</v>
      </c>
      <c r="BC76" s="307">
        <f xml:space="preserve"> Time!BC$66</f>
        <v>0</v>
      </c>
      <c r="BD76" s="307">
        <f xml:space="preserve"> Time!BD$66</f>
        <v>0</v>
      </c>
      <c r="BE76" s="307">
        <f xml:space="preserve"> Time!BE$66</f>
        <v>0</v>
      </c>
      <c r="BF76" s="307">
        <f xml:space="preserve"> Time!BF$66</f>
        <v>0</v>
      </c>
      <c r="BG76" s="307">
        <f xml:space="preserve"> Time!BG$66</f>
        <v>0</v>
      </c>
      <c r="BH76" s="307">
        <f xml:space="preserve"> Time!BH$66</f>
        <v>0</v>
      </c>
      <c r="BI76" s="307">
        <f xml:space="preserve"> Time!BI$66</f>
        <v>0</v>
      </c>
      <c r="BJ76" s="307">
        <f xml:space="preserve"> Time!BJ$66</f>
        <v>0</v>
      </c>
      <c r="BK76" s="307">
        <f xml:space="preserve"> Time!BK$66</f>
        <v>0</v>
      </c>
      <c r="BL76" s="307">
        <f xml:space="preserve"> Time!BL$66</f>
        <v>0</v>
      </c>
      <c r="BM76" s="307">
        <f xml:space="preserve"> Time!BM$66</f>
        <v>0</v>
      </c>
      <c r="BN76" s="307">
        <f xml:space="preserve"> Time!BN$66</f>
        <v>0</v>
      </c>
      <c r="BO76" s="307">
        <f xml:space="preserve"> Time!BO$66</f>
        <v>0</v>
      </c>
      <c r="BP76" s="307">
        <f xml:space="preserve"> Time!BP$66</f>
        <v>0</v>
      </c>
      <c r="BQ76" s="307">
        <f xml:space="preserve"> Time!BQ$66</f>
        <v>0</v>
      </c>
      <c r="BR76" s="307">
        <f xml:space="preserve"> Time!BR$66</f>
        <v>0</v>
      </c>
      <c r="BS76" s="307">
        <f xml:space="preserve"> Time!BS$66</f>
        <v>0</v>
      </c>
      <c r="BT76" s="307">
        <f xml:space="preserve"> Time!BT$66</f>
        <v>0</v>
      </c>
      <c r="BU76" s="307">
        <f xml:space="preserve"> Time!BU$66</f>
        <v>0</v>
      </c>
      <c r="BV76" s="307">
        <f xml:space="preserve"> Time!BV$66</f>
        <v>0</v>
      </c>
      <c r="BW76" s="307">
        <f xml:space="preserve"> Time!BW$66</f>
        <v>0</v>
      </c>
      <c r="BX76" s="307">
        <f xml:space="preserve"> Time!BX$66</f>
        <v>0</v>
      </c>
      <c r="BY76" s="307">
        <f xml:space="preserve"> Time!BY$66</f>
        <v>0</v>
      </c>
      <c r="BZ76" s="307">
        <f xml:space="preserve"> Time!BZ$66</f>
        <v>0</v>
      </c>
      <c r="CA76" s="307">
        <f xml:space="preserve"> Time!CA$66</f>
        <v>0</v>
      </c>
      <c r="CB76" s="307">
        <f xml:space="preserve"> Time!CB$66</f>
        <v>0</v>
      </c>
      <c r="CC76" s="307">
        <f xml:space="preserve"> Time!CC$66</f>
        <v>0</v>
      </c>
      <c r="CD76" s="307">
        <f xml:space="preserve"> Time!CD$66</f>
        <v>0</v>
      </c>
    </row>
    <row r="77" spans="1:82" outlineLevel="2" x14ac:dyDescent="0.35">
      <c r="E77" s="117"/>
      <c r="F77" s="117"/>
      <c r="G77" s="117"/>
      <c r="H77" s="117"/>
      <c r="I77" s="26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17"/>
      <c r="BG77" s="117"/>
      <c r="BH77" s="117"/>
      <c r="BI77" s="117"/>
      <c r="BJ77" s="117"/>
      <c r="BK77" s="117"/>
      <c r="BL77" s="117"/>
      <c r="BM77" s="117"/>
      <c r="BN77" s="117"/>
      <c r="BO77" s="117"/>
      <c r="BP77" s="117"/>
      <c r="BQ77" s="117"/>
      <c r="BR77" s="117"/>
      <c r="BS77" s="117"/>
      <c r="BT77" s="117"/>
      <c r="BU77" s="117"/>
      <c r="BV77" s="117"/>
      <c r="BW77" s="117"/>
      <c r="BX77" s="117"/>
      <c r="BY77" s="117"/>
      <c r="BZ77" s="117"/>
      <c r="CA77" s="117"/>
      <c r="CB77" s="117"/>
      <c r="CC77" s="117"/>
      <c r="CD77" s="117"/>
    </row>
    <row r="78" spans="1:82" outlineLevel="2" x14ac:dyDescent="0.35">
      <c r="E78" s="117" t="s">
        <v>178</v>
      </c>
      <c r="F78" s="117"/>
      <c r="G78" s="117" t="str">
        <f xml:space="preserve"> SMU</f>
        <v>$ 000s</v>
      </c>
      <c r="H78" s="117"/>
      <c r="I78" s="26"/>
      <c r="J78" s="117">
        <f t="shared" ref="J78:AO78" si="38">I81</f>
        <v>0</v>
      </c>
      <c r="K78" s="117">
        <f t="shared" si="38"/>
        <v>0</v>
      </c>
      <c r="L78" s="117">
        <f t="shared" si="38"/>
        <v>0</v>
      </c>
      <c r="M78" s="117">
        <f t="shared" si="38"/>
        <v>0</v>
      </c>
      <c r="N78" s="117">
        <f t="shared" si="38"/>
        <v>2608</v>
      </c>
      <c r="O78" s="117">
        <f t="shared" si="38"/>
        <v>2417.1374999999998</v>
      </c>
      <c r="P78" s="117">
        <f t="shared" si="38"/>
        <v>2553.5249999999996</v>
      </c>
      <c r="Q78" s="117">
        <f t="shared" si="38"/>
        <v>3042.1624999999995</v>
      </c>
      <c r="R78" s="117">
        <f t="shared" si="38"/>
        <v>3560.5577419199426</v>
      </c>
      <c r="S78" s="117">
        <f t="shared" si="38"/>
        <v>4191.0577419199426</v>
      </c>
      <c r="T78" s="117">
        <f t="shared" si="38"/>
        <v>4318.9250000000011</v>
      </c>
      <c r="U78" s="117">
        <f t="shared" si="38"/>
        <v>3688.4250000000011</v>
      </c>
      <c r="V78" s="117">
        <f t="shared" si="38"/>
        <v>2569.2875000000008</v>
      </c>
      <c r="W78" s="117">
        <f t="shared" si="38"/>
        <v>1607.7750000000012</v>
      </c>
      <c r="X78" s="117">
        <f t="shared" si="38"/>
        <v>1199.7172580800614</v>
      </c>
      <c r="Y78" s="117">
        <f t="shared" si="38"/>
        <v>1294.2922580800614</v>
      </c>
      <c r="Z78" s="117">
        <f t="shared" si="38"/>
        <v>1560.4875000000011</v>
      </c>
      <c r="AA78" s="117">
        <f t="shared" si="38"/>
        <v>1933.2196517412945</v>
      </c>
      <c r="AB78" s="117">
        <f t="shared" si="38"/>
        <v>2540.820895522389</v>
      </c>
      <c r="AC78" s="117">
        <f t="shared" si="38"/>
        <v>3027.027363184081</v>
      </c>
      <c r="AD78" s="117">
        <f t="shared" si="38"/>
        <v>3542.8435242984515</v>
      </c>
      <c r="AE78" s="117">
        <f t="shared" si="38"/>
        <v>4170.206708378053</v>
      </c>
      <c r="AF78" s="117">
        <f t="shared" si="38"/>
        <v>4297.4378109452746</v>
      </c>
      <c r="AG78" s="117">
        <f t="shared" si="38"/>
        <v>3670.0746268656731</v>
      </c>
      <c r="AH78" s="117">
        <f t="shared" si="38"/>
        <v>2556.5049751243791</v>
      </c>
      <c r="AI78" s="117">
        <f t="shared" si="38"/>
        <v>1599.7761194029858</v>
      </c>
      <c r="AJ78" s="117">
        <f t="shared" si="38"/>
        <v>1193.7485155025479</v>
      </c>
      <c r="AK78" s="117">
        <f t="shared" si="38"/>
        <v>1287.8529931144881</v>
      </c>
      <c r="AL78" s="117">
        <f t="shared" si="38"/>
        <v>1552.7238805970153</v>
      </c>
      <c r="AM78" s="117">
        <f t="shared" si="38"/>
        <v>1923.6016435236754</v>
      </c>
      <c r="AN78" s="117">
        <f t="shared" si="38"/>
        <v>2528.179995544665</v>
      </c>
      <c r="AO78" s="117">
        <f t="shared" si="38"/>
        <v>3011.9675255562984</v>
      </c>
      <c r="AP78" s="117">
        <f t="shared" ref="AP78:BU78" si="39">AO81</f>
        <v>3525.2174371128867</v>
      </c>
      <c r="AQ78" s="117">
        <f t="shared" si="39"/>
        <v>4149.4594113214462</v>
      </c>
      <c r="AR78" s="117">
        <f t="shared" si="39"/>
        <v>4276.0575233286318</v>
      </c>
      <c r="AS78" s="117">
        <f t="shared" si="39"/>
        <v>3651.8155491200723</v>
      </c>
      <c r="AT78" s="117">
        <f t="shared" si="39"/>
        <v>2543.786044899879</v>
      </c>
      <c r="AU78" s="117">
        <f t="shared" si="39"/>
        <v>1591.817034231826</v>
      </c>
      <c r="AV78" s="117">
        <f t="shared" si="39"/>
        <v>1187.8094681617386</v>
      </c>
      <c r="AW78" s="117">
        <f t="shared" si="39"/>
        <v>1281.4457642930224</v>
      </c>
      <c r="AX78" s="117">
        <f t="shared" si="39"/>
        <v>1544.9988861661836</v>
      </c>
      <c r="AY78" s="117">
        <f t="shared" si="39"/>
        <v>1914.031486093209</v>
      </c>
      <c r="AZ78" s="117">
        <f t="shared" si="39"/>
        <v>2515.6019856165822</v>
      </c>
      <c r="BA78" s="117">
        <f t="shared" si="39"/>
        <v>2996.982612493829</v>
      </c>
      <c r="BB78" s="117">
        <f t="shared" si="39"/>
        <v>3507.6790419033696</v>
      </c>
      <c r="BC78" s="117">
        <f t="shared" si="39"/>
        <v>4128.815334648205</v>
      </c>
      <c r="BD78" s="117">
        <f t="shared" si="39"/>
        <v>4254.783605302121</v>
      </c>
      <c r="BE78" s="117">
        <f t="shared" si="39"/>
        <v>3633.6473125572861</v>
      </c>
      <c r="BF78" s="117">
        <f t="shared" si="39"/>
        <v>2531.1303929352034</v>
      </c>
      <c r="BG78" s="117">
        <f t="shared" si="39"/>
        <v>1583.89754649933</v>
      </c>
      <c r="BH78" s="117">
        <f t="shared" si="39"/>
        <v>1181.8999683201387</v>
      </c>
      <c r="BI78" s="117">
        <f t="shared" si="39"/>
        <v>1275.0704122318639</v>
      </c>
      <c r="BJ78" s="117">
        <f t="shared" si="39"/>
        <v>1537.3123245434672</v>
      </c>
      <c r="BK78" s="117">
        <f t="shared" si="39"/>
        <v>1904.5089413862788</v>
      </c>
      <c r="BL78" s="117">
        <f t="shared" si="39"/>
        <v>2503.0865528523218</v>
      </c>
      <c r="BM78" s="117">
        <f t="shared" si="39"/>
        <v>2982.0722512376424</v>
      </c>
      <c r="BN78" s="117">
        <f t="shared" si="39"/>
        <v>3490.2279023914143</v>
      </c>
      <c r="BO78" s="117">
        <f t="shared" si="39"/>
        <v>4108.2739648240868</v>
      </c>
      <c r="BP78" s="117">
        <f t="shared" si="39"/>
        <v>4233.6155276638037</v>
      </c>
      <c r="BQ78" s="117">
        <f t="shared" si="39"/>
        <v>3615.5694652311317</v>
      </c>
      <c r="BR78" s="117">
        <f t="shared" si="39"/>
        <v>2518.5377044131392</v>
      </c>
      <c r="BS78" s="117">
        <f t="shared" si="39"/>
        <v>1576.0174592033145</v>
      </c>
      <c r="BT78" s="117">
        <f t="shared" si="39"/>
        <v>1176.0198689752631</v>
      </c>
      <c r="BU78" s="117">
        <f t="shared" si="39"/>
        <v>1268.7267783401639</v>
      </c>
      <c r="BV78" s="117">
        <f t="shared" ref="BV78:CD78" si="40">BU81</f>
        <v>1529.6640045208642</v>
      </c>
      <c r="BW78" s="117">
        <f t="shared" si="40"/>
        <v>803.45988116247452</v>
      </c>
      <c r="BX78" s="117">
        <f t="shared" si="40"/>
        <v>9.0949470177292824E-13</v>
      </c>
      <c r="BY78" s="117">
        <f t="shared" si="40"/>
        <v>9.0949470177292824E-13</v>
      </c>
      <c r="BZ78" s="117">
        <f t="shared" si="40"/>
        <v>9.0949470177292824E-13</v>
      </c>
      <c r="CA78" s="117">
        <f t="shared" si="40"/>
        <v>9.0949470177292824E-13</v>
      </c>
      <c r="CB78" s="117">
        <f t="shared" si="40"/>
        <v>9.0949470177292824E-13</v>
      </c>
      <c r="CC78" s="117">
        <f t="shared" si="40"/>
        <v>9.0949470177292824E-13</v>
      </c>
      <c r="CD78" s="117">
        <f t="shared" si="40"/>
        <v>9.0949470177292824E-13</v>
      </c>
    </row>
    <row r="79" spans="1:82" outlineLevel="2" x14ac:dyDescent="0.35">
      <c r="E79" s="311" t="str">
        <f t="shared" ref="E79:BP79" si="41" xml:space="preserve"> E$46</f>
        <v>Electricity revenue</v>
      </c>
      <c r="F79" s="311">
        <f t="shared" si="41"/>
        <v>0</v>
      </c>
      <c r="G79" s="311" t="str">
        <f t="shared" si="41"/>
        <v>$ 000s</v>
      </c>
      <c r="H79" s="311">
        <f t="shared" si="41"/>
        <v>78032.187836641722</v>
      </c>
      <c r="I79" s="311">
        <f t="shared" si="41"/>
        <v>0</v>
      </c>
      <c r="J79" s="311">
        <f t="shared" si="41"/>
        <v>0</v>
      </c>
      <c r="K79" s="311">
        <f t="shared" si="41"/>
        <v>0</v>
      </c>
      <c r="L79" s="311">
        <f t="shared" si="41"/>
        <v>0</v>
      </c>
      <c r="M79" s="311">
        <f t="shared" si="41"/>
        <v>0</v>
      </c>
      <c r="N79" s="311">
        <f t="shared" si="41"/>
        <v>1119.1374999999998</v>
      </c>
      <c r="O79" s="311">
        <f t="shared" si="41"/>
        <v>1434.3875</v>
      </c>
      <c r="P79" s="311">
        <f t="shared" si="41"/>
        <v>1607.7749999999999</v>
      </c>
      <c r="Q79" s="311">
        <f t="shared" si="41"/>
        <v>1952.7827419199425</v>
      </c>
      <c r="R79" s="311">
        <f t="shared" si="41"/>
        <v>2238.2749999999996</v>
      </c>
      <c r="S79" s="311">
        <f t="shared" si="41"/>
        <v>2080.65</v>
      </c>
      <c r="T79" s="311">
        <f t="shared" si="41"/>
        <v>1607.7749999999999</v>
      </c>
      <c r="U79" s="311">
        <f t="shared" si="41"/>
        <v>961.51250000000005</v>
      </c>
      <c r="V79" s="311">
        <f t="shared" si="41"/>
        <v>646.26250000000005</v>
      </c>
      <c r="W79" s="311">
        <f t="shared" si="41"/>
        <v>553.45475808006029</v>
      </c>
      <c r="X79" s="311">
        <f t="shared" si="41"/>
        <v>740.83750000000009</v>
      </c>
      <c r="Y79" s="311">
        <f t="shared" si="41"/>
        <v>819.65</v>
      </c>
      <c r="Z79" s="311">
        <f t="shared" si="41"/>
        <v>1113.5696517412935</v>
      </c>
      <c r="AA79" s="311">
        <f t="shared" si="41"/>
        <v>1427.2512437810947</v>
      </c>
      <c r="AB79" s="311">
        <f t="shared" si="41"/>
        <v>1599.7761194029854</v>
      </c>
      <c r="AC79" s="311">
        <f t="shared" si="41"/>
        <v>1943.0674048954654</v>
      </c>
      <c r="AD79" s="311">
        <f t="shared" si="41"/>
        <v>2227.1393034825869</v>
      </c>
      <c r="AE79" s="311">
        <f t="shared" si="41"/>
        <v>2070.2985074626872</v>
      </c>
      <c r="AF79" s="311">
        <f t="shared" si="41"/>
        <v>1599.7761194029854</v>
      </c>
      <c r="AG79" s="311">
        <f t="shared" si="41"/>
        <v>956.72885572139319</v>
      </c>
      <c r="AH79" s="311">
        <f t="shared" si="41"/>
        <v>643.0472636815922</v>
      </c>
      <c r="AI79" s="311">
        <f t="shared" si="41"/>
        <v>550.70125182095558</v>
      </c>
      <c r="AJ79" s="311">
        <f t="shared" si="41"/>
        <v>737.1517412935325</v>
      </c>
      <c r="AK79" s="311">
        <f t="shared" si="41"/>
        <v>815.57213930348269</v>
      </c>
      <c r="AL79" s="311">
        <f t="shared" si="41"/>
        <v>1108.0295042201928</v>
      </c>
      <c r="AM79" s="311">
        <f t="shared" si="41"/>
        <v>1420.1504913244726</v>
      </c>
      <c r="AN79" s="311">
        <f t="shared" si="41"/>
        <v>1591.8170342318265</v>
      </c>
      <c r="AO79" s="311">
        <f t="shared" si="41"/>
        <v>1933.4004028810605</v>
      </c>
      <c r="AP79" s="311">
        <f t="shared" si="41"/>
        <v>2216.0590084403857</v>
      </c>
      <c r="AQ79" s="311">
        <f t="shared" si="41"/>
        <v>2059.9985148882461</v>
      </c>
      <c r="AR79" s="311">
        <f t="shared" si="41"/>
        <v>1591.8170342318265</v>
      </c>
      <c r="AS79" s="311">
        <f t="shared" si="41"/>
        <v>951.9690106680531</v>
      </c>
      <c r="AT79" s="311">
        <f t="shared" si="41"/>
        <v>639.84802356377338</v>
      </c>
      <c r="AU79" s="311">
        <f t="shared" si="41"/>
        <v>547.96144459796585</v>
      </c>
      <c r="AV79" s="311">
        <f t="shared" si="41"/>
        <v>733.48431969505725</v>
      </c>
      <c r="AW79" s="311">
        <f t="shared" si="41"/>
        <v>811.51456647112718</v>
      </c>
      <c r="AX79" s="311">
        <f t="shared" si="41"/>
        <v>1102.5169196220825</v>
      </c>
      <c r="AY79" s="311">
        <f t="shared" si="41"/>
        <v>1413.0850659945002</v>
      </c>
      <c r="AZ79" s="311">
        <f t="shared" si="41"/>
        <v>1583.8975464993296</v>
      </c>
      <c r="BA79" s="311">
        <f t="shared" si="41"/>
        <v>1923.7814954040405</v>
      </c>
      <c r="BB79" s="311">
        <f t="shared" si="41"/>
        <v>2205.0338392441649</v>
      </c>
      <c r="BC79" s="311">
        <f t="shared" si="41"/>
        <v>2049.7497660579565</v>
      </c>
      <c r="BD79" s="311">
        <f t="shared" si="41"/>
        <v>1583.8975464993296</v>
      </c>
      <c r="BE79" s="311">
        <f t="shared" si="41"/>
        <v>947.23284643587374</v>
      </c>
      <c r="BF79" s="311">
        <f t="shared" si="41"/>
        <v>636.66470006345617</v>
      </c>
      <c r="BG79" s="311">
        <f t="shared" si="41"/>
        <v>545.23526825668239</v>
      </c>
      <c r="BH79" s="311">
        <f t="shared" si="41"/>
        <v>729.8351439751815</v>
      </c>
      <c r="BI79" s="311">
        <f t="shared" si="41"/>
        <v>807.4771805682858</v>
      </c>
      <c r="BJ79" s="311">
        <f t="shared" si="41"/>
        <v>1097.0317608179928</v>
      </c>
      <c r="BK79" s="311">
        <f t="shared" si="41"/>
        <v>1406.0547920343288</v>
      </c>
      <c r="BL79" s="311">
        <f t="shared" si="41"/>
        <v>1576.0174592033136</v>
      </c>
      <c r="BM79" s="311">
        <f t="shared" si="41"/>
        <v>1914.2104431881005</v>
      </c>
      <c r="BN79" s="311">
        <f t="shared" si="41"/>
        <v>2194.0635216359856</v>
      </c>
      <c r="BO79" s="311">
        <f t="shared" si="41"/>
        <v>2039.5520060278179</v>
      </c>
      <c r="BP79" s="311">
        <f t="shared" si="41"/>
        <v>1576.0174592033136</v>
      </c>
      <c r="BQ79" s="311">
        <f t="shared" ref="BQ79:CD79" si="42" xml:space="preserve"> BQ$46</f>
        <v>942.52024520982491</v>
      </c>
      <c r="BR79" s="311">
        <f t="shared" si="42"/>
        <v>633.49721399348891</v>
      </c>
      <c r="BS79" s="311">
        <f t="shared" si="42"/>
        <v>542.5226549817736</v>
      </c>
      <c r="BT79" s="311">
        <f t="shared" si="42"/>
        <v>726.20412335838967</v>
      </c>
      <c r="BU79" s="311">
        <f t="shared" si="42"/>
        <v>803.45988116247361</v>
      </c>
      <c r="BV79" s="311">
        <f t="shared" si="42"/>
        <v>0</v>
      </c>
      <c r="BW79" s="311">
        <f t="shared" si="42"/>
        <v>0</v>
      </c>
      <c r="BX79" s="311">
        <f t="shared" si="42"/>
        <v>0</v>
      </c>
      <c r="BY79" s="311">
        <f t="shared" si="42"/>
        <v>0</v>
      </c>
      <c r="BZ79" s="311">
        <f t="shared" si="42"/>
        <v>0</v>
      </c>
      <c r="CA79" s="311">
        <f t="shared" si="42"/>
        <v>0</v>
      </c>
      <c r="CB79" s="311">
        <f t="shared" si="42"/>
        <v>0</v>
      </c>
      <c r="CC79" s="311">
        <f t="shared" si="42"/>
        <v>0</v>
      </c>
      <c r="CD79" s="311">
        <f t="shared" si="42"/>
        <v>0</v>
      </c>
    </row>
    <row r="80" spans="1:82" outlineLevel="2" x14ac:dyDescent="0.35">
      <c r="E80" s="26" t="str">
        <f t="shared" ref="E80:AJ80" si="43" xml:space="preserve"> E$71</f>
        <v>Cash received from invoices</v>
      </c>
      <c r="F80" s="26">
        <f t="shared" si="43"/>
        <v>0</v>
      </c>
      <c r="G80" s="26" t="str">
        <f t="shared" si="43"/>
        <v>$ 000s</v>
      </c>
      <c r="H80" s="26">
        <f t="shared" si="43"/>
        <v>80640.187836641722</v>
      </c>
      <c r="I80" s="26">
        <f t="shared" si="43"/>
        <v>0</v>
      </c>
      <c r="J80" s="26">
        <f t="shared" si="43"/>
        <v>0</v>
      </c>
      <c r="K80" s="26">
        <f t="shared" si="43"/>
        <v>0</v>
      </c>
      <c r="L80" s="26">
        <f t="shared" si="43"/>
        <v>0</v>
      </c>
      <c r="M80" s="26">
        <f t="shared" si="43"/>
        <v>0</v>
      </c>
      <c r="N80" s="26">
        <f t="shared" si="43"/>
        <v>1310</v>
      </c>
      <c r="O80" s="26">
        <f t="shared" si="43"/>
        <v>1298</v>
      </c>
      <c r="P80" s="26">
        <f t="shared" si="43"/>
        <v>1119.1374999999998</v>
      </c>
      <c r="Q80" s="26">
        <f t="shared" si="43"/>
        <v>1434.3875</v>
      </c>
      <c r="R80" s="26">
        <f t="shared" si="43"/>
        <v>1607.7749999999999</v>
      </c>
      <c r="S80" s="26">
        <f t="shared" si="43"/>
        <v>1952.7827419199425</v>
      </c>
      <c r="T80" s="26">
        <f t="shared" si="43"/>
        <v>2238.2749999999996</v>
      </c>
      <c r="U80" s="26">
        <f t="shared" si="43"/>
        <v>2080.65</v>
      </c>
      <c r="V80" s="26">
        <f t="shared" si="43"/>
        <v>1607.7749999999999</v>
      </c>
      <c r="W80" s="26">
        <f t="shared" si="43"/>
        <v>961.51250000000005</v>
      </c>
      <c r="X80" s="26">
        <f t="shared" si="43"/>
        <v>646.26250000000005</v>
      </c>
      <c r="Y80" s="26">
        <f t="shared" si="43"/>
        <v>553.45475808006029</v>
      </c>
      <c r="Z80" s="26">
        <f t="shared" si="43"/>
        <v>740.83750000000009</v>
      </c>
      <c r="AA80" s="26">
        <f t="shared" si="43"/>
        <v>819.65</v>
      </c>
      <c r="AB80" s="26">
        <f t="shared" si="43"/>
        <v>1113.5696517412935</v>
      </c>
      <c r="AC80" s="26">
        <f t="shared" si="43"/>
        <v>1427.2512437810947</v>
      </c>
      <c r="AD80" s="26">
        <f t="shared" si="43"/>
        <v>1599.7761194029854</v>
      </c>
      <c r="AE80" s="26">
        <f t="shared" si="43"/>
        <v>1943.0674048954654</v>
      </c>
      <c r="AF80" s="26">
        <f t="shared" si="43"/>
        <v>2227.1393034825869</v>
      </c>
      <c r="AG80" s="26">
        <f t="shared" si="43"/>
        <v>2070.2985074626872</v>
      </c>
      <c r="AH80" s="26">
        <f t="shared" si="43"/>
        <v>1599.7761194029854</v>
      </c>
      <c r="AI80" s="26">
        <f t="shared" si="43"/>
        <v>956.72885572139319</v>
      </c>
      <c r="AJ80" s="26">
        <f t="shared" si="43"/>
        <v>643.0472636815922</v>
      </c>
      <c r="AK80" s="26">
        <f t="shared" ref="AK80:BP80" si="44" xml:space="preserve"> AK$71</f>
        <v>550.70125182095558</v>
      </c>
      <c r="AL80" s="26">
        <f t="shared" si="44"/>
        <v>737.1517412935325</v>
      </c>
      <c r="AM80" s="26">
        <f t="shared" si="44"/>
        <v>815.57213930348269</v>
      </c>
      <c r="AN80" s="26">
        <f t="shared" si="44"/>
        <v>1108.0295042201928</v>
      </c>
      <c r="AO80" s="26">
        <f t="shared" si="44"/>
        <v>1420.1504913244726</v>
      </c>
      <c r="AP80" s="26">
        <f t="shared" si="44"/>
        <v>1591.8170342318265</v>
      </c>
      <c r="AQ80" s="26">
        <f t="shared" si="44"/>
        <v>1933.4004028810605</v>
      </c>
      <c r="AR80" s="26">
        <f t="shared" si="44"/>
        <v>2216.0590084403857</v>
      </c>
      <c r="AS80" s="26">
        <f t="shared" si="44"/>
        <v>2059.9985148882461</v>
      </c>
      <c r="AT80" s="26">
        <f t="shared" si="44"/>
        <v>1591.8170342318265</v>
      </c>
      <c r="AU80" s="26">
        <f t="shared" si="44"/>
        <v>951.9690106680531</v>
      </c>
      <c r="AV80" s="26">
        <f t="shared" si="44"/>
        <v>639.84802356377338</v>
      </c>
      <c r="AW80" s="26">
        <f t="shared" si="44"/>
        <v>547.96144459796585</v>
      </c>
      <c r="AX80" s="26">
        <f t="shared" si="44"/>
        <v>733.48431969505725</v>
      </c>
      <c r="AY80" s="26">
        <f t="shared" si="44"/>
        <v>811.51456647112718</v>
      </c>
      <c r="AZ80" s="26">
        <f t="shared" si="44"/>
        <v>1102.5169196220825</v>
      </c>
      <c r="BA80" s="26">
        <f t="shared" si="44"/>
        <v>1413.0850659945002</v>
      </c>
      <c r="BB80" s="26">
        <f t="shared" si="44"/>
        <v>1583.8975464993296</v>
      </c>
      <c r="BC80" s="26">
        <f t="shared" si="44"/>
        <v>1923.7814954040405</v>
      </c>
      <c r="BD80" s="26">
        <f t="shared" si="44"/>
        <v>2205.0338392441649</v>
      </c>
      <c r="BE80" s="26">
        <f t="shared" si="44"/>
        <v>2049.7497660579565</v>
      </c>
      <c r="BF80" s="26">
        <f t="shared" si="44"/>
        <v>1583.8975464993296</v>
      </c>
      <c r="BG80" s="26">
        <f t="shared" si="44"/>
        <v>947.23284643587374</v>
      </c>
      <c r="BH80" s="26">
        <f t="shared" si="44"/>
        <v>636.66470006345617</v>
      </c>
      <c r="BI80" s="26">
        <f t="shared" si="44"/>
        <v>545.23526825668239</v>
      </c>
      <c r="BJ80" s="26">
        <f t="shared" si="44"/>
        <v>729.8351439751815</v>
      </c>
      <c r="BK80" s="26">
        <f t="shared" si="44"/>
        <v>807.4771805682858</v>
      </c>
      <c r="BL80" s="26">
        <f t="shared" si="44"/>
        <v>1097.0317608179928</v>
      </c>
      <c r="BM80" s="26">
        <f t="shared" si="44"/>
        <v>1406.0547920343288</v>
      </c>
      <c r="BN80" s="26">
        <f t="shared" si="44"/>
        <v>1576.0174592033136</v>
      </c>
      <c r="BO80" s="26">
        <f t="shared" si="44"/>
        <v>1914.2104431881005</v>
      </c>
      <c r="BP80" s="26">
        <f t="shared" si="44"/>
        <v>2194.0635216359856</v>
      </c>
      <c r="BQ80" s="26">
        <f t="shared" ref="BQ80:CD80" si="45" xml:space="preserve"> BQ$71</f>
        <v>2039.5520060278179</v>
      </c>
      <c r="BR80" s="26">
        <f t="shared" si="45"/>
        <v>1576.0174592033136</v>
      </c>
      <c r="BS80" s="26">
        <f t="shared" si="45"/>
        <v>942.52024520982491</v>
      </c>
      <c r="BT80" s="26">
        <f t="shared" si="45"/>
        <v>633.49721399348891</v>
      </c>
      <c r="BU80" s="26">
        <f t="shared" si="45"/>
        <v>542.5226549817736</v>
      </c>
      <c r="BV80" s="26">
        <f t="shared" si="45"/>
        <v>726.20412335838967</v>
      </c>
      <c r="BW80" s="26">
        <f t="shared" si="45"/>
        <v>803.45988116247361</v>
      </c>
      <c r="BX80" s="26">
        <f t="shared" si="45"/>
        <v>0</v>
      </c>
      <c r="BY80" s="26">
        <f t="shared" si="45"/>
        <v>0</v>
      </c>
      <c r="BZ80" s="26">
        <f t="shared" si="45"/>
        <v>0</v>
      </c>
      <c r="CA80" s="26">
        <f t="shared" si="45"/>
        <v>0</v>
      </c>
      <c r="CB80" s="26">
        <f t="shared" si="45"/>
        <v>0</v>
      </c>
      <c r="CC80" s="26">
        <f t="shared" si="45"/>
        <v>0</v>
      </c>
      <c r="CD80" s="26">
        <f t="shared" si="45"/>
        <v>0</v>
      </c>
    </row>
    <row r="81" spans="1:82" outlineLevel="2" x14ac:dyDescent="0.35">
      <c r="A81" s="297"/>
      <c r="B81" s="297"/>
      <c r="C81" s="298"/>
      <c r="D81" s="299"/>
      <c r="E81" s="300" t="s">
        <v>175</v>
      </c>
      <c r="F81" s="300"/>
      <c r="G81" s="300" t="str">
        <f xml:space="preserve"> SMU</f>
        <v>$ 000s</v>
      </c>
      <c r="H81" s="300"/>
      <c r="I81" s="301"/>
      <c r="J81" s="300">
        <f t="shared" ref="J81:AO81" si="46" xml:space="preserve"> IF( J76 = 1, $F75, J78 + J79 - J80)</f>
        <v>0</v>
      </c>
      <c r="K81" s="300">
        <f t="shared" si="46"/>
        <v>0</v>
      </c>
      <c r="L81" s="300">
        <f t="shared" si="46"/>
        <v>0</v>
      </c>
      <c r="M81" s="300">
        <f t="shared" si="46"/>
        <v>2608</v>
      </c>
      <c r="N81" s="300">
        <f t="shared" si="46"/>
        <v>2417.1374999999998</v>
      </c>
      <c r="O81" s="300">
        <f t="shared" si="46"/>
        <v>2553.5249999999996</v>
      </c>
      <c r="P81" s="300">
        <f t="shared" si="46"/>
        <v>3042.1624999999995</v>
      </c>
      <c r="Q81" s="300">
        <f t="shared" si="46"/>
        <v>3560.5577419199426</v>
      </c>
      <c r="R81" s="300">
        <f t="shared" si="46"/>
        <v>4191.0577419199426</v>
      </c>
      <c r="S81" s="300">
        <f t="shared" si="46"/>
        <v>4318.9250000000011</v>
      </c>
      <c r="T81" s="300">
        <f t="shared" si="46"/>
        <v>3688.4250000000011</v>
      </c>
      <c r="U81" s="300">
        <f t="shared" si="46"/>
        <v>2569.2875000000008</v>
      </c>
      <c r="V81" s="300">
        <f t="shared" si="46"/>
        <v>1607.7750000000012</v>
      </c>
      <c r="W81" s="300">
        <f t="shared" si="46"/>
        <v>1199.7172580800614</v>
      </c>
      <c r="X81" s="300">
        <f t="shared" si="46"/>
        <v>1294.2922580800614</v>
      </c>
      <c r="Y81" s="300">
        <f t="shared" si="46"/>
        <v>1560.4875000000011</v>
      </c>
      <c r="Z81" s="300">
        <f t="shared" si="46"/>
        <v>1933.2196517412945</v>
      </c>
      <c r="AA81" s="300">
        <f t="shared" si="46"/>
        <v>2540.820895522389</v>
      </c>
      <c r="AB81" s="300">
        <f t="shared" si="46"/>
        <v>3027.027363184081</v>
      </c>
      <c r="AC81" s="300">
        <f t="shared" si="46"/>
        <v>3542.8435242984515</v>
      </c>
      <c r="AD81" s="300">
        <f t="shared" si="46"/>
        <v>4170.206708378053</v>
      </c>
      <c r="AE81" s="300">
        <f t="shared" si="46"/>
        <v>4297.4378109452746</v>
      </c>
      <c r="AF81" s="300">
        <f t="shared" si="46"/>
        <v>3670.0746268656731</v>
      </c>
      <c r="AG81" s="300">
        <f t="shared" si="46"/>
        <v>2556.5049751243791</v>
      </c>
      <c r="AH81" s="300">
        <f t="shared" si="46"/>
        <v>1599.7761194029858</v>
      </c>
      <c r="AI81" s="300">
        <f t="shared" si="46"/>
        <v>1193.7485155025479</v>
      </c>
      <c r="AJ81" s="300">
        <f t="shared" si="46"/>
        <v>1287.8529931144881</v>
      </c>
      <c r="AK81" s="300">
        <f t="shared" si="46"/>
        <v>1552.7238805970153</v>
      </c>
      <c r="AL81" s="300">
        <f t="shared" si="46"/>
        <v>1923.6016435236754</v>
      </c>
      <c r="AM81" s="300">
        <f t="shared" si="46"/>
        <v>2528.179995544665</v>
      </c>
      <c r="AN81" s="300">
        <f t="shared" si="46"/>
        <v>3011.9675255562984</v>
      </c>
      <c r="AO81" s="300">
        <f t="shared" si="46"/>
        <v>3525.2174371128867</v>
      </c>
      <c r="AP81" s="300">
        <f t="shared" ref="AP81:BU81" si="47" xml:space="preserve"> IF( AP76 = 1, $F75, AP78 + AP79 - AP80)</f>
        <v>4149.4594113214462</v>
      </c>
      <c r="AQ81" s="300">
        <f t="shared" si="47"/>
        <v>4276.0575233286318</v>
      </c>
      <c r="AR81" s="300">
        <f t="shared" si="47"/>
        <v>3651.8155491200723</v>
      </c>
      <c r="AS81" s="300">
        <f t="shared" si="47"/>
        <v>2543.786044899879</v>
      </c>
      <c r="AT81" s="300">
        <f t="shared" si="47"/>
        <v>1591.817034231826</v>
      </c>
      <c r="AU81" s="300">
        <f t="shared" si="47"/>
        <v>1187.8094681617386</v>
      </c>
      <c r="AV81" s="300">
        <f t="shared" si="47"/>
        <v>1281.4457642930224</v>
      </c>
      <c r="AW81" s="300">
        <f t="shared" si="47"/>
        <v>1544.9988861661836</v>
      </c>
      <c r="AX81" s="300">
        <f t="shared" si="47"/>
        <v>1914.031486093209</v>
      </c>
      <c r="AY81" s="300">
        <f t="shared" si="47"/>
        <v>2515.6019856165822</v>
      </c>
      <c r="AZ81" s="300">
        <f t="shared" si="47"/>
        <v>2996.982612493829</v>
      </c>
      <c r="BA81" s="300">
        <f t="shared" si="47"/>
        <v>3507.6790419033696</v>
      </c>
      <c r="BB81" s="300">
        <f t="shared" si="47"/>
        <v>4128.815334648205</v>
      </c>
      <c r="BC81" s="300">
        <f t="shared" si="47"/>
        <v>4254.783605302121</v>
      </c>
      <c r="BD81" s="300">
        <f t="shared" si="47"/>
        <v>3633.6473125572861</v>
      </c>
      <c r="BE81" s="300">
        <f t="shared" si="47"/>
        <v>2531.1303929352034</v>
      </c>
      <c r="BF81" s="300">
        <f t="shared" si="47"/>
        <v>1583.89754649933</v>
      </c>
      <c r="BG81" s="300">
        <f t="shared" si="47"/>
        <v>1181.8999683201387</v>
      </c>
      <c r="BH81" s="300">
        <f t="shared" si="47"/>
        <v>1275.0704122318639</v>
      </c>
      <c r="BI81" s="300">
        <f t="shared" si="47"/>
        <v>1537.3123245434672</v>
      </c>
      <c r="BJ81" s="300">
        <f t="shared" si="47"/>
        <v>1904.5089413862788</v>
      </c>
      <c r="BK81" s="300">
        <f t="shared" si="47"/>
        <v>2503.0865528523218</v>
      </c>
      <c r="BL81" s="300">
        <f t="shared" si="47"/>
        <v>2982.0722512376424</v>
      </c>
      <c r="BM81" s="300">
        <f t="shared" si="47"/>
        <v>3490.2279023914143</v>
      </c>
      <c r="BN81" s="300">
        <f t="shared" si="47"/>
        <v>4108.2739648240868</v>
      </c>
      <c r="BO81" s="300">
        <f t="shared" si="47"/>
        <v>4233.6155276638037</v>
      </c>
      <c r="BP81" s="300">
        <f t="shared" si="47"/>
        <v>3615.5694652311317</v>
      </c>
      <c r="BQ81" s="300">
        <f t="shared" si="47"/>
        <v>2518.5377044131392</v>
      </c>
      <c r="BR81" s="300">
        <f t="shared" si="47"/>
        <v>1576.0174592033145</v>
      </c>
      <c r="BS81" s="300">
        <f t="shared" si="47"/>
        <v>1176.0198689752631</v>
      </c>
      <c r="BT81" s="300">
        <f t="shared" si="47"/>
        <v>1268.7267783401639</v>
      </c>
      <c r="BU81" s="300">
        <f t="shared" si="47"/>
        <v>1529.6640045208642</v>
      </c>
      <c r="BV81" s="300">
        <f t="shared" ref="BV81:CD81" si="48" xml:space="preserve"> IF( BV76 = 1, $F75, BV78 + BV79 - BV80)</f>
        <v>803.45988116247452</v>
      </c>
      <c r="BW81" s="300">
        <f t="shared" si="48"/>
        <v>9.0949470177292824E-13</v>
      </c>
      <c r="BX81" s="300">
        <f t="shared" si="48"/>
        <v>9.0949470177292824E-13</v>
      </c>
      <c r="BY81" s="300">
        <f t="shared" si="48"/>
        <v>9.0949470177292824E-13</v>
      </c>
      <c r="BZ81" s="300">
        <f t="shared" si="48"/>
        <v>9.0949470177292824E-13</v>
      </c>
      <c r="CA81" s="300">
        <f t="shared" si="48"/>
        <v>9.0949470177292824E-13</v>
      </c>
      <c r="CB81" s="300">
        <f t="shared" si="48"/>
        <v>9.0949470177292824E-13</v>
      </c>
      <c r="CC81" s="300">
        <f t="shared" si="48"/>
        <v>9.0949470177292824E-13</v>
      </c>
      <c r="CD81" s="300">
        <f t="shared" si="48"/>
        <v>9.0949470177292824E-13</v>
      </c>
    </row>
    <row r="82" spans="1:82" outlineLevel="2" x14ac:dyDescent="0.35"/>
    <row r="83" spans="1:82" outlineLevel="2" x14ac:dyDescent="0.35"/>
    <row r="85" spans="1:82" x14ac:dyDescent="0.35">
      <c r="A85" s="8" t="s">
        <v>179</v>
      </c>
    </row>
    <row r="86" spans="1:82" outlineLevel="1" x14ac:dyDescent="0.35"/>
    <row r="87" spans="1:82" outlineLevel="1" x14ac:dyDescent="0.35">
      <c r="B87" s="8" t="s">
        <v>177</v>
      </c>
    </row>
    <row r="88" spans="1:82" outlineLevel="2" x14ac:dyDescent="0.35">
      <c r="E88" s="296" t="str">
        <f xml:space="preserve"> InpC!E$47</f>
        <v>Invoice payment lag</v>
      </c>
      <c r="F88" s="296">
        <f xml:space="preserve"> InpC!F$47</f>
        <v>2</v>
      </c>
      <c r="G88" s="296" t="str">
        <f xml:space="preserve"> InpC!G$47</f>
        <v>months</v>
      </c>
      <c r="H88" s="26"/>
    </row>
    <row r="89" spans="1:82" outlineLevel="2" x14ac:dyDescent="0.35">
      <c r="E89" s="311" t="str">
        <f t="shared" ref="E89:BP89" si="49" xml:space="preserve"> E$46</f>
        <v>Electricity revenue</v>
      </c>
      <c r="F89" s="311">
        <f t="shared" si="49"/>
        <v>0</v>
      </c>
      <c r="G89" s="311" t="str">
        <f t="shared" si="49"/>
        <v>$ 000s</v>
      </c>
      <c r="H89" s="311">
        <f t="shared" si="49"/>
        <v>78032.187836641722</v>
      </c>
      <c r="I89" s="311">
        <f t="shared" si="49"/>
        <v>0</v>
      </c>
      <c r="J89" s="311">
        <f t="shared" si="49"/>
        <v>0</v>
      </c>
      <c r="K89" s="311">
        <f t="shared" si="49"/>
        <v>0</v>
      </c>
      <c r="L89" s="311">
        <f t="shared" si="49"/>
        <v>0</v>
      </c>
      <c r="M89" s="311">
        <f t="shared" si="49"/>
        <v>0</v>
      </c>
      <c r="N89" s="311">
        <f t="shared" si="49"/>
        <v>1119.1374999999998</v>
      </c>
      <c r="O89" s="311">
        <f t="shared" si="49"/>
        <v>1434.3875</v>
      </c>
      <c r="P89" s="311">
        <f t="shared" si="49"/>
        <v>1607.7749999999999</v>
      </c>
      <c r="Q89" s="311">
        <f t="shared" si="49"/>
        <v>1952.7827419199425</v>
      </c>
      <c r="R89" s="311">
        <f t="shared" si="49"/>
        <v>2238.2749999999996</v>
      </c>
      <c r="S89" s="311">
        <f t="shared" si="49"/>
        <v>2080.65</v>
      </c>
      <c r="T89" s="311">
        <f t="shared" si="49"/>
        <v>1607.7749999999999</v>
      </c>
      <c r="U89" s="311">
        <f t="shared" si="49"/>
        <v>961.51250000000005</v>
      </c>
      <c r="V89" s="311">
        <f t="shared" si="49"/>
        <v>646.26250000000005</v>
      </c>
      <c r="W89" s="311">
        <f t="shared" si="49"/>
        <v>553.45475808006029</v>
      </c>
      <c r="X89" s="311">
        <f t="shared" si="49"/>
        <v>740.83750000000009</v>
      </c>
      <c r="Y89" s="311">
        <f t="shared" si="49"/>
        <v>819.65</v>
      </c>
      <c r="Z89" s="311">
        <f t="shared" si="49"/>
        <v>1113.5696517412935</v>
      </c>
      <c r="AA89" s="311">
        <f t="shared" si="49"/>
        <v>1427.2512437810947</v>
      </c>
      <c r="AB89" s="311">
        <f t="shared" si="49"/>
        <v>1599.7761194029854</v>
      </c>
      <c r="AC89" s="311">
        <f t="shared" si="49"/>
        <v>1943.0674048954654</v>
      </c>
      <c r="AD89" s="311">
        <f t="shared" si="49"/>
        <v>2227.1393034825869</v>
      </c>
      <c r="AE89" s="311">
        <f t="shared" si="49"/>
        <v>2070.2985074626872</v>
      </c>
      <c r="AF89" s="311">
        <f t="shared" si="49"/>
        <v>1599.7761194029854</v>
      </c>
      <c r="AG89" s="311">
        <f t="shared" si="49"/>
        <v>956.72885572139319</v>
      </c>
      <c r="AH89" s="311">
        <f t="shared" si="49"/>
        <v>643.0472636815922</v>
      </c>
      <c r="AI89" s="311">
        <f t="shared" si="49"/>
        <v>550.70125182095558</v>
      </c>
      <c r="AJ89" s="311">
        <f t="shared" si="49"/>
        <v>737.1517412935325</v>
      </c>
      <c r="AK89" s="311">
        <f t="shared" si="49"/>
        <v>815.57213930348269</v>
      </c>
      <c r="AL89" s="311">
        <f t="shared" si="49"/>
        <v>1108.0295042201928</v>
      </c>
      <c r="AM89" s="311">
        <f t="shared" si="49"/>
        <v>1420.1504913244726</v>
      </c>
      <c r="AN89" s="311">
        <f t="shared" si="49"/>
        <v>1591.8170342318265</v>
      </c>
      <c r="AO89" s="311">
        <f t="shared" si="49"/>
        <v>1933.4004028810605</v>
      </c>
      <c r="AP89" s="311">
        <f t="shared" si="49"/>
        <v>2216.0590084403857</v>
      </c>
      <c r="AQ89" s="311">
        <f t="shared" si="49"/>
        <v>2059.9985148882461</v>
      </c>
      <c r="AR89" s="311">
        <f t="shared" si="49"/>
        <v>1591.8170342318265</v>
      </c>
      <c r="AS89" s="311">
        <f t="shared" si="49"/>
        <v>951.9690106680531</v>
      </c>
      <c r="AT89" s="311">
        <f t="shared" si="49"/>
        <v>639.84802356377338</v>
      </c>
      <c r="AU89" s="311">
        <f t="shared" si="49"/>
        <v>547.96144459796585</v>
      </c>
      <c r="AV89" s="311">
        <f t="shared" si="49"/>
        <v>733.48431969505725</v>
      </c>
      <c r="AW89" s="311">
        <f t="shared" si="49"/>
        <v>811.51456647112718</v>
      </c>
      <c r="AX89" s="311">
        <f t="shared" si="49"/>
        <v>1102.5169196220825</v>
      </c>
      <c r="AY89" s="311">
        <f t="shared" si="49"/>
        <v>1413.0850659945002</v>
      </c>
      <c r="AZ89" s="311">
        <f t="shared" si="49"/>
        <v>1583.8975464993296</v>
      </c>
      <c r="BA89" s="311">
        <f t="shared" si="49"/>
        <v>1923.7814954040405</v>
      </c>
      <c r="BB89" s="311">
        <f t="shared" si="49"/>
        <v>2205.0338392441649</v>
      </c>
      <c r="BC89" s="311">
        <f t="shared" si="49"/>
        <v>2049.7497660579565</v>
      </c>
      <c r="BD89" s="311">
        <f t="shared" si="49"/>
        <v>1583.8975464993296</v>
      </c>
      <c r="BE89" s="311">
        <f t="shared" si="49"/>
        <v>947.23284643587374</v>
      </c>
      <c r="BF89" s="311">
        <f t="shared" si="49"/>
        <v>636.66470006345617</v>
      </c>
      <c r="BG89" s="311">
        <f t="shared" si="49"/>
        <v>545.23526825668239</v>
      </c>
      <c r="BH89" s="311">
        <f t="shared" si="49"/>
        <v>729.8351439751815</v>
      </c>
      <c r="BI89" s="311">
        <f t="shared" si="49"/>
        <v>807.4771805682858</v>
      </c>
      <c r="BJ89" s="311">
        <f t="shared" si="49"/>
        <v>1097.0317608179928</v>
      </c>
      <c r="BK89" s="311">
        <f t="shared" si="49"/>
        <v>1406.0547920343288</v>
      </c>
      <c r="BL89" s="311">
        <f t="shared" si="49"/>
        <v>1576.0174592033136</v>
      </c>
      <c r="BM89" s="311">
        <f t="shared" si="49"/>
        <v>1914.2104431881005</v>
      </c>
      <c r="BN89" s="311">
        <f t="shared" si="49"/>
        <v>2194.0635216359856</v>
      </c>
      <c r="BO89" s="311">
        <f t="shared" si="49"/>
        <v>2039.5520060278179</v>
      </c>
      <c r="BP89" s="311">
        <f t="shared" si="49"/>
        <v>1576.0174592033136</v>
      </c>
      <c r="BQ89" s="311">
        <f t="shared" ref="BQ89:CD89" si="50" xml:space="preserve"> BQ$46</f>
        <v>942.52024520982491</v>
      </c>
      <c r="BR89" s="311">
        <f t="shared" si="50"/>
        <v>633.49721399348891</v>
      </c>
      <c r="BS89" s="311">
        <f t="shared" si="50"/>
        <v>542.5226549817736</v>
      </c>
      <c r="BT89" s="311">
        <f t="shared" si="50"/>
        <v>726.20412335838967</v>
      </c>
      <c r="BU89" s="311">
        <f t="shared" si="50"/>
        <v>803.45988116247361</v>
      </c>
      <c r="BV89" s="311">
        <f t="shared" si="50"/>
        <v>0</v>
      </c>
      <c r="BW89" s="311">
        <f t="shared" si="50"/>
        <v>0</v>
      </c>
      <c r="BX89" s="311">
        <f t="shared" si="50"/>
        <v>0</v>
      </c>
      <c r="BY89" s="311">
        <f t="shared" si="50"/>
        <v>0</v>
      </c>
      <c r="BZ89" s="311">
        <f t="shared" si="50"/>
        <v>0</v>
      </c>
      <c r="CA89" s="311">
        <f t="shared" si="50"/>
        <v>0</v>
      </c>
      <c r="CB89" s="311">
        <f t="shared" si="50"/>
        <v>0</v>
      </c>
      <c r="CC89" s="311">
        <f t="shared" si="50"/>
        <v>0</v>
      </c>
      <c r="CD89" s="311">
        <f t="shared" si="50"/>
        <v>0</v>
      </c>
    </row>
    <row r="90" spans="1:82" outlineLevel="2" x14ac:dyDescent="0.35">
      <c r="E90" s="93" t="str">
        <f xml:space="preserve"> Time!E$121</f>
        <v>Days in period</v>
      </c>
      <c r="F90" s="93">
        <f xml:space="preserve"> Time!F$121</f>
        <v>0</v>
      </c>
      <c r="G90" s="93" t="str">
        <f xml:space="preserve"> Time!G$121</f>
        <v>days</v>
      </c>
      <c r="H90" s="93">
        <f xml:space="preserve"> Time!H$121</f>
        <v>0</v>
      </c>
      <c r="I90" s="93">
        <f xml:space="preserve"> Time!I$121</f>
        <v>0</v>
      </c>
      <c r="J90" s="93">
        <f xml:space="preserve"> Time!J$121</f>
        <v>31</v>
      </c>
      <c r="K90" s="93">
        <f xml:space="preserve"> Time!K$121</f>
        <v>31</v>
      </c>
      <c r="L90" s="93">
        <f xml:space="preserve"> Time!L$121</f>
        <v>28</v>
      </c>
      <c r="M90" s="93">
        <f xml:space="preserve"> Time!M$121</f>
        <v>31</v>
      </c>
      <c r="N90" s="93">
        <f xml:space="preserve"> Time!N$121</f>
        <v>30</v>
      </c>
      <c r="O90" s="93">
        <f xml:space="preserve"> Time!O$121</f>
        <v>31</v>
      </c>
      <c r="P90" s="93">
        <f xml:space="preserve"> Time!P$121</f>
        <v>30</v>
      </c>
      <c r="Q90" s="93">
        <f xml:space="preserve"> Time!Q$121</f>
        <v>31</v>
      </c>
      <c r="R90" s="93">
        <f xml:space="preserve"> Time!R$121</f>
        <v>31</v>
      </c>
      <c r="S90" s="93">
        <f xml:space="preserve"> Time!S$121</f>
        <v>30</v>
      </c>
      <c r="T90" s="93">
        <f xml:space="preserve"> Time!T$121</f>
        <v>31</v>
      </c>
      <c r="U90" s="93">
        <f xml:space="preserve"> Time!U$121</f>
        <v>30</v>
      </c>
      <c r="V90" s="93">
        <f xml:space="preserve"> Time!V$121</f>
        <v>31</v>
      </c>
      <c r="W90" s="93">
        <f xml:space="preserve"> Time!W$121</f>
        <v>31</v>
      </c>
      <c r="X90" s="93">
        <f xml:space="preserve"> Time!X$121</f>
        <v>28</v>
      </c>
      <c r="Y90" s="93">
        <f xml:space="preserve"> Time!Y$121</f>
        <v>31</v>
      </c>
      <c r="Z90" s="93">
        <f xml:space="preserve"> Time!Z$121</f>
        <v>30</v>
      </c>
      <c r="AA90" s="93">
        <f xml:space="preserve"> Time!AA$121</f>
        <v>31</v>
      </c>
      <c r="AB90" s="93">
        <f xml:space="preserve"> Time!AB$121</f>
        <v>30</v>
      </c>
      <c r="AC90" s="93">
        <f xml:space="preserve"> Time!AC$121</f>
        <v>31</v>
      </c>
      <c r="AD90" s="93">
        <f xml:space="preserve"> Time!AD$121</f>
        <v>31</v>
      </c>
      <c r="AE90" s="93">
        <f xml:space="preserve"> Time!AE$121</f>
        <v>30</v>
      </c>
      <c r="AF90" s="93">
        <f xml:space="preserve"> Time!AF$121</f>
        <v>31</v>
      </c>
      <c r="AG90" s="93">
        <f xml:space="preserve"> Time!AG$121</f>
        <v>30</v>
      </c>
      <c r="AH90" s="93">
        <f xml:space="preserve"> Time!AH$121</f>
        <v>31</v>
      </c>
      <c r="AI90" s="93">
        <f xml:space="preserve"> Time!AI$121</f>
        <v>31</v>
      </c>
      <c r="AJ90" s="93">
        <f xml:space="preserve"> Time!AJ$121</f>
        <v>28</v>
      </c>
      <c r="AK90" s="93">
        <f xml:space="preserve"> Time!AK$121</f>
        <v>31</v>
      </c>
      <c r="AL90" s="93">
        <f xml:space="preserve"> Time!AL$121</f>
        <v>30</v>
      </c>
      <c r="AM90" s="93">
        <f xml:space="preserve"> Time!AM$121</f>
        <v>31</v>
      </c>
      <c r="AN90" s="93">
        <f xml:space="preserve"> Time!AN$121</f>
        <v>30</v>
      </c>
      <c r="AO90" s="93">
        <f xml:space="preserve"> Time!AO$121</f>
        <v>31</v>
      </c>
      <c r="AP90" s="93">
        <f xml:space="preserve"> Time!AP$121</f>
        <v>31</v>
      </c>
      <c r="AQ90" s="93">
        <f xml:space="preserve"> Time!AQ$121</f>
        <v>30</v>
      </c>
      <c r="AR90" s="93">
        <f xml:space="preserve"> Time!AR$121</f>
        <v>31</v>
      </c>
      <c r="AS90" s="93">
        <f xml:space="preserve"> Time!AS$121</f>
        <v>30</v>
      </c>
      <c r="AT90" s="93">
        <f xml:space="preserve"> Time!AT$121</f>
        <v>31</v>
      </c>
      <c r="AU90" s="93">
        <f xml:space="preserve"> Time!AU$121</f>
        <v>31</v>
      </c>
      <c r="AV90" s="93">
        <f xml:space="preserve"> Time!AV$121</f>
        <v>29</v>
      </c>
      <c r="AW90" s="93">
        <f xml:space="preserve"> Time!AW$121</f>
        <v>31</v>
      </c>
      <c r="AX90" s="93">
        <f xml:space="preserve"> Time!AX$121</f>
        <v>30</v>
      </c>
      <c r="AY90" s="93">
        <f xml:space="preserve"> Time!AY$121</f>
        <v>31</v>
      </c>
      <c r="AZ90" s="93">
        <f xml:space="preserve"> Time!AZ$121</f>
        <v>30</v>
      </c>
      <c r="BA90" s="93">
        <f xml:space="preserve"> Time!BA$121</f>
        <v>31</v>
      </c>
      <c r="BB90" s="93">
        <f xml:space="preserve"> Time!BB$121</f>
        <v>31</v>
      </c>
      <c r="BC90" s="93">
        <f xml:space="preserve"> Time!BC$121</f>
        <v>30</v>
      </c>
      <c r="BD90" s="93">
        <f xml:space="preserve"> Time!BD$121</f>
        <v>31</v>
      </c>
      <c r="BE90" s="93">
        <f xml:space="preserve"> Time!BE$121</f>
        <v>30</v>
      </c>
      <c r="BF90" s="93">
        <f xml:space="preserve"> Time!BF$121</f>
        <v>31</v>
      </c>
      <c r="BG90" s="93">
        <f xml:space="preserve"> Time!BG$121</f>
        <v>31</v>
      </c>
      <c r="BH90" s="93">
        <f xml:space="preserve"> Time!BH$121</f>
        <v>28</v>
      </c>
      <c r="BI90" s="93">
        <f xml:space="preserve"> Time!BI$121</f>
        <v>31</v>
      </c>
      <c r="BJ90" s="93">
        <f xml:space="preserve"> Time!BJ$121</f>
        <v>30</v>
      </c>
      <c r="BK90" s="93">
        <f xml:space="preserve"> Time!BK$121</f>
        <v>31</v>
      </c>
      <c r="BL90" s="93">
        <f xml:space="preserve"> Time!BL$121</f>
        <v>30</v>
      </c>
      <c r="BM90" s="93">
        <f xml:space="preserve"> Time!BM$121</f>
        <v>31</v>
      </c>
      <c r="BN90" s="93">
        <f xml:space="preserve"> Time!BN$121</f>
        <v>31</v>
      </c>
      <c r="BO90" s="93">
        <f xml:space="preserve"> Time!BO$121</f>
        <v>30</v>
      </c>
      <c r="BP90" s="93">
        <f xml:space="preserve"> Time!BP$121</f>
        <v>31</v>
      </c>
      <c r="BQ90" s="93">
        <f xml:space="preserve"> Time!BQ$121</f>
        <v>30</v>
      </c>
      <c r="BR90" s="93">
        <f xml:space="preserve"> Time!BR$121</f>
        <v>31</v>
      </c>
      <c r="BS90" s="93">
        <f xml:space="preserve"> Time!BS$121</f>
        <v>31</v>
      </c>
      <c r="BT90" s="93">
        <f xml:space="preserve"> Time!BT$121</f>
        <v>28</v>
      </c>
      <c r="BU90" s="93">
        <f xml:space="preserve"> Time!BU$121</f>
        <v>31</v>
      </c>
      <c r="BV90" s="93">
        <f xml:space="preserve"> Time!BV$121</f>
        <v>30</v>
      </c>
      <c r="BW90" s="93">
        <f xml:space="preserve"> Time!BW$121</f>
        <v>31</v>
      </c>
      <c r="BX90" s="93">
        <f xml:space="preserve"> Time!BX$121</f>
        <v>30</v>
      </c>
      <c r="BY90" s="93">
        <f xml:space="preserve"> Time!BY$121</f>
        <v>31</v>
      </c>
      <c r="BZ90" s="93">
        <f xml:space="preserve"> Time!BZ$121</f>
        <v>31</v>
      </c>
      <c r="CA90" s="93">
        <f xml:space="preserve"> Time!CA$121</f>
        <v>30</v>
      </c>
      <c r="CB90" s="93">
        <f xml:space="preserve"> Time!CB$121</f>
        <v>31</v>
      </c>
      <c r="CC90" s="93">
        <f xml:space="preserve"> Time!CC$121</f>
        <v>30</v>
      </c>
      <c r="CD90" s="93">
        <f xml:space="preserve"> Time!CD$121</f>
        <v>31</v>
      </c>
    </row>
    <row r="91" spans="1:82" outlineLevel="2" x14ac:dyDescent="0.35">
      <c r="E91" s="7" t="s">
        <v>176</v>
      </c>
      <c r="G91" s="7" t="str">
        <f xml:space="preserve"> SMU</f>
        <v>$ 000s</v>
      </c>
      <c r="J91" s="7">
        <f t="shared" ref="J91:AO91" si="51" xml:space="preserve"> J89 / J90 * (J90 - $F88)</f>
        <v>0</v>
      </c>
      <c r="K91" s="7">
        <f t="shared" si="51"/>
        <v>0</v>
      </c>
      <c r="L91" s="7">
        <f t="shared" si="51"/>
        <v>0</v>
      </c>
      <c r="M91" s="7">
        <f t="shared" si="51"/>
        <v>0</v>
      </c>
      <c r="N91" s="7">
        <f t="shared" si="51"/>
        <v>1044.5283333333332</v>
      </c>
      <c r="O91" s="7">
        <f t="shared" si="51"/>
        <v>1341.8463709677419</v>
      </c>
      <c r="P91" s="7">
        <f t="shared" si="51"/>
        <v>1500.59</v>
      </c>
      <c r="Q91" s="7">
        <f t="shared" si="51"/>
        <v>1826.7967585702688</v>
      </c>
      <c r="R91" s="7">
        <f t="shared" si="51"/>
        <v>2093.8701612903224</v>
      </c>
      <c r="S91" s="7">
        <f t="shared" si="51"/>
        <v>1941.94</v>
      </c>
      <c r="T91" s="7">
        <f t="shared" si="51"/>
        <v>1504.0475806451611</v>
      </c>
      <c r="U91" s="7">
        <f t="shared" si="51"/>
        <v>897.41166666666675</v>
      </c>
      <c r="V91" s="7">
        <f t="shared" si="51"/>
        <v>604.56814516129032</v>
      </c>
      <c r="W91" s="7">
        <f t="shared" si="51"/>
        <v>517.74799949424994</v>
      </c>
      <c r="X91" s="7">
        <f t="shared" si="51"/>
        <v>687.92053571428585</v>
      </c>
      <c r="Y91" s="7">
        <f t="shared" si="51"/>
        <v>766.76935483870966</v>
      </c>
      <c r="Z91" s="7">
        <f t="shared" si="51"/>
        <v>1039.3316749585406</v>
      </c>
      <c r="AA91" s="7">
        <f t="shared" si="51"/>
        <v>1335.1705183758627</v>
      </c>
      <c r="AB91" s="7">
        <f t="shared" si="51"/>
        <v>1493.1243781094529</v>
      </c>
      <c r="AC91" s="7">
        <f t="shared" si="51"/>
        <v>1817.7082174828547</v>
      </c>
      <c r="AD91" s="7">
        <f t="shared" si="51"/>
        <v>2083.4528968062909</v>
      </c>
      <c r="AE91" s="7">
        <f t="shared" si="51"/>
        <v>1932.2786069651747</v>
      </c>
      <c r="AF91" s="7">
        <f t="shared" si="51"/>
        <v>1496.5647568608572</v>
      </c>
      <c r="AG91" s="7">
        <f t="shared" si="51"/>
        <v>892.94693200663357</v>
      </c>
      <c r="AH91" s="7">
        <f t="shared" si="51"/>
        <v>601.5603434440701</v>
      </c>
      <c r="AI91" s="7">
        <f t="shared" si="51"/>
        <v>515.17213880024872</v>
      </c>
      <c r="AJ91" s="7">
        <f t="shared" si="51"/>
        <v>684.49804548685165</v>
      </c>
      <c r="AK91" s="7">
        <f t="shared" si="51"/>
        <v>762.95458192906449</v>
      </c>
      <c r="AL91" s="7">
        <f t="shared" si="51"/>
        <v>1034.1608706055133</v>
      </c>
      <c r="AM91" s="7">
        <f t="shared" si="51"/>
        <v>1328.5278789809583</v>
      </c>
      <c r="AN91" s="7">
        <f t="shared" si="51"/>
        <v>1485.6958986163713</v>
      </c>
      <c r="AO91" s="7">
        <f t="shared" si="51"/>
        <v>1808.6648930177662</v>
      </c>
      <c r="AP91" s="7">
        <f t="shared" ref="AP91:BU91" si="52" xml:space="preserve"> AP89 / AP90 * (AP90 - $F88)</f>
        <v>2073.087459508748</v>
      </c>
      <c r="AQ91" s="7">
        <f t="shared" si="52"/>
        <v>1922.665280562363</v>
      </c>
      <c r="AR91" s="7">
        <f t="shared" si="52"/>
        <v>1489.1191610555798</v>
      </c>
      <c r="AS91" s="7">
        <f t="shared" si="52"/>
        <v>888.50440995684949</v>
      </c>
      <c r="AT91" s="7">
        <f t="shared" si="52"/>
        <v>598.5675059144977</v>
      </c>
      <c r="AU91" s="7">
        <f t="shared" si="52"/>
        <v>512.60909333358097</v>
      </c>
      <c r="AV91" s="7">
        <f t="shared" si="52"/>
        <v>682.89919419884643</v>
      </c>
      <c r="AW91" s="7">
        <f t="shared" si="52"/>
        <v>759.15878798911899</v>
      </c>
      <c r="AX91" s="7">
        <f t="shared" si="52"/>
        <v>1029.015791647277</v>
      </c>
      <c r="AY91" s="7">
        <f t="shared" si="52"/>
        <v>1321.9182875432421</v>
      </c>
      <c r="AZ91" s="7">
        <f t="shared" si="52"/>
        <v>1478.3043767327076</v>
      </c>
      <c r="BA91" s="7">
        <f t="shared" si="52"/>
        <v>1799.6665602166829</v>
      </c>
      <c r="BB91" s="7">
        <f t="shared" si="52"/>
        <v>2062.7735915509929</v>
      </c>
      <c r="BC91" s="7">
        <f t="shared" si="52"/>
        <v>1913.099781654093</v>
      </c>
      <c r="BD91" s="7">
        <f t="shared" si="52"/>
        <v>1481.710608015502</v>
      </c>
      <c r="BE91" s="7">
        <f t="shared" si="52"/>
        <v>884.0839900068155</v>
      </c>
      <c r="BF91" s="7">
        <f t="shared" si="52"/>
        <v>595.58955812387842</v>
      </c>
      <c r="BG91" s="7">
        <f t="shared" si="52"/>
        <v>510.05879933689641</v>
      </c>
      <c r="BH91" s="7">
        <f t="shared" si="52"/>
        <v>677.70406226266857</v>
      </c>
      <c r="BI91" s="7">
        <f t="shared" si="52"/>
        <v>755.38187859613834</v>
      </c>
      <c r="BJ91" s="7">
        <f t="shared" si="52"/>
        <v>1023.8963100967933</v>
      </c>
      <c r="BK91" s="7">
        <f t="shared" si="52"/>
        <v>1315.3415796450172</v>
      </c>
      <c r="BL91" s="7">
        <f t="shared" si="52"/>
        <v>1470.9496285897594</v>
      </c>
      <c r="BM91" s="7">
        <f t="shared" si="52"/>
        <v>1790.7129952404812</v>
      </c>
      <c r="BN91" s="7">
        <f t="shared" si="52"/>
        <v>2052.5110363691479</v>
      </c>
      <c r="BO91" s="7">
        <f t="shared" si="52"/>
        <v>1903.5818722926301</v>
      </c>
      <c r="BP91" s="7">
        <f t="shared" si="52"/>
        <v>1474.3389134482611</v>
      </c>
      <c r="BQ91" s="7">
        <f t="shared" si="52"/>
        <v>879.68556219583661</v>
      </c>
      <c r="BR91" s="7">
        <f t="shared" si="52"/>
        <v>592.62642599390904</v>
      </c>
      <c r="BS91" s="7">
        <f t="shared" si="52"/>
        <v>507.52119337004626</v>
      </c>
      <c r="BT91" s="7">
        <f t="shared" si="52"/>
        <v>674.33240026136184</v>
      </c>
      <c r="BU91" s="7">
        <f t="shared" si="52"/>
        <v>751.62375979715273</v>
      </c>
      <c r="BV91" s="7">
        <f t="shared" ref="BV91:CD91" si="53" xml:space="preserve"> BV89 / BV90 * (BV90 - $F88)</f>
        <v>0</v>
      </c>
      <c r="BW91" s="7">
        <f t="shared" si="53"/>
        <v>0</v>
      </c>
      <c r="BX91" s="7">
        <f t="shared" si="53"/>
        <v>0</v>
      </c>
      <c r="BY91" s="7">
        <f t="shared" si="53"/>
        <v>0</v>
      </c>
      <c r="BZ91" s="7">
        <f t="shared" si="53"/>
        <v>0</v>
      </c>
      <c r="CA91" s="7">
        <f t="shared" si="53"/>
        <v>0</v>
      </c>
      <c r="CB91" s="7">
        <f t="shared" si="53"/>
        <v>0</v>
      </c>
      <c r="CC91" s="7">
        <f t="shared" si="53"/>
        <v>0</v>
      </c>
      <c r="CD91" s="7">
        <f t="shared" si="53"/>
        <v>0</v>
      </c>
    </row>
    <row r="92" spans="1:82" outlineLevel="1" x14ac:dyDescent="0.35"/>
    <row r="93" spans="1:82" outlineLevel="1" x14ac:dyDescent="0.35">
      <c r="B93" s="8" t="s">
        <v>174</v>
      </c>
    </row>
    <row r="94" spans="1:82" outlineLevel="2" x14ac:dyDescent="0.35">
      <c r="E94" s="7" t="str">
        <f t="shared" ref="E94:AJ94" si="54" xml:space="preserve"> E$101</f>
        <v>Accounts receivable - balance BEG</v>
      </c>
      <c r="F94" s="7">
        <f t="shared" si="54"/>
        <v>0</v>
      </c>
      <c r="G94" s="7" t="str">
        <f t="shared" si="54"/>
        <v>$ 000s</v>
      </c>
      <c r="H94" s="7">
        <f t="shared" si="54"/>
        <v>0</v>
      </c>
      <c r="I94" s="7">
        <f t="shared" si="54"/>
        <v>0</v>
      </c>
      <c r="J94" s="7">
        <f t="shared" si="54"/>
        <v>0</v>
      </c>
      <c r="K94" s="7">
        <f t="shared" si="54"/>
        <v>0</v>
      </c>
      <c r="L94" s="7">
        <f t="shared" si="54"/>
        <v>0</v>
      </c>
      <c r="M94" s="7">
        <f t="shared" si="54"/>
        <v>0</v>
      </c>
      <c r="N94" s="7">
        <f t="shared" si="54"/>
        <v>1310</v>
      </c>
      <c r="O94" s="7">
        <f t="shared" si="54"/>
        <v>74.609166666666624</v>
      </c>
      <c r="P94" s="7">
        <f t="shared" si="54"/>
        <v>92.541129032258141</v>
      </c>
      <c r="Q94" s="7">
        <f t="shared" si="54"/>
        <v>107.18499999999995</v>
      </c>
      <c r="R94" s="7">
        <f t="shared" si="54"/>
        <v>125.98598334967369</v>
      </c>
      <c r="S94" s="7">
        <f t="shared" si="54"/>
        <v>144.40483870967728</v>
      </c>
      <c r="T94" s="7">
        <f t="shared" si="54"/>
        <v>138.71000000000004</v>
      </c>
      <c r="U94" s="7">
        <f t="shared" si="54"/>
        <v>103.72741935483873</v>
      </c>
      <c r="V94" s="7">
        <f t="shared" si="54"/>
        <v>64.100833333333298</v>
      </c>
      <c r="W94" s="7">
        <f t="shared" si="54"/>
        <v>41.694354838709728</v>
      </c>
      <c r="X94" s="7">
        <f t="shared" si="54"/>
        <v>35.706758585810348</v>
      </c>
      <c r="Y94" s="7">
        <f t="shared" si="54"/>
        <v>52.916964285714243</v>
      </c>
      <c r="Z94" s="7">
        <f t="shared" si="54"/>
        <v>52.880645161290317</v>
      </c>
      <c r="AA94" s="7">
        <f t="shared" si="54"/>
        <v>74.237976782752867</v>
      </c>
      <c r="AB94" s="7">
        <f t="shared" si="54"/>
        <v>92.080725405231988</v>
      </c>
      <c r="AC94" s="7">
        <f t="shared" si="54"/>
        <v>106.6517412935325</v>
      </c>
      <c r="AD94" s="7">
        <f t="shared" si="54"/>
        <v>125.35918741261071</v>
      </c>
      <c r="AE94" s="7">
        <f t="shared" si="54"/>
        <v>143.68640667629552</v>
      </c>
      <c r="AF94" s="7">
        <f t="shared" si="54"/>
        <v>138.01990049751248</v>
      </c>
      <c r="AG94" s="7">
        <f t="shared" si="54"/>
        <v>103.2113625421282</v>
      </c>
      <c r="AH94" s="7">
        <f t="shared" si="54"/>
        <v>63.7819237147595</v>
      </c>
      <c r="AI94" s="7">
        <f t="shared" si="54"/>
        <v>41.486920237522099</v>
      </c>
      <c r="AJ94" s="7">
        <f t="shared" si="54"/>
        <v>35.529113020706859</v>
      </c>
      <c r="AK94" s="7">
        <f t="shared" ref="AK94:BP94" si="55" xml:space="preserve"> AK$101</f>
        <v>52.653695806680844</v>
      </c>
      <c r="AL94" s="7">
        <f t="shared" si="55"/>
        <v>52.617557374418197</v>
      </c>
      <c r="AM94" s="7">
        <f t="shared" si="55"/>
        <v>73.868633614679311</v>
      </c>
      <c r="AN94" s="7">
        <f t="shared" si="55"/>
        <v>91.62261234351422</v>
      </c>
      <c r="AO94" s="7">
        <f t="shared" si="55"/>
        <v>106.12113561545516</v>
      </c>
      <c r="AP94" s="7">
        <f t="shared" si="55"/>
        <v>124.73550986329428</v>
      </c>
      <c r="AQ94" s="7">
        <f t="shared" si="55"/>
        <v>142.9715489316377</v>
      </c>
      <c r="AR94" s="7">
        <f t="shared" si="55"/>
        <v>137.33323432588304</v>
      </c>
      <c r="AS94" s="7">
        <f t="shared" si="55"/>
        <v>102.69787317624673</v>
      </c>
      <c r="AT94" s="7">
        <f t="shared" si="55"/>
        <v>63.464600711203502</v>
      </c>
      <c r="AU94" s="7">
        <f t="shared" si="55"/>
        <v>41.28051764927568</v>
      </c>
      <c r="AV94" s="7">
        <f t="shared" si="55"/>
        <v>35.352351264384879</v>
      </c>
      <c r="AW94" s="7">
        <f t="shared" si="55"/>
        <v>50.585125496210821</v>
      </c>
      <c r="AX94" s="7">
        <f t="shared" si="55"/>
        <v>52.355778482008191</v>
      </c>
      <c r="AY94" s="7">
        <f t="shared" si="55"/>
        <v>73.501127974805513</v>
      </c>
      <c r="AZ94" s="7">
        <f t="shared" si="55"/>
        <v>91.166778451258097</v>
      </c>
      <c r="BA94" s="7">
        <f t="shared" si="55"/>
        <v>105.59316976662194</v>
      </c>
      <c r="BB94" s="7">
        <f t="shared" si="55"/>
        <v>124.11493518735756</v>
      </c>
      <c r="BC94" s="7">
        <f t="shared" si="55"/>
        <v>142.26024769317246</v>
      </c>
      <c r="BD94" s="7">
        <f t="shared" si="55"/>
        <v>136.64998440386353</v>
      </c>
      <c r="BE94" s="7">
        <f t="shared" si="55"/>
        <v>102.18693848382759</v>
      </c>
      <c r="BF94" s="7">
        <f t="shared" si="55"/>
        <v>63.148856429058128</v>
      </c>
      <c r="BG94" s="7">
        <f t="shared" si="55"/>
        <v>41.075141939577748</v>
      </c>
      <c r="BH94" s="7">
        <f t="shared" si="55"/>
        <v>35.176468919785975</v>
      </c>
      <c r="BI94" s="7">
        <f t="shared" si="55"/>
        <v>52.131081712512923</v>
      </c>
      <c r="BJ94" s="7">
        <f t="shared" si="55"/>
        <v>52.095301972147467</v>
      </c>
      <c r="BK94" s="7">
        <f t="shared" si="55"/>
        <v>73.135450721199504</v>
      </c>
      <c r="BL94" s="7">
        <f t="shared" si="55"/>
        <v>90.713212389311593</v>
      </c>
      <c r="BM94" s="7">
        <f t="shared" si="55"/>
        <v>105.06783061355418</v>
      </c>
      <c r="BN94" s="7">
        <f t="shared" si="55"/>
        <v>123.49744794761932</v>
      </c>
      <c r="BO94" s="7">
        <f t="shared" si="55"/>
        <v>141.55248526683772</v>
      </c>
      <c r="BP94" s="7">
        <f t="shared" si="55"/>
        <v>135.97013373518757</v>
      </c>
      <c r="BQ94" s="7">
        <f t="shared" ref="BQ94:CD94" si="56" xml:space="preserve"> BQ$101</f>
        <v>101.67854575505248</v>
      </c>
      <c r="BR94" s="7">
        <f t="shared" si="56"/>
        <v>62.834683013988297</v>
      </c>
      <c r="BS94" s="7">
        <f t="shared" si="56"/>
        <v>40.870787999579875</v>
      </c>
      <c r="BT94" s="7">
        <f t="shared" si="56"/>
        <v>35.001461611727336</v>
      </c>
      <c r="BU94" s="7">
        <f t="shared" si="56"/>
        <v>51.871723097027825</v>
      </c>
      <c r="BV94" s="7">
        <f t="shared" si="56"/>
        <v>51.836121365320878</v>
      </c>
      <c r="BW94" s="7">
        <f t="shared" si="56"/>
        <v>0</v>
      </c>
      <c r="BX94" s="7">
        <f t="shared" si="56"/>
        <v>0</v>
      </c>
      <c r="BY94" s="7">
        <f t="shared" si="56"/>
        <v>0</v>
      </c>
      <c r="BZ94" s="7">
        <f t="shared" si="56"/>
        <v>0</v>
      </c>
      <c r="CA94" s="7">
        <f t="shared" si="56"/>
        <v>0</v>
      </c>
      <c r="CB94" s="7">
        <f t="shared" si="56"/>
        <v>0</v>
      </c>
      <c r="CC94" s="7">
        <f t="shared" si="56"/>
        <v>0</v>
      </c>
      <c r="CD94" s="7">
        <f t="shared" si="56"/>
        <v>0</v>
      </c>
    </row>
    <row r="95" spans="1:82" outlineLevel="2" x14ac:dyDescent="0.35">
      <c r="E95" s="7" t="str">
        <f t="shared" ref="E95:AJ95" si="57" xml:space="preserve"> E$91</f>
        <v>Cash received from current period invoices</v>
      </c>
      <c r="F95" s="7">
        <f t="shared" si="57"/>
        <v>0</v>
      </c>
      <c r="G95" s="7" t="str">
        <f t="shared" si="57"/>
        <v>$ 000s</v>
      </c>
      <c r="H95" s="7">
        <f t="shared" si="57"/>
        <v>0</v>
      </c>
      <c r="I95" s="7">
        <f t="shared" si="57"/>
        <v>0</v>
      </c>
      <c r="J95" s="7">
        <f t="shared" si="57"/>
        <v>0</v>
      </c>
      <c r="K95" s="7">
        <f t="shared" si="57"/>
        <v>0</v>
      </c>
      <c r="L95" s="7">
        <f t="shared" si="57"/>
        <v>0</v>
      </c>
      <c r="M95" s="7">
        <f t="shared" si="57"/>
        <v>0</v>
      </c>
      <c r="N95" s="7">
        <f t="shared" si="57"/>
        <v>1044.5283333333332</v>
      </c>
      <c r="O95" s="7">
        <f t="shared" si="57"/>
        <v>1341.8463709677419</v>
      </c>
      <c r="P95" s="7">
        <f t="shared" si="57"/>
        <v>1500.59</v>
      </c>
      <c r="Q95" s="7">
        <f t="shared" si="57"/>
        <v>1826.7967585702688</v>
      </c>
      <c r="R95" s="7">
        <f t="shared" si="57"/>
        <v>2093.8701612903224</v>
      </c>
      <c r="S95" s="7">
        <f t="shared" si="57"/>
        <v>1941.94</v>
      </c>
      <c r="T95" s="7">
        <f t="shared" si="57"/>
        <v>1504.0475806451611</v>
      </c>
      <c r="U95" s="7">
        <f t="shared" si="57"/>
        <v>897.41166666666675</v>
      </c>
      <c r="V95" s="7">
        <f t="shared" si="57"/>
        <v>604.56814516129032</v>
      </c>
      <c r="W95" s="7">
        <f t="shared" si="57"/>
        <v>517.74799949424994</v>
      </c>
      <c r="X95" s="7">
        <f t="shared" si="57"/>
        <v>687.92053571428585</v>
      </c>
      <c r="Y95" s="7">
        <f t="shared" si="57"/>
        <v>766.76935483870966</v>
      </c>
      <c r="Z95" s="7">
        <f t="shared" si="57"/>
        <v>1039.3316749585406</v>
      </c>
      <c r="AA95" s="7">
        <f t="shared" si="57"/>
        <v>1335.1705183758627</v>
      </c>
      <c r="AB95" s="7">
        <f t="shared" si="57"/>
        <v>1493.1243781094529</v>
      </c>
      <c r="AC95" s="7">
        <f t="shared" si="57"/>
        <v>1817.7082174828547</v>
      </c>
      <c r="AD95" s="7">
        <f t="shared" si="57"/>
        <v>2083.4528968062909</v>
      </c>
      <c r="AE95" s="7">
        <f t="shared" si="57"/>
        <v>1932.2786069651747</v>
      </c>
      <c r="AF95" s="7">
        <f t="shared" si="57"/>
        <v>1496.5647568608572</v>
      </c>
      <c r="AG95" s="7">
        <f t="shared" si="57"/>
        <v>892.94693200663357</v>
      </c>
      <c r="AH95" s="7">
        <f t="shared" si="57"/>
        <v>601.5603434440701</v>
      </c>
      <c r="AI95" s="7">
        <f t="shared" si="57"/>
        <v>515.17213880024872</v>
      </c>
      <c r="AJ95" s="7">
        <f t="shared" si="57"/>
        <v>684.49804548685165</v>
      </c>
      <c r="AK95" s="7">
        <f t="shared" ref="AK95:BP95" si="58" xml:space="preserve"> AK$91</f>
        <v>762.95458192906449</v>
      </c>
      <c r="AL95" s="7">
        <f t="shared" si="58"/>
        <v>1034.1608706055133</v>
      </c>
      <c r="AM95" s="7">
        <f t="shared" si="58"/>
        <v>1328.5278789809583</v>
      </c>
      <c r="AN95" s="7">
        <f t="shared" si="58"/>
        <v>1485.6958986163713</v>
      </c>
      <c r="AO95" s="7">
        <f t="shared" si="58"/>
        <v>1808.6648930177662</v>
      </c>
      <c r="AP95" s="7">
        <f t="shared" si="58"/>
        <v>2073.087459508748</v>
      </c>
      <c r="AQ95" s="7">
        <f t="shared" si="58"/>
        <v>1922.665280562363</v>
      </c>
      <c r="AR95" s="7">
        <f t="shared" si="58"/>
        <v>1489.1191610555798</v>
      </c>
      <c r="AS95" s="7">
        <f t="shared" si="58"/>
        <v>888.50440995684949</v>
      </c>
      <c r="AT95" s="7">
        <f t="shared" si="58"/>
        <v>598.5675059144977</v>
      </c>
      <c r="AU95" s="7">
        <f t="shared" si="58"/>
        <v>512.60909333358097</v>
      </c>
      <c r="AV95" s="7">
        <f t="shared" si="58"/>
        <v>682.89919419884643</v>
      </c>
      <c r="AW95" s="7">
        <f t="shared" si="58"/>
        <v>759.15878798911899</v>
      </c>
      <c r="AX95" s="7">
        <f t="shared" si="58"/>
        <v>1029.015791647277</v>
      </c>
      <c r="AY95" s="7">
        <f t="shared" si="58"/>
        <v>1321.9182875432421</v>
      </c>
      <c r="AZ95" s="7">
        <f t="shared" si="58"/>
        <v>1478.3043767327076</v>
      </c>
      <c r="BA95" s="7">
        <f t="shared" si="58"/>
        <v>1799.6665602166829</v>
      </c>
      <c r="BB95" s="7">
        <f t="shared" si="58"/>
        <v>2062.7735915509929</v>
      </c>
      <c r="BC95" s="7">
        <f t="shared" si="58"/>
        <v>1913.099781654093</v>
      </c>
      <c r="BD95" s="7">
        <f t="shared" si="58"/>
        <v>1481.710608015502</v>
      </c>
      <c r="BE95" s="7">
        <f t="shared" si="58"/>
        <v>884.0839900068155</v>
      </c>
      <c r="BF95" s="7">
        <f t="shared" si="58"/>
        <v>595.58955812387842</v>
      </c>
      <c r="BG95" s="7">
        <f t="shared" si="58"/>
        <v>510.05879933689641</v>
      </c>
      <c r="BH95" s="7">
        <f t="shared" si="58"/>
        <v>677.70406226266857</v>
      </c>
      <c r="BI95" s="7">
        <f t="shared" si="58"/>
        <v>755.38187859613834</v>
      </c>
      <c r="BJ95" s="7">
        <f t="shared" si="58"/>
        <v>1023.8963100967933</v>
      </c>
      <c r="BK95" s="7">
        <f t="shared" si="58"/>
        <v>1315.3415796450172</v>
      </c>
      <c r="BL95" s="7">
        <f t="shared" si="58"/>
        <v>1470.9496285897594</v>
      </c>
      <c r="BM95" s="7">
        <f t="shared" si="58"/>
        <v>1790.7129952404812</v>
      </c>
      <c r="BN95" s="7">
        <f t="shared" si="58"/>
        <v>2052.5110363691479</v>
      </c>
      <c r="BO95" s="7">
        <f t="shared" si="58"/>
        <v>1903.5818722926301</v>
      </c>
      <c r="BP95" s="7">
        <f t="shared" si="58"/>
        <v>1474.3389134482611</v>
      </c>
      <c r="BQ95" s="7">
        <f t="shared" ref="BQ95:CD95" si="59" xml:space="preserve"> BQ$91</f>
        <v>879.68556219583661</v>
      </c>
      <c r="BR95" s="7">
        <f t="shared" si="59"/>
        <v>592.62642599390904</v>
      </c>
      <c r="BS95" s="7">
        <f t="shared" si="59"/>
        <v>507.52119337004626</v>
      </c>
      <c r="BT95" s="7">
        <f t="shared" si="59"/>
        <v>674.33240026136184</v>
      </c>
      <c r="BU95" s="7">
        <f t="shared" si="59"/>
        <v>751.62375979715273</v>
      </c>
      <c r="BV95" s="7">
        <f t="shared" si="59"/>
        <v>0</v>
      </c>
      <c r="BW95" s="7">
        <f t="shared" si="59"/>
        <v>0</v>
      </c>
      <c r="BX95" s="7">
        <f t="shared" si="59"/>
        <v>0</v>
      </c>
      <c r="BY95" s="7">
        <f t="shared" si="59"/>
        <v>0</v>
      </c>
      <c r="BZ95" s="7">
        <f t="shared" si="59"/>
        <v>0</v>
      </c>
      <c r="CA95" s="7">
        <f t="shared" si="59"/>
        <v>0</v>
      </c>
      <c r="CB95" s="7">
        <f t="shared" si="59"/>
        <v>0</v>
      </c>
      <c r="CC95" s="7">
        <f t="shared" si="59"/>
        <v>0</v>
      </c>
      <c r="CD95" s="7">
        <f t="shared" si="59"/>
        <v>0</v>
      </c>
    </row>
    <row r="96" spans="1:82" outlineLevel="2" x14ac:dyDescent="0.35">
      <c r="E96" s="7" t="s">
        <v>174</v>
      </c>
      <c r="J96" s="7">
        <f t="shared" ref="J96:AO96" si="60">SUM(J94:J95)</f>
        <v>0</v>
      </c>
      <c r="K96" s="7">
        <f t="shared" si="60"/>
        <v>0</v>
      </c>
      <c r="L96" s="7">
        <f t="shared" si="60"/>
        <v>0</v>
      </c>
      <c r="M96" s="7">
        <f t="shared" si="60"/>
        <v>0</v>
      </c>
      <c r="N96" s="7">
        <f t="shared" si="60"/>
        <v>2354.5283333333332</v>
      </c>
      <c r="O96" s="7">
        <f t="shared" si="60"/>
        <v>1416.4555376344085</v>
      </c>
      <c r="P96" s="7">
        <f t="shared" si="60"/>
        <v>1593.1311290322581</v>
      </c>
      <c r="Q96" s="7">
        <f t="shared" si="60"/>
        <v>1933.9817585702688</v>
      </c>
      <c r="R96" s="7">
        <f t="shared" si="60"/>
        <v>2219.8561446399963</v>
      </c>
      <c r="S96" s="7">
        <f t="shared" si="60"/>
        <v>2086.3448387096773</v>
      </c>
      <c r="T96" s="7">
        <f t="shared" si="60"/>
        <v>1642.7575806451612</v>
      </c>
      <c r="U96" s="7">
        <f t="shared" si="60"/>
        <v>1001.1390860215055</v>
      </c>
      <c r="V96" s="7">
        <f t="shared" si="60"/>
        <v>668.66897849462362</v>
      </c>
      <c r="W96" s="7">
        <f t="shared" si="60"/>
        <v>559.44235433295967</v>
      </c>
      <c r="X96" s="7">
        <f t="shared" si="60"/>
        <v>723.6272943000962</v>
      </c>
      <c r="Y96" s="7">
        <f t="shared" si="60"/>
        <v>819.6863191244239</v>
      </c>
      <c r="Z96" s="7">
        <f t="shared" si="60"/>
        <v>1092.212320119831</v>
      </c>
      <c r="AA96" s="7">
        <f t="shared" si="60"/>
        <v>1409.4084951586156</v>
      </c>
      <c r="AB96" s="7">
        <f t="shared" si="60"/>
        <v>1585.2051035146849</v>
      </c>
      <c r="AC96" s="7">
        <f t="shared" si="60"/>
        <v>1924.3599587763872</v>
      </c>
      <c r="AD96" s="7">
        <f t="shared" si="60"/>
        <v>2208.8120842189019</v>
      </c>
      <c r="AE96" s="7">
        <f t="shared" si="60"/>
        <v>2075.9650136414703</v>
      </c>
      <c r="AF96" s="7">
        <f t="shared" si="60"/>
        <v>1634.5846573583697</v>
      </c>
      <c r="AG96" s="7">
        <f t="shared" si="60"/>
        <v>996.15829454876177</v>
      </c>
      <c r="AH96" s="7">
        <f t="shared" si="60"/>
        <v>665.3422671588296</v>
      </c>
      <c r="AI96" s="7">
        <f t="shared" si="60"/>
        <v>556.65905903777082</v>
      </c>
      <c r="AJ96" s="7">
        <f t="shared" si="60"/>
        <v>720.02715850755851</v>
      </c>
      <c r="AK96" s="7">
        <f t="shared" si="60"/>
        <v>815.60827773574533</v>
      </c>
      <c r="AL96" s="7">
        <f t="shared" si="60"/>
        <v>1086.7784279799316</v>
      </c>
      <c r="AM96" s="7">
        <f t="shared" si="60"/>
        <v>1402.3965125956377</v>
      </c>
      <c r="AN96" s="7">
        <f t="shared" si="60"/>
        <v>1577.3185109598855</v>
      </c>
      <c r="AO96" s="7">
        <f t="shared" si="60"/>
        <v>1914.7860286332213</v>
      </c>
      <c r="AP96" s="7">
        <f t="shared" ref="AP96:BU96" si="61">SUM(AP94:AP95)</f>
        <v>2197.8229693720423</v>
      </c>
      <c r="AQ96" s="7">
        <f t="shared" si="61"/>
        <v>2065.6368294940007</v>
      </c>
      <c r="AR96" s="7">
        <f t="shared" si="61"/>
        <v>1626.4523953814628</v>
      </c>
      <c r="AS96" s="7">
        <f t="shared" si="61"/>
        <v>991.20228313309622</v>
      </c>
      <c r="AT96" s="7">
        <f t="shared" si="61"/>
        <v>662.0321066257012</v>
      </c>
      <c r="AU96" s="7">
        <f t="shared" si="61"/>
        <v>553.88961098285665</v>
      </c>
      <c r="AV96" s="7">
        <f t="shared" si="61"/>
        <v>718.25154546323131</v>
      </c>
      <c r="AW96" s="7">
        <f t="shared" si="61"/>
        <v>809.74391348532981</v>
      </c>
      <c r="AX96" s="7">
        <f t="shared" si="61"/>
        <v>1081.3715701292851</v>
      </c>
      <c r="AY96" s="7">
        <f t="shared" si="61"/>
        <v>1395.4194155180476</v>
      </c>
      <c r="AZ96" s="7">
        <f t="shared" si="61"/>
        <v>1569.4711551839657</v>
      </c>
      <c r="BA96" s="7">
        <f t="shared" si="61"/>
        <v>1905.2597299833049</v>
      </c>
      <c r="BB96" s="7">
        <f t="shared" si="61"/>
        <v>2186.8885267383503</v>
      </c>
      <c r="BC96" s="7">
        <f t="shared" si="61"/>
        <v>2055.3600293472655</v>
      </c>
      <c r="BD96" s="7">
        <f t="shared" si="61"/>
        <v>1618.3605924193655</v>
      </c>
      <c r="BE96" s="7">
        <f t="shared" si="61"/>
        <v>986.27092849064309</v>
      </c>
      <c r="BF96" s="7">
        <f t="shared" si="61"/>
        <v>658.73841455293655</v>
      </c>
      <c r="BG96" s="7">
        <f t="shared" si="61"/>
        <v>551.13394127647416</v>
      </c>
      <c r="BH96" s="7">
        <f t="shared" si="61"/>
        <v>712.88053118245455</v>
      </c>
      <c r="BI96" s="7">
        <f t="shared" si="61"/>
        <v>807.51296030865126</v>
      </c>
      <c r="BJ96" s="7">
        <f t="shared" si="61"/>
        <v>1075.9916120689409</v>
      </c>
      <c r="BK96" s="7">
        <f t="shared" si="61"/>
        <v>1388.4770303662167</v>
      </c>
      <c r="BL96" s="7">
        <f t="shared" si="61"/>
        <v>1561.662840979071</v>
      </c>
      <c r="BM96" s="7">
        <f t="shared" si="61"/>
        <v>1895.7808258540354</v>
      </c>
      <c r="BN96" s="7">
        <f t="shared" si="61"/>
        <v>2176.008484316767</v>
      </c>
      <c r="BO96" s="7">
        <f t="shared" si="61"/>
        <v>2045.1343575594678</v>
      </c>
      <c r="BP96" s="7">
        <f t="shared" si="61"/>
        <v>1610.3090471834487</v>
      </c>
      <c r="BQ96" s="7">
        <f t="shared" si="61"/>
        <v>981.36410795088909</v>
      </c>
      <c r="BR96" s="7">
        <f t="shared" si="61"/>
        <v>655.46110900789733</v>
      </c>
      <c r="BS96" s="7">
        <f t="shared" si="61"/>
        <v>548.39198136962614</v>
      </c>
      <c r="BT96" s="7">
        <f t="shared" si="61"/>
        <v>709.33386187308918</v>
      </c>
      <c r="BU96" s="7">
        <f t="shared" si="61"/>
        <v>803.49548289418055</v>
      </c>
      <c r="BV96" s="7">
        <f t="shared" ref="BV96:CD96" si="62">SUM(BV94:BV95)</f>
        <v>51.836121365320878</v>
      </c>
      <c r="BW96" s="7">
        <f t="shared" si="62"/>
        <v>0</v>
      </c>
      <c r="BX96" s="7">
        <f t="shared" si="62"/>
        <v>0</v>
      </c>
      <c r="BY96" s="7">
        <f t="shared" si="62"/>
        <v>0</v>
      </c>
      <c r="BZ96" s="7">
        <f t="shared" si="62"/>
        <v>0</v>
      </c>
      <c r="CA96" s="7">
        <f t="shared" si="62"/>
        <v>0</v>
      </c>
      <c r="CB96" s="7">
        <f t="shared" si="62"/>
        <v>0</v>
      </c>
      <c r="CC96" s="7">
        <f t="shared" si="62"/>
        <v>0</v>
      </c>
      <c r="CD96" s="7">
        <f t="shared" si="62"/>
        <v>0</v>
      </c>
    </row>
    <row r="97" spans="1:82" outlineLevel="2" x14ac:dyDescent="0.35"/>
    <row r="98" spans="1:82" outlineLevel="2" x14ac:dyDescent="0.35">
      <c r="A98" s="119"/>
      <c r="B98" s="119"/>
      <c r="C98" s="120"/>
      <c r="D98" s="121"/>
      <c r="E98" s="303" t="str">
        <f xml:space="preserve"> InpC!E$53</f>
        <v>Accounts receivable - month 1</v>
      </c>
      <c r="F98" s="303">
        <f xml:space="preserve"> InpC!F$53</f>
        <v>1310</v>
      </c>
      <c r="G98" s="303" t="str">
        <f xml:space="preserve"> InpC!G$53</f>
        <v>$ 000s</v>
      </c>
      <c r="H98" s="123"/>
      <c r="I98" s="123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22"/>
      <c r="BZ98" s="122"/>
      <c r="CA98" s="122"/>
      <c r="CB98" s="122"/>
      <c r="CC98" s="122"/>
      <c r="CD98" s="122"/>
    </row>
    <row r="99" spans="1:82" outlineLevel="2" x14ac:dyDescent="0.35">
      <c r="E99" s="307" t="str">
        <f xml:space="preserve"> Time!E$66</f>
        <v>Financial close date flag</v>
      </c>
      <c r="F99" s="307">
        <f xml:space="preserve"> Time!F$66</f>
        <v>0</v>
      </c>
      <c r="G99" s="307" t="str">
        <f xml:space="preserve"> Time!G$66</f>
        <v>flag</v>
      </c>
      <c r="H99" s="307">
        <f xml:space="preserve"> Time!H$66</f>
        <v>1</v>
      </c>
      <c r="I99" s="307">
        <f xml:space="preserve"> Time!I$66</f>
        <v>0</v>
      </c>
      <c r="J99" s="307">
        <f xml:space="preserve"> Time!J$66</f>
        <v>0</v>
      </c>
      <c r="K99" s="307">
        <f xml:space="preserve"> Time!K$66</f>
        <v>0</v>
      </c>
      <c r="L99" s="307">
        <f xml:space="preserve"> Time!L$66</f>
        <v>0</v>
      </c>
      <c r="M99" s="307">
        <f xml:space="preserve"> Time!M$66</f>
        <v>1</v>
      </c>
      <c r="N99" s="307">
        <f xml:space="preserve"> Time!N$66</f>
        <v>0</v>
      </c>
      <c r="O99" s="307">
        <f xml:space="preserve"> Time!O$66</f>
        <v>0</v>
      </c>
      <c r="P99" s="307">
        <f xml:space="preserve"> Time!P$66</f>
        <v>0</v>
      </c>
      <c r="Q99" s="307">
        <f xml:space="preserve"> Time!Q$66</f>
        <v>0</v>
      </c>
      <c r="R99" s="307">
        <f xml:space="preserve"> Time!R$66</f>
        <v>0</v>
      </c>
      <c r="S99" s="307">
        <f xml:space="preserve"> Time!S$66</f>
        <v>0</v>
      </c>
      <c r="T99" s="307">
        <f xml:space="preserve"> Time!T$66</f>
        <v>0</v>
      </c>
      <c r="U99" s="307">
        <f xml:space="preserve"> Time!U$66</f>
        <v>0</v>
      </c>
      <c r="V99" s="307">
        <f xml:space="preserve"> Time!V$66</f>
        <v>0</v>
      </c>
      <c r="W99" s="307">
        <f xml:space="preserve"> Time!W$66</f>
        <v>0</v>
      </c>
      <c r="X99" s="307">
        <f xml:space="preserve"> Time!X$66</f>
        <v>0</v>
      </c>
      <c r="Y99" s="307">
        <f xml:space="preserve"> Time!Y$66</f>
        <v>0</v>
      </c>
      <c r="Z99" s="307">
        <f xml:space="preserve"> Time!Z$66</f>
        <v>0</v>
      </c>
      <c r="AA99" s="307">
        <f xml:space="preserve"> Time!AA$66</f>
        <v>0</v>
      </c>
      <c r="AB99" s="307">
        <f xml:space="preserve"> Time!AB$66</f>
        <v>0</v>
      </c>
      <c r="AC99" s="307">
        <f xml:space="preserve"> Time!AC$66</f>
        <v>0</v>
      </c>
      <c r="AD99" s="307">
        <f xml:space="preserve"> Time!AD$66</f>
        <v>0</v>
      </c>
      <c r="AE99" s="307">
        <f xml:space="preserve"> Time!AE$66</f>
        <v>0</v>
      </c>
      <c r="AF99" s="307">
        <f xml:space="preserve"> Time!AF$66</f>
        <v>0</v>
      </c>
      <c r="AG99" s="307">
        <f xml:space="preserve"> Time!AG$66</f>
        <v>0</v>
      </c>
      <c r="AH99" s="307">
        <f xml:space="preserve"> Time!AH$66</f>
        <v>0</v>
      </c>
      <c r="AI99" s="307">
        <f xml:space="preserve"> Time!AI$66</f>
        <v>0</v>
      </c>
      <c r="AJ99" s="307">
        <f xml:space="preserve"> Time!AJ$66</f>
        <v>0</v>
      </c>
      <c r="AK99" s="307">
        <f xml:space="preserve"> Time!AK$66</f>
        <v>0</v>
      </c>
      <c r="AL99" s="307">
        <f xml:space="preserve"> Time!AL$66</f>
        <v>0</v>
      </c>
      <c r="AM99" s="307">
        <f xml:space="preserve"> Time!AM$66</f>
        <v>0</v>
      </c>
      <c r="AN99" s="307">
        <f xml:space="preserve"> Time!AN$66</f>
        <v>0</v>
      </c>
      <c r="AO99" s="307">
        <f xml:space="preserve"> Time!AO$66</f>
        <v>0</v>
      </c>
      <c r="AP99" s="307">
        <f xml:space="preserve"> Time!AP$66</f>
        <v>0</v>
      </c>
      <c r="AQ99" s="307">
        <f xml:space="preserve"> Time!AQ$66</f>
        <v>0</v>
      </c>
      <c r="AR99" s="307">
        <f xml:space="preserve"> Time!AR$66</f>
        <v>0</v>
      </c>
      <c r="AS99" s="307">
        <f xml:space="preserve"> Time!AS$66</f>
        <v>0</v>
      </c>
      <c r="AT99" s="307">
        <f xml:space="preserve"> Time!AT$66</f>
        <v>0</v>
      </c>
      <c r="AU99" s="307">
        <f xml:space="preserve"> Time!AU$66</f>
        <v>0</v>
      </c>
      <c r="AV99" s="307">
        <f xml:space="preserve"> Time!AV$66</f>
        <v>0</v>
      </c>
      <c r="AW99" s="307">
        <f xml:space="preserve"> Time!AW$66</f>
        <v>0</v>
      </c>
      <c r="AX99" s="307">
        <f xml:space="preserve"> Time!AX$66</f>
        <v>0</v>
      </c>
      <c r="AY99" s="307">
        <f xml:space="preserve"> Time!AY$66</f>
        <v>0</v>
      </c>
      <c r="AZ99" s="307">
        <f xml:space="preserve"> Time!AZ$66</f>
        <v>0</v>
      </c>
      <c r="BA99" s="307">
        <f xml:space="preserve"> Time!BA$66</f>
        <v>0</v>
      </c>
      <c r="BB99" s="307">
        <f xml:space="preserve"> Time!BB$66</f>
        <v>0</v>
      </c>
      <c r="BC99" s="307">
        <f xml:space="preserve"> Time!BC$66</f>
        <v>0</v>
      </c>
      <c r="BD99" s="307">
        <f xml:space="preserve"> Time!BD$66</f>
        <v>0</v>
      </c>
      <c r="BE99" s="307">
        <f xml:space="preserve"> Time!BE$66</f>
        <v>0</v>
      </c>
      <c r="BF99" s="307">
        <f xml:space="preserve"> Time!BF$66</f>
        <v>0</v>
      </c>
      <c r="BG99" s="307">
        <f xml:space="preserve"> Time!BG$66</f>
        <v>0</v>
      </c>
      <c r="BH99" s="307">
        <f xml:space="preserve"> Time!BH$66</f>
        <v>0</v>
      </c>
      <c r="BI99" s="307">
        <f xml:space="preserve"> Time!BI$66</f>
        <v>0</v>
      </c>
      <c r="BJ99" s="307">
        <f xml:space="preserve"> Time!BJ$66</f>
        <v>0</v>
      </c>
      <c r="BK99" s="307">
        <f xml:space="preserve"> Time!BK$66</f>
        <v>0</v>
      </c>
      <c r="BL99" s="307">
        <f xml:space="preserve"> Time!BL$66</f>
        <v>0</v>
      </c>
      <c r="BM99" s="307">
        <f xml:space="preserve"> Time!BM$66</f>
        <v>0</v>
      </c>
      <c r="BN99" s="307">
        <f xml:space="preserve"> Time!BN$66</f>
        <v>0</v>
      </c>
      <c r="BO99" s="307">
        <f xml:space="preserve"> Time!BO$66</f>
        <v>0</v>
      </c>
      <c r="BP99" s="307">
        <f xml:space="preserve"> Time!BP$66</f>
        <v>0</v>
      </c>
      <c r="BQ99" s="307">
        <f xml:space="preserve"> Time!BQ$66</f>
        <v>0</v>
      </c>
      <c r="BR99" s="307">
        <f xml:space="preserve"> Time!BR$66</f>
        <v>0</v>
      </c>
      <c r="BS99" s="307">
        <f xml:space="preserve"> Time!BS$66</f>
        <v>0</v>
      </c>
      <c r="BT99" s="307">
        <f xml:space="preserve"> Time!BT$66</f>
        <v>0</v>
      </c>
      <c r="BU99" s="307">
        <f xml:space="preserve"> Time!BU$66</f>
        <v>0</v>
      </c>
      <c r="BV99" s="307">
        <f xml:space="preserve"> Time!BV$66</f>
        <v>0</v>
      </c>
      <c r="BW99" s="307">
        <f xml:space="preserve"> Time!BW$66</f>
        <v>0</v>
      </c>
      <c r="BX99" s="307">
        <f xml:space="preserve"> Time!BX$66</f>
        <v>0</v>
      </c>
      <c r="BY99" s="307">
        <f xml:space="preserve"> Time!BY$66</f>
        <v>0</v>
      </c>
      <c r="BZ99" s="307">
        <f xml:space="preserve"> Time!BZ$66</f>
        <v>0</v>
      </c>
      <c r="CA99" s="307">
        <f xml:space="preserve"> Time!CA$66</f>
        <v>0</v>
      </c>
      <c r="CB99" s="307">
        <f xml:space="preserve"> Time!CB$66</f>
        <v>0</v>
      </c>
      <c r="CC99" s="307">
        <f xml:space="preserve"> Time!CC$66</f>
        <v>0</v>
      </c>
      <c r="CD99" s="307">
        <f xml:space="preserve"> Time!CD$66</f>
        <v>0</v>
      </c>
    </row>
    <row r="100" spans="1:82" outlineLevel="2" x14ac:dyDescent="0.35">
      <c r="E100" s="117"/>
      <c r="F100" s="117"/>
      <c r="G100" s="117"/>
      <c r="H100" s="117"/>
      <c r="I100" s="26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117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17"/>
      <c r="BV100" s="117"/>
      <c r="BW100" s="117"/>
      <c r="BX100" s="117"/>
      <c r="BY100" s="117"/>
      <c r="BZ100" s="117"/>
      <c r="CA100" s="117"/>
      <c r="CB100" s="117"/>
      <c r="CC100" s="117"/>
      <c r="CD100" s="117"/>
    </row>
    <row r="101" spans="1:82" outlineLevel="2" x14ac:dyDescent="0.35">
      <c r="E101" s="117" t="s">
        <v>170</v>
      </c>
      <c r="F101" s="117"/>
      <c r="G101" s="117" t="str">
        <f xml:space="preserve"> SMU</f>
        <v>$ 000s</v>
      </c>
      <c r="H101" s="117"/>
      <c r="I101" s="26"/>
      <c r="J101" s="117">
        <f t="shared" ref="J101:BU101" si="63">I104</f>
        <v>0</v>
      </c>
      <c r="K101" s="117">
        <f t="shared" si="63"/>
        <v>0</v>
      </c>
      <c r="L101" s="117">
        <f t="shared" si="63"/>
        <v>0</v>
      </c>
      <c r="M101" s="117">
        <f t="shared" si="63"/>
        <v>0</v>
      </c>
      <c r="N101" s="117">
        <f t="shared" si="63"/>
        <v>1310</v>
      </c>
      <c r="O101" s="117">
        <f t="shared" si="63"/>
        <v>74.609166666666624</v>
      </c>
      <c r="P101" s="117">
        <f t="shared" si="63"/>
        <v>92.541129032258141</v>
      </c>
      <c r="Q101" s="117">
        <f t="shared" si="63"/>
        <v>107.18499999999995</v>
      </c>
      <c r="R101" s="117">
        <f t="shared" si="63"/>
        <v>125.98598334967369</v>
      </c>
      <c r="S101" s="117">
        <f t="shared" si="63"/>
        <v>144.40483870967728</v>
      </c>
      <c r="T101" s="117">
        <f t="shared" si="63"/>
        <v>138.71000000000004</v>
      </c>
      <c r="U101" s="117">
        <f t="shared" si="63"/>
        <v>103.72741935483873</v>
      </c>
      <c r="V101" s="117">
        <f t="shared" si="63"/>
        <v>64.100833333333298</v>
      </c>
      <c r="W101" s="117">
        <f t="shared" si="63"/>
        <v>41.694354838709728</v>
      </c>
      <c r="X101" s="117">
        <f t="shared" si="63"/>
        <v>35.706758585810348</v>
      </c>
      <c r="Y101" s="117">
        <f t="shared" si="63"/>
        <v>52.916964285714243</v>
      </c>
      <c r="Z101" s="117">
        <f t="shared" si="63"/>
        <v>52.880645161290317</v>
      </c>
      <c r="AA101" s="117">
        <f t="shared" si="63"/>
        <v>74.237976782752867</v>
      </c>
      <c r="AB101" s="117">
        <f t="shared" si="63"/>
        <v>92.080725405231988</v>
      </c>
      <c r="AC101" s="117">
        <f t="shared" si="63"/>
        <v>106.6517412935325</v>
      </c>
      <c r="AD101" s="117">
        <f t="shared" si="63"/>
        <v>125.35918741261071</v>
      </c>
      <c r="AE101" s="117">
        <f t="shared" si="63"/>
        <v>143.68640667629552</v>
      </c>
      <c r="AF101" s="117">
        <f t="shared" si="63"/>
        <v>138.01990049751248</v>
      </c>
      <c r="AG101" s="117">
        <f t="shared" si="63"/>
        <v>103.2113625421282</v>
      </c>
      <c r="AH101" s="117">
        <f t="shared" si="63"/>
        <v>63.7819237147595</v>
      </c>
      <c r="AI101" s="117">
        <f t="shared" si="63"/>
        <v>41.486920237522099</v>
      </c>
      <c r="AJ101" s="117">
        <f t="shared" si="63"/>
        <v>35.529113020706859</v>
      </c>
      <c r="AK101" s="117">
        <f t="shared" si="63"/>
        <v>52.653695806680844</v>
      </c>
      <c r="AL101" s="117">
        <f t="shared" si="63"/>
        <v>52.617557374418197</v>
      </c>
      <c r="AM101" s="117">
        <f t="shared" si="63"/>
        <v>73.868633614679311</v>
      </c>
      <c r="AN101" s="117">
        <f t="shared" si="63"/>
        <v>91.62261234351422</v>
      </c>
      <c r="AO101" s="117">
        <f t="shared" si="63"/>
        <v>106.12113561545516</v>
      </c>
      <c r="AP101" s="117">
        <f t="shared" si="63"/>
        <v>124.73550986329428</v>
      </c>
      <c r="AQ101" s="117">
        <f t="shared" si="63"/>
        <v>142.9715489316377</v>
      </c>
      <c r="AR101" s="117">
        <f t="shared" si="63"/>
        <v>137.33323432588304</v>
      </c>
      <c r="AS101" s="117">
        <f t="shared" si="63"/>
        <v>102.69787317624673</v>
      </c>
      <c r="AT101" s="117">
        <f t="shared" si="63"/>
        <v>63.464600711203502</v>
      </c>
      <c r="AU101" s="117">
        <f t="shared" si="63"/>
        <v>41.28051764927568</v>
      </c>
      <c r="AV101" s="117">
        <f t="shared" si="63"/>
        <v>35.352351264384879</v>
      </c>
      <c r="AW101" s="117">
        <f t="shared" si="63"/>
        <v>50.585125496210821</v>
      </c>
      <c r="AX101" s="117">
        <f t="shared" si="63"/>
        <v>52.355778482008191</v>
      </c>
      <c r="AY101" s="117">
        <f t="shared" si="63"/>
        <v>73.501127974805513</v>
      </c>
      <c r="AZ101" s="117">
        <f t="shared" si="63"/>
        <v>91.166778451258097</v>
      </c>
      <c r="BA101" s="117">
        <f t="shared" si="63"/>
        <v>105.59316976662194</v>
      </c>
      <c r="BB101" s="117">
        <f t="shared" si="63"/>
        <v>124.11493518735756</v>
      </c>
      <c r="BC101" s="117">
        <f t="shared" si="63"/>
        <v>142.26024769317246</v>
      </c>
      <c r="BD101" s="117">
        <f t="shared" si="63"/>
        <v>136.64998440386353</v>
      </c>
      <c r="BE101" s="117">
        <f t="shared" si="63"/>
        <v>102.18693848382759</v>
      </c>
      <c r="BF101" s="117">
        <f t="shared" si="63"/>
        <v>63.148856429058128</v>
      </c>
      <c r="BG101" s="117">
        <f t="shared" si="63"/>
        <v>41.075141939577748</v>
      </c>
      <c r="BH101" s="117">
        <f t="shared" si="63"/>
        <v>35.176468919785975</v>
      </c>
      <c r="BI101" s="117">
        <f t="shared" si="63"/>
        <v>52.131081712512923</v>
      </c>
      <c r="BJ101" s="117">
        <f t="shared" si="63"/>
        <v>52.095301972147467</v>
      </c>
      <c r="BK101" s="117">
        <f t="shared" si="63"/>
        <v>73.135450721199504</v>
      </c>
      <c r="BL101" s="117">
        <f t="shared" si="63"/>
        <v>90.713212389311593</v>
      </c>
      <c r="BM101" s="117">
        <f t="shared" si="63"/>
        <v>105.06783061355418</v>
      </c>
      <c r="BN101" s="117">
        <f t="shared" si="63"/>
        <v>123.49744794761932</v>
      </c>
      <c r="BO101" s="117">
        <f t="shared" si="63"/>
        <v>141.55248526683772</v>
      </c>
      <c r="BP101" s="117">
        <f t="shared" si="63"/>
        <v>135.97013373518757</v>
      </c>
      <c r="BQ101" s="117">
        <f t="shared" si="63"/>
        <v>101.67854575505248</v>
      </c>
      <c r="BR101" s="117">
        <f t="shared" si="63"/>
        <v>62.834683013988297</v>
      </c>
      <c r="BS101" s="117">
        <f t="shared" si="63"/>
        <v>40.870787999579875</v>
      </c>
      <c r="BT101" s="117">
        <f t="shared" si="63"/>
        <v>35.001461611727336</v>
      </c>
      <c r="BU101" s="117">
        <f t="shared" si="63"/>
        <v>51.871723097027825</v>
      </c>
      <c r="BV101" s="117">
        <f t="shared" ref="BV101:CD101" si="64">BU104</f>
        <v>51.836121365320878</v>
      </c>
      <c r="BW101" s="117">
        <f t="shared" si="64"/>
        <v>0</v>
      </c>
      <c r="BX101" s="117">
        <f t="shared" si="64"/>
        <v>0</v>
      </c>
      <c r="BY101" s="117">
        <f t="shared" si="64"/>
        <v>0</v>
      </c>
      <c r="BZ101" s="117">
        <f t="shared" si="64"/>
        <v>0</v>
      </c>
      <c r="CA101" s="117">
        <f t="shared" si="64"/>
        <v>0</v>
      </c>
      <c r="CB101" s="117">
        <f t="shared" si="64"/>
        <v>0</v>
      </c>
      <c r="CC101" s="117">
        <f t="shared" si="64"/>
        <v>0</v>
      </c>
      <c r="CD101" s="117">
        <f t="shared" si="64"/>
        <v>0</v>
      </c>
    </row>
    <row r="102" spans="1:82" outlineLevel="2" x14ac:dyDescent="0.35">
      <c r="E102" s="311" t="str">
        <f t="shared" ref="E102:BP102" si="65" xml:space="preserve"> E$46</f>
        <v>Electricity revenue</v>
      </c>
      <c r="F102" s="311">
        <f t="shared" si="65"/>
        <v>0</v>
      </c>
      <c r="G102" s="311" t="str">
        <f t="shared" si="65"/>
        <v>$ 000s</v>
      </c>
      <c r="H102" s="311">
        <f t="shared" si="65"/>
        <v>78032.187836641722</v>
      </c>
      <c r="I102" s="311">
        <f t="shared" si="65"/>
        <v>0</v>
      </c>
      <c r="J102" s="311">
        <f t="shared" si="65"/>
        <v>0</v>
      </c>
      <c r="K102" s="311">
        <f t="shared" si="65"/>
        <v>0</v>
      </c>
      <c r="L102" s="311">
        <f t="shared" si="65"/>
        <v>0</v>
      </c>
      <c r="M102" s="311">
        <f t="shared" si="65"/>
        <v>0</v>
      </c>
      <c r="N102" s="311">
        <f t="shared" si="65"/>
        <v>1119.1374999999998</v>
      </c>
      <c r="O102" s="311">
        <f t="shared" si="65"/>
        <v>1434.3875</v>
      </c>
      <c r="P102" s="311">
        <f t="shared" si="65"/>
        <v>1607.7749999999999</v>
      </c>
      <c r="Q102" s="311">
        <f t="shared" si="65"/>
        <v>1952.7827419199425</v>
      </c>
      <c r="R102" s="311">
        <f t="shared" si="65"/>
        <v>2238.2749999999996</v>
      </c>
      <c r="S102" s="311">
        <f t="shared" si="65"/>
        <v>2080.65</v>
      </c>
      <c r="T102" s="311">
        <f t="shared" si="65"/>
        <v>1607.7749999999999</v>
      </c>
      <c r="U102" s="311">
        <f t="shared" si="65"/>
        <v>961.51250000000005</v>
      </c>
      <c r="V102" s="311">
        <f t="shared" si="65"/>
        <v>646.26250000000005</v>
      </c>
      <c r="W102" s="311">
        <f t="shared" si="65"/>
        <v>553.45475808006029</v>
      </c>
      <c r="X102" s="311">
        <f t="shared" si="65"/>
        <v>740.83750000000009</v>
      </c>
      <c r="Y102" s="311">
        <f t="shared" si="65"/>
        <v>819.65</v>
      </c>
      <c r="Z102" s="311">
        <f t="shared" si="65"/>
        <v>1113.5696517412935</v>
      </c>
      <c r="AA102" s="311">
        <f t="shared" si="65"/>
        <v>1427.2512437810947</v>
      </c>
      <c r="AB102" s="311">
        <f t="shared" si="65"/>
        <v>1599.7761194029854</v>
      </c>
      <c r="AC102" s="311">
        <f t="shared" si="65"/>
        <v>1943.0674048954654</v>
      </c>
      <c r="AD102" s="311">
        <f t="shared" si="65"/>
        <v>2227.1393034825869</v>
      </c>
      <c r="AE102" s="311">
        <f t="shared" si="65"/>
        <v>2070.2985074626872</v>
      </c>
      <c r="AF102" s="311">
        <f t="shared" si="65"/>
        <v>1599.7761194029854</v>
      </c>
      <c r="AG102" s="311">
        <f t="shared" si="65"/>
        <v>956.72885572139319</v>
      </c>
      <c r="AH102" s="311">
        <f t="shared" si="65"/>
        <v>643.0472636815922</v>
      </c>
      <c r="AI102" s="311">
        <f t="shared" si="65"/>
        <v>550.70125182095558</v>
      </c>
      <c r="AJ102" s="311">
        <f t="shared" si="65"/>
        <v>737.1517412935325</v>
      </c>
      <c r="AK102" s="311">
        <f t="shared" si="65"/>
        <v>815.57213930348269</v>
      </c>
      <c r="AL102" s="311">
        <f t="shared" si="65"/>
        <v>1108.0295042201928</v>
      </c>
      <c r="AM102" s="311">
        <f t="shared" si="65"/>
        <v>1420.1504913244726</v>
      </c>
      <c r="AN102" s="311">
        <f t="shared" si="65"/>
        <v>1591.8170342318265</v>
      </c>
      <c r="AO102" s="311">
        <f t="shared" si="65"/>
        <v>1933.4004028810605</v>
      </c>
      <c r="AP102" s="311">
        <f t="shared" si="65"/>
        <v>2216.0590084403857</v>
      </c>
      <c r="AQ102" s="311">
        <f t="shared" si="65"/>
        <v>2059.9985148882461</v>
      </c>
      <c r="AR102" s="311">
        <f t="shared" si="65"/>
        <v>1591.8170342318265</v>
      </c>
      <c r="AS102" s="311">
        <f t="shared" si="65"/>
        <v>951.9690106680531</v>
      </c>
      <c r="AT102" s="311">
        <f t="shared" si="65"/>
        <v>639.84802356377338</v>
      </c>
      <c r="AU102" s="311">
        <f t="shared" si="65"/>
        <v>547.96144459796585</v>
      </c>
      <c r="AV102" s="311">
        <f t="shared" si="65"/>
        <v>733.48431969505725</v>
      </c>
      <c r="AW102" s="311">
        <f t="shared" si="65"/>
        <v>811.51456647112718</v>
      </c>
      <c r="AX102" s="311">
        <f t="shared" si="65"/>
        <v>1102.5169196220825</v>
      </c>
      <c r="AY102" s="311">
        <f t="shared" si="65"/>
        <v>1413.0850659945002</v>
      </c>
      <c r="AZ102" s="311">
        <f t="shared" si="65"/>
        <v>1583.8975464993296</v>
      </c>
      <c r="BA102" s="311">
        <f t="shared" si="65"/>
        <v>1923.7814954040405</v>
      </c>
      <c r="BB102" s="311">
        <f t="shared" si="65"/>
        <v>2205.0338392441649</v>
      </c>
      <c r="BC102" s="311">
        <f t="shared" si="65"/>
        <v>2049.7497660579565</v>
      </c>
      <c r="BD102" s="311">
        <f t="shared" si="65"/>
        <v>1583.8975464993296</v>
      </c>
      <c r="BE102" s="311">
        <f t="shared" si="65"/>
        <v>947.23284643587374</v>
      </c>
      <c r="BF102" s="311">
        <f t="shared" si="65"/>
        <v>636.66470006345617</v>
      </c>
      <c r="BG102" s="311">
        <f t="shared" si="65"/>
        <v>545.23526825668239</v>
      </c>
      <c r="BH102" s="311">
        <f t="shared" si="65"/>
        <v>729.8351439751815</v>
      </c>
      <c r="BI102" s="311">
        <f t="shared" si="65"/>
        <v>807.4771805682858</v>
      </c>
      <c r="BJ102" s="311">
        <f t="shared" si="65"/>
        <v>1097.0317608179928</v>
      </c>
      <c r="BK102" s="311">
        <f t="shared" si="65"/>
        <v>1406.0547920343288</v>
      </c>
      <c r="BL102" s="311">
        <f t="shared" si="65"/>
        <v>1576.0174592033136</v>
      </c>
      <c r="BM102" s="311">
        <f t="shared" si="65"/>
        <v>1914.2104431881005</v>
      </c>
      <c r="BN102" s="311">
        <f t="shared" si="65"/>
        <v>2194.0635216359856</v>
      </c>
      <c r="BO102" s="311">
        <f t="shared" si="65"/>
        <v>2039.5520060278179</v>
      </c>
      <c r="BP102" s="311">
        <f t="shared" si="65"/>
        <v>1576.0174592033136</v>
      </c>
      <c r="BQ102" s="311">
        <f t="shared" ref="BQ102:CD102" si="66" xml:space="preserve"> BQ$46</f>
        <v>942.52024520982491</v>
      </c>
      <c r="BR102" s="311">
        <f t="shared" si="66"/>
        <v>633.49721399348891</v>
      </c>
      <c r="BS102" s="311">
        <f t="shared" si="66"/>
        <v>542.5226549817736</v>
      </c>
      <c r="BT102" s="311">
        <f t="shared" si="66"/>
        <v>726.20412335838967</v>
      </c>
      <c r="BU102" s="311">
        <f t="shared" si="66"/>
        <v>803.45988116247361</v>
      </c>
      <c r="BV102" s="311">
        <f t="shared" si="66"/>
        <v>0</v>
      </c>
      <c r="BW102" s="311">
        <f t="shared" si="66"/>
        <v>0</v>
      </c>
      <c r="BX102" s="311">
        <f t="shared" si="66"/>
        <v>0</v>
      </c>
      <c r="BY102" s="311">
        <f t="shared" si="66"/>
        <v>0</v>
      </c>
      <c r="BZ102" s="311">
        <f t="shared" si="66"/>
        <v>0</v>
      </c>
      <c r="CA102" s="311">
        <f t="shared" si="66"/>
        <v>0</v>
      </c>
      <c r="CB102" s="311">
        <f t="shared" si="66"/>
        <v>0</v>
      </c>
      <c r="CC102" s="311">
        <f t="shared" si="66"/>
        <v>0</v>
      </c>
      <c r="CD102" s="311">
        <f t="shared" si="66"/>
        <v>0</v>
      </c>
    </row>
    <row r="103" spans="1:82" outlineLevel="2" x14ac:dyDescent="0.35">
      <c r="E103" s="26" t="str">
        <f t="shared" ref="E103:AJ103" si="67" xml:space="preserve"> E$96</f>
        <v>Cash received from invoices</v>
      </c>
      <c r="F103" s="26">
        <f t="shared" si="67"/>
        <v>0</v>
      </c>
      <c r="G103" s="26">
        <f t="shared" si="67"/>
        <v>0</v>
      </c>
      <c r="H103" s="26">
        <f t="shared" si="67"/>
        <v>0</v>
      </c>
      <c r="I103" s="26">
        <f t="shared" si="67"/>
        <v>0</v>
      </c>
      <c r="J103" s="26">
        <f t="shared" si="67"/>
        <v>0</v>
      </c>
      <c r="K103" s="26">
        <f t="shared" si="67"/>
        <v>0</v>
      </c>
      <c r="L103" s="26">
        <f t="shared" si="67"/>
        <v>0</v>
      </c>
      <c r="M103" s="26">
        <f t="shared" si="67"/>
        <v>0</v>
      </c>
      <c r="N103" s="26">
        <f t="shared" si="67"/>
        <v>2354.5283333333332</v>
      </c>
      <c r="O103" s="26">
        <f t="shared" si="67"/>
        <v>1416.4555376344085</v>
      </c>
      <c r="P103" s="26">
        <f t="shared" si="67"/>
        <v>1593.1311290322581</v>
      </c>
      <c r="Q103" s="26">
        <f t="shared" si="67"/>
        <v>1933.9817585702688</v>
      </c>
      <c r="R103" s="26">
        <f t="shared" si="67"/>
        <v>2219.8561446399963</v>
      </c>
      <c r="S103" s="26">
        <f t="shared" si="67"/>
        <v>2086.3448387096773</v>
      </c>
      <c r="T103" s="26">
        <f t="shared" si="67"/>
        <v>1642.7575806451612</v>
      </c>
      <c r="U103" s="26">
        <f t="shared" si="67"/>
        <v>1001.1390860215055</v>
      </c>
      <c r="V103" s="26">
        <f t="shared" si="67"/>
        <v>668.66897849462362</v>
      </c>
      <c r="W103" s="26">
        <f t="shared" si="67"/>
        <v>559.44235433295967</v>
      </c>
      <c r="X103" s="26">
        <f t="shared" si="67"/>
        <v>723.6272943000962</v>
      </c>
      <c r="Y103" s="26">
        <f t="shared" si="67"/>
        <v>819.6863191244239</v>
      </c>
      <c r="Z103" s="26">
        <f t="shared" si="67"/>
        <v>1092.212320119831</v>
      </c>
      <c r="AA103" s="26">
        <f t="shared" si="67"/>
        <v>1409.4084951586156</v>
      </c>
      <c r="AB103" s="26">
        <f t="shared" si="67"/>
        <v>1585.2051035146849</v>
      </c>
      <c r="AC103" s="26">
        <f t="shared" si="67"/>
        <v>1924.3599587763872</v>
      </c>
      <c r="AD103" s="26">
        <f t="shared" si="67"/>
        <v>2208.8120842189019</v>
      </c>
      <c r="AE103" s="26">
        <f t="shared" si="67"/>
        <v>2075.9650136414703</v>
      </c>
      <c r="AF103" s="26">
        <f t="shared" si="67"/>
        <v>1634.5846573583697</v>
      </c>
      <c r="AG103" s="26">
        <f t="shared" si="67"/>
        <v>996.15829454876177</v>
      </c>
      <c r="AH103" s="26">
        <f t="shared" si="67"/>
        <v>665.3422671588296</v>
      </c>
      <c r="AI103" s="26">
        <f t="shared" si="67"/>
        <v>556.65905903777082</v>
      </c>
      <c r="AJ103" s="26">
        <f t="shared" si="67"/>
        <v>720.02715850755851</v>
      </c>
      <c r="AK103" s="26">
        <f t="shared" ref="AK103:BP103" si="68" xml:space="preserve"> AK$96</f>
        <v>815.60827773574533</v>
      </c>
      <c r="AL103" s="26">
        <f t="shared" si="68"/>
        <v>1086.7784279799316</v>
      </c>
      <c r="AM103" s="26">
        <f t="shared" si="68"/>
        <v>1402.3965125956377</v>
      </c>
      <c r="AN103" s="26">
        <f t="shared" si="68"/>
        <v>1577.3185109598855</v>
      </c>
      <c r="AO103" s="26">
        <f t="shared" si="68"/>
        <v>1914.7860286332213</v>
      </c>
      <c r="AP103" s="26">
        <f t="shared" si="68"/>
        <v>2197.8229693720423</v>
      </c>
      <c r="AQ103" s="26">
        <f t="shared" si="68"/>
        <v>2065.6368294940007</v>
      </c>
      <c r="AR103" s="26">
        <f t="shared" si="68"/>
        <v>1626.4523953814628</v>
      </c>
      <c r="AS103" s="26">
        <f t="shared" si="68"/>
        <v>991.20228313309622</v>
      </c>
      <c r="AT103" s="26">
        <f t="shared" si="68"/>
        <v>662.0321066257012</v>
      </c>
      <c r="AU103" s="26">
        <f t="shared" si="68"/>
        <v>553.88961098285665</v>
      </c>
      <c r="AV103" s="26">
        <f t="shared" si="68"/>
        <v>718.25154546323131</v>
      </c>
      <c r="AW103" s="26">
        <f t="shared" si="68"/>
        <v>809.74391348532981</v>
      </c>
      <c r="AX103" s="26">
        <f t="shared" si="68"/>
        <v>1081.3715701292851</v>
      </c>
      <c r="AY103" s="26">
        <f t="shared" si="68"/>
        <v>1395.4194155180476</v>
      </c>
      <c r="AZ103" s="26">
        <f t="shared" si="68"/>
        <v>1569.4711551839657</v>
      </c>
      <c r="BA103" s="26">
        <f t="shared" si="68"/>
        <v>1905.2597299833049</v>
      </c>
      <c r="BB103" s="26">
        <f t="shared" si="68"/>
        <v>2186.8885267383503</v>
      </c>
      <c r="BC103" s="26">
        <f t="shared" si="68"/>
        <v>2055.3600293472655</v>
      </c>
      <c r="BD103" s="26">
        <f t="shared" si="68"/>
        <v>1618.3605924193655</v>
      </c>
      <c r="BE103" s="26">
        <f t="shared" si="68"/>
        <v>986.27092849064309</v>
      </c>
      <c r="BF103" s="26">
        <f t="shared" si="68"/>
        <v>658.73841455293655</v>
      </c>
      <c r="BG103" s="26">
        <f t="shared" si="68"/>
        <v>551.13394127647416</v>
      </c>
      <c r="BH103" s="26">
        <f t="shared" si="68"/>
        <v>712.88053118245455</v>
      </c>
      <c r="BI103" s="26">
        <f t="shared" si="68"/>
        <v>807.51296030865126</v>
      </c>
      <c r="BJ103" s="26">
        <f t="shared" si="68"/>
        <v>1075.9916120689409</v>
      </c>
      <c r="BK103" s="26">
        <f t="shared" si="68"/>
        <v>1388.4770303662167</v>
      </c>
      <c r="BL103" s="26">
        <f t="shared" si="68"/>
        <v>1561.662840979071</v>
      </c>
      <c r="BM103" s="26">
        <f t="shared" si="68"/>
        <v>1895.7808258540354</v>
      </c>
      <c r="BN103" s="26">
        <f t="shared" si="68"/>
        <v>2176.008484316767</v>
      </c>
      <c r="BO103" s="26">
        <f t="shared" si="68"/>
        <v>2045.1343575594678</v>
      </c>
      <c r="BP103" s="26">
        <f t="shared" si="68"/>
        <v>1610.3090471834487</v>
      </c>
      <c r="BQ103" s="26">
        <f t="shared" ref="BQ103:CD103" si="69" xml:space="preserve"> BQ$96</f>
        <v>981.36410795088909</v>
      </c>
      <c r="BR103" s="26">
        <f t="shared" si="69"/>
        <v>655.46110900789733</v>
      </c>
      <c r="BS103" s="26">
        <f t="shared" si="69"/>
        <v>548.39198136962614</v>
      </c>
      <c r="BT103" s="26">
        <f t="shared" si="69"/>
        <v>709.33386187308918</v>
      </c>
      <c r="BU103" s="26">
        <f t="shared" si="69"/>
        <v>803.49548289418055</v>
      </c>
      <c r="BV103" s="26">
        <f t="shared" si="69"/>
        <v>51.836121365320878</v>
      </c>
      <c r="BW103" s="26">
        <f t="shared" si="69"/>
        <v>0</v>
      </c>
      <c r="BX103" s="26">
        <f t="shared" si="69"/>
        <v>0</v>
      </c>
      <c r="BY103" s="26">
        <f t="shared" si="69"/>
        <v>0</v>
      </c>
      <c r="BZ103" s="26">
        <f t="shared" si="69"/>
        <v>0</v>
      </c>
      <c r="CA103" s="26">
        <f t="shared" si="69"/>
        <v>0</v>
      </c>
      <c r="CB103" s="26">
        <f t="shared" si="69"/>
        <v>0</v>
      </c>
      <c r="CC103" s="26">
        <f t="shared" si="69"/>
        <v>0</v>
      </c>
      <c r="CD103" s="26">
        <f t="shared" si="69"/>
        <v>0</v>
      </c>
    </row>
    <row r="104" spans="1:82" outlineLevel="2" x14ac:dyDescent="0.35">
      <c r="A104" s="124"/>
      <c r="B104" s="124"/>
      <c r="C104" s="125"/>
      <c r="D104" s="126"/>
      <c r="E104" s="127" t="s">
        <v>171</v>
      </c>
      <c r="F104" s="127"/>
      <c r="G104" s="127" t="str">
        <f xml:space="preserve"> SMU</f>
        <v>$ 000s</v>
      </c>
      <c r="H104" s="127"/>
      <c r="I104" s="128"/>
      <c r="J104" s="127">
        <f t="shared" ref="J104" si="70" xml:space="preserve"> IF( J99 = 1, $F98, J101 + J102 - J103)</f>
        <v>0</v>
      </c>
      <c r="K104" s="127">
        <f t="shared" ref="K104" si="71" xml:space="preserve"> IF( K99 = 1, $F98, K101 + K102 - K103)</f>
        <v>0</v>
      </c>
      <c r="L104" s="127">
        <f t="shared" ref="L104" si="72" xml:space="preserve"> IF( L99 = 1, $F98, L101 + L102 - L103)</f>
        <v>0</v>
      </c>
      <c r="M104" s="127">
        <f t="shared" ref="M104" si="73" xml:space="preserve"> IF( M99 = 1, $F98, M101 + M102 - M103)</f>
        <v>1310</v>
      </c>
      <c r="N104" s="127">
        <f t="shared" ref="N104" si="74" xml:space="preserve"> IF( N99 = 1, $F98, N101 + N102 - N103)</f>
        <v>74.609166666666624</v>
      </c>
      <c r="O104" s="127">
        <f t="shared" ref="O104" si="75" xml:space="preserve"> IF( O99 = 1, $F98, O101 + O102 - O103)</f>
        <v>92.541129032258141</v>
      </c>
      <c r="P104" s="127">
        <f t="shared" ref="P104" si="76" xml:space="preserve"> IF( P99 = 1, $F98, P101 + P102 - P103)</f>
        <v>107.18499999999995</v>
      </c>
      <c r="Q104" s="127">
        <f t="shared" ref="Q104" si="77" xml:space="preserve"> IF( Q99 = 1, $F98, Q101 + Q102 - Q103)</f>
        <v>125.98598334967369</v>
      </c>
      <c r="R104" s="127">
        <f t="shared" ref="R104" si="78" xml:space="preserve"> IF( R99 = 1, $F98, R101 + R102 - R103)</f>
        <v>144.40483870967728</v>
      </c>
      <c r="S104" s="127">
        <f t="shared" ref="S104" si="79" xml:space="preserve"> IF( S99 = 1, $F98, S101 + S102 - S103)</f>
        <v>138.71000000000004</v>
      </c>
      <c r="T104" s="127">
        <f t="shared" ref="T104" si="80" xml:space="preserve"> IF( T99 = 1, $F98, T101 + T102 - T103)</f>
        <v>103.72741935483873</v>
      </c>
      <c r="U104" s="127">
        <f t="shared" ref="U104" si="81" xml:space="preserve"> IF( U99 = 1, $F98, U101 + U102 - U103)</f>
        <v>64.100833333333298</v>
      </c>
      <c r="V104" s="127">
        <f t="shared" ref="V104" si="82" xml:space="preserve"> IF( V99 = 1, $F98, V101 + V102 - V103)</f>
        <v>41.694354838709728</v>
      </c>
      <c r="W104" s="127">
        <f t="shared" ref="W104" si="83" xml:space="preserve"> IF( W99 = 1, $F98, W101 + W102 - W103)</f>
        <v>35.706758585810348</v>
      </c>
      <c r="X104" s="127">
        <f t="shared" ref="X104" si="84" xml:space="preserve"> IF( X99 = 1, $F98, X101 + X102 - X103)</f>
        <v>52.916964285714243</v>
      </c>
      <c r="Y104" s="127">
        <f t="shared" ref="Y104" si="85" xml:space="preserve"> IF( Y99 = 1, $F98, Y101 + Y102 - Y103)</f>
        <v>52.880645161290317</v>
      </c>
      <c r="Z104" s="127">
        <f t="shared" ref="Z104" si="86" xml:space="preserve"> IF( Z99 = 1, $F98, Z101 + Z102 - Z103)</f>
        <v>74.237976782752867</v>
      </c>
      <c r="AA104" s="127">
        <f t="shared" ref="AA104" si="87" xml:space="preserve"> IF( AA99 = 1, $F98, AA101 + AA102 - AA103)</f>
        <v>92.080725405231988</v>
      </c>
      <c r="AB104" s="127">
        <f t="shared" ref="AB104" si="88" xml:space="preserve"> IF( AB99 = 1, $F98, AB101 + AB102 - AB103)</f>
        <v>106.6517412935325</v>
      </c>
      <c r="AC104" s="127">
        <f t="shared" ref="AC104" si="89" xml:space="preserve"> IF( AC99 = 1, $F98, AC101 + AC102 - AC103)</f>
        <v>125.35918741261071</v>
      </c>
      <c r="AD104" s="127">
        <f t="shared" ref="AD104" si="90" xml:space="preserve"> IF( AD99 = 1, $F98, AD101 + AD102 - AD103)</f>
        <v>143.68640667629552</v>
      </c>
      <c r="AE104" s="127">
        <f t="shared" ref="AE104" si="91" xml:space="preserve"> IF( AE99 = 1, $F98, AE101 + AE102 - AE103)</f>
        <v>138.01990049751248</v>
      </c>
      <c r="AF104" s="127">
        <f t="shared" ref="AF104" si="92" xml:space="preserve"> IF( AF99 = 1, $F98, AF101 + AF102 - AF103)</f>
        <v>103.2113625421282</v>
      </c>
      <c r="AG104" s="127">
        <f t="shared" ref="AG104" si="93" xml:space="preserve"> IF( AG99 = 1, $F98, AG101 + AG102 - AG103)</f>
        <v>63.7819237147595</v>
      </c>
      <c r="AH104" s="127">
        <f t="shared" ref="AH104" si="94" xml:space="preserve"> IF( AH99 = 1, $F98, AH101 + AH102 - AH103)</f>
        <v>41.486920237522099</v>
      </c>
      <c r="AI104" s="127">
        <f t="shared" ref="AI104" si="95" xml:space="preserve"> IF( AI99 = 1, $F98, AI101 + AI102 - AI103)</f>
        <v>35.529113020706859</v>
      </c>
      <c r="AJ104" s="127">
        <f t="shared" ref="AJ104" si="96" xml:space="preserve"> IF( AJ99 = 1, $F98, AJ101 + AJ102 - AJ103)</f>
        <v>52.653695806680844</v>
      </c>
      <c r="AK104" s="127">
        <f t="shared" ref="AK104" si="97" xml:space="preserve"> IF( AK99 = 1, $F98, AK101 + AK102 - AK103)</f>
        <v>52.617557374418197</v>
      </c>
      <c r="AL104" s="127">
        <f t="shared" ref="AL104" si="98" xml:space="preserve"> IF( AL99 = 1, $F98, AL101 + AL102 - AL103)</f>
        <v>73.868633614679311</v>
      </c>
      <c r="AM104" s="127">
        <f t="shared" ref="AM104" si="99" xml:space="preserve"> IF( AM99 = 1, $F98, AM101 + AM102 - AM103)</f>
        <v>91.62261234351422</v>
      </c>
      <c r="AN104" s="127">
        <f t="shared" ref="AN104" si="100" xml:space="preserve"> IF( AN99 = 1, $F98, AN101 + AN102 - AN103)</f>
        <v>106.12113561545516</v>
      </c>
      <c r="AO104" s="127">
        <f t="shared" ref="AO104" si="101" xml:space="preserve"> IF( AO99 = 1, $F98, AO101 + AO102 - AO103)</f>
        <v>124.73550986329428</v>
      </c>
      <c r="AP104" s="127">
        <f t="shared" ref="AP104" si="102" xml:space="preserve"> IF( AP99 = 1, $F98, AP101 + AP102 - AP103)</f>
        <v>142.9715489316377</v>
      </c>
      <c r="AQ104" s="127">
        <f t="shared" ref="AQ104" si="103" xml:space="preserve"> IF( AQ99 = 1, $F98, AQ101 + AQ102 - AQ103)</f>
        <v>137.33323432588304</v>
      </c>
      <c r="AR104" s="127">
        <f t="shared" ref="AR104" si="104" xml:space="preserve"> IF( AR99 = 1, $F98, AR101 + AR102 - AR103)</f>
        <v>102.69787317624673</v>
      </c>
      <c r="AS104" s="127">
        <f t="shared" ref="AS104" si="105" xml:space="preserve"> IF( AS99 = 1, $F98, AS101 + AS102 - AS103)</f>
        <v>63.464600711203502</v>
      </c>
      <c r="AT104" s="127">
        <f t="shared" ref="AT104" si="106" xml:space="preserve"> IF( AT99 = 1, $F98, AT101 + AT102 - AT103)</f>
        <v>41.28051764927568</v>
      </c>
      <c r="AU104" s="127">
        <f t="shared" ref="AU104" si="107" xml:space="preserve"> IF( AU99 = 1, $F98, AU101 + AU102 - AU103)</f>
        <v>35.352351264384879</v>
      </c>
      <c r="AV104" s="127">
        <f t="shared" ref="AV104" si="108" xml:space="preserve"> IF( AV99 = 1, $F98, AV101 + AV102 - AV103)</f>
        <v>50.585125496210821</v>
      </c>
      <c r="AW104" s="127">
        <f t="shared" ref="AW104" si="109" xml:space="preserve"> IF( AW99 = 1, $F98, AW101 + AW102 - AW103)</f>
        <v>52.355778482008191</v>
      </c>
      <c r="AX104" s="127">
        <f t="shared" ref="AX104" si="110" xml:space="preserve"> IF( AX99 = 1, $F98, AX101 + AX102 - AX103)</f>
        <v>73.501127974805513</v>
      </c>
      <c r="AY104" s="127">
        <f t="shared" ref="AY104" si="111" xml:space="preserve"> IF( AY99 = 1, $F98, AY101 + AY102 - AY103)</f>
        <v>91.166778451258097</v>
      </c>
      <c r="AZ104" s="127">
        <f t="shared" ref="AZ104" si="112" xml:space="preserve"> IF( AZ99 = 1, $F98, AZ101 + AZ102 - AZ103)</f>
        <v>105.59316976662194</v>
      </c>
      <c r="BA104" s="127">
        <f t="shared" ref="BA104" si="113" xml:space="preserve"> IF( BA99 = 1, $F98, BA101 + BA102 - BA103)</f>
        <v>124.11493518735756</v>
      </c>
      <c r="BB104" s="127">
        <f t="shared" ref="BB104" si="114" xml:space="preserve"> IF( BB99 = 1, $F98, BB101 + BB102 - BB103)</f>
        <v>142.26024769317246</v>
      </c>
      <c r="BC104" s="127">
        <f t="shared" ref="BC104" si="115" xml:space="preserve"> IF( BC99 = 1, $F98, BC101 + BC102 - BC103)</f>
        <v>136.64998440386353</v>
      </c>
      <c r="BD104" s="127">
        <f t="shared" ref="BD104" si="116" xml:space="preserve"> IF( BD99 = 1, $F98, BD101 + BD102 - BD103)</f>
        <v>102.18693848382759</v>
      </c>
      <c r="BE104" s="127">
        <f t="shared" ref="BE104" si="117" xml:space="preserve"> IF( BE99 = 1, $F98, BE101 + BE102 - BE103)</f>
        <v>63.148856429058128</v>
      </c>
      <c r="BF104" s="127">
        <f t="shared" ref="BF104" si="118" xml:space="preserve"> IF( BF99 = 1, $F98, BF101 + BF102 - BF103)</f>
        <v>41.075141939577748</v>
      </c>
      <c r="BG104" s="127">
        <f t="shared" ref="BG104" si="119" xml:space="preserve"> IF( BG99 = 1, $F98, BG101 + BG102 - BG103)</f>
        <v>35.176468919785975</v>
      </c>
      <c r="BH104" s="127">
        <f t="shared" ref="BH104" si="120" xml:space="preserve"> IF( BH99 = 1, $F98, BH101 + BH102 - BH103)</f>
        <v>52.131081712512923</v>
      </c>
      <c r="BI104" s="127">
        <f t="shared" ref="BI104" si="121" xml:space="preserve"> IF( BI99 = 1, $F98, BI101 + BI102 - BI103)</f>
        <v>52.095301972147467</v>
      </c>
      <c r="BJ104" s="127">
        <f t="shared" ref="BJ104" si="122" xml:space="preserve"> IF( BJ99 = 1, $F98, BJ101 + BJ102 - BJ103)</f>
        <v>73.135450721199504</v>
      </c>
      <c r="BK104" s="127">
        <f t="shared" ref="BK104" si="123" xml:space="preserve"> IF( BK99 = 1, $F98, BK101 + BK102 - BK103)</f>
        <v>90.713212389311593</v>
      </c>
      <c r="BL104" s="127">
        <f t="shared" ref="BL104" si="124" xml:space="preserve"> IF( BL99 = 1, $F98, BL101 + BL102 - BL103)</f>
        <v>105.06783061355418</v>
      </c>
      <c r="BM104" s="127">
        <f t="shared" ref="BM104" si="125" xml:space="preserve"> IF( BM99 = 1, $F98, BM101 + BM102 - BM103)</f>
        <v>123.49744794761932</v>
      </c>
      <c r="BN104" s="127">
        <f t="shared" ref="BN104" si="126" xml:space="preserve"> IF( BN99 = 1, $F98, BN101 + BN102 - BN103)</f>
        <v>141.55248526683772</v>
      </c>
      <c r="BO104" s="127">
        <f t="shared" ref="BO104" si="127" xml:space="preserve"> IF( BO99 = 1, $F98, BO101 + BO102 - BO103)</f>
        <v>135.97013373518757</v>
      </c>
      <c r="BP104" s="127">
        <f t="shared" ref="BP104" si="128" xml:space="preserve"> IF( BP99 = 1, $F98, BP101 + BP102 - BP103)</f>
        <v>101.67854575505248</v>
      </c>
      <c r="BQ104" s="127">
        <f t="shared" ref="BQ104" si="129" xml:space="preserve"> IF( BQ99 = 1, $F98, BQ101 + BQ102 - BQ103)</f>
        <v>62.834683013988297</v>
      </c>
      <c r="BR104" s="127">
        <f t="shared" ref="BR104" si="130" xml:space="preserve"> IF( BR99 = 1, $F98, BR101 + BR102 - BR103)</f>
        <v>40.870787999579875</v>
      </c>
      <c r="BS104" s="127">
        <f t="shared" ref="BS104" si="131" xml:space="preserve"> IF( BS99 = 1, $F98, BS101 + BS102 - BS103)</f>
        <v>35.001461611727336</v>
      </c>
      <c r="BT104" s="127">
        <f t="shared" ref="BT104" si="132" xml:space="preserve"> IF( BT99 = 1, $F98, BT101 + BT102 - BT103)</f>
        <v>51.871723097027825</v>
      </c>
      <c r="BU104" s="127">
        <f t="shared" ref="BU104" si="133" xml:space="preserve"> IF( BU99 = 1, $F98, BU101 + BU102 - BU103)</f>
        <v>51.836121365320878</v>
      </c>
      <c r="BV104" s="127">
        <f t="shared" ref="BV104" si="134" xml:space="preserve"> IF( BV99 = 1, $F98, BV101 + BV102 - BV103)</f>
        <v>0</v>
      </c>
      <c r="BW104" s="127">
        <f t="shared" ref="BW104" si="135" xml:space="preserve"> IF( BW99 = 1, $F98, BW101 + BW102 - BW103)</f>
        <v>0</v>
      </c>
      <c r="BX104" s="127">
        <f t="shared" ref="BX104" si="136" xml:space="preserve"> IF( BX99 = 1, $F98, BX101 + BX102 - BX103)</f>
        <v>0</v>
      </c>
      <c r="BY104" s="127">
        <f t="shared" ref="BY104" si="137" xml:space="preserve"> IF( BY99 = 1, $F98, BY101 + BY102 - BY103)</f>
        <v>0</v>
      </c>
      <c r="BZ104" s="127">
        <f t="shared" ref="BZ104" si="138" xml:space="preserve"> IF( BZ99 = 1, $F98, BZ101 + BZ102 - BZ103)</f>
        <v>0</v>
      </c>
      <c r="CA104" s="127">
        <f t="shared" ref="CA104" si="139" xml:space="preserve"> IF( CA99 = 1, $F98, CA101 + CA102 - CA103)</f>
        <v>0</v>
      </c>
      <c r="CB104" s="127">
        <f t="shared" ref="CB104" si="140" xml:space="preserve"> IF( CB99 = 1, $F98, CB101 + CB102 - CB103)</f>
        <v>0</v>
      </c>
      <c r="CC104" s="127">
        <f t="shared" ref="CC104" si="141" xml:space="preserve"> IF( CC99 = 1, $F98, CC101 + CC102 - CC103)</f>
        <v>0</v>
      </c>
      <c r="CD104" s="127">
        <f t="shared" ref="CD104" si="142" xml:space="preserve"> IF( CD99 = 1, $F98, CD101 + CD102 - CD103)</f>
        <v>0</v>
      </c>
    </row>
    <row r="105" spans="1:82" outlineLevel="2" x14ac:dyDescent="0.35"/>
    <row r="106" spans="1:82" outlineLevel="2" x14ac:dyDescent="0.35"/>
    <row r="108" spans="1:82" x14ac:dyDescent="0.35">
      <c r="A108" s="8" t="s">
        <v>62</v>
      </c>
    </row>
  </sheetData>
  <conditionalFormatting sqref="F2:F4">
    <cfRule type="cellIs" dxfId="27" priority="1" stopIfTrue="1" operator="notEqual">
      <formula>0</formula>
    </cfRule>
    <cfRule type="cellIs" dxfId="26" priority="2" stopIfTrue="1" operator="equal">
      <formula>""</formula>
    </cfRule>
  </conditionalFormatting>
  <conditionalFormatting sqref="J3:CD3">
    <cfRule type="cellIs" dxfId="25" priority="3" operator="equal">
      <formula>"Fin Close"</formula>
    </cfRule>
    <cfRule type="cellIs" dxfId="24" priority="4" stopIfTrue="1" operator="equal">
      <formula>"Operations"</formula>
    </cfRule>
  </conditionalFormatting>
  <dataValidations count="1">
    <dataValidation allowBlank="1" showInputMessage="1" showErrorMessage="1" sqref="E11:H11 E34:H35 E41:H42 E98:H98 E88:H88 E75:H75 F63:H64 E63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CD34"/>
  <sheetViews>
    <sheetView defaultGridColor="0" colorId="8" zoomScaleNormal="100" workbookViewId="0">
      <pane xSplit="9" ySplit="5" topLeftCell="BY6" activePane="bottomRight" state="frozen"/>
      <selection activeCell="E45" sqref="E45"/>
      <selection pane="topRight" activeCell="E45" sqref="E45"/>
      <selection pane="bottomLeft" activeCell="E45" sqref="E45"/>
      <selection pane="bottomRight" activeCell="F3" sqref="F3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>
        <v>0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8" spans="1:82" collapsed="1" x14ac:dyDescent="0.35">
      <c r="A8" s="8" t="s">
        <v>143</v>
      </c>
    </row>
    <row r="9" spans="1:82" hidden="1" outlineLevel="1" x14ac:dyDescent="0.35"/>
    <row r="10" spans="1:82" hidden="1" outlineLevel="1" x14ac:dyDescent="0.35">
      <c r="A10" s="119"/>
      <c r="B10" s="119"/>
      <c r="C10" s="120"/>
      <c r="D10" s="121"/>
      <c r="E10" s="303" t="str">
        <f xml:space="preserve"> InpC!E$50</f>
        <v xml:space="preserve">Retained earnings - initial balance </v>
      </c>
      <c r="F10" s="303">
        <f xml:space="preserve"> InpC!F$50</f>
        <v>2608</v>
      </c>
      <c r="G10" s="303" t="str">
        <f xml:space="preserve"> InpC!G$50</f>
        <v>$ 000s</v>
      </c>
      <c r="H10" s="123"/>
      <c r="I10" s="123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</row>
    <row r="11" spans="1:82" hidden="1" outlineLevel="1" x14ac:dyDescent="0.35">
      <c r="E11" s="130" t="str">
        <f xml:space="preserve"> Time!E$66</f>
        <v>Financial close date flag</v>
      </c>
      <c r="F11" s="130">
        <f xml:space="preserve"> Time!F$66</f>
        <v>0</v>
      </c>
      <c r="G11" s="130" t="str">
        <f xml:space="preserve"> Time!G$66</f>
        <v>flag</v>
      </c>
      <c r="H11" s="130">
        <f xml:space="preserve"> Time!H$66</f>
        <v>1</v>
      </c>
      <c r="I11" s="130">
        <f xml:space="preserve"> Time!I$66</f>
        <v>0</v>
      </c>
      <c r="J11" s="130">
        <f xml:space="preserve"> Time!J$66</f>
        <v>0</v>
      </c>
      <c r="K11" s="130">
        <f xml:space="preserve"> Time!K$66</f>
        <v>0</v>
      </c>
      <c r="L11" s="130">
        <f xml:space="preserve"> Time!L$66</f>
        <v>0</v>
      </c>
      <c r="M11" s="130">
        <f xml:space="preserve"> Time!M$66</f>
        <v>1</v>
      </c>
      <c r="N11" s="130">
        <f xml:space="preserve"> Time!N$66</f>
        <v>0</v>
      </c>
      <c r="O11" s="130">
        <f xml:space="preserve"> Time!O$66</f>
        <v>0</v>
      </c>
      <c r="P11" s="130">
        <f xml:space="preserve"> Time!P$66</f>
        <v>0</v>
      </c>
      <c r="Q11" s="130">
        <f xml:space="preserve"> Time!Q$66</f>
        <v>0</v>
      </c>
      <c r="R11" s="130">
        <f xml:space="preserve"> Time!R$66</f>
        <v>0</v>
      </c>
      <c r="S11" s="130">
        <f xml:space="preserve"> Time!S$66</f>
        <v>0</v>
      </c>
      <c r="T11" s="130">
        <f xml:space="preserve"> Time!T$66</f>
        <v>0</v>
      </c>
      <c r="U11" s="130">
        <f xml:space="preserve"> Time!U$66</f>
        <v>0</v>
      </c>
      <c r="V11" s="130">
        <f xml:space="preserve"> Time!V$66</f>
        <v>0</v>
      </c>
      <c r="W11" s="130">
        <f xml:space="preserve"> Time!W$66</f>
        <v>0</v>
      </c>
      <c r="X11" s="130">
        <f xml:space="preserve"> Time!X$66</f>
        <v>0</v>
      </c>
      <c r="Y11" s="130">
        <f xml:space="preserve"> Time!Y$66</f>
        <v>0</v>
      </c>
      <c r="Z11" s="130">
        <f xml:space="preserve"> Time!Z$66</f>
        <v>0</v>
      </c>
      <c r="AA11" s="130">
        <f xml:space="preserve"> Time!AA$66</f>
        <v>0</v>
      </c>
      <c r="AB11" s="130">
        <f xml:space="preserve"> Time!AB$66</f>
        <v>0</v>
      </c>
      <c r="AC11" s="130">
        <f xml:space="preserve"> Time!AC$66</f>
        <v>0</v>
      </c>
      <c r="AD11" s="130">
        <f xml:space="preserve"> Time!AD$66</f>
        <v>0</v>
      </c>
      <c r="AE11" s="130">
        <f xml:space="preserve"> Time!AE$66</f>
        <v>0</v>
      </c>
      <c r="AF11" s="130">
        <f xml:space="preserve"> Time!AF$66</f>
        <v>0</v>
      </c>
      <c r="AG11" s="130">
        <f xml:space="preserve"> Time!AG$66</f>
        <v>0</v>
      </c>
      <c r="AH11" s="130">
        <f xml:space="preserve"> Time!AH$66</f>
        <v>0</v>
      </c>
      <c r="AI11" s="130">
        <f xml:space="preserve"> Time!AI$66</f>
        <v>0</v>
      </c>
      <c r="AJ11" s="130">
        <f xml:space="preserve"> Time!AJ$66</f>
        <v>0</v>
      </c>
      <c r="AK11" s="130">
        <f xml:space="preserve"> Time!AK$66</f>
        <v>0</v>
      </c>
      <c r="AL11" s="130">
        <f xml:space="preserve"> Time!AL$66</f>
        <v>0</v>
      </c>
      <c r="AM11" s="130">
        <f xml:space="preserve"> Time!AM$66</f>
        <v>0</v>
      </c>
      <c r="AN11" s="130">
        <f xml:space="preserve"> Time!AN$66</f>
        <v>0</v>
      </c>
      <c r="AO11" s="130">
        <f xml:space="preserve"> Time!AO$66</f>
        <v>0</v>
      </c>
      <c r="AP11" s="130">
        <f xml:space="preserve"> Time!AP$66</f>
        <v>0</v>
      </c>
      <c r="AQ11" s="130">
        <f xml:space="preserve"> Time!AQ$66</f>
        <v>0</v>
      </c>
      <c r="AR11" s="130">
        <f xml:space="preserve"> Time!AR$66</f>
        <v>0</v>
      </c>
      <c r="AS11" s="130">
        <f xml:space="preserve"> Time!AS$66</f>
        <v>0</v>
      </c>
      <c r="AT11" s="130">
        <f xml:space="preserve"> Time!AT$66</f>
        <v>0</v>
      </c>
      <c r="AU11" s="130">
        <f xml:space="preserve"> Time!AU$66</f>
        <v>0</v>
      </c>
      <c r="AV11" s="130">
        <f xml:space="preserve"> Time!AV$66</f>
        <v>0</v>
      </c>
      <c r="AW11" s="130">
        <f xml:space="preserve"> Time!AW$66</f>
        <v>0</v>
      </c>
      <c r="AX11" s="130">
        <f xml:space="preserve"> Time!AX$66</f>
        <v>0</v>
      </c>
      <c r="AY11" s="130">
        <f xml:space="preserve"> Time!AY$66</f>
        <v>0</v>
      </c>
      <c r="AZ11" s="130">
        <f xml:space="preserve"> Time!AZ$66</f>
        <v>0</v>
      </c>
      <c r="BA11" s="130">
        <f xml:space="preserve"> Time!BA$66</f>
        <v>0</v>
      </c>
      <c r="BB11" s="130">
        <f xml:space="preserve"> Time!BB$66</f>
        <v>0</v>
      </c>
      <c r="BC11" s="130">
        <f xml:space="preserve"> Time!BC$66</f>
        <v>0</v>
      </c>
      <c r="BD11" s="130">
        <f xml:space="preserve"> Time!BD$66</f>
        <v>0</v>
      </c>
      <c r="BE11" s="130">
        <f xml:space="preserve"> Time!BE$66</f>
        <v>0</v>
      </c>
      <c r="BF11" s="130">
        <f xml:space="preserve"> Time!BF$66</f>
        <v>0</v>
      </c>
      <c r="BG11" s="130">
        <f xml:space="preserve"> Time!BG$66</f>
        <v>0</v>
      </c>
      <c r="BH11" s="130">
        <f xml:space="preserve"> Time!BH$66</f>
        <v>0</v>
      </c>
      <c r="BI11" s="130">
        <f xml:space="preserve"> Time!BI$66</f>
        <v>0</v>
      </c>
      <c r="BJ11" s="130">
        <f xml:space="preserve"> Time!BJ$66</f>
        <v>0</v>
      </c>
      <c r="BK11" s="130">
        <f xml:space="preserve"> Time!BK$66</f>
        <v>0</v>
      </c>
      <c r="BL11" s="130">
        <f xml:space="preserve"> Time!BL$66</f>
        <v>0</v>
      </c>
      <c r="BM11" s="130">
        <f xml:space="preserve"> Time!BM$66</f>
        <v>0</v>
      </c>
      <c r="BN11" s="130">
        <f xml:space="preserve"> Time!BN$66</f>
        <v>0</v>
      </c>
      <c r="BO11" s="130">
        <f xml:space="preserve"> Time!BO$66</f>
        <v>0</v>
      </c>
      <c r="BP11" s="130">
        <f xml:space="preserve"> Time!BP$66</f>
        <v>0</v>
      </c>
      <c r="BQ11" s="130">
        <f xml:space="preserve"> Time!BQ$66</f>
        <v>0</v>
      </c>
      <c r="BR11" s="130">
        <f xml:space="preserve"> Time!BR$66</f>
        <v>0</v>
      </c>
      <c r="BS11" s="130">
        <f xml:space="preserve"> Time!BS$66</f>
        <v>0</v>
      </c>
      <c r="BT11" s="130">
        <f xml:space="preserve"> Time!BT$66</f>
        <v>0</v>
      </c>
      <c r="BU11" s="130">
        <f xml:space="preserve"> Time!BU$66</f>
        <v>0</v>
      </c>
      <c r="BV11" s="130">
        <f xml:space="preserve"> Time!BV$66</f>
        <v>0</v>
      </c>
      <c r="BW11" s="130">
        <f xml:space="preserve"> Time!BW$66</f>
        <v>0</v>
      </c>
      <c r="BX11" s="130">
        <f xml:space="preserve"> Time!BX$66</f>
        <v>0</v>
      </c>
      <c r="BY11" s="130">
        <f xml:space="preserve"> Time!BY$66</f>
        <v>0</v>
      </c>
      <c r="BZ11" s="130">
        <f xml:space="preserve"> Time!BZ$66</f>
        <v>0</v>
      </c>
      <c r="CA11" s="130">
        <f xml:space="preserve"> Time!CA$66</f>
        <v>0</v>
      </c>
      <c r="CB11" s="130">
        <f xml:space="preserve"> Time!CB$66</f>
        <v>0</v>
      </c>
      <c r="CC11" s="130">
        <f xml:space="preserve"> Time!CC$66</f>
        <v>0</v>
      </c>
      <c r="CD11" s="130">
        <f xml:space="preserve"> Time!CD$66</f>
        <v>0</v>
      </c>
    </row>
    <row r="12" spans="1:82" hidden="1" outlineLevel="1" x14ac:dyDescent="0.35">
      <c r="E12" s="117"/>
      <c r="F12" s="117"/>
      <c r="G12" s="117"/>
      <c r="H12" s="117"/>
      <c r="I12" s="26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</row>
    <row r="13" spans="1:82" hidden="1" outlineLevel="1" x14ac:dyDescent="0.35">
      <c r="E13" s="117" t="s">
        <v>141</v>
      </c>
      <c r="F13" s="117"/>
      <c r="G13" s="117" t="str">
        <f xml:space="preserve"> SMU</f>
        <v>$ 000s</v>
      </c>
      <c r="H13" s="117"/>
      <c r="I13" s="26"/>
      <c r="J13" s="117">
        <f t="shared" ref="J13:BU13" si="0">I16</f>
        <v>0</v>
      </c>
      <c r="K13" s="117">
        <f t="shared" si="0"/>
        <v>0</v>
      </c>
      <c r="L13" s="117">
        <f t="shared" si="0"/>
        <v>0</v>
      </c>
      <c r="M13" s="117">
        <f t="shared" si="0"/>
        <v>0</v>
      </c>
      <c r="N13" s="117">
        <f t="shared" si="0"/>
        <v>2608</v>
      </c>
      <c r="O13" s="117">
        <f t="shared" si="0"/>
        <v>3727.1374999999998</v>
      </c>
      <c r="P13" s="117">
        <f t="shared" si="0"/>
        <v>5161.5249999999996</v>
      </c>
      <c r="Q13" s="117">
        <f t="shared" si="0"/>
        <v>6769.2999999999993</v>
      </c>
      <c r="R13" s="117">
        <f t="shared" si="0"/>
        <v>8722.0827419199413</v>
      </c>
      <c r="S13" s="117">
        <f t="shared" si="0"/>
        <v>10960.357741919941</v>
      </c>
      <c r="T13" s="117">
        <f t="shared" si="0"/>
        <v>13041.007741919941</v>
      </c>
      <c r="U13" s="117">
        <f t="shared" si="0"/>
        <v>14648.78274191994</v>
      </c>
      <c r="V13" s="117">
        <f t="shared" si="0"/>
        <v>15610.295241919941</v>
      </c>
      <c r="W13" s="117">
        <f t="shared" si="0"/>
        <v>16256.557741919942</v>
      </c>
      <c r="X13" s="117">
        <f t="shared" si="0"/>
        <v>16810.012500000001</v>
      </c>
      <c r="Y13" s="117">
        <f t="shared" si="0"/>
        <v>17550.850000000002</v>
      </c>
      <c r="Z13" s="117">
        <f t="shared" si="0"/>
        <v>18370.500000000004</v>
      </c>
      <c r="AA13" s="117">
        <f t="shared" si="0"/>
        <v>19484.069651741298</v>
      </c>
      <c r="AB13" s="117">
        <f t="shared" si="0"/>
        <v>20911.320895522393</v>
      </c>
      <c r="AC13" s="117">
        <f t="shared" si="0"/>
        <v>22511.097014925377</v>
      </c>
      <c r="AD13" s="117">
        <f t="shared" si="0"/>
        <v>24454.164419820841</v>
      </c>
      <c r="AE13" s="117">
        <f t="shared" si="0"/>
        <v>26681.303723303427</v>
      </c>
      <c r="AF13" s="117">
        <f t="shared" si="0"/>
        <v>28751.602230766115</v>
      </c>
      <c r="AG13" s="117">
        <f t="shared" si="0"/>
        <v>30351.3783501691</v>
      </c>
      <c r="AH13" s="117">
        <f t="shared" si="0"/>
        <v>31308.107205890494</v>
      </c>
      <c r="AI13" s="117">
        <f t="shared" si="0"/>
        <v>31951.154469572088</v>
      </c>
      <c r="AJ13" s="117">
        <f t="shared" si="0"/>
        <v>32501.855721393043</v>
      </c>
      <c r="AK13" s="117">
        <f t="shared" si="0"/>
        <v>33239.007462686575</v>
      </c>
      <c r="AL13" s="117">
        <f t="shared" si="0"/>
        <v>34054.579601990059</v>
      </c>
      <c r="AM13" s="117">
        <f t="shared" si="0"/>
        <v>35162.60910621025</v>
      </c>
      <c r="AN13" s="117">
        <f t="shared" si="0"/>
        <v>36582.759597534721</v>
      </c>
      <c r="AO13" s="117">
        <f t="shared" si="0"/>
        <v>38174.576631766548</v>
      </c>
      <c r="AP13" s="117">
        <f t="shared" si="0"/>
        <v>40107.977034647607</v>
      </c>
      <c r="AQ13" s="117">
        <f t="shared" si="0"/>
        <v>42324.036043087995</v>
      </c>
      <c r="AR13" s="117">
        <f t="shared" si="0"/>
        <v>44384.034557976243</v>
      </c>
      <c r="AS13" s="117">
        <f t="shared" si="0"/>
        <v>45975.85159220807</v>
      </c>
      <c r="AT13" s="117">
        <f t="shared" si="0"/>
        <v>46927.82060287612</v>
      </c>
      <c r="AU13" s="117">
        <f t="shared" si="0"/>
        <v>47567.668626439896</v>
      </c>
      <c r="AV13" s="117">
        <f t="shared" si="0"/>
        <v>48115.630071037864</v>
      </c>
      <c r="AW13" s="117">
        <f t="shared" si="0"/>
        <v>48849.114390732924</v>
      </c>
      <c r="AX13" s="117">
        <f t="shared" si="0"/>
        <v>49660.628957204055</v>
      </c>
      <c r="AY13" s="117">
        <f t="shared" si="0"/>
        <v>50763.145876826136</v>
      </c>
      <c r="AZ13" s="117">
        <f t="shared" si="0"/>
        <v>52176.230942820635</v>
      </c>
      <c r="BA13" s="117">
        <f t="shared" si="0"/>
        <v>53760.128489319963</v>
      </c>
      <c r="BB13" s="117">
        <f t="shared" si="0"/>
        <v>55683.909984724</v>
      </c>
      <c r="BC13" s="117">
        <f t="shared" si="0"/>
        <v>57888.943823968162</v>
      </c>
      <c r="BD13" s="117">
        <f t="shared" si="0"/>
        <v>59938.693590026116</v>
      </c>
      <c r="BE13" s="117">
        <f t="shared" si="0"/>
        <v>61522.591136525443</v>
      </c>
      <c r="BF13" s="117">
        <f t="shared" si="0"/>
        <v>62469.823982961316</v>
      </c>
      <c r="BG13" s="117">
        <f t="shared" si="0"/>
        <v>63106.488683024771</v>
      </c>
      <c r="BH13" s="117">
        <f t="shared" si="0"/>
        <v>63651.723951281456</v>
      </c>
      <c r="BI13" s="117">
        <f t="shared" si="0"/>
        <v>64381.559095256634</v>
      </c>
      <c r="BJ13" s="117">
        <f t="shared" si="0"/>
        <v>65189.036275824918</v>
      </c>
      <c r="BK13" s="117">
        <f t="shared" si="0"/>
        <v>66286.068036642915</v>
      </c>
      <c r="BL13" s="117">
        <f t="shared" si="0"/>
        <v>67692.122828677238</v>
      </c>
      <c r="BM13" s="117">
        <f t="shared" si="0"/>
        <v>69268.140287880553</v>
      </c>
      <c r="BN13" s="117">
        <f t="shared" si="0"/>
        <v>71182.350731068655</v>
      </c>
      <c r="BO13" s="117">
        <f t="shared" si="0"/>
        <v>73376.414252704635</v>
      </c>
      <c r="BP13" s="117">
        <f t="shared" si="0"/>
        <v>75415.966258732456</v>
      </c>
      <c r="BQ13" s="117">
        <f t="shared" si="0"/>
        <v>76991.983717935771</v>
      </c>
      <c r="BR13" s="117">
        <f t="shared" si="0"/>
        <v>77934.503963145602</v>
      </c>
      <c r="BS13" s="117">
        <f t="shared" si="0"/>
        <v>78568.001177139085</v>
      </c>
      <c r="BT13" s="117">
        <f t="shared" si="0"/>
        <v>79110.52383212086</v>
      </c>
      <c r="BU13" s="117">
        <f t="shared" si="0"/>
        <v>79836.727955479248</v>
      </c>
      <c r="BV13" s="117">
        <f t="shared" ref="BV13:CD13" si="1">BU16</f>
        <v>80640.187836641722</v>
      </c>
      <c r="BW13" s="117">
        <f t="shared" si="1"/>
        <v>80640.187836641722</v>
      </c>
      <c r="BX13" s="117">
        <f t="shared" si="1"/>
        <v>80640.187836641722</v>
      </c>
      <c r="BY13" s="117">
        <f t="shared" si="1"/>
        <v>80640.187836641722</v>
      </c>
      <c r="BZ13" s="117">
        <f t="shared" si="1"/>
        <v>80640.187836641722</v>
      </c>
      <c r="CA13" s="117">
        <f t="shared" si="1"/>
        <v>80640.187836641722</v>
      </c>
      <c r="CB13" s="117">
        <f t="shared" si="1"/>
        <v>80640.187836641722</v>
      </c>
      <c r="CC13" s="117">
        <f t="shared" si="1"/>
        <v>80640.187836641722</v>
      </c>
      <c r="CD13" s="117">
        <f t="shared" si="1"/>
        <v>80640.187836641722</v>
      </c>
    </row>
    <row r="14" spans="1:82" hidden="1" outlineLevel="1" x14ac:dyDescent="0.35">
      <c r="E14" s="296" t="str">
        <f xml:space="preserve"> 'FS Qtr'!E$22</f>
        <v>Profit after tax</v>
      </c>
      <c r="F14" s="296">
        <f xml:space="preserve"> 'FS Qtr'!F$22</f>
        <v>0</v>
      </c>
      <c r="G14" s="296" t="str">
        <f xml:space="preserve"> 'FS Qtr'!G$22</f>
        <v>$ 000s</v>
      </c>
      <c r="H14" s="296">
        <f xml:space="preserve"> 'FS Qtr'!H$22</f>
        <v>78032.187836641722</v>
      </c>
      <c r="I14" s="296">
        <f xml:space="preserve"> 'FS Qtr'!I$22</f>
        <v>0</v>
      </c>
      <c r="J14" s="296">
        <f xml:space="preserve"> 'FS Qtr'!J$22</f>
        <v>0</v>
      </c>
      <c r="K14" s="296">
        <f xml:space="preserve"> 'FS Qtr'!K$22</f>
        <v>0</v>
      </c>
      <c r="L14" s="296">
        <f xml:space="preserve"> 'FS Qtr'!L$22</f>
        <v>0</v>
      </c>
      <c r="M14" s="296">
        <f xml:space="preserve"> 'FS Qtr'!M$22</f>
        <v>0</v>
      </c>
      <c r="N14" s="296">
        <f xml:space="preserve"> 'FS Qtr'!N$22</f>
        <v>1119.1374999999998</v>
      </c>
      <c r="O14" s="296">
        <f xml:space="preserve"> 'FS Qtr'!O$22</f>
        <v>1434.3875</v>
      </c>
      <c r="P14" s="296">
        <f xml:space="preserve"> 'FS Qtr'!P$22</f>
        <v>1607.7749999999999</v>
      </c>
      <c r="Q14" s="296">
        <f xml:space="preserve"> 'FS Qtr'!Q$22</f>
        <v>1952.7827419199425</v>
      </c>
      <c r="R14" s="296">
        <f xml:space="preserve"> 'FS Qtr'!R$22</f>
        <v>2238.2749999999996</v>
      </c>
      <c r="S14" s="296">
        <f xml:space="preserve"> 'FS Qtr'!S$22</f>
        <v>2080.65</v>
      </c>
      <c r="T14" s="296">
        <f xml:space="preserve"> 'FS Qtr'!T$22</f>
        <v>1607.7749999999999</v>
      </c>
      <c r="U14" s="296">
        <f xml:space="preserve"> 'FS Qtr'!U$22</f>
        <v>961.51250000000005</v>
      </c>
      <c r="V14" s="296">
        <f xml:space="preserve"> 'FS Qtr'!V$22</f>
        <v>646.26250000000005</v>
      </c>
      <c r="W14" s="296">
        <f xml:space="preserve"> 'FS Qtr'!W$22</f>
        <v>553.45475808006029</v>
      </c>
      <c r="X14" s="296">
        <f xml:space="preserve"> 'FS Qtr'!X$22</f>
        <v>740.83750000000009</v>
      </c>
      <c r="Y14" s="296">
        <f xml:space="preserve"> 'FS Qtr'!Y$22</f>
        <v>819.65</v>
      </c>
      <c r="Z14" s="296">
        <f xml:space="preserve"> 'FS Qtr'!Z$22</f>
        <v>1113.5696517412935</v>
      </c>
      <c r="AA14" s="296">
        <f xml:space="preserve"> 'FS Qtr'!AA$22</f>
        <v>1427.2512437810947</v>
      </c>
      <c r="AB14" s="296">
        <f xml:space="preserve"> 'FS Qtr'!AB$22</f>
        <v>1599.7761194029854</v>
      </c>
      <c r="AC14" s="296">
        <f xml:space="preserve"> 'FS Qtr'!AC$22</f>
        <v>1943.0674048954654</v>
      </c>
      <c r="AD14" s="296">
        <f xml:space="preserve"> 'FS Qtr'!AD$22</f>
        <v>2227.1393034825869</v>
      </c>
      <c r="AE14" s="296">
        <f xml:space="preserve"> 'FS Qtr'!AE$22</f>
        <v>2070.2985074626872</v>
      </c>
      <c r="AF14" s="296">
        <f xml:space="preserve"> 'FS Qtr'!AF$22</f>
        <v>1599.7761194029854</v>
      </c>
      <c r="AG14" s="296">
        <f xml:space="preserve"> 'FS Qtr'!AG$22</f>
        <v>956.72885572139319</v>
      </c>
      <c r="AH14" s="296">
        <f xml:space="preserve"> 'FS Qtr'!AH$22</f>
        <v>643.0472636815922</v>
      </c>
      <c r="AI14" s="296">
        <f xml:space="preserve"> 'FS Qtr'!AI$22</f>
        <v>550.70125182095558</v>
      </c>
      <c r="AJ14" s="296">
        <f xml:space="preserve"> 'FS Qtr'!AJ$22</f>
        <v>737.1517412935325</v>
      </c>
      <c r="AK14" s="296">
        <f xml:space="preserve"> 'FS Qtr'!AK$22</f>
        <v>815.57213930348269</v>
      </c>
      <c r="AL14" s="296">
        <f xml:space="preserve"> 'FS Qtr'!AL$22</f>
        <v>1108.0295042201928</v>
      </c>
      <c r="AM14" s="296">
        <f xml:space="preserve"> 'FS Qtr'!AM$22</f>
        <v>1420.1504913244726</v>
      </c>
      <c r="AN14" s="296">
        <f xml:space="preserve"> 'FS Qtr'!AN$22</f>
        <v>1591.8170342318265</v>
      </c>
      <c r="AO14" s="296">
        <f xml:space="preserve"> 'FS Qtr'!AO$22</f>
        <v>1933.4004028810605</v>
      </c>
      <c r="AP14" s="296">
        <f xml:space="preserve"> 'FS Qtr'!AP$22</f>
        <v>2216.0590084403857</v>
      </c>
      <c r="AQ14" s="296">
        <f xml:space="preserve"> 'FS Qtr'!AQ$22</f>
        <v>2059.9985148882461</v>
      </c>
      <c r="AR14" s="296">
        <f xml:space="preserve"> 'FS Qtr'!AR$22</f>
        <v>1591.8170342318265</v>
      </c>
      <c r="AS14" s="296">
        <f xml:space="preserve"> 'FS Qtr'!AS$22</f>
        <v>951.9690106680531</v>
      </c>
      <c r="AT14" s="296">
        <f xml:space="preserve"> 'FS Qtr'!AT$22</f>
        <v>639.84802356377338</v>
      </c>
      <c r="AU14" s="296">
        <f xml:space="preserve"> 'FS Qtr'!AU$22</f>
        <v>547.96144459796585</v>
      </c>
      <c r="AV14" s="296">
        <f xml:space="preserve"> 'FS Qtr'!AV$22</f>
        <v>733.48431969505725</v>
      </c>
      <c r="AW14" s="296">
        <f xml:space="preserve"> 'FS Qtr'!AW$22</f>
        <v>811.51456647112718</v>
      </c>
      <c r="AX14" s="296">
        <f xml:space="preserve"> 'FS Qtr'!AX$22</f>
        <v>1102.5169196220825</v>
      </c>
      <c r="AY14" s="296">
        <f xml:space="preserve"> 'FS Qtr'!AY$22</f>
        <v>1413.0850659945002</v>
      </c>
      <c r="AZ14" s="296">
        <f xml:space="preserve"> 'FS Qtr'!AZ$22</f>
        <v>1583.8975464993296</v>
      </c>
      <c r="BA14" s="296">
        <f xml:space="preserve"> 'FS Qtr'!BA$22</f>
        <v>1923.7814954040405</v>
      </c>
      <c r="BB14" s="296">
        <f xml:space="preserve"> 'FS Qtr'!BB$22</f>
        <v>2205.0338392441649</v>
      </c>
      <c r="BC14" s="296">
        <f xml:space="preserve"> 'FS Qtr'!BC$22</f>
        <v>2049.7497660579565</v>
      </c>
      <c r="BD14" s="296">
        <f xml:space="preserve"> 'FS Qtr'!BD$22</f>
        <v>1583.8975464993296</v>
      </c>
      <c r="BE14" s="296">
        <f xml:space="preserve"> 'FS Qtr'!BE$22</f>
        <v>947.23284643587374</v>
      </c>
      <c r="BF14" s="296">
        <f xml:space="preserve"> 'FS Qtr'!BF$22</f>
        <v>636.66470006345617</v>
      </c>
      <c r="BG14" s="296">
        <f xml:space="preserve"> 'FS Qtr'!BG$22</f>
        <v>545.23526825668239</v>
      </c>
      <c r="BH14" s="296">
        <f xml:space="preserve"> 'FS Qtr'!BH$22</f>
        <v>729.8351439751815</v>
      </c>
      <c r="BI14" s="296">
        <f xml:space="preserve"> 'FS Qtr'!BI$22</f>
        <v>807.4771805682858</v>
      </c>
      <c r="BJ14" s="296">
        <f xml:space="preserve"> 'FS Qtr'!BJ$22</f>
        <v>1097.0317608179928</v>
      </c>
      <c r="BK14" s="296">
        <f xml:space="preserve"> 'FS Qtr'!BK$22</f>
        <v>1406.0547920343288</v>
      </c>
      <c r="BL14" s="296">
        <f xml:space="preserve"> 'FS Qtr'!BL$22</f>
        <v>1576.0174592033136</v>
      </c>
      <c r="BM14" s="296">
        <f xml:space="preserve"> 'FS Qtr'!BM$22</f>
        <v>1914.2104431881005</v>
      </c>
      <c r="BN14" s="296">
        <f xml:space="preserve"> 'FS Qtr'!BN$22</f>
        <v>2194.0635216359856</v>
      </c>
      <c r="BO14" s="296">
        <f xml:space="preserve"> 'FS Qtr'!BO$22</f>
        <v>2039.5520060278179</v>
      </c>
      <c r="BP14" s="296">
        <f xml:space="preserve"> 'FS Qtr'!BP$22</f>
        <v>1576.0174592033136</v>
      </c>
      <c r="BQ14" s="296">
        <f xml:space="preserve"> 'FS Qtr'!BQ$22</f>
        <v>942.52024520982491</v>
      </c>
      <c r="BR14" s="296">
        <f xml:space="preserve"> 'FS Qtr'!BR$22</f>
        <v>633.49721399348891</v>
      </c>
      <c r="BS14" s="296">
        <f xml:space="preserve"> 'FS Qtr'!BS$22</f>
        <v>542.5226549817736</v>
      </c>
      <c r="BT14" s="296">
        <f xml:space="preserve"> 'FS Qtr'!BT$22</f>
        <v>726.20412335838967</v>
      </c>
      <c r="BU14" s="296">
        <f xml:space="preserve"> 'FS Qtr'!BU$22</f>
        <v>803.45988116247361</v>
      </c>
      <c r="BV14" s="296">
        <f xml:space="preserve"> 'FS Qtr'!BV$22</f>
        <v>0</v>
      </c>
      <c r="BW14" s="296">
        <f xml:space="preserve"> 'FS Qtr'!BW$22</f>
        <v>0</v>
      </c>
      <c r="BX14" s="296">
        <f xml:space="preserve"> 'FS Qtr'!BX$22</f>
        <v>0</v>
      </c>
      <c r="BY14" s="296">
        <f xml:space="preserve"> 'FS Qtr'!BY$22</f>
        <v>0</v>
      </c>
      <c r="BZ14" s="296">
        <f xml:space="preserve"> 'FS Qtr'!BZ$22</f>
        <v>0</v>
      </c>
      <c r="CA14" s="296">
        <f xml:space="preserve"> 'FS Qtr'!CA$22</f>
        <v>0</v>
      </c>
      <c r="CB14" s="296">
        <f xml:space="preserve"> 'FS Qtr'!CB$22</f>
        <v>0</v>
      </c>
      <c r="CC14" s="296">
        <f xml:space="preserve"> 'FS Qtr'!CC$22</f>
        <v>0</v>
      </c>
      <c r="CD14" s="296">
        <f xml:space="preserve"> 'FS Qtr'!CD$22</f>
        <v>0</v>
      </c>
    </row>
    <row r="15" spans="1:82" hidden="1" outlineLevel="1" x14ac:dyDescent="0.35">
      <c r="E15" s="118" t="s">
        <v>146</v>
      </c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</row>
    <row r="16" spans="1:82" hidden="1" outlineLevel="1" x14ac:dyDescent="0.35">
      <c r="A16" s="297"/>
      <c r="B16" s="297"/>
      <c r="C16" s="298"/>
      <c r="D16" s="299"/>
      <c r="E16" s="300" t="s">
        <v>142</v>
      </c>
      <c r="F16" s="300"/>
      <c r="G16" s="300" t="str">
        <f xml:space="preserve"> SMU</f>
        <v>$ 000s</v>
      </c>
      <c r="H16" s="300"/>
      <c r="I16" s="301"/>
      <c r="J16" s="300">
        <f t="shared" ref="J16:BU16" si="2" xml:space="preserve"> IF( J11 = 1, $F10, J13 + J14 - J15)</f>
        <v>0</v>
      </c>
      <c r="K16" s="300">
        <f t="shared" si="2"/>
        <v>0</v>
      </c>
      <c r="L16" s="300">
        <f t="shared" si="2"/>
        <v>0</v>
      </c>
      <c r="M16" s="300">
        <f t="shared" si="2"/>
        <v>2608</v>
      </c>
      <c r="N16" s="300">
        <f t="shared" si="2"/>
        <v>3727.1374999999998</v>
      </c>
      <c r="O16" s="300">
        <f t="shared" si="2"/>
        <v>5161.5249999999996</v>
      </c>
      <c r="P16" s="300">
        <f t="shared" si="2"/>
        <v>6769.2999999999993</v>
      </c>
      <c r="Q16" s="300">
        <f t="shared" si="2"/>
        <v>8722.0827419199413</v>
      </c>
      <c r="R16" s="300">
        <f t="shared" si="2"/>
        <v>10960.357741919941</v>
      </c>
      <c r="S16" s="300">
        <f t="shared" si="2"/>
        <v>13041.007741919941</v>
      </c>
      <c r="T16" s="300">
        <f t="shared" si="2"/>
        <v>14648.78274191994</v>
      </c>
      <c r="U16" s="300">
        <f t="shared" si="2"/>
        <v>15610.295241919941</v>
      </c>
      <c r="V16" s="300">
        <f t="shared" si="2"/>
        <v>16256.557741919942</v>
      </c>
      <c r="W16" s="300">
        <f t="shared" si="2"/>
        <v>16810.012500000001</v>
      </c>
      <c r="X16" s="300">
        <f t="shared" si="2"/>
        <v>17550.850000000002</v>
      </c>
      <c r="Y16" s="300">
        <f t="shared" si="2"/>
        <v>18370.500000000004</v>
      </c>
      <c r="Z16" s="300">
        <f t="shared" si="2"/>
        <v>19484.069651741298</v>
      </c>
      <c r="AA16" s="300">
        <f t="shared" si="2"/>
        <v>20911.320895522393</v>
      </c>
      <c r="AB16" s="300">
        <f t="shared" si="2"/>
        <v>22511.097014925377</v>
      </c>
      <c r="AC16" s="300">
        <f t="shared" si="2"/>
        <v>24454.164419820841</v>
      </c>
      <c r="AD16" s="300">
        <f t="shared" si="2"/>
        <v>26681.303723303427</v>
      </c>
      <c r="AE16" s="300">
        <f t="shared" si="2"/>
        <v>28751.602230766115</v>
      </c>
      <c r="AF16" s="300">
        <f t="shared" si="2"/>
        <v>30351.3783501691</v>
      </c>
      <c r="AG16" s="300">
        <f t="shared" si="2"/>
        <v>31308.107205890494</v>
      </c>
      <c r="AH16" s="300">
        <f t="shared" si="2"/>
        <v>31951.154469572088</v>
      </c>
      <c r="AI16" s="300">
        <f t="shared" si="2"/>
        <v>32501.855721393043</v>
      </c>
      <c r="AJ16" s="300">
        <f t="shared" si="2"/>
        <v>33239.007462686575</v>
      </c>
      <c r="AK16" s="300">
        <f t="shared" si="2"/>
        <v>34054.579601990059</v>
      </c>
      <c r="AL16" s="300">
        <f t="shared" si="2"/>
        <v>35162.60910621025</v>
      </c>
      <c r="AM16" s="300">
        <f t="shared" si="2"/>
        <v>36582.759597534721</v>
      </c>
      <c r="AN16" s="300">
        <f t="shared" si="2"/>
        <v>38174.576631766548</v>
      </c>
      <c r="AO16" s="300">
        <f t="shared" si="2"/>
        <v>40107.977034647607</v>
      </c>
      <c r="AP16" s="300">
        <f t="shared" si="2"/>
        <v>42324.036043087995</v>
      </c>
      <c r="AQ16" s="300">
        <f t="shared" si="2"/>
        <v>44384.034557976243</v>
      </c>
      <c r="AR16" s="300">
        <f t="shared" si="2"/>
        <v>45975.85159220807</v>
      </c>
      <c r="AS16" s="300">
        <f t="shared" si="2"/>
        <v>46927.82060287612</v>
      </c>
      <c r="AT16" s="300">
        <f t="shared" si="2"/>
        <v>47567.668626439896</v>
      </c>
      <c r="AU16" s="300">
        <f t="shared" si="2"/>
        <v>48115.630071037864</v>
      </c>
      <c r="AV16" s="300">
        <f t="shared" si="2"/>
        <v>48849.114390732924</v>
      </c>
      <c r="AW16" s="300">
        <f t="shared" si="2"/>
        <v>49660.628957204055</v>
      </c>
      <c r="AX16" s="300">
        <f t="shared" si="2"/>
        <v>50763.145876826136</v>
      </c>
      <c r="AY16" s="300">
        <f t="shared" si="2"/>
        <v>52176.230942820635</v>
      </c>
      <c r="AZ16" s="300">
        <f t="shared" si="2"/>
        <v>53760.128489319963</v>
      </c>
      <c r="BA16" s="300">
        <f t="shared" si="2"/>
        <v>55683.909984724</v>
      </c>
      <c r="BB16" s="300">
        <f t="shared" si="2"/>
        <v>57888.943823968162</v>
      </c>
      <c r="BC16" s="300">
        <f t="shared" si="2"/>
        <v>59938.693590026116</v>
      </c>
      <c r="BD16" s="300">
        <f t="shared" si="2"/>
        <v>61522.591136525443</v>
      </c>
      <c r="BE16" s="300">
        <f t="shared" si="2"/>
        <v>62469.823982961316</v>
      </c>
      <c r="BF16" s="300">
        <f t="shared" si="2"/>
        <v>63106.488683024771</v>
      </c>
      <c r="BG16" s="300">
        <f t="shared" si="2"/>
        <v>63651.723951281456</v>
      </c>
      <c r="BH16" s="300">
        <f t="shared" si="2"/>
        <v>64381.559095256634</v>
      </c>
      <c r="BI16" s="300">
        <f t="shared" si="2"/>
        <v>65189.036275824918</v>
      </c>
      <c r="BJ16" s="300">
        <f t="shared" si="2"/>
        <v>66286.068036642915</v>
      </c>
      <c r="BK16" s="300">
        <f t="shared" si="2"/>
        <v>67692.122828677238</v>
      </c>
      <c r="BL16" s="300">
        <f t="shared" si="2"/>
        <v>69268.140287880553</v>
      </c>
      <c r="BM16" s="300">
        <f t="shared" si="2"/>
        <v>71182.350731068655</v>
      </c>
      <c r="BN16" s="300">
        <f t="shared" si="2"/>
        <v>73376.414252704635</v>
      </c>
      <c r="BO16" s="300">
        <f t="shared" si="2"/>
        <v>75415.966258732456</v>
      </c>
      <c r="BP16" s="300">
        <f t="shared" si="2"/>
        <v>76991.983717935771</v>
      </c>
      <c r="BQ16" s="300">
        <f t="shared" si="2"/>
        <v>77934.503963145602</v>
      </c>
      <c r="BR16" s="300">
        <f t="shared" si="2"/>
        <v>78568.001177139085</v>
      </c>
      <c r="BS16" s="300">
        <f t="shared" si="2"/>
        <v>79110.52383212086</v>
      </c>
      <c r="BT16" s="300">
        <f t="shared" si="2"/>
        <v>79836.727955479248</v>
      </c>
      <c r="BU16" s="300">
        <f t="shared" si="2"/>
        <v>80640.187836641722</v>
      </c>
      <c r="BV16" s="300">
        <f t="shared" ref="BV16:CD16" si="3" xml:space="preserve"> IF( BV11 = 1, $F10, BV13 + BV14 - BV15)</f>
        <v>80640.187836641722</v>
      </c>
      <c r="BW16" s="300">
        <f t="shared" si="3"/>
        <v>80640.187836641722</v>
      </c>
      <c r="BX16" s="300">
        <f t="shared" si="3"/>
        <v>80640.187836641722</v>
      </c>
      <c r="BY16" s="300">
        <f t="shared" si="3"/>
        <v>80640.187836641722</v>
      </c>
      <c r="BZ16" s="300">
        <f t="shared" si="3"/>
        <v>80640.187836641722</v>
      </c>
      <c r="CA16" s="300">
        <f t="shared" si="3"/>
        <v>80640.187836641722</v>
      </c>
      <c r="CB16" s="300">
        <f t="shared" si="3"/>
        <v>80640.187836641722</v>
      </c>
      <c r="CC16" s="300">
        <f t="shared" si="3"/>
        <v>80640.187836641722</v>
      </c>
      <c r="CD16" s="300">
        <f t="shared" si="3"/>
        <v>80640.187836641722</v>
      </c>
    </row>
    <row r="17" spans="1:82" hidden="1" outlineLevel="1" x14ac:dyDescent="0.35"/>
    <row r="19" spans="1:82" collapsed="1" x14ac:dyDescent="0.35">
      <c r="A19" s="8" t="s">
        <v>145</v>
      </c>
    </row>
    <row r="20" spans="1:82" hidden="1" outlineLevel="1" x14ac:dyDescent="0.35"/>
    <row r="21" spans="1:82" hidden="1" outlineLevel="1" x14ac:dyDescent="0.35">
      <c r="A21" s="119"/>
      <c r="B21" s="119"/>
      <c r="C21" s="120"/>
      <c r="D21" s="121"/>
      <c r="E21" s="303" t="str">
        <f xml:space="preserve"> InpC!E$51</f>
        <v>Retained cash - initial balance</v>
      </c>
      <c r="F21" s="303">
        <f xml:space="preserve"> InpC!F$51</f>
        <v>0</v>
      </c>
      <c r="G21" s="303" t="str">
        <f xml:space="preserve"> InpC!G$51</f>
        <v>$ 000s</v>
      </c>
      <c r="H21" s="123"/>
      <c r="I21" s="123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</row>
    <row r="22" spans="1:82" hidden="1" outlineLevel="1" x14ac:dyDescent="0.35">
      <c r="E22" s="130" t="str">
        <f xml:space="preserve"> Time!E$66</f>
        <v>Financial close date flag</v>
      </c>
      <c r="F22" s="130">
        <f xml:space="preserve"> Time!F$66</f>
        <v>0</v>
      </c>
      <c r="G22" s="130" t="str">
        <f xml:space="preserve"> Time!G$66</f>
        <v>flag</v>
      </c>
      <c r="H22" s="130">
        <f xml:space="preserve"> Time!H$66</f>
        <v>1</v>
      </c>
      <c r="I22" s="130">
        <f xml:space="preserve"> Time!I$66</f>
        <v>0</v>
      </c>
      <c r="J22" s="130">
        <f xml:space="preserve"> Time!J$66</f>
        <v>0</v>
      </c>
      <c r="K22" s="130">
        <f xml:space="preserve"> Time!K$66</f>
        <v>0</v>
      </c>
      <c r="L22" s="130">
        <f xml:space="preserve"> Time!L$66</f>
        <v>0</v>
      </c>
      <c r="M22" s="130">
        <f xml:space="preserve"> Time!M$66</f>
        <v>1</v>
      </c>
      <c r="N22" s="130">
        <f xml:space="preserve"> Time!N$66</f>
        <v>0</v>
      </c>
      <c r="O22" s="130">
        <f xml:space="preserve"> Time!O$66</f>
        <v>0</v>
      </c>
      <c r="P22" s="130">
        <f xml:space="preserve"> Time!P$66</f>
        <v>0</v>
      </c>
      <c r="Q22" s="130">
        <f xml:space="preserve"> Time!Q$66</f>
        <v>0</v>
      </c>
      <c r="R22" s="130">
        <f xml:space="preserve"> Time!R$66</f>
        <v>0</v>
      </c>
      <c r="S22" s="130">
        <f xml:space="preserve"> Time!S$66</f>
        <v>0</v>
      </c>
      <c r="T22" s="130">
        <f xml:space="preserve"> Time!T$66</f>
        <v>0</v>
      </c>
      <c r="U22" s="130">
        <f xml:space="preserve"> Time!U$66</f>
        <v>0</v>
      </c>
      <c r="V22" s="130">
        <f xml:space="preserve"> Time!V$66</f>
        <v>0</v>
      </c>
      <c r="W22" s="130">
        <f xml:space="preserve"> Time!W$66</f>
        <v>0</v>
      </c>
      <c r="X22" s="130">
        <f xml:space="preserve"> Time!X$66</f>
        <v>0</v>
      </c>
      <c r="Y22" s="130">
        <f xml:space="preserve"> Time!Y$66</f>
        <v>0</v>
      </c>
      <c r="Z22" s="130">
        <f xml:space="preserve"> Time!Z$66</f>
        <v>0</v>
      </c>
      <c r="AA22" s="130">
        <f xml:space="preserve"> Time!AA$66</f>
        <v>0</v>
      </c>
      <c r="AB22" s="130">
        <f xml:space="preserve"> Time!AB$66</f>
        <v>0</v>
      </c>
      <c r="AC22" s="130">
        <f xml:space="preserve"> Time!AC$66</f>
        <v>0</v>
      </c>
      <c r="AD22" s="130">
        <f xml:space="preserve"> Time!AD$66</f>
        <v>0</v>
      </c>
      <c r="AE22" s="130">
        <f xml:space="preserve"> Time!AE$66</f>
        <v>0</v>
      </c>
      <c r="AF22" s="130">
        <f xml:space="preserve"> Time!AF$66</f>
        <v>0</v>
      </c>
      <c r="AG22" s="130">
        <f xml:space="preserve"> Time!AG$66</f>
        <v>0</v>
      </c>
      <c r="AH22" s="130">
        <f xml:space="preserve"> Time!AH$66</f>
        <v>0</v>
      </c>
      <c r="AI22" s="130">
        <f xml:space="preserve"> Time!AI$66</f>
        <v>0</v>
      </c>
      <c r="AJ22" s="130">
        <f xml:space="preserve"> Time!AJ$66</f>
        <v>0</v>
      </c>
      <c r="AK22" s="130">
        <f xml:space="preserve"> Time!AK$66</f>
        <v>0</v>
      </c>
      <c r="AL22" s="130">
        <f xml:space="preserve"> Time!AL$66</f>
        <v>0</v>
      </c>
      <c r="AM22" s="130">
        <f xml:space="preserve"> Time!AM$66</f>
        <v>0</v>
      </c>
      <c r="AN22" s="130">
        <f xml:space="preserve"> Time!AN$66</f>
        <v>0</v>
      </c>
      <c r="AO22" s="130">
        <f xml:space="preserve"> Time!AO$66</f>
        <v>0</v>
      </c>
      <c r="AP22" s="130">
        <f xml:space="preserve"> Time!AP$66</f>
        <v>0</v>
      </c>
      <c r="AQ22" s="130">
        <f xml:space="preserve"> Time!AQ$66</f>
        <v>0</v>
      </c>
      <c r="AR22" s="130">
        <f xml:space="preserve"> Time!AR$66</f>
        <v>0</v>
      </c>
      <c r="AS22" s="130">
        <f xml:space="preserve"> Time!AS$66</f>
        <v>0</v>
      </c>
      <c r="AT22" s="130">
        <f xml:space="preserve"> Time!AT$66</f>
        <v>0</v>
      </c>
      <c r="AU22" s="130">
        <f xml:space="preserve"> Time!AU$66</f>
        <v>0</v>
      </c>
      <c r="AV22" s="130">
        <f xml:space="preserve"> Time!AV$66</f>
        <v>0</v>
      </c>
      <c r="AW22" s="130">
        <f xml:space="preserve"> Time!AW$66</f>
        <v>0</v>
      </c>
      <c r="AX22" s="130">
        <f xml:space="preserve"> Time!AX$66</f>
        <v>0</v>
      </c>
      <c r="AY22" s="130">
        <f xml:space="preserve"> Time!AY$66</f>
        <v>0</v>
      </c>
      <c r="AZ22" s="130">
        <f xml:space="preserve"> Time!AZ$66</f>
        <v>0</v>
      </c>
      <c r="BA22" s="130">
        <f xml:space="preserve"> Time!BA$66</f>
        <v>0</v>
      </c>
      <c r="BB22" s="130">
        <f xml:space="preserve"> Time!BB$66</f>
        <v>0</v>
      </c>
      <c r="BC22" s="130">
        <f xml:space="preserve"> Time!BC$66</f>
        <v>0</v>
      </c>
      <c r="BD22" s="130">
        <f xml:space="preserve"> Time!BD$66</f>
        <v>0</v>
      </c>
      <c r="BE22" s="130">
        <f xml:space="preserve"> Time!BE$66</f>
        <v>0</v>
      </c>
      <c r="BF22" s="130">
        <f xml:space="preserve"> Time!BF$66</f>
        <v>0</v>
      </c>
      <c r="BG22" s="130">
        <f xml:space="preserve"> Time!BG$66</f>
        <v>0</v>
      </c>
      <c r="BH22" s="130">
        <f xml:space="preserve"> Time!BH$66</f>
        <v>0</v>
      </c>
      <c r="BI22" s="130">
        <f xml:space="preserve"> Time!BI$66</f>
        <v>0</v>
      </c>
      <c r="BJ22" s="130">
        <f xml:space="preserve"> Time!BJ$66</f>
        <v>0</v>
      </c>
      <c r="BK22" s="130">
        <f xml:space="preserve"> Time!BK$66</f>
        <v>0</v>
      </c>
      <c r="BL22" s="130">
        <f xml:space="preserve"> Time!BL$66</f>
        <v>0</v>
      </c>
      <c r="BM22" s="130">
        <f xml:space="preserve"> Time!BM$66</f>
        <v>0</v>
      </c>
      <c r="BN22" s="130">
        <f xml:space="preserve"> Time!BN$66</f>
        <v>0</v>
      </c>
      <c r="BO22" s="130">
        <f xml:space="preserve"> Time!BO$66</f>
        <v>0</v>
      </c>
      <c r="BP22" s="130">
        <f xml:space="preserve"> Time!BP$66</f>
        <v>0</v>
      </c>
      <c r="BQ22" s="130">
        <f xml:space="preserve"> Time!BQ$66</f>
        <v>0</v>
      </c>
      <c r="BR22" s="130">
        <f xml:space="preserve"> Time!BR$66</f>
        <v>0</v>
      </c>
      <c r="BS22" s="130">
        <f xml:space="preserve"> Time!BS$66</f>
        <v>0</v>
      </c>
      <c r="BT22" s="130">
        <f xml:space="preserve"> Time!BT$66</f>
        <v>0</v>
      </c>
      <c r="BU22" s="130">
        <f xml:space="preserve"> Time!BU$66</f>
        <v>0</v>
      </c>
      <c r="BV22" s="130">
        <f xml:space="preserve"> Time!BV$66</f>
        <v>0</v>
      </c>
      <c r="BW22" s="130">
        <f xml:space="preserve"> Time!BW$66</f>
        <v>0</v>
      </c>
      <c r="BX22" s="130">
        <f xml:space="preserve"> Time!BX$66</f>
        <v>0</v>
      </c>
      <c r="BY22" s="130">
        <f xml:space="preserve"> Time!BY$66</f>
        <v>0</v>
      </c>
      <c r="BZ22" s="130">
        <f xml:space="preserve"> Time!BZ$66</f>
        <v>0</v>
      </c>
      <c r="CA22" s="130">
        <f xml:space="preserve"> Time!CA$66</f>
        <v>0</v>
      </c>
      <c r="CB22" s="130">
        <f xml:space="preserve"> Time!CB$66</f>
        <v>0</v>
      </c>
      <c r="CC22" s="130">
        <f xml:space="preserve"> Time!CC$66</f>
        <v>0</v>
      </c>
      <c r="CD22" s="130">
        <f xml:space="preserve"> Time!CD$66</f>
        <v>0</v>
      </c>
    </row>
    <row r="23" spans="1:82" hidden="1" outlineLevel="1" x14ac:dyDescent="0.35">
      <c r="E23" s="117"/>
      <c r="F23" s="117"/>
      <c r="G23" s="117"/>
      <c r="H23" s="117"/>
      <c r="I23" s="26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  <c r="CB23" s="117"/>
      <c r="CC23" s="117"/>
      <c r="CD23" s="117"/>
    </row>
    <row r="24" spans="1:82" hidden="1" outlineLevel="1" x14ac:dyDescent="0.35">
      <c r="E24" s="117" t="s">
        <v>148</v>
      </c>
      <c r="F24" s="117"/>
      <c r="G24" s="117" t="str">
        <f xml:space="preserve"> SMU</f>
        <v>$ 000s</v>
      </c>
      <c r="H24" s="117"/>
      <c r="I24" s="26"/>
      <c r="J24" s="117">
        <f t="shared" ref="J24:AO24" si="4">I27</f>
        <v>0</v>
      </c>
      <c r="K24" s="117">
        <f t="shared" si="4"/>
        <v>0</v>
      </c>
      <c r="L24" s="117">
        <f t="shared" si="4"/>
        <v>0</v>
      </c>
      <c r="M24" s="117">
        <f t="shared" si="4"/>
        <v>0</v>
      </c>
      <c r="N24" s="117">
        <f t="shared" si="4"/>
        <v>0</v>
      </c>
      <c r="O24" s="117">
        <f t="shared" si="4"/>
        <v>1310</v>
      </c>
      <c r="P24" s="117">
        <f t="shared" si="4"/>
        <v>2608</v>
      </c>
      <c r="Q24" s="117">
        <f t="shared" si="4"/>
        <v>3727.1374999999998</v>
      </c>
      <c r="R24" s="117">
        <f t="shared" si="4"/>
        <v>5161.5249999999996</v>
      </c>
      <c r="S24" s="117">
        <f t="shared" si="4"/>
        <v>6769.2999999999993</v>
      </c>
      <c r="T24" s="117">
        <f t="shared" si="4"/>
        <v>8722.0827419199413</v>
      </c>
      <c r="U24" s="117">
        <f t="shared" si="4"/>
        <v>10960.357741919941</v>
      </c>
      <c r="V24" s="117">
        <f t="shared" si="4"/>
        <v>13041.007741919941</v>
      </c>
      <c r="W24" s="117">
        <f t="shared" si="4"/>
        <v>14648.78274191994</v>
      </c>
      <c r="X24" s="117">
        <f t="shared" si="4"/>
        <v>15610.295241919941</v>
      </c>
      <c r="Y24" s="117">
        <f t="shared" si="4"/>
        <v>16256.557741919942</v>
      </c>
      <c r="Z24" s="117">
        <f t="shared" si="4"/>
        <v>16810.012500000001</v>
      </c>
      <c r="AA24" s="117">
        <f t="shared" si="4"/>
        <v>17550.850000000002</v>
      </c>
      <c r="AB24" s="117">
        <f t="shared" si="4"/>
        <v>18370.500000000004</v>
      </c>
      <c r="AC24" s="117">
        <f t="shared" si="4"/>
        <v>19484.069651741298</v>
      </c>
      <c r="AD24" s="117">
        <f t="shared" si="4"/>
        <v>20911.320895522393</v>
      </c>
      <c r="AE24" s="117">
        <f t="shared" si="4"/>
        <v>22511.097014925377</v>
      </c>
      <c r="AF24" s="117">
        <f t="shared" si="4"/>
        <v>24454.164419820841</v>
      </c>
      <c r="AG24" s="117">
        <f t="shared" si="4"/>
        <v>26681.303723303427</v>
      </c>
      <c r="AH24" s="117">
        <f t="shared" si="4"/>
        <v>28751.602230766115</v>
      </c>
      <c r="AI24" s="117">
        <f t="shared" si="4"/>
        <v>30351.3783501691</v>
      </c>
      <c r="AJ24" s="117">
        <f t="shared" si="4"/>
        <v>31308.107205890494</v>
      </c>
      <c r="AK24" s="117">
        <f t="shared" si="4"/>
        <v>31951.154469572088</v>
      </c>
      <c r="AL24" s="117">
        <f t="shared" si="4"/>
        <v>32501.855721393043</v>
      </c>
      <c r="AM24" s="117">
        <f t="shared" si="4"/>
        <v>33239.007462686575</v>
      </c>
      <c r="AN24" s="117">
        <f t="shared" si="4"/>
        <v>34054.579601990059</v>
      </c>
      <c r="AO24" s="117">
        <f t="shared" si="4"/>
        <v>35162.60910621025</v>
      </c>
      <c r="AP24" s="117">
        <f t="shared" ref="AP24:BU24" si="5">AO27</f>
        <v>36582.759597534721</v>
      </c>
      <c r="AQ24" s="117">
        <f t="shared" si="5"/>
        <v>38174.576631766548</v>
      </c>
      <c r="AR24" s="117">
        <f t="shared" si="5"/>
        <v>40107.977034647607</v>
      </c>
      <c r="AS24" s="117">
        <f t="shared" si="5"/>
        <v>42324.036043087995</v>
      </c>
      <c r="AT24" s="117">
        <f t="shared" si="5"/>
        <v>44384.034557976243</v>
      </c>
      <c r="AU24" s="117">
        <f t="shared" si="5"/>
        <v>45975.85159220807</v>
      </c>
      <c r="AV24" s="117">
        <f t="shared" si="5"/>
        <v>46927.82060287612</v>
      </c>
      <c r="AW24" s="117">
        <f t="shared" si="5"/>
        <v>47567.668626439896</v>
      </c>
      <c r="AX24" s="117">
        <f t="shared" si="5"/>
        <v>48115.630071037864</v>
      </c>
      <c r="AY24" s="117">
        <f t="shared" si="5"/>
        <v>48849.114390732924</v>
      </c>
      <c r="AZ24" s="117">
        <f t="shared" si="5"/>
        <v>49660.628957204055</v>
      </c>
      <c r="BA24" s="117">
        <f t="shared" si="5"/>
        <v>50763.145876826136</v>
      </c>
      <c r="BB24" s="117">
        <f t="shared" si="5"/>
        <v>52176.230942820635</v>
      </c>
      <c r="BC24" s="117">
        <f t="shared" si="5"/>
        <v>53760.128489319963</v>
      </c>
      <c r="BD24" s="117">
        <f t="shared" si="5"/>
        <v>55683.909984724</v>
      </c>
      <c r="BE24" s="117">
        <f t="shared" si="5"/>
        <v>57888.943823968162</v>
      </c>
      <c r="BF24" s="117">
        <f t="shared" si="5"/>
        <v>59938.693590026116</v>
      </c>
      <c r="BG24" s="117">
        <f t="shared" si="5"/>
        <v>61522.591136525443</v>
      </c>
      <c r="BH24" s="117">
        <f t="shared" si="5"/>
        <v>62469.823982961316</v>
      </c>
      <c r="BI24" s="117">
        <f t="shared" si="5"/>
        <v>63106.488683024771</v>
      </c>
      <c r="BJ24" s="117">
        <f t="shared" si="5"/>
        <v>63651.723951281456</v>
      </c>
      <c r="BK24" s="117">
        <f t="shared" si="5"/>
        <v>64381.559095256634</v>
      </c>
      <c r="BL24" s="117">
        <f t="shared" si="5"/>
        <v>65189.036275824918</v>
      </c>
      <c r="BM24" s="117">
        <f t="shared" si="5"/>
        <v>66286.068036642915</v>
      </c>
      <c r="BN24" s="117">
        <f t="shared" si="5"/>
        <v>67692.122828677238</v>
      </c>
      <c r="BO24" s="117">
        <f t="shared" si="5"/>
        <v>69268.140287880553</v>
      </c>
      <c r="BP24" s="117">
        <f t="shared" si="5"/>
        <v>71182.350731068655</v>
      </c>
      <c r="BQ24" s="117">
        <f t="shared" si="5"/>
        <v>73376.414252704635</v>
      </c>
      <c r="BR24" s="117">
        <f t="shared" si="5"/>
        <v>75415.966258732456</v>
      </c>
      <c r="BS24" s="117">
        <f t="shared" si="5"/>
        <v>76991.983717935771</v>
      </c>
      <c r="BT24" s="117">
        <f t="shared" si="5"/>
        <v>77934.503963145602</v>
      </c>
      <c r="BU24" s="117">
        <f t="shared" si="5"/>
        <v>78568.001177139085</v>
      </c>
      <c r="BV24" s="117">
        <f t="shared" ref="BV24:CD24" si="6">BU27</f>
        <v>79110.52383212086</v>
      </c>
      <c r="BW24" s="117">
        <f t="shared" si="6"/>
        <v>79836.727955479248</v>
      </c>
      <c r="BX24" s="117">
        <f t="shared" si="6"/>
        <v>80640.187836641722</v>
      </c>
      <c r="BY24" s="117">
        <f t="shared" si="6"/>
        <v>80640.187836641722</v>
      </c>
      <c r="BZ24" s="117">
        <f t="shared" si="6"/>
        <v>80640.187836641722</v>
      </c>
      <c r="CA24" s="117">
        <f t="shared" si="6"/>
        <v>80640.187836641722</v>
      </c>
      <c r="CB24" s="117">
        <f t="shared" si="6"/>
        <v>80640.187836641722</v>
      </c>
      <c r="CC24" s="117">
        <f t="shared" si="6"/>
        <v>80640.187836641722</v>
      </c>
      <c r="CD24" s="117">
        <f t="shared" si="6"/>
        <v>80640.187836641722</v>
      </c>
    </row>
    <row r="25" spans="1:82" hidden="1" outlineLevel="1" x14ac:dyDescent="0.35">
      <c r="E25" s="296" t="str">
        <f xml:space="preserve"> 'FS Qtr'!E$50</f>
        <v>Cash flow available for dividends</v>
      </c>
      <c r="F25" s="296">
        <f xml:space="preserve"> 'FS Qtr'!F$50</f>
        <v>0</v>
      </c>
      <c r="G25" s="296" t="str">
        <f xml:space="preserve"> 'FS Qtr'!G$50</f>
        <v>$ 000s</v>
      </c>
      <c r="H25" s="296">
        <f xml:space="preserve"> 'FS Qtr'!H$50</f>
        <v>80640.187836641722</v>
      </c>
      <c r="I25" s="296">
        <f xml:space="preserve"> 'FS Qtr'!I$50</f>
        <v>0</v>
      </c>
      <c r="J25" s="296">
        <f xml:space="preserve"> 'FS Qtr'!J$50</f>
        <v>0</v>
      </c>
      <c r="K25" s="296">
        <f xml:space="preserve"> 'FS Qtr'!K$50</f>
        <v>0</v>
      </c>
      <c r="L25" s="296">
        <f xml:space="preserve"> 'FS Qtr'!L$50</f>
        <v>0</v>
      </c>
      <c r="M25" s="296">
        <f xml:space="preserve"> 'FS Qtr'!M$50</f>
        <v>0</v>
      </c>
      <c r="N25" s="296">
        <f xml:space="preserve"> 'FS Qtr'!N$50</f>
        <v>1310</v>
      </c>
      <c r="O25" s="296">
        <f xml:space="preserve"> 'FS Qtr'!O$50</f>
        <v>1298</v>
      </c>
      <c r="P25" s="296">
        <f xml:space="preserve"> 'FS Qtr'!P$50</f>
        <v>1119.1374999999998</v>
      </c>
      <c r="Q25" s="296">
        <f xml:space="preserve"> 'FS Qtr'!Q$50</f>
        <v>1434.3875</v>
      </c>
      <c r="R25" s="296">
        <f xml:space="preserve"> 'FS Qtr'!R$50</f>
        <v>1607.7749999999999</v>
      </c>
      <c r="S25" s="296">
        <f xml:space="preserve"> 'FS Qtr'!S$50</f>
        <v>1952.7827419199425</v>
      </c>
      <c r="T25" s="296">
        <f xml:space="preserve"> 'FS Qtr'!T$50</f>
        <v>2238.2749999999996</v>
      </c>
      <c r="U25" s="296">
        <f xml:space="preserve"> 'FS Qtr'!U$50</f>
        <v>2080.65</v>
      </c>
      <c r="V25" s="296">
        <f xml:space="preserve"> 'FS Qtr'!V$50</f>
        <v>1607.7749999999999</v>
      </c>
      <c r="W25" s="296">
        <f xml:space="preserve"> 'FS Qtr'!W$50</f>
        <v>961.51250000000005</v>
      </c>
      <c r="X25" s="296">
        <f xml:space="preserve"> 'FS Qtr'!X$50</f>
        <v>646.26250000000005</v>
      </c>
      <c r="Y25" s="296">
        <f xml:space="preserve"> 'FS Qtr'!Y$50</f>
        <v>553.45475808006029</v>
      </c>
      <c r="Z25" s="296">
        <f xml:space="preserve"> 'FS Qtr'!Z$50</f>
        <v>740.83750000000009</v>
      </c>
      <c r="AA25" s="296">
        <f xml:space="preserve"> 'FS Qtr'!AA$50</f>
        <v>819.65</v>
      </c>
      <c r="AB25" s="296">
        <f xml:space="preserve"> 'FS Qtr'!AB$50</f>
        <v>1113.5696517412935</v>
      </c>
      <c r="AC25" s="296">
        <f xml:space="preserve"> 'FS Qtr'!AC$50</f>
        <v>1427.2512437810947</v>
      </c>
      <c r="AD25" s="296">
        <f xml:space="preserve"> 'FS Qtr'!AD$50</f>
        <v>1599.7761194029854</v>
      </c>
      <c r="AE25" s="296">
        <f xml:space="preserve"> 'FS Qtr'!AE$50</f>
        <v>1943.0674048954654</v>
      </c>
      <c r="AF25" s="296">
        <f xml:space="preserve"> 'FS Qtr'!AF$50</f>
        <v>2227.1393034825869</v>
      </c>
      <c r="AG25" s="296">
        <f xml:space="preserve"> 'FS Qtr'!AG$50</f>
        <v>2070.2985074626872</v>
      </c>
      <c r="AH25" s="296">
        <f xml:space="preserve"> 'FS Qtr'!AH$50</f>
        <v>1599.7761194029854</v>
      </c>
      <c r="AI25" s="296">
        <f xml:space="preserve"> 'FS Qtr'!AI$50</f>
        <v>956.72885572139319</v>
      </c>
      <c r="AJ25" s="296">
        <f xml:space="preserve"> 'FS Qtr'!AJ$50</f>
        <v>643.0472636815922</v>
      </c>
      <c r="AK25" s="296">
        <f xml:space="preserve"> 'FS Qtr'!AK$50</f>
        <v>550.70125182095558</v>
      </c>
      <c r="AL25" s="296">
        <f xml:space="preserve"> 'FS Qtr'!AL$50</f>
        <v>737.1517412935325</v>
      </c>
      <c r="AM25" s="296">
        <f xml:space="preserve"> 'FS Qtr'!AM$50</f>
        <v>815.57213930348269</v>
      </c>
      <c r="AN25" s="296">
        <f xml:space="preserve"> 'FS Qtr'!AN$50</f>
        <v>1108.0295042201928</v>
      </c>
      <c r="AO25" s="296">
        <f xml:space="preserve"> 'FS Qtr'!AO$50</f>
        <v>1420.1504913244726</v>
      </c>
      <c r="AP25" s="296">
        <f xml:space="preserve"> 'FS Qtr'!AP$50</f>
        <v>1591.8170342318265</v>
      </c>
      <c r="AQ25" s="296">
        <f xml:space="preserve"> 'FS Qtr'!AQ$50</f>
        <v>1933.4004028810605</v>
      </c>
      <c r="AR25" s="296">
        <f xml:space="preserve"> 'FS Qtr'!AR$50</f>
        <v>2216.0590084403857</v>
      </c>
      <c r="AS25" s="296">
        <f xml:space="preserve"> 'FS Qtr'!AS$50</f>
        <v>2059.9985148882461</v>
      </c>
      <c r="AT25" s="296">
        <f xml:space="preserve"> 'FS Qtr'!AT$50</f>
        <v>1591.8170342318265</v>
      </c>
      <c r="AU25" s="296">
        <f xml:space="preserve"> 'FS Qtr'!AU$50</f>
        <v>951.9690106680531</v>
      </c>
      <c r="AV25" s="296">
        <f xml:space="preserve"> 'FS Qtr'!AV$50</f>
        <v>639.84802356377338</v>
      </c>
      <c r="AW25" s="296">
        <f xml:space="preserve"> 'FS Qtr'!AW$50</f>
        <v>547.96144459796585</v>
      </c>
      <c r="AX25" s="296">
        <f xml:space="preserve"> 'FS Qtr'!AX$50</f>
        <v>733.48431969505725</v>
      </c>
      <c r="AY25" s="296">
        <f xml:space="preserve"> 'FS Qtr'!AY$50</f>
        <v>811.51456647112718</v>
      </c>
      <c r="AZ25" s="296">
        <f xml:space="preserve"> 'FS Qtr'!AZ$50</f>
        <v>1102.5169196220825</v>
      </c>
      <c r="BA25" s="296">
        <f xml:space="preserve"> 'FS Qtr'!BA$50</f>
        <v>1413.0850659945002</v>
      </c>
      <c r="BB25" s="296">
        <f xml:space="preserve"> 'FS Qtr'!BB$50</f>
        <v>1583.8975464993296</v>
      </c>
      <c r="BC25" s="296">
        <f xml:space="preserve"> 'FS Qtr'!BC$50</f>
        <v>1923.7814954040405</v>
      </c>
      <c r="BD25" s="296">
        <f xml:space="preserve"> 'FS Qtr'!BD$50</f>
        <v>2205.0338392441649</v>
      </c>
      <c r="BE25" s="296">
        <f xml:space="preserve"> 'FS Qtr'!BE$50</f>
        <v>2049.7497660579565</v>
      </c>
      <c r="BF25" s="296">
        <f xml:space="preserve"> 'FS Qtr'!BF$50</f>
        <v>1583.8975464993296</v>
      </c>
      <c r="BG25" s="296">
        <f xml:space="preserve"> 'FS Qtr'!BG$50</f>
        <v>947.23284643587374</v>
      </c>
      <c r="BH25" s="296">
        <f xml:space="preserve"> 'FS Qtr'!BH$50</f>
        <v>636.66470006345617</v>
      </c>
      <c r="BI25" s="296">
        <f xml:space="preserve"> 'FS Qtr'!BI$50</f>
        <v>545.23526825668239</v>
      </c>
      <c r="BJ25" s="296">
        <f xml:space="preserve"> 'FS Qtr'!BJ$50</f>
        <v>729.8351439751815</v>
      </c>
      <c r="BK25" s="296">
        <f xml:space="preserve"> 'FS Qtr'!BK$50</f>
        <v>807.4771805682858</v>
      </c>
      <c r="BL25" s="296">
        <f xml:space="preserve"> 'FS Qtr'!BL$50</f>
        <v>1097.0317608179928</v>
      </c>
      <c r="BM25" s="296">
        <f xml:space="preserve"> 'FS Qtr'!BM$50</f>
        <v>1406.0547920343288</v>
      </c>
      <c r="BN25" s="296">
        <f xml:space="preserve"> 'FS Qtr'!BN$50</f>
        <v>1576.0174592033136</v>
      </c>
      <c r="BO25" s="296">
        <f xml:space="preserve"> 'FS Qtr'!BO$50</f>
        <v>1914.2104431881005</v>
      </c>
      <c r="BP25" s="296">
        <f xml:space="preserve"> 'FS Qtr'!BP$50</f>
        <v>2194.0635216359856</v>
      </c>
      <c r="BQ25" s="296">
        <f xml:space="preserve"> 'FS Qtr'!BQ$50</f>
        <v>2039.5520060278179</v>
      </c>
      <c r="BR25" s="296">
        <f xml:space="preserve"> 'FS Qtr'!BR$50</f>
        <v>1576.0174592033136</v>
      </c>
      <c r="BS25" s="296">
        <f xml:space="preserve"> 'FS Qtr'!BS$50</f>
        <v>942.52024520982491</v>
      </c>
      <c r="BT25" s="296">
        <f xml:space="preserve"> 'FS Qtr'!BT$50</f>
        <v>633.49721399348891</v>
      </c>
      <c r="BU25" s="296">
        <f xml:space="preserve"> 'FS Qtr'!BU$50</f>
        <v>542.5226549817736</v>
      </c>
      <c r="BV25" s="296">
        <f xml:space="preserve"> 'FS Qtr'!BV$50</f>
        <v>726.20412335838967</v>
      </c>
      <c r="BW25" s="296">
        <f xml:space="preserve"> 'FS Qtr'!BW$50</f>
        <v>803.45988116247361</v>
      </c>
      <c r="BX25" s="296">
        <f xml:space="preserve"> 'FS Qtr'!BX$50</f>
        <v>0</v>
      </c>
      <c r="BY25" s="296">
        <f xml:space="preserve"> 'FS Qtr'!BY$50</f>
        <v>0</v>
      </c>
      <c r="BZ25" s="296">
        <f xml:space="preserve"> 'FS Qtr'!BZ$50</f>
        <v>0</v>
      </c>
      <c r="CA25" s="296">
        <f xml:space="preserve"> 'FS Qtr'!CA$50</f>
        <v>0</v>
      </c>
      <c r="CB25" s="296">
        <f xml:space="preserve"> 'FS Qtr'!CB$50</f>
        <v>0</v>
      </c>
      <c r="CC25" s="296">
        <f xml:space="preserve"> 'FS Qtr'!CC$50</f>
        <v>0</v>
      </c>
      <c r="CD25" s="296">
        <f xml:space="preserve"> 'FS Qtr'!CD$50</f>
        <v>0</v>
      </c>
    </row>
    <row r="26" spans="1:82" hidden="1" outlineLevel="1" x14ac:dyDescent="0.35">
      <c r="A26" s="293"/>
      <c r="B26" s="293"/>
      <c r="C26" s="294"/>
      <c r="D26" s="295"/>
      <c r="E26" s="118" t="s">
        <v>146</v>
      </c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</row>
    <row r="27" spans="1:82" hidden="1" outlineLevel="1" x14ac:dyDescent="0.35">
      <c r="A27" s="297"/>
      <c r="B27" s="297"/>
      <c r="C27" s="298"/>
      <c r="D27" s="299"/>
      <c r="E27" s="300" t="s">
        <v>147</v>
      </c>
      <c r="F27" s="300"/>
      <c r="G27" s="300" t="str">
        <f xml:space="preserve"> SMU</f>
        <v>$ 000s</v>
      </c>
      <c r="H27" s="300"/>
      <c r="I27" s="301"/>
      <c r="J27" s="300">
        <f t="shared" ref="J27:AO27" si="7" xml:space="preserve"> IF( J22 = 1, $F21, J24 + J25 - J26)</f>
        <v>0</v>
      </c>
      <c r="K27" s="300">
        <f t="shared" si="7"/>
        <v>0</v>
      </c>
      <c r="L27" s="300">
        <f t="shared" si="7"/>
        <v>0</v>
      </c>
      <c r="M27" s="300">
        <f t="shared" si="7"/>
        <v>0</v>
      </c>
      <c r="N27" s="300">
        <f t="shared" si="7"/>
        <v>1310</v>
      </c>
      <c r="O27" s="300">
        <f t="shared" si="7"/>
        <v>2608</v>
      </c>
      <c r="P27" s="300">
        <f t="shared" si="7"/>
        <v>3727.1374999999998</v>
      </c>
      <c r="Q27" s="300">
        <f t="shared" si="7"/>
        <v>5161.5249999999996</v>
      </c>
      <c r="R27" s="300">
        <f t="shared" si="7"/>
        <v>6769.2999999999993</v>
      </c>
      <c r="S27" s="300">
        <f t="shared" si="7"/>
        <v>8722.0827419199413</v>
      </c>
      <c r="T27" s="300">
        <f t="shared" si="7"/>
        <v>10960.357741919941</v>
      </c>
      <c r="U27" s="300">
        <f t="shared" si="7"/>
        <v>13041.007741919941</v>
      </c>
      <c r="V27" s="300">
        <f t="shared" si="7"/>
        <v>14648.78274191994</v>
      </c>
      <c r="W27" s="300">
        <f t="shared" si="7"/>
        <v>15610.295241919941</v>
      </c>
      <c r="X27" s="300">
        <f t="shared" si="7"/>
        <v>16256.557741919942</v>
      </c>
      <c r="Y27" s="300">
        <f t="shared" si="7"/>
        <v>16810.012500000001</v>
      </c>
      <c r="Z27" s="300">
        <f t="shared" si="7"/>
        <v>17550.850000000002</v>
      </c>
      <c r="AA27" s="300">
        <f t="shared" si="7"/>
        <v>18370.500000000004</v>
      </c>
      <c r="AB27" s="300">
        <f t="shared" si="7"/>
        <v>19484.069651741298</v>
      </c>
      <c r="AC27" s="300">
        <f t="shared" si="7"/>
        <v>20911.320895522393</v>
      </c>
      <c r="AD27" s="300">
        <f t="shared" si="7"/>
        <v>22511.097014925377</v>
      </c>
      <c r="AE27" s="300">
        <f t="shared" si="7"/>
        <v>24454.164419820841</v>
      </c>
      <c r="AF27" s="300">
        <f t="shared" si="7"/>
        <v>26681.303723303427</v>
      </c>
      <c r="AG27" s="300">
        <f t="shared" si="7"/>
        <v>28751.602230766115</v>
      </c>
      <c r="AH27" s="300">
        <f t="shared" si="7"/>
        <v>30351.3783501691</v>
      </c>
      <c r="AI27" s="300">
        <f t="shared" si="7"/>
        <v>31308.107205890494</v>
      </c>
      <c r="AJ27" s="300">
        <f t="shared" si="7"/>
        <v>31951.154469572088</v>
      </c>
      <c r="AK27" s="300">
        <f t="shared" si="7"/>
        <v>32501.855721393043</v>
      </c>
      <c r="AL27" s="300">
        <f t="shared" si="7"/>
        <v>33239.007462686575</v>
      </c>
      <c r="AM27" s="300">
        <f t="shared" si="7"/>
        <v>34054.579601990059</v>
      </c>
      <c r="AN27" s="300">
        <f t="shared" si="7"/>
        <v>35162.60910621025</v>
      </c>
      <c r="AO27" s="300">
        <f t="shared" si="7"/>
        <v>36582.759597534721</v>
      </c>
      <c r="AP27" s="300">
        <f t="shared" ref="AP27:BU27" si="8" xml:space="preserve"> IF( AP22 = 1, $F21, AP24 + AP25 - AP26)</f>
        <v>38174.576631766548</v>
      </c>
      <c r="AQ27" s="300">
        <f t="shared" si="8"/>
        <v>40107.977034647607</v>
      </c>
      <c r="AR27" s="300">
        <f t="shared" si="8"/>
        <v>42324.036043087995</v>
      </c>
      <c r="AS27" s="300">
        <f t="shared" si="8"/>
        <v>44384.034557976243</v>
      </c>
      <c r="AT27" s="300">
        <f t="shared" si="8"/>
        <v>45975.85159220807</v>
      </c>
      <c r="AU27" s="300">
        <f t="shared" si="8"/>
        <v>46927.82060287612</v>
      </c>
      <c r="AV27" s="300">
        <f t="shared" si="8"/>
        <v>47567.668626439896</v>
      </c>
      <c r="AW27" s="300">
        <f t="shared" si="8"/>
        <v>48115.630071037864</v>
      </c>
      <c r="AX27" s="300">
        <f t="shared" si="8"/>
        <v>48849.114390732924</v>
      </c>
      <c r="AY27" s="300">
        <f t="shared" si="8"/>
        <v>49660.628957204055</v>
      </c>
      <c r="AZ27" s="300">
        <f t="shared" si="8"/>
        <v>50763.145876826136</v>
      </c>
      <c r="BA27" s="300">
        <f t="shared" si="8"/>
        <v>52176.230942820635</v>
      </c>
      <c r="BB27" s="300">
        <f t="shared" si="8"/>
        <v>53760.128489319963</v>
      </c>
      <c r="BC27" s="300">
        <f t="shared" si="8"/>
        <v>55683.909984724</v>
      </c>
      <c r="BD27" s="300">
        <f t="shared" si="8"/>
        <v>57888.943823968162</v>
      </c>
      <c r="BE27" s="300">
        <f t="shared" si="8"/>
        <v>59938.693590026116</v>
      </c>
      <c r="BF27" s="300">
        <f t="shared" si="8"/>
        <v>61522.591136525443</v>
      </c>
      <c r="BG27" s="300">
        <f t="shared" si="8"/>
        <v>62469.823982961316</v>
      </c>
      <c r="BH27" s="300">
        <f t="shared" si="8"/>
        <v>63106.488683024771</v>
      </c>
      <c r="BI27" s="300">
        <f t="shared" si="8"/>
        <v>63651.723951281456</v>
      </c>
      <c r="BJ27" s="300">
        <f t="shared" si="8"/>
        <v>64381.559095256634</v>
      </c>
      <c r="BK27" s="300">
        <f t="shared" si="8"/>
        <v>65189.036275824918</v>
      </c>
      <c r="BL27" s="300">
        <f t="shared" si="8"/>
        <v>66286.068036642915</v>
      </c>
      <c r="BM27" s="300">
        <f t="shared" si="8"/>
        <v>67692.122828677238</v>
      </c>
      <c r="BN27" s="300">
        <f t="shared" si="8"/>
        <v>69268.140287880553</v>
      </c>
      <c r="BO27" s="300">
        <f t="shared" si="8"/>
        <v>71182.350731068655</v>
      </c>
      <c r="BP27" s="300">
        <f t="shared" si="8"/>
        <v>73376.414252704635</v>
      </c>
      <c r="BQ27" s="300">
        <f t="shared" si="8"/>
        <v>75415.966258732456</v>
      </c>
      <c r="BR27" s="300">
        <f t="shared" si="8"/>
        <v>76991.983717935771</v>
      </c>
      <c r="BS27" s="300">
        <f t="shared" si="8"/>
        <v>77934.503963145602</v>
      </c>
      <c r="BT27" s="300">
        <f t="shared" si="8"/>
        <v>78568.001177139085</v>
      </c>
      <c r="BU27" s="300">
        <f t="shared" si="8"/>
        <v>79110.52383212086</v>
      </c>
      <c r="BV27" s="300">
        <f t="shared" ref="BV27:CD27" si="9" xml:space="preserve"> IF( BV22 = 1, $F21, BV24 + BV25 - BV26)</f>
        <v>79836.727955479248</v>
      </c>
      <c r="BW27" s="300">
        <f t="shared" si="9"/>
        <v>80640.187836641722</v>
      </c>
      <c r="BX27" s="300">
        <f t="shared" si="9"/>
        <v>80640.187836641722</v>
      </c>
      <c r="BY27" s="300">
        <f t="shared" si="9"/>
        <v>80640.187836641722</v>
      </c>
      <c r="BZ27" s="300">
        <f t="shared" si="9"/>
        <v>80640.187836641722</v>
      </c>
      <c r="CA27" s="300">
        <f t="shared" si="9"/>
        <v>80640.187836641722</v>
      </c>
      <c r="CB27" s="300">
        <f t="shared" si="9"/>
        <v>80640.187836641722</v>
      </c>
      <c r="CC27" s="300">
        <f t="shared" si="9"/>
        <v>80640.187836641722</v>
      </c>
      <c r="CD27" s="300">
        <f t="shared" si="9"/>
        <v>80640.187836641722</v>
      </c>
    </row>
    <row r="28" spans="1:82" hidden="1" outlineLevel="1" x14ac:dyDescent="0.35"/>
    <row r="29" spans="1:82" hidden="1" outlineLevel="1" x14ac:dyDescent="0.35"/>
    <row r="30" spans="1:82" hidden="1" outlineLevel="1" x14ac:dyDescent="0.35">
      <c r="E30" s="296" t="str">
        <f xml:space="preserve"> 'FS Qtr'!E$50</f>
        <v>Cash flow available for dividends</v>
      </c>
      <c r="F30" s="296">
        <f xml:space="preserve"> 'FS Qtr'!F$50</f>
        <v>0</v>
      </c>
      <c r="G30" s="296" t="str">
        <f xml:space="preserve"> 'FS Qtr'!G$50</f>
        <v>$ 000s</v>
      </c>
      <c r="H30" s="296">
        <f xml:space="preserve"> 'FS Qtr'!H$50</f>
        <v>80640.187836641722</v>
      </c>
      <c r="I30" s="296">
        <f xml:space="preserve"> 'FS Qtr'!I$50</f>
        <v>0</v>
      </c>
      <c r="J30" s="296">
        <f xml:space="preserve"> 'FS Qtr'!J$50</f>
        <v>0</v>
      </c>
      <c r="K30" s="296">
        <f xml:space="preserve"> 'FS Qtr'!K$50</f>
        <v>0</v>
      </c>
      <c r="L30" s="296">
        <f xml:space="preserve"> 'FS Qtr'!L$50</f>
        <v>0</v>
      </c>
      <c r="M30" s="296">
        <f xml:space="preserve"> 'FS Qtr'!M$50</f>
        <v>0</v>
      </c>
      <c r="N30" s="296">
        <f xml:space="preserve"> 'FS Qtr'!N$50</f>
        <v>1310</v>
      </c>
      <c r="O30" s="296">
        <f xml:space="preserve"> 'FS Qtr'!O$50</f>
        <v>1298</v>
      </c>
      <c r="P30" s="296">
        <f xml:space="preserve"> 'FS Qtr'!P$50</f>
        <v>1119.1374999999998</v>
      </c>
      <c r="Q30" s="296">
        <f xml:space="preserve"> 'FS Qtr'!Q$50</f>
        <v>1434.3875</v>
      </c>
      <c r="R30" s="296">
        <f xml:space="preserve"> 'FS Qtr'!R$50</f>
        <v>1607.7749999999999</v>
      </c>
      <c r="S30" s="296">
        <f xml:space="preserve"> 'FS Qtr'!S$50</f>
        <v>1952.7827419199425</v>
      </c>
      <c r="T30" s="296">
        <f xml:space="preserve"> 'FS Qtr'!T$50</f>
        <v>2238.2749999999996</v>
      </c>
      <c r="U30" s="296">
        <f xml:space="preserve"> 'FS Qtr'!U$50</f>
        <v>2080.65</v>
      </c>
      <c r="V30" s="296">
        <f xml:space="preserve"> 'FS Qtr'!V$50</f>
        <v>1607.7749999999999</v>
      </c>
      <c r="W30" s="296">
        <f xml:space="preserve"> 'FS Qtr'!W$50</f>
        <v>961.51250000000005</v>
      </c>
      <c r="X30" s="296">
        <f xml:space="preserve"> 'FS Qtr'!X$50</f>
        <v>646.26250000000005</v>
      </c>
      <c r="Y30" s="296">
        <f xml:space="preserve"> 'FS Qtr'!Y$50</f>
        <v>553.45475808006029</v>
      </c>
      <c r="Z30" s="296">
        <f xml:space="preserve"> 'FS Qtr'!Z$50</f>
        <v>740.83750000000009</v>
      </c>
      <c r="AA30" s="296">
        <f xml:space="preserve"> 'FS Qtr'!AA$50</f>
        <v>819.65</v>
      </c>
      <c r="AB30" s="296">
        <f xml:space="preserve"> 'FS Qtr'!AB$50</f>
        <v>1113.5696517412935</v>
      </c>
      <c r="AC30" s="296">
        <f xml:space="preserve"> 'FS Qtr'!AC$50</f>
        <v>1427.2512437810947</v>
      </c>
      <c r="AD30" s="296">
        <f xml:space="preserve"> 'FS Qtr'!AD$50</f>
        <v>1599.7761194029854</v>
      </c>
      <c r="AE30" s="296">
        <f xml:space="preserve"> 'FS Qtr'!AE$50</f>
        <v>1943.0674048954654</v>
      </c>
      <c r="AF30" s="296">
        <f xml:space="preserve"> 'FS Qtr'!AF$50</f>
        <v>2227.1393034825869</v>
      </c>
      <c r="AG30" s="296">
        <f xml:space="preserve"> 'FS Qtr'!AG$50</f>
        <v>2070.2985074626872</v>
      </c>
      <c r="AH30" s="296">
        <f xml:space="preserve"> 'FS Qtr'!AH$50</f>
        <v>1599.7761194029854</v>
      </c>
      <c r="AI30" s="296">
        <f xml:space="preserve"> 'FS Qtr'!AI$50</f>
        <v>956.72885572139319</v>
      </c>
      <c r="AJ30" s="296">
        <f xml:space="preserve"> 'FS Qtr'!AJ$50</f>
        <v>643.0472636815922</v>
      </c>
      <c r="AK30" s="296">
        <f xml:space="preserve"> 'FS Qtr'!AK$50</f>
        <v>550.70125182095558</v>
      </c>
      <c r="AL30" s="296">
        <f xml:space="preserve"> 'FS Qtr'!AL$50</f>
        <v>737.1517412935325</v>
      </c>
      <c r="AM30" s="296">
        <f xml:space="preserve"> 'FS Qtr'!AM$50</f>
        <v>815.57213930348269</v>
      </c>
      <c r="AN30" s="296">
        <f xml:space="preserve"> 'FS Qtr'!AN$50</f>
        <v>1108.0295042201928</v>
      </c>
      <c r="AO30" s="296">
        <f xml:space="preserve"> 'FS Qtr'!AO$50</f>
        <v>1420.1504913244726</v>
      </c>
      <c r="AP30" s="296">
        <f xml:space="preserve"> 'FS Qtr'!AP$50</f>
        <v>1591.8170342318265</v>
      </c>
      <c r="AQ30" s="296">
        <f xml:space="preserve"> 'FS Qtr'!AQ$50</f>
        <v>1933.4004028810605</v>
      </c>
      <c r="AR30" s="296">
        <f xml:space="preserve"> 'FS Qtr'!AR$50</f>
        <v>2216.0590084403857</v>
      </c>
      <c r="AS30" s="296">
        <f xml:space="preserve"> 'FS Qtr'!AS$50</f>
        <v>2059.9985148882461</v>
      </c>
      <c r="AT30" s="296">
        <f xml:space="preserve"> 'FS Qtr'!AT$50</f>
        <v>1591.8170342318265</v>
      </c>
      <c r="AU30" s="296">
        <f xml:space="preserve"> 'FS Qtr'!AU$50</f>
        <v>951.9690106680531</v>
      </c>
      <c r="AV30" s="296">
        <f xml:space="preserve"> 'FS Qtr'!AV$50</f>
        <v>639.84802356377338</v>
      </c>
      <c r="AW30" s="296">
        <f xml:space="preserve"> 'FS Qtr'!AW$50</f>
        <v>547.96144459796585</v>
      </c>
      <c r="AX30" s="296">
        <f xml:space="preserve"> 'FS Qtr'!AX$50</f>
        <v>733.48431969505725</v>
      </c>
      <c r="AY30" s="296">
        <f xml:space="preserve"> 'FS Qtr'!AY$50</f>
        <v>811.51456647112718</v>
      </c>
      <c r="AZ30" s="296">
        <f xml:space="preserve"> 'FS Qtr'!AZ$50</f>
        <v>1102.5169196220825</v>
      </c>
      <c r="BA30" s="296">
        <f xml:space="preserve"> 'FS Qtr'!BA$50</f>
        <v>1413.0850659945002</v>
      </c>
      <c r="BB30" s="296">
        <f xml:space="preserve"> 'FS Qtr'!BB$50</f>
        <v>1583.8975464993296</v>
      </c>
      <c r="BC30" s="296">
        <f xml:space="preserve"> 'FS Qtr'!BC$50</f>
        <v>1923.7814954040405</v>
      </c>
      <c r="BD30" s="296">
        <f xml:space="preserve"> 'FS Qtr'!BD$50</f>
        <v>2205.0338392441649</v>
      </c>
      <c r="BE30" s="296">
        <f xml:space="preserve"> 'FS Qtr'!BE$50</f>
        <v>2049.7497660579565</v>
      </c>
      <c r="BF30" s="296">
        <f xml:space="preserve"> 'FS Qtr'!BF$50</f>
        <v>1583.8975464993296</v>
      </c>
      <c r="BG30" s="296">
        <f xml:space="preserve"> 'FS Qtr'!BG$50</f>
        <v>947.23284643587374</v>
      </c>
      <c r="BH30" s="296">
        <f xml:space="preserve"> 'FS Qtr'!BH$50</f>
        <v>636.66470006345617</v>
      </c>
      <c r="BI30" s="296">
        <f xml:space="preserve"> 'FS Qtr'!BI$50</f>
        <v>545.23526825668239</v>
      </c>
      <c r="BJ30" s="296">
        <f xml:space="preserve"> 'FS Qtr'!BJ$50</f>
        <v>729.8351439751815</v>
      </c>
      <c r="BK30" s="296">
        <f xml:space="preserve"> 'FS Qtr'!BK$50</f>
        <v>807.4771805682858</v>
      </c>
      <c r="BL30" s="296">
        <f xml:space="preserve"> 'FS Qtr'!BL$50</f>
        <v>1097.0317608179928</v>
      </c>
      <c r="BM30" s="296">
        <f xml:space="preserve"> 'FS Qtr'!BM$50</f>
        <v>1406.0547920343288</v>
      </c>
      <c r="BN30" s="296">
        <f xml:space="preserve"> 'FS Qtr'!BN$50</f>
        <v>1576.0174592033136</v>
      </c>
      <c r="BO30" s="296">
        <f xml:space="preserve"> 'FS Qtr'!BO$50</f>
        <v>1914.2104431881005</v>
      </c>
      <c r="BP30" s="296">
        <f xml:space="preserve"> 'FS Qtr'!BP$50</f>
        <v>2194.0635216359856</v>
      </c>
      <c r="BQ30" s="296">
        <f xml:space="preserve"> 'FS Qtr'!BQ$50</f>
        <v>2039.5520060278179</v>
      </c>
      <c r="BR30" s="296">
        <f xml:space="preserve"> 'FS Qtr'!BR$50</f>
        <v>1576.0174592033136</v>
      </c>
      <c r="BS30" s="296">
        <f xml:space="preserve"> 'FS Qtr'!BS$50</f>
        <v>942.52024520982491</v>
      </c>
      <c r="BT30" s="296">
        <f xml:space="preserve"> 'FS Qtr'!BT$50</f>
        <v>633.49721399348891</v>
      </c>
      <c r="BU30" s="296">
        <f xml:space="preserve"> 'FS Qtr'!BU$50</f>
        <v>542.5226549817736</v>
      </c>
      <c r="BV30" s="296">
        <f xml:space="preserve"> 'FS Qtr'!BV$50</f>
        <v>726.20412335838967</v>
      </c>
      <c r="BW30" s="296">
        <f xml:space="preserve"> 'FS Qtr'!BW$50</f>
        <v>803.45988116247361</v>
      </c>
      <c r="BX30" s="296">
        <f xml:space="preserve"> 'FS Qtr'!BX$50</f>
        <v>0</v>
      </c>
      <c r="BY30" s="296">
        <f xml:space="preserve"> 'FS Qtr'!BY$50</f>
        <v>0</v>
      </c>
      <c r="BZ30" s="296">
        <f xml:space="preserve"> 'FS Qtr'!BZ$50</f>
        <v>0</v>
      </c>
      <c r="CA30" s="296">
        <f xml:space="preserve"> 'FS Qtr'!CA$50</f>
        <v>0</v>
      </c>
      <c r="CB30" s="296">
        <f xml:space="preserve"> 'FS Qtr'!CB$50</f>
        <v>0</v>
      </c>
      <c r="CC30" s="296">
        <f xml:space="preserve"> 'FS Qtr'!CC$50</f>
        <v>0</v>
      </c>
      <c r="CD30" s="296">
        <f xml:space="preserve"> 'FS Qtr'!CD$50</f>
        <v>0</v>
      </c>
    </row>
    <row r="31" spans="1:82" hidden="1" outlineLevel="1" x14ac:dyDescent="0.35">
      <c r="E31" s="94" t="s">
        <v>181</v>
      </c>
      <c r="F31" s="94">
        <f xml:space="preserve"> SUM(J30:CD30)</f>
        <v>80640.187836641722</v>
      </c>
      <c r="G31" s="94" t="str">
        <f xml:space="preserve"> SMU</f>
        <v>$ 000s</v>
      </c>
    </row>
    <row r="32" spans="1:82" hidden="1" outlineLevel="1" x14ac:dyDescent="0.35"/>
    <row r="34" spans="1:1" x14ac:dyDescent="0.35">
      <c r="A34" s="8" t="s">
        <v>62</v>
      </c>
    </row>
  </sheetData>
  <conditionalFormatting sqref="F2:F4">
    <cfRule type="cellIs" dxfId="23" priority="1" stopIfTrue="1" operator="notEqual">
      <formula>0</formula>
    </cfRule>
    <cfRule type="cellIs" dxfId="22" priority="2" stopIfTrue="1" operator="equal">
      <formula>""</formula>
    </cfRule>
  </conditionalFormatting>
  <conditionalFormatting sqref="J3:CD3">
    <cfRule type="cellIs" dxfId="21" priority="3" operator="equal">
      <formula>"Fin Close"</formula>
    </cfRule>
    <cfRule type="cellIs" dxfId="20" priority="4" stopIfTrue="1" operator="equal">
      <formula>"Operations"</formula>
    </cfRule>
  </conditionalFormatting>
  <dataValidations count="1">
    <dataValidation allowBlank="1" showInputMessage="1" showErrorMessage="1" sqref="E10:H10 E21:H2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54" activePane="bottomRight" state="frozen"/>
      <selection activeCell="E45" sqref="E45"/>
      <selection pane="topRight" activeCell="E45" sqref="E45"/>
      <selection pane="bottomLeft" activeCell="E45" sqref="E45"/>
      <selection pane="bottomRight" activeCell="N30" sqref="N30"/>
    </sheetView>
  </sheetViews>
  <sheetFormatPr defaultColWidth="0" defaultRowHeight="13.15" outlineLevelRow="1" x14ac:dyDescent="0.35"/>
  <cols>
    <col min="1" max="1" width="1.19921875" style="107" customWidth="1"/>
    <col min="2" max="2" width="1.19921875" style="108" customWidth="1"/>
    <col min="3" max="3" width="1.19921875" style="109" customWidth="1"/>
    <col min="4" max="4" width="1.19921875" style="110" customWidth="1"/>
    <col min="5" max="5" width="40.796875" style="136" customWidth="1"/>
    <col min="6" max="6" width="12.796875" style="136" customWidth="1"/>
    <col min="7" max="8" width="11.796875" style="136" customWidth="1"/>
    <col min="9" max="9" width="2.796875" style="136" customWidth="1"/>
    <col min="10" max="82" width="11.796875" style="136" customWidth="1"/>
    <col min="83" max="131" width="11.796875" hidden="1" customWidth="1"/>
    <col min="132" max="16384" width="11.796875" hidden="1"/>
  </cols>
  <sheetData>
    <row r="1" spans="1:131" ht="25.15" x14ac:dyDescent="0.35">
      <c r="A1" s="176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177"/>
      <c r="B2" s="177"/>
      <c r="C2" s="178"/>
      <c r="D2" s="179"/>
      <c r="E2" s="180" t="str">
        <f xml:space="preserve"> Time!E$25</f>
        <v>Model period ending</v>
      </c>
      <c r="F2" s="163">
        <f xml:space="preserve"> Check!$F$9</f>
        <v>0</v>
      </c>
      <c r="G2" s="182" t="s">
        <v>23</v>
      </c>
      <c r="H2" s="183"/>
      <c r="I2" s="184"/>
      <c r="J2" s="183">
        <f xml:space="preserve"> Time!J$25</f>
        <v>44196</v>
      </c>
      <c r="K2" s="183">
        <f xml:space="preserve"> Time!K$25</f>
        <v>44227</v>
      </c>
      <c r="L2" s="183">
        <f xml:space="preserve"> Time!L$25</f>
        <v>44255</v>
      </c>
      <c r="M2" s="183">
        <f xml:space="preserve"> Time!M$25</f>
        <v>44286</v>
      </c>
      <c r="N2" s="183">
        <f xml:space="preserve"> Time!N$25</f>
        <v>44316</v>
      </c>
      <c r="O2" s="183">
        <f xml:space="preserve"> Time!O$25</f>
        <v>44347</v>
      </c>
      <c r="P2" s="183">
        <f xml:space="preserve"> Time!P$25</f>
        <v>44377</v>
      </c>
      <c r="Q2" s="183">
        <f xml:space="preserve"> Time!Q$25</f>
        <v>44408</v>
      </c>
      <c r="R2" s="183">
        <f xml:space="preserve"> Time!R$25</f>
        <v>44439</v>
      </c>
      <c r="S2" s="183">
        <f xml:space="preserve"> Time!S$25</f>
        <v>44469</v>
      </c>
      <c r="T2" s="183">
        <f xml:space="preserve"> Time!T$25</f>
        <v>44500</v>
      </c>
      <c r="U2" s="183">
        <f xml:space="preserve"> Time!U$25</f>
        <v>44530</v>
      </c>
      <c r="V2" s="183">
        <f xml:space="preserve"> Time!V$25</f>
        <v>44561</v>
      </c>
      <c r="W2" s="183">
        <f xml:space="preserve"> Time!W$25</f>
        <v>44592</v>
      </c>
      <c r="X2" s="183">
        <f xml:space="preserve"> Time!X$25</f>
        <v>44620</v>
      </c>
      <c r="Y2" s="183">
        <f xml:space="preserve"> Time!Y$25</f>
        <v>44651</v>
      </c>
      <c r="Z2" s="183">
        <f xml:space="preserve"> Time!Z$25</f>
        <v>44681</v>
      </c>
      <c r="AA2" s="183">
        <f xml:space="preserve"> Time!AA$25</f>
        <v>44712</v>
      </c>
      <c r="AB2" s="183">
        <f xml:space="preserve"> Time!AB$25</f>
        <v>44742</v>
      </c>
      <c r="AC2" s="183">
        <f xml:space="preserve"> Time!AC$25</f>
        <v>44773</v>
      </c>
      <c r="AD2" s="183">
        <f xml:space="preserve"> Time!AD$25</f>
        <v>44804</v>
      </c>
      <c r="AE2" s="183">
        <f xml:space="preserve"> Time!AE$25</f>
        <v>44834</v>
      </c>
      <c r="AF2" s="183">
        <f xml:space="preserve"> Time!AF$25</f>
        <v>44865</v>
      </c>
      <c r="AG2" s="183">
        <f xml:space="preserve"> Time!AG$25</f>
        <v>44895</v>
      </c>
      <c r="AH2" s="183">
        <f xml:space="preserve"> Time!AH$25</f>
        <v>44926</v>
      </c>
      <c r="AI2" s="183">
        <f xml:space="preserve"> Time!AI$25</f>
        <v>44957</v>
      </c>
      <c r="AJ2" s="183">
        <f xml:space="preserve"> Time!AJ$25</f>
        <v>44985</v>
      </c>
      <c r="AK2" s="183">
        <f xml:space="preserve"> Time!AK$25</f>
        <v>45016</v>
      </c>
      <c r="AL2" s="183">
        <f xml:space="preserve"> Time!AL$25</f>
        <v>45046</v>
      </c>
      <c r="AM2" s="183">
        <f xml:space="preserve"> Time!AM$25</f>
        <v>45077</v>
      </c>
      <c r="AN2" s="183">
        <f xml:space="preserve"> Time!AN$25</f>
        <v>45107</v>
      </c>
      <c r="AO2" s="183">
        <f xml:space="preserve"> Time!AO$25</f>
        <v>45138</v>
      </c>
      <c r="AP2" s="183">
        <f xml:space="preserve"> Time!AP$25</f>
        <v>45169</v>
      </c>
      <c r="AQ2" s="183">
        <f xml:space="preserve"> Time!AQ$25</f>
        <v>45199</v>
      </c>
      <c r="AR2" s="183">
        <f xml:space="preserve"> Time!AR$25</f>
        <v>45230</v>
      </c>
      <c r="AS2" s="183">
        <f xml:space="preserve"> Time!AS$25</f>
        <v>45260</v>
      </c>
      <c r="AT2" s="183">
        <f xml:space="preserve"> Time!AT$25</f>
        <v>45291</v>
      </c>
      <c r="AU2" s="183">
        <f xml:space="preserve"> Time!AU$25</f>
        <v>45322</v>
      </c>
      <c r="AV2" s="183">
        <f xml:space="preserve"> Time!AV$25</f>
        <v>45351</v>
      </c>
      <c r="AW2" s="183">
        <f xml:space="preserve"> Time!AW$25</f>
        <v>45382</v>
      </c>
      <c r="AX2" s="183">
        <f xml:space="preserve"> Time!AX$25</f>
        <v>45412</v>
      </c>
      <c r="AY2" s="183">
        <f xml:space="preserve"> Time!AY$25</f>
        <v>45443</v>
      </c>
      <c r="AZ2" s="183">
        <f xml:space="preserve"> Time!AZ$25</f>
        <v>45473</v>
      </c>
      <c r="BA2" s="183">
        <f xml:space="preserve"> Time!BA$25</f>
        <v>45504</v>
      </c>
      <c r="BB2" s="183">
        <f xml:space="preserve"> Time!BB$25</f>
        <v>45535</v>
      </c>
      <c r="BC2" s="183">
        <f xml:space="preserve"> Time!BC$25</f>
        <v>45565</v>
      </c>
      <c r="BD2" s="183">
        <f xml:space="preserve"> Time!BD$25</f>
        <v>45596</v>
      </c>
      <c r="BE2" s="183">
        <f xml:space="preserve"> Time!BE$25</f>
        <v>45626</v>
      </c>
      <c r="BF2" s="183">
        <f xml:space="preserve"> Time!BF$25</f>
        <v>45657</v>
      </c>
      <c r="BG2" s="183">
        <f xml:space="preserve"> Time!BG$25</f>
        <v>45688</v>
      </c>
      <c r="BH2" s="183">
        <f xml:space="preserve"> Time!BH$25</f>
        <v>45716</v>
      </c>
      <c r="BI2" s="183">
        <f xml:space="preserve"> Time!BI$25</f>
        <v>45747</v>
      </c>
      <c r="BJ2" s="183">
        <f xml:space="preserve"> Time!BJ$25</f>
        <v>45777</v>
      </c>
      <c r="BK2" s="183">
        <f xml:space="preserve"> Time!BK$25</f>
        <v>45808</v>
      </c>
      <c r="BL2" s="183">
        <f xml:space="preserve"> Time!BL$25</f>
        <v>45838</v>
      </c>
      <c r="BM2" s="183">
        <f xml:space="preserve"> Time!BM$25</f>
        <v>45869</v>
      </c>
      <c r="BN2" s="183">
        <f xml:space="preserve"> Time!BN$25</f>
        <v>45900</v>
      </c>
      <c r="BO2" s="183">
        <f xml:space="preserve"> Time!BO$25</f>
        <v>45930</v>
      </c>
      <c r="BP2" s="183">
        <f xml:space="preserve"> Time!BP$25</f>
        <v>45961</v>
      </c>
      <c r="BQ2" s="183">
        <f xml:space="preserve"> Time!BQ$25</f>
        <v>45991</v>
      </c>
      <c r="BR2" s="183">
        <f xml:space="preserve"> Time!BR$25</f>
        <v>46022</v>
      </c>
      <c r="BS2" s="183">
        <f xml:space="preserve"> Time!BS$25</f>
        <v>46053</v>
      </c>
      <c r="BT2" s="183">
        <f xml:space="preserve"> Time!BT$25</f>
        <v>46081</v>
      </c>
      <c r="BU2" s="183">
        <f xml:space="preserve"> Time!BU$25</f>
        <v>46112</v>
      </c>
      <c r="BV2" s="183">
        <f xml:space="preserve"> Time!BV$25</f>
        <v>46142</v>
      </c>
      <c r="BW2" s="183">
        <f xml:space="preserve"> Time!BW$25</f>
        <v>46173</v>
      </c>
      <c r="BX2" s="183">
        <f xml:space="preserve"> Time!BX$25</f>
        <v>46203</v>
      </c>
      <c r="BY2" s="183">
        <f xml:space="preserve"> Time!BY$25</f>
        <v>46234</v>
      </c>
      <c r="BZ2" s="183">
        <f xml:space="preserve"> Time!BZ$25</f>
        <v>46265</v>
      </c>
      <c r="CA2" s="183">
        <f xml:space="preserve"> Time!CA$25</f>
        <v>46295</v>
      </c>
      <c r="CB2" s="183">
        <f xml:space="preserve"> Time!CB$25</f>
        <v>46326</v>
      </c>
      <c r="CC2" s="183">
        <f xml:space="preserve"> Time!CC$25</f>
        <v>46356</v>
      </c>
      <c r="CD2" s="183">
        <f xml:space="preserve"> Time!CD$25</f>
        <v>46387</v>
      </c>
    </row>
    <row r="3" spans="1:131" x14ac:dyDescent="0.35">
      <c r="A3" s="138"/>
      <c r="B3" s="138"/>
      <c r="C3" s="139"/>
      <c r="D3" s="140"/>
      <c r="E3" s="136" t="str">
        <f xml:space="preserve"> Time!E$57</f>
        <v>Timeline label</v>
      </c>
      <c r="F3" s="163" t="e">
        <f>#REF!</f>
        <v>#REF!</v>
      </c>
      <c r="G3" s="185" t="s">
        <v>25</v>
      </c>
      <c r="I3" s="137"/>
      <c r="J3" s="186" t="str">
        <f xml:space="preserve"> Time!J$57</f>
        <v>Pre-fcst</v>
      </c>
      <c r="K3" s="186" t="str">
        <f xml:space="preserve"> Time!K$57</f>
        <v>Pre-fcst</v>
      </c>
      <c r="L3" s="186" t="str">
        <f xml:space="preserve"> Time!L$57</f>
        <v>Pre-fcst</v>
      </c>
      <c r="M3" s="186" t="str">
        <f xml:space="preserve"> Time!M$57</f>
        <v>Fin Close</v>
      </c>
      <c r="N3" s="186" t="str">
        <f xml:space="preserve"> Time!N$57</f>
        <v>Operations</v>
      </c>
      <c r="O3" s="186" t="str">
        <f xml:space="preserve"> Time!O$57</f>
        <v>Operations</v>
      </c>
      <c r="P3" s="186" t="str">
        <f xml:space="preserve"> Time!P$57</f>
        <v>Operations</v>
      </c>
      <c r="Q3" s="186" t="str">
        <f xml:space="preserve"> Time!Q$57</f>
        <v>Operations</v>
      </c>
      <c r="R3" s="186" t="str">
        <f xml:space="preserve"> Time!R$57</f>
        <v>Operations</v>
      </c>
      <c r="S3" s="186" t="str">
        <f xml:space="preserve"> Time!S$57</f>
        <v>Operations</v>
      </c>
      <c r="T3" s="186" t="str">
        <f xml:space="preserve"> Time!T$57</f>
        <v>Operations</v>
      </c>
      <c r="U3" s="186" t="str">
        <f xml:space="preserve"> Time!U$57</f>
        <v>Operations</v>
      </c>
      <c r="V3" s="186" t="str">
        <f xml:space="preserve"> Time!V$57</f>
        <v>Operations</v>
      </c>
      <c r="W3" s="186" t="str">
        <f xml:space="preserve"> Time!W$57</f>
        <v>Operations</v>
      </c>
      <c r="X3" s="186" t="str">
        <f xml:space="preserve"> Time!X$57</f>
        <v>Operations</v>
      </c>
      <c r="Y3" s="186" t="str">
        <f xml:space="preserve"> Time!Y$57</f>
        <v>Operations</v>
      </c>
      <c r="Z3" s="186" t="str">
        <f xml:space="preserve"> Time!Z$57</f>
        <v>Operations</v>
      </c>
      <c r="AA3" s="186" t="str">
        <f xml:space="preserve"> Time!AA$57</f>
        <v>Operations</v>
      </c>
      <c r="AB3" s="186" t="str">
        <f xml:space="preserve"> Time!AB$57</f>
        <v>Operations</v>
      </c>
      <c r="AC3" s="186" t="str">
        <f xml:space="preserve"> Time!AC$57</f>
        <v>Operations</v>
      </c>
      <c r="AD3" s="186" t="str">
        <f xml:space="preserve"> Time!AD$57</f>
        <v>Operations</v>
      </c>
      <c r="AE3" s="186" t="str">
        <f xml:space="preserve"> Time!AE$57</f>
        <v>Operations</v>
      </c>
      <c r="AF3" s="186" t="str">
        <f xml:space="preserve"> Time!AF$57</f>
        <v>Operations</v>
      </c>
      <c r="AG3" s="186" t="str">
        <f xml:space="preserve"> Time!AG$57</f>
        <v>Operations</v>
      </c>
      <c r="AH3" s="186" t="str">
        <f xml:space="preserve"> Time!AH$57</f>
        <v>Operations</v>
      </c>
      <c r="AI3" s="186" t="str">
        <f xml:space="preserve"> Time!AI$57</f>
        <v>Operations</v>
      </c>
      <c r="AJ3" s="186" t="str">
        <f xml:space="preserve"> Time!AJ$57</f>
        <v>Operations</v>
      </c>
      <c r="AK3" s="186" t="str">
        <f xml:space="preserve"> Time!AK$57</f>
        <v>Operations</v>
      </c>
      <c r="AL3" s="186" t="str">
        <f xml:space="preserve"> Time!AL$57</f>
        <v>Operations</v>
      </c>
      <c r="AM3" s="186" t="str">
        <f xml:space="preserve"> Time!AM$57</f>
        <v>Operations</v>
      </c>
      <c r="AN3" s="186" t="str">
        <f xml:space="preserve"> Time!AN$57</f>
        <v>Operations</v>
      </c>
      <c r="AO3" s="186" t="str">
        <f xml:space="preserve"> Time!AO$57</f>
        <v>Operations</v>
      </c>
      <c r="AP3" s="186" t="str">
        <f xml:space="preserve"> Time!AP$57</f>
        <v>Operations</v>
      </c>
      <c r="AQ3" s="186" t="str">
        <f xml:space="preserve"> Time!AQ$57</f>
        <v>Operations</v>
      </c>
      <c r="AR3" s="186" t="str">
        <f xml:space="preserve"> Time!AR$57</f>
        <v>Operations</v>
      </c>
      <c r="AS3" s="186" t="str">
        <f xml:space="preserve"> Time!AS$57</f>
        <v>Operations</v>
      </c>
      <c r="AT3" s="186" t="str">
        <f xml:space="preserve"> Time!AT$57</f>
        <v>Operations</v>
      </c>
      <c r="AU3" s="186" t="str">
        <f xml:space="preserve"> Time!AU$57</f>
        <v>Operations</v>
      </c>
      <c r="AV3" s="186" t="str">
        <f xml:space="preserve"> Time!AV$57</f>
        <v>Operations</v>
      </c>
      <c r="AW3" s="186" t="str">
        <f xml:space="preserve"> Time!AW$57</f>
        <v>Operations</v>
      </c>
      <c r="AX3" s="186" t="str">
        <f xml:space="preserve"> Time!AX$57</f>
        <v>Operations</v>
      </c>
      <c r="AY3" s="186" t="str">
        <f xml:space="preserve"> Time!AY$57</f>
        <v>Operations</v>
      </c>
      <c r="AZ3" s="186" t="str">
        <f xml:space="preserve"> Time!AZ$57</f>
        <v>Operations</v>
      </c>
      <c r="BA3" s="186" t="str">
        <f xml:space="preserve"> Time!BA$57</f>
        <v>Operations</v>
      </c>
      <c r="BB3" s="186" t="str">
        <f xml:space="preserve"> Time!BB$57</f>
        <v>Operations</v>
      </c>
      <c r="BC3" s="186" t="str">
        <f xml:space="preserve"> Time!BC$57</f>
        <v>Operations</v>
      </c>
      <c r="BD3" s="186" t="str">
        <f xml:space="preserve"> Time!BD$57</f>
        <v>Operations</v>
      </c>
      <c r="BE3" s="186" t="str">
        <f xml:space="preserve"> Time!BE$57</f>
        <v>Operations</v>
      </c>
      <c r="BF3" s="186" t="str">
        <f xml:space="preserve"> Time!BF$57</f>
        <v>Operations</v>
      </c>
      <c r="BG3" s="186" t="str">
        <f xml:space="preserve"> Time!BG$57</f>
        <v>Operations</v>
      </c>
      <c r="BH3" s="186" t="str">
        <f xml:space="preserve"> Time!BH$57</f>
        <v>Operations</v>
      </c>
      <c r="BI3" s="186" t="str">
        <f xml:space="preserve"> Time!BI$57</f>
        <v>Operations</v>
      </c>
      <c r="BJ3" s="186" t="str">
        <f xml:space="preserve"> Time!BJ$57</f>
        <v>Operations</v>
      </c>
      <c r="BK3" s="186" t="str">
        <f xml:space="preserve"> Time!BK$57</f>
        <v>Operations</v>
      </c>
      <c r="BL3" s="186" t="str">
        <f xml:space="preserve"> Time!BL$57</f>
        <v>Operations</v>
      </c>
      <c r="BM3" s="186" t="str">
        <f xml:space="preserve"> Time!BM$57</f>
        <v>Operations</v>
      </c>
      <c r="BN3" s="186" t="str">
        <f xml:space="preserve"> Time!BN$57</f>
        <v>Operations</v>
      </c>
      <c r="BO3" s="186" t="str">
        <f xml:space="preserve"> Time!BO$57</f>
        <v>Operations</v>
      </c>
      <c r="BP3" s="186" t="str">
        <f xml:space="preserve"> Time!BP$57</f>
        <v>Operations</v>
      </c>
      <c r="BQ3" s="186" t="str">
        <f xml:space="preserve"> Time!BQ$57</f>
        <v>Operations</v>
      </c>
      <c r="BR3" s="186" t="str">
        <f xml:space="preserve"> Time!BR$57</f>
        <v>Operations</v>
      </c>
      <c r="BS3" s="186" t="str">
        <f xml:space="preserve"> Time!BS$57</f>
        <v>Operations</v>
      </c>
      <c r="BT3" s="186" t="str">
        <f xml:space="preserve"> Time!BT$57</f>
        <v>Operations</v>
      </c>
      <c r="BU3" s="186" t="str">
        <f xml:space="preserve"> Time!BU$57</f>
        <v>Operations</v>
      </c>
      <c r="BV3" s="186" t="str">
        <f xml:space="preserve"> Time!BV$57</f>
        <v>Post ops</v>
      </c>
      <c r="BW3" s="186" t="str">
        <f xml:space="preserve"> Time!BW$57</f>
        <v>Post ops</v>
      </c>
      <c r="BX3" s="186" t="str">
        <f xml:space="preserve"> Time!BX$57</f>
        <v>Post ops</v>
      </c>
      <c r="BY3" s="186" t="str">
        <f xml:space="preserve"> Time!BY$57</f>
        <v>Post ops</v>
      </c>
      <c r="BZ3" s="186" t="str">
        <f xml:space="preserve"> Time!BZ$57</f>
        <v>Post ops</v>
      </c>
      <c r="CA3" s="186" t="str">
        <f xml:space="preserve"> Time!CA$57</f>
        <v>Post ops</v>
      </c>
      <c r="CB3" s="186" t="str">
        <f xml:space="preserve"> Time!CB$57</f>
        <v>Post ops</v>
      </c>
      <c r="CC3" s="186" t="str">
        <f xml:space="preserve"> Time!CC$57</f>
        <v>Post ops</v>
      </c>
      <c r="CD3" s="186" t="str">
        <f xml:space="preserve"> Time!CD$57</f>
        <v>Post ops</v>
      </c>
    </row>
    <row r="4" spans="1:131" x14ac:dyDescent="0.35">
      <c r="A4" s="138"/>
      <c r="B4" s="138"/>
      <c r="C4" s="139"/>
      <c r="D4" s="140"/>
      <c r="E4" s="187" t="str">
        <f xml:space="preserve"> Time!E$42</f>
        <v>Contract year</v>
      </c>
      <c r="F4" s="163">
        <f xml:space="preserve"> Check!$F$20</f>
        <v>0</v>
      </c>
      <c r="G4" s="185" t="s">
        <v>24</v>
      </c>
      <c r="I4" s="137"/>
      <c r="J4" s="187">
        <f xml:space="preserve"> Time!J$42</f>
        <v>2020</v>
      </c>
      <c r="K4" s="187">
        <f xml:space="preserve"> Time!K$42</f>
        <v>2020</v>
      </c>
      <c r="L4" s="187">
        <f xml:space="preserve"> Time!L$42</f>
        <v>2020</v>
      </c>
      <c r="M4" s="187">
        <f xml:space="preserve"> Time!M$42</f>
        <v>2020</v>
      </c>
      <c r="N4" s="187">
        <f xml:space="preserve"> Time!N$42</f>
        <v>2021</v>
      </c>
      <c r="O4" s="187">
        <f xml:space="preserve"> Time!O$42</f>
        <v>2021</v>
      </c>
      <c r="P4" s="187">
        <f xml:space="preserve"> Time!P$42</f>
        <v>2021</v>
      </c>
      <c r="Q4" s="187">
        <f xml:space="preserve"> Time!Q$42</f>
        <v>2021</v>
      </c>
      <c r="R4" s="187">
        <f xml:space="preserve"> Time!R$42</f>
        <v>2021</v>
      </c>
      <c r="S4" s="187">
        <f xml:space="preserve"> Time!S$42</f>
        <v>2021</v>
      </c>
      <c r="T4" s="187">
        <f xml:space="preserve"> Time!T$42</f>
        <v>2021</v>
      </c>
      <c r="U4" s="187">
        <f xml:space="preserve"> Time!U$42</f>
        <v>2021</v>
      </c>
      <c r="V4" s="187">
        <f xml:space="preserve"> Time!V$42</f>
        <v>2021</v>
      </c>
      <c r="W4" s="187">
        <f xml:space="preserve"> Time!W$42</f>
        <v>2021</v>
      </c>
      <c r="X4" s="187">
        <f xml:space="preserve"> Time!X$42</f>
        <v>2021</v>
      </c>
      <c r="Y4" s="187">
        <f xml:space="preserve"> Time!Y$42</f>
        <v>2021</v>
      </c>
      <c r="Z4" s="187">
        <f xml:space="preserve"> Time!Z$42</f>
        <v>2022</v>
      </c>
      <c r="AA4" s="187">
        <f xml:space="preserve"> Time!AA$42</f>
        <v>2022</v>
      </c>
      <c r="AB4" s="187">
        <f xml:space="preserve"> Time!AB$42</f>
        <v>2022</v>
      </c>
      <c r="AC4" s="187">
        <f xml:space="preserve"> Time!AC$42</f>
        <v>2022</v>
      </c>
      <c r="AD4" s="187">
        <f xml:space="preserve"> Time!AD$42</f>
        <v>2022</v>
      </c>
      <c r="AE4" s="187">
        <f xml:space="preserve"> Time!AE$42</f>
        <v>2022</v>
      </c>
      <c r="AF4" s="187">
        <f xml:space="preserve"> Time!AF$42</f>
        <v>2022</v>
      </c>
      <c r="AG4" s="187">
        <f xml:space="preserve"> Time!AG$42</f>
        <v>2022</v>
      </c>
      <c r="AH4" s="187">
        <f xml:space="preserve"> Time!AH$42</f>
        <v>2022</v>
      </c>
      <c r="AI4" s="187">
        <f xml:space="preserve"> Time!AI$42</f>
        <v>2022</v>
      </c>
      <c r="AJ4" s="187">
        <f xml:space="preserve"> Time!AJ$42</f>
        <v>2022</v>
      </c>
      <c r="AK4" s="187">
        <f xml:space="preserve"> Time!AK$42</f>
        <v>2022</v>
      </c>
      <c r="AL4" s="187">
        <f xml:space="preserve"> Time!AL$42</f>
        <v>2023</v>
      </c>
      <c r="AM4" s="187">
        <f xml:space="preserve"> Time!AM$42</f>
        <v>2023</v>
      </c>
      <c r="AN4" s="187">
        <f xml:space="preserve"> Time!AN$42</f>
        <v>2023</v>
      </c>
      <c r="AO4" s="187">
        <f xml:space="preserve"> Time!AO$42</f>
        <v>2023</v>
      </c>
      <c r="AP4" s="187">
        <f xml:space="preserve"> Time!AP$42</f>
        <v>2023</v>
      </c>
      <c r="AQ4" s="187">
        <f xml:space="preserve"> Time!AQ$42</f>
        <v>2023</v>
      </c>
      <c r="AR4" s="187">
        <f xml:space="preserve"> Time!AR$42</f>
        <v>2023</v>
      </c>
      <c r="AS4" s="187">
        <f xml:space="preserve"> Time!AS$42</f>
        <v>2023</v>
      </c>
      <c r="AT4" s="187">
        <f xml:space="preserve"> Time!AT$42</f>
        <v>2023</v>
      </c>
      <c r="AU4" s="187">
        <f xml:space="preserve"> Time!AU$42</f>
        <v>2023</v>
      </c>
      <c r="AV4" s="187">
        <f xml:space="preserve"> Time!AV$42</f>
        <v>2023</v>
      </c>
      <c r="AW4" s="187">
        <f xml:space="preserve"> Time!AW$42</f>
        <v>2023</v>
      </c>
      <c r="AX4" s="187">
        <f xml:space="preserve"> Time!AX$42</f>
        <v>2024</v>
      </c>
      <c r="AY4" s="187">
        <f xml:space="preserve"> Time!AY$42</f>
        <v>2024</v>
      </c>
      <c r="AZ4" s="187">
        <f xml:space="preserve"> Time!AZ$42</f>
        <v>2024</v>
      </c>
      <c r="BA4" s="187">
        <f xml:space="preserve"> Time!BA$42</f>
        <v>2024</v>
      </c>
      <c r="BB4" s="187">
        <f xml:space="preserve"> Time!BB$42</f>
        <v>2024</v>
      </c>
      <c r="BC4" s="187">
        <f xml:space="preserve"> Time!BC$42</f>
        <v>2024</v>
      </c>
      <c r="BD4" s="187">
        <f xml:space="preserve"> Time!BD$42</f>
        <v>2024</v>
      </c>
      <c r="BE4" s="187">
        <f xml:space="preserve"> Time!BE$42</f>
        <v>2024</v>
      </c>
      <c r="BF4" s="187">
        <f xml:space="preserve"> Time!BF$42</f>
        <v>2024</v>
      </c>
      <c r="BG4" s="187">
        <f xml:space="preserve"> Time!BG$42</f>
        <v>2024</v>
      </c>
      <c r="BH4" s="187">
        <f xml:space="preserve"> Time!BH$42</f>
        <v>2024</v>
      </c>
      <c r="BI4" s="187">
        <f xml:space="preserve"> Time!BI$42</f>
        <v>2024</v>
      </c>
      <c r="BJ4" s="187">
        <f xml:space="preserve"> Time!BJ$42</f>
        <v>2025</v>
      </c>
      <c r="BK4" s="187">
        <f xml:space="preserve"> Time!BK$42</f>
        <v>2025</v>
      </c>
      <c r="BL4" s="187">
        <f xml:space="preserve"> Time!BL$42</f>
        <v>2025</v>
      </c>
      <c r="BM4" s="187">
        <f xml:space="preserve"> Time!BM$42</f>
        <v>2025</v>
      </c>
      <c r="BN4" s="187">
        <f xml:space="preserve"> Time!BN$42</f>
        <v>2025</v>
      </c>
      <c r="BO4" s="187">
        <f xml:space="preserve"> Time!BO$42</f>
        <v>2025</v>
      </c>
      <c r="BP4" s="187">
        <f xml:space="preserve"> Time!BP$42</f>
        <v>2025</v>
      </c>
      <c r="BQ4" s="187">
        <f xml:space="preserve"> Time!BQ$42</f>
        <v>2025</v>
      </c>
      <c r="BR4" s="187">
        <f xml:space="preserve"> Time!BR$42</f>
        <v>2025</v>
      </c>
      <c r="BS4" s="187">
        <f xml:space="preserve"> Time!BS$42</f>
        <v>2025</v>
      </c>
      <c r="BT4" s="187">
        <f xml:space="preserve"> Time!BT$42</f>
        <v>2025</v>
      </c>
      <c r="BU4" s="187">
        <f xml:space="preserve"> Time!BU$42</f>
        <v>2025</v>
      </c>
      <c r="BV4" s="187">
        <f xml:space="preserve"> Time!BV$42</f>
        <v>2026</v>
      </c>
      <c r="BW4" s="187">
        <f xml:space="preserve"> Time!BW$42</f>
        <v>2026</v>
      </c>
      <c r="BX4" s="187">
        <f xml:space="preserve"> Time!BX$42</f>
        <v>2026</v>
      </c>
      <c r="BY4" s="187">
        <f xml:space="preserve"> Time!BY$42</f>
        <v>2026</v>
      </c>
      <c r="BZ4" s="187">
        <f xml:space="preserve"> Time!BZ$42</f>
        <v>2026</v>
      </c>
      <c r="CA4" s="187">
        <f xml:space="preserve"> Time!CA$42</f>
        <v>2026</v>
      </c>
      <c r="CB4" s="187">
        <f xml:space="preserve"> Time!CB$42</f>
        <v>2026</v>
      </c>
      <c r="CC4" s="187">
        <f xml:space="preserve"> Time!CC$42</f>
        <v>2026</v>
      </c>
      <c r="CD4" s="187">
        <f xml:space="preserve"> Time!CD$42</f>
        <v>2026</v>
      </c>
    </row>
    <row r="5" spans="1:131" x14ac:dyDescent="0.35">
      <c r="A5" s="138"/>
      <c r="B5" s="138"/>
      <c r="C5" s="139"/>
      <c r="D5" s="140"/>
      <c r="E5" s="136" t="str">
        <f xml:space="preserve"> Time!E$10</f>
        <v>Model column counter</v>
      </c>
      <c r="F5" s="188" t="s">
        <v>19</v>
      </c>
      <c r="G5" s="189" t="s">
        <v>17</v>
      </c>
      <c r="H5" s="188" t="s">
        <v>18</v>
      </c>
      <c r="I5" s="137"/>
      <c r="J5" s="136">
        <f xml:space="preserve"> Time!J$10</f>
        <v>1</v>
      </c>
      <c r="K5" s="136">
        <f xml:space="preserve"> Time!K$10</f>
        <v>2</v>
      </c>
      <c r="L5" s="136">
        <f xml:space="preserve"> Time!L$10</f>
        <v>3</v>
      </c>
      <c r="M5" s="136">
        <f xml:space="preserve"> Time!M$10</f>
        <v>4</v>
      </c>
      <c r="N5" s="136">
        <f xml:space="preserve"> Time!N$10</f>
        <v>5</v>
      </c>
      <c r="O5" s="136">
        <f xml:space="preserve"> Time!O$10</f>
        <v>6</v>
      </c>
      <c r="P5" s="136">
        <f xml:space="preserve"> Time!P$10</f>
        <v>7</v>
      </c>
      <c r="Q5" s="136">
        <f xml:space="preserve"> Time!Q$10</f>
        <v>8</v>
      </c>
      <c r="R5" s="136">
        <f xml:space="preserve"> Time!R$10</f>
        <v>9</v>
      </c>
      <c r="S5" s="136">
        <f xml:space="preserve"> Time!S$10</f>
        <v>10</v>
      </c>
      <c r="T5" s="136">
        <f xml:space="preserve"> Time!T$10</f>
        <v>11</v>
      </c>
      <c r="U5" s="136">
        <f xml:space="preserve"> Time!U$10</f>
        <v>12</v>
      </c>
      <c r="V5" s="136">
        <f xml:space="preserve"> Time!V$10</f>
        <v>13</v>
      </c>
      <c r="W5" s="136">
        <f xml:space="preserve"> Time!W$10</f>
        <v>14</v>
      </c>
      <c r="X5" s="136">
        <f xml:space="preserve"> Time!X$10</f>
        <v>15</v>
      </c>
      <c r="Y5" s="136">
        <f xml:space="preserve"> Time!Y$10</f>
        <v>16</v>
      </c>
      <c r="Z5" s="136">
        <f xml:space="preserve"> Time!Z$10</f>
        <v>17</v>
      </c>
      <c r="AA5" s="136">
        <f xml:space="preserve"> Time!AA$10</f>
        <v>18</v>
      </c>
      <c r="AB5" s="136">
        <f xml:space="preserve"> Time!AB$10</f>
        <v>19</v>
      </c>
      <c r="AC5" s="136">
        <f xml:space="preserve"> Time!AC$10</f>
        <v>20</v>
      </c>
      <c r="AD5" s="136">
        <f xml:space="preserve"> Time!AD$10</f>
        <v>21</v>
      </c>
      <c r="AE5" s="136">
        <f xml:space="preserve"> Time!AE$10</f>
        <v>22</v>
      </c>
      <c r="AF5" s="136">
        <f xml:space="preserve"> Time!AF$10</f>
        <v>23</v>
      </c>
      <c r="AG5" s="136">
        <f xml:space="preserve"> Time!AG$10</f>
        <v>24</v>
      </c>
      <c r="AH5" s="136">
        <f xml:space="preserve"> Time!AH$10</f>
        <v>25</v>
      </c>
      <c r="AI5" s="136">
        <f xml:space="preserve"> Time!AI$10</f>
        <v>26</v>
      </c>
      <c r="AJ5" s="136">
        <f xml:space="preserve"> Time!AJ$10</f>
        <v>27</v>
      </c>
      <c r="AK5" s="136">
        <f xml:space="preserve"> Time!AK$10</f>
        <v>28</v>
      </c>
      <c r="AL5" s="136">
        <f xml:space="preserve"> Time!AL$10</f>
        <v>29</v>
      </c>
      <c r="AM5" s="136">
        <f xml:space="preserve"> Time!AM$10</f>
        <v>30</v>
      </c>
      <c r="AN5" s="136">
        <f xml:space="preserve"> Time!AN$10</f>
        <v>31</v>
      </c>
      <c r="AO5" s="136">
        <f xml:space="preserve"> Time!AO$10</f>
        <v>32</v>
      </c>
      <c r="AP5" s="136">
        <f xml:space="preserve"> Time!AP$10</f>
        <v>33</v>
      </c>
      <c r="AQ5" s="136">
        <f xml:space="preserve"> Time!AQ$10</f>
        <v>34</v>
      </c>
      <c r="AR5" s="136">
        <f xml:space="preserve"> Time!AR$10</f>
        <v>35</v>
      </c>
      <c r="AS5" s="136">
        <f xml:space="preserve"> Time!AS$10</f>
        <v>36</v>
      </c>
      <c r="AT5" s="136">
        <f xml:space="preserve"> Time!AT$10</f>
        <v>37</v>
      </c>
      <c r="AU5" s="136">
        <f xml:space="preserve"> Time!AU$10</f>
        <v>38</v>
      </c>
      <c r="AV5" s="136">
        <f xml:space="preserve"> Time!AV$10</f>
        <v>39</v>
      </c>
      <c r="AW5" s="136">
        <f xml:space="preserve"> Time!AW$10</f>
        <v>40</v>
      </c>
      <c r="AX5" s="136">
        <f xml:space="preserve"> Time!AX$10</f>
        <v>41</v>
      </c>
      <c r="AY5" s="136">
        <f xml:space="preserve"> Time!AY$10</f>
        <v>42</v>
      </c>
      <c r="AZ5" s="136">
        <f xml:space="preserve"> Time!AZ$10</f>
        <v>43</v>
      </c>
      <c r="BA5" s="136">
        <f xml:space="preserve"> Time!BA$10</f>
        <v>44</v>
      </c>
      <c r="BB5" s="136">
        <f xml:space="preserve"> Time!BB$10</f>
        <v>45</v>
      </c>
      <c r="BC5" s="136">
        <f xml:space="preserve"> Time!BC$10</f>
        <v>46</v>
      </c>
      <c r="BD5" s="136">
        <f xml:space="preserve"> Time!BD$10</f>
        <v>47</v>
      </c>
      <c r="BE5" s="136">
        <f xml:space="preserve"> Time!BE$10</f>
        <v>48</v>
      </c>
      <c r="BF5" s="136">
        <f xml:space="preserve"> Time!BF$10</f>
        <v>49</v>
      </c>
      <c r="BG5" s="136">
        <f xml:space="preserve"> Time!BG$10</f>
        <v>50</v>
      </c>
      <c r="BH5" s="136">
        <f xml:space="preserve"> Time!BH$10</f>
        <v>51</v>
      </c>
      <c r="BI5" s="136">
        <f xml:space="preserve"> Time!BI$10</f>
        <v>52</v>
      </c>
      <c r="BJ5" s="136">
        <f xml:space="preserve"> Time!BJ$10</f>
        <v>53</v>
      </c>
      <c r="BK5" s="136">
        <f xml:space="preserve"> Time!BK$10</f>
        <v>54</v>
      </c>
      <c r="BL5" s="136">
        <f xml:space="preserve"> Time!BL$10</f>
        <v>55</v>
      </c>
      <c r="BM5" s="136">
        <f xml:space="preserve"> Time!BM$10</f>
        <v>56</v>
      </c>
      <c r="BN5" s="136">
        <f xml:space="preserve"> Time!BN$10</f>
        <v>57</v>
      </c>
      <c r="BO5" s="136">
        <f xml:space="preserve"> Time!BO$10</f>
        <v>58</v>
      </c>
      <c r="BP5" s="136">
        <f xml:space="preserve"> Time!BP$10</f>
        <v>59</v>
      </c>
      <c r="BQ5" s="136">
        <f xml:space="preserve"> Time!BQ$10</f>
        <v>60</v>
      </c>
      <c r="BR5" s="136">
        <f xml:space="preserve"> Time!BR$10</f>
        <v>61</v>
      </c>
      <c r="BS5" s="136">
        <f xml:space="preserve"> Time!BS$10</f>
        <v>62</v>
      </c>
      <c r="BT5" s="136">
        <f xml:space="preserve"> Time!BT$10</f>
        <v>63</v>
      </c>
      <c r="BU5" s="136">
        <f xml:space="preserve"> Time!BU$10</f>
        <v>64</v>
      </c>
      <c r="BV5" s="136">
        <f xml:space="preserve"> Time!BV$10</f>
        <v>65</v>
      </c>
      <c r="BW5" s="136">
        <f xml:space="preserve"> Time!BW$10</f>
        <v>66</v>
      </c>
      <c r="BX5" s="136">
        <f xml:space="preserve"> Time!BX$10</f>
        <v>67</v>
      </c>
      <c r="BY5" s="136">
        <f xml:space="preserve"> Time!BY$10</f>
        <v>68</v>
      </c>
      <c r="BZ5" s="136">
        <f xml:space="preserve"> Time!BZ$10</f>
        <v>69</v>
      </c>
      <c r="CA5" s="136">
        <f xml:space="preserve"> Time!CA$10</f>
        <v>70</v>
      </c>
      <c r="CB5" s="136">
        <f xml:space="preserve"> Time!CB$10</f>
        <v>71</v>
      </c>
      <c r="CC5" s="136">
        <f xml:space="preserve"> Time!CC$10</f>
        <v>72</v>
      </c>
      <c r="CD5" s="136">
        <f xml:space="preserve"> Time!CD$10</f>
        <v>73</v>
      </c>
    </row>
    <row r="7" spans="1:131" x14ac:dyDescent="0.35">
      <c r="A7" s="107" t="s">
        <v>50</v>
      </c>
    </row>
    <row r="8" spans="1:131" outlineLevel="1" x14ac:dyDescent="0.35"/>
    <row r="9" spans="1:131" s="68" customFormat="1" outlineLevel="1" x14ac:dyDescent="0.35">
      <c r="A9" s="108"/>
      <c r="B9" s="108"/>
      <c r="C9" s="109"/>
      <c r="D9" s="112"/>
      <c r="E9" s="345" t="str">
        <f xml:space="preserve"> Ops!E$46</f>
        <v>Electricity revenue</v>
      </c>
      <c r="F9" s="345">
        <f xml:space="preserve"> Ops!F$46</f>
        <v>0</v>
      </c>
      <c r="G9" s="345" t="str">
        <f xml:space="preserve"> Ops!G$46</f>
        <v>$ 000s</v>
      </c>
      <c r="H9" s="345">
        <f xml:space="preserve"> Ops!H$46</f>
        <v>78032.187836641722</v>
      </c>
      <c r="I9" s="345">
        <f xml:space="preserve"> Ops!I$46</f>
        <v>0</v>
      </c>
      <c r="J9" s="345">
        <f xml:space="preserve"> Ops!J$46</f>
        <v>0</v>
      </c>
      <c r="K9" s="345">
        <f xml:space="preserve"> Ops!K$46</f>
        <v>0</v>
      </c>
      <c r="L9" s="345">
        <f xml:space="preserve"> Ops!L$46</f>
        <v>0</v>
      </c>
      <c r="M9" s="345">
        <f xml:space="preserve"> Ops!M$46</f>
        <v>0</v>
      </c>
      <c r="N9" s="345">
        <f xml:space="preserve"> Ops!N$46</f>
        <v>1119.1374999999998</v>
      </c>
      <c r="O9" s="345">
        <f xml:space="preserve"> Ops!O$46</f>
        <v>1434.3875</v>
      </c>
      <c r="P9" s="345">
        <f xml:space="preserve"> Ops!P$46</f>
        <v>1607.7749999999999</v>
      </c>
      <c r="Q9" s="345">
        <f xml:space="preserve"> Ops!Q$46</f>
        <v>1952.7827419199425</v>
      </c>
      <c r="R9" s="345">
        <f xml:space="preserve"> Ops!R$46</f>
        <v>2238.2749999999996</v>
      </c>
      <c r="S9" s="345">
        <f xml:space="preserve"> Ops!S$46</f>
        <v>2080.65</v>
      </c>
      <c r="T9" s="345">
        <f xml:space="preserve"> Ops!T$46</f>
        <v>1607.7749999999999</v>
      </c>
      <c r="U9" s="345">
        <f xml:space="preserve"> Ops!U$46</f>
        <v>961.51250000000005</v>
      </c>
      <c r="V9" s="345">
        <f xml:space="preserve"> Ops!V$46</f>
        <v>646.26250000000005</v>
      </c>
      <c r="W9" s="345">
        <f xml:space="preserve"> Ops!W$46</f>
        <v>553.45475808006029</v>
      </c>
      <c r="X9" s="345">
        <f xml:space="preserve"> Ops!X$46</f>
        <v>740.83750000000009</v>
      </c>
      <c r="Y9" s="345">
        <f xml:space="preserve"> Ops!Y$46</f>
        <v>819.65</v>
      </c>
      <c r="Z9" s="345">
        <f xml:space="preserve"> Ops!Z$46</f>
        <v>1113.5696517412935</v>
      </c>
      <c r="AA9" s="345">
        <f xml:space="preserve"> Ops!AA$46</f>
        <v>1427.2512437810947</v>
      </c>
      <c r="AB9" s="345">
        <f xml:space="preserve"> Ops!AB$46</f>
        <v>1599.7761194029854</v>
      </c>
      <c r="AC9" s="345">
        <f xml:space="preserve"> Ops!AC$46</f>
        <v>1943.0674048954654</v>
      </c>
      <c r="AD9" s="345">
        <f xml:space="preserve"> Ops!AD$46</f>
        <v>2227.1393034825869</v>
      </c>
      <c r="AE9" s="345">
        <f xml:space="preserve"> Ops!AE$46</f>
        <v>2070.2985074626872</v>
      </c>
      <c r="AF9" s="345">
        <f xml:space="preserve"> Ops!AF$46</f>
        <v>1599.7761194029854</v>
      </c>
      <c r="AG9" s="345">
        <f xml:space="preserve"> Ops!AG$46</f>
        <v>956.72885572139319</v>
      </c>
      <c r="AH9" s="345">
        <f xml:space="preserve"> Ops!AH$46</f>
        <v>643.0472636815922</v>
      </c>
      <c r="AI9" s="345">
        <f xml:space="preserve"> Ops!AI$46</f>
        <v>550.70125182095558</v>
      </c>
      <c r="AJ9" s="345">
        <f xml:space="preserve"> Ops!AJ$46</f>
        <v>737.1517412935325</v>
      </c>
      <c r="AK9" s="345">
        <f xml:space="preserve"> Ops!AK$46</f>
        <v>815.57213930348269</v>
      </c>
      <c r="AL9" s="345">
        <f xml:space="preserve"> Ops!AL$46</f>
        <v>1108.0295042201928</v>
      </c>
      <c r="AM9" s="345">
        <f xml:space="preserve"> Ops!AM$46</f>
        <v>1420.1504913244726</v>
      </c>
      <c r="AN9" s="345">
        <f xml:space="preserve"> Ops!AN$46</f>
        <v>1591.8170342318265</v>
      </c>
      <c r="AO9" s="345">
        <f xml:space="preserve"> Ops!AO$46</f>
        <v>1933.4004028810605</v>
      </c>
      <c r="AP9" s="345">
        <f xml:space="preserve"> Ops!AP$46</f>
        <v>2216.0590084403857</v>
      </c>
      <c r="AQ9" s="345">
        <f xml:space="preserve"> Ops!AQ$46</f>
        <v>2059.9985148882461</v>
      </c>
      <c r="AR9" s="345">
        <f xml:space="preserve"> Ops!AR$46</f>
        <v>1591.8170342318265</v>
      </c>
      <c r="AS9" s="345">
        <f xml:space="preserve"> Ops!AS$46</f>
        <v>951.9690106680531</v>
      </c>
      <c r="AT9" s="345">
        <f xml:space="preserve"> Ops!AT$46</f>
        <v>639.84802356377338</v>
      </c>
      <c r="AU9" s="345">
        <f xml:space="preserve"> Ops!AU$46</f>
        <v>547.96144459796585</v>
      </c>
      <c r="AV9" s="345">
        <f xml:space="preserve"> Ops!AV$46</f>
        <v>733.48431969505725</v>
      </c>
      <c r="AW9" s="345">
        <f xml:space="preserve"> Ops!AW$46</f>
        <v>811.51456647112718</v>
      </c>
      <c r="AX9" s="345">
        <f xml:space="preserve"> Ops!AX$46</f>
        <v>1102.5169196220825</v>
      </c>
      <c r="AY9" s="345">
        <f xml:space="preserve"> Ops!AY$46</f>
        <v>1413.0850659945002</v>
      </c>
      <c r="AZ9" s="345">
        <f xml:space="preserve"> Ops!AZ$46</f>
        <v>1583.8975464993296</v>
      </c>
      <c r="BA9" s="345">
        <f xml:space="preserve"> Ops!BA$46</f>
        <v>1923.7814954040405</v>
      </c>
      <c r="BB9" s="345">
        <f xml:space="preserve"> Ops!BB$46</f>
        <v>2205.0338392441649</v>
      </c>
      <c r="BC9" s="345">
        <f xml:space="preserve"> Ops!BC$46</f>
        <v>2049.7497660579565</v>
      </c>
      <c r="BD9" s="345">
        <f xml:space="preserve"> Ops!BD$46</f>
        <v>1583.8975464993296</v>
      </c>
      <c r="BE9" s="345">
        <f xml:space="preserve"> Ops!BE$46</f>
        <v>947.23284643587374</v>
      </c>
      <c r="BF9" s="345">
        <f xml:space="preserve"> Ops!BF$46</f>
        <v>636.66470006345617</v>
      </c>
      <c r="BG9" s="345">
        <f xml:space="preserve"> Ops!BG$46</f>
        <v>545.23526825668239</v>
      </c>
      <c r="BH9" s="345">
        <f xml:space="preserve"> Ops!BH$46</f>
        <v>729.8351439751815</v>
      </c>
      <c r="BI9" s="345">
        <f xml:space="preserve"> Ops!BI$46</f>
        <v>807.4771805682858</v>
      </c>
      <c r="BJ9" s="345">
        <f xml:space="preserve"> Ops!BJ$46</f>
        <v>1097.0317608179928</v>
      </c>
      <c r="BK9" s="345">
        <f xml:space="preserve"> Ops!BK$46</f>
        <v>1406.0547920343288</v>
      </c>
      <c r="BL9" s="345">
        <f xml:space="preserve"> Ops!BL$46</f>
        <v>1576.0174592033136</v>
      </c>
      <c r="BM9" s="345">
        <f xml:space="preserve"> Ops!BM$46</f>
        <v>1914.2104431881005</v>
      </c>
      <c r="BN9" s="345">
        <f xml:space="preserve"> Ops!BN$46</f>
        <v>2194.0635216359856</v>
      </c>
      <c r="BO9" s="345">
        <f xml:space="preserve"> Ops!BO$46</f>
        <v>2039.5520060278179</v>
      </c>
      <c r="BP9" s="345">
        <f xml:space="preserve"> Ops!BP$46</f>
        <v>1576.0174592033136</v>
      </c>
      <c r="BQ9" s="345">
        <f xml:space="preserve"> Ops!BQ$46</f>
        <v>942.52024520982491</v>
      </c>
      <c r="BR9" s="345">
        <f xml:space="preserve"> Ops!BR$46</f>
        <v>633.49721399348891</v>
      </c>
      <c r="BS9" s="345">
        <f xml:space="preserve"> Ops!BS$46</f>
        <v>542.5226549817736</v>
      </c>
      <c r="BT9" s="345">
        <f xml:space="preserve"> Ops!BT$46</f>
        <v>726.20412335838967</v>
      </c>
      <c r="BU9" s="345">
        <f xml:space="preserve"> Ops!BU$46</f>
        <v>803.45988116247361</v>
      </c>
      <c r="BV9" s="345">
        <f xml:space="preserve"> Ops!BV$46</f>
        <v>0</v>
      </c>
      <c r="BW9" s="345">
        <f xml:space="preserve"> Ops!BW$46</f>
        <v>0</v>
      </c>
      <c r="BX9" s="345">
        <f xml:space="preserve"> Ops!BX$46</f>
        <v>0</v>
      </c>
      <c r="BY9" s="345">
        <f xml:space="preserve"> Ops!BY$46</f>
        <v>0</v>
      </c>
      <c r="BZ9" s="345">
        <f xml:space="preserve"> Ops!BZ$46</f>
        <v>0</v>
      </c>
      <c r="CA9" s="345">
        <f xml:space="preserve"> Ops!CA$46</f>
        <v>0</v>
      </c>
      <c r="CB9" s="345">
        <f xml:space="preserve"> Ops!CB$46</f>
        <v>0</v>
      </c>
      <c r="CC9" s="345">
        <f xml:space="preserve"> Ops!CC$46</f>
        <v>0</v>
      </c>
      <c r="CD9" s="345">
        <f xml:space="preserve"> Ops!CD$46</f>
        <v>0</v>
      </c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</row>
    <row r="10" spans="1:131" outlineLevel="1" x14ac:dyDescent="0.35">
      <c r="A10" s="108"/>
      <c r="D10" s="112"/>
      <c r="E10" s="213" t="s">
        <v>109</v>
      </c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  <c r="BV10" s="213"/>
      <c r="BW10" s="213"/>
      <c r="BX10" s="213"/>
      <c r="BY10" s="213"/>
      <c r="BZ10" s="213"/>
      <c r="CA10" s="213"/>
      <c r="CB10" s="213"/>
      <c r="CC10" s="213"/>
      <c r="CD10" s="213"/>
    </row>
    <row r="11" spans="1:131" outlineLevel="1" x14ac:dyDescent="0.35">
      <c r="A11" s="108"/>
      <c r="D11" s="112"/>
      <c r="E11" s="135" t="s">
        <v>51</v>
      </c>
      <c r="F11" s="135"/>
      <c r="G11" s="111" t="str">
        <f>SMU</f>
        <v>$ 000s</v>
      </c>
      <c r="H11" s="135">
        <f xml:space="preserve"> SUM(J11:EA11)</f>
        <v>78032.187836641722</v>
      </c>
      <c r="I11" s="135"/>
      <c r="J11" s="135">
        <f t="shared" ref="J11:AO11" si="0">SUM(J9:J10)</f>
        <v>0</v>
      </c>
      <c r="K11" s="135">
        <f t="shared" si="0"/>
        <v>0</v>
      </c>
      <c r="L11" s="135">
        <f t="shared" si="0"/>
        <v>0</v>
      </c>
      <c r="M11" s="135">
        <f t="shared" si="0"/>
        <v>0</v>
      </c>
      <c r="N11" s="135">
        <f t="shared" si="0"/>
        <v>1119.1374999999998</v>
      </c>
      <c r="O11" s="135">
        <f t="shared" si="0"/>
        <v>1434.3875</v>
      </c>
      <c r="P11" s="135">
        <f t="shared" si="0"/>
        <v>1607.7749999999999</v>
      </c>
      <c r="Q11" s="135">
        <f t="shared" si="0"/>
        <v>1952.7827419199425</v>
      </c>
      <c r="R11" s="135">
        <f t="shared" si="0"/>
        <v>2238.2749999999996</v>
      </c>
      <c r="S11" s="135">
        <f t="shared" si="0"/>
        <v>2080.65</v>
      </c>
      <c r="T11" s="135">
        <f t="shared" si="0"/>
        <v>1607.7749999999999</v>
      </c>
      <c r="U11" s="135">
        <f t="shared" si="0"/>
        <v>961.51250000000005</v>
      </c>
      <c r="V11" s="135">
        <f t="shared" si="0"/>
        <v>646.26250000000005</v>
      </c>
      <c r="W11" s="135">
        <f t="shared" si="0"/>
        <v>553.45475808006029</v>
      </c>
      <c r="X11" s="135">
        <f t="shared" si="0"/>
        <v>740.83750000000009</v>
      </c>
      <c r="Y11" s="135">
        <f t="shared" si="0"/>
        <v>819.65</v>
      </c>
      <c r="Z11" s="135">
        <f t="shared" si="0"/>
        <v>1113.5696517412935</v>
      </c>
      <c r="AA11" s="135">
        <f t="shared" si="0"/>
        <v>1427.2512437810947</v>
      </c>
      <c r="AB11" s="135">
        <f t="shared" si="0"/>
        <v>1599.7761194029854</v>
      </c>
      <c r="AC11" s="135">
        <f t="shared" si="0"/>
        <v>1943.0674048954654</v>
      </c>
      <c r="AD11" s="135">
        <f t="shared" si="0"/>
        <v>2227.1393034825869</v>
      </c>
      <c r="AE11" s="135">
        <f t="shared" si="0"/>
        <v>2070.2985074626872</v>
      </c>
      <c r="AF11" s="135">
        <f t="shared" si="0"/>
        <v>1599.7761194029854</v>
      </c>
      <c r="AG11" s="135">
        <f t="shared" si="0"/>
        <v>956.72885572139319</v>
      </c>
      <c r="AH11" s="135">
        <f t="shared" si="0"/>
        <v>643.0472636815922</v>
      </c>
      <c r="AI11" s="135">
        <f t="shared" si="0"/>
        <v>550.70125182095558</v>
      </c>
      <c r="AJ11" s="135">
        <f t="shared" si="0"/>
        <v>737.1517412935325</v>
      </c>
      <c r="AK11" s="135">
        <f t="shared" si="0"/>
        <v>815.57213930348269</v>
      </c>
      <c r="AL11" s="135">
        <f t="shared" si="0"/>
        <v>1108.0295042201928</v>
      </c>
      <c r="AM11" s="135">
        <f t="shared" si="0"/>
        <v>1420.1504913244726</v>
      </c>
      <c r="AN11" s="135">
        <f t="shared" si="0"/>
        <v>1591.8170342318265</v>
      </c>
      <c r="AO11" s="135">
        <f t="shared" si="0"/>
        <v>1933.4004028810605</v>
      </c>
      <c r="AP11" s="135">
        <f t="shared" ref="AP11:BU11" si="1">SUM(AP9:AP10)</f>
        <v>2216.0590084403857</v>
      </c>
      <c r="AQ11" s="135">
        <f t="shared" si="1"/>
        <v>2059.9985148882461</v>
      </c>
      <c r="AR11" s="135">
        <f t="shared" si="1"/>
        <v>1591.8170342318265</v>
      </c>
      <c r="AS11" s="135">
        <f t="shared" si="1"/>
        <v>951.9690106680531</v>
      </c>
      <c r="AT11" s="135">
        <f t="shared" si="1"/>
        <v>639.84802356377338</v>
      </c>
      <c r="AU11" s="135">
        <f t="shared" si="1"/>
        <v>547.96144459796585</v>
      </c>
      <c r="AV11" s="135">
        <f t="shared" si="1"/>
        <v>733.48431969505725</v>
      </c>
      <c r="AW11" s="135">
        <f t="shared" si="1"/>
        <v>811.51456647112718</v>
      </c>
      <c r="AX11" s="135">
        <f t="shared" si="1"/>
        <v>1102.5169196220825</v>
      </c>
      <c r="AY11" s="135">
        <f t="shared" si="1"/>
        <v>1413.0850659945002</v>
      </c>
      <c r="AZ11" s="135">
        <f t="shared" si="1"/>
        <v>1583.8975464993296</v>
      </c>
      <c r="BA11" s="135">
        <f t="shared" si="1"/>
        <v>1923.7814954040405</v>
      </c>
      <c r="BB11" s="135">
        <f t="shared" si="1"/>
        <v>2205.0338392441649</v>
      </c>
      <c r="BC11" s="135">
        <f t="shared" si="1"/>
        <v>2049.7497660579565</v>
      </c>
      <c r="BD11" s="135">
        <f t="shared" si="1"/>
        <v>1583.8975464993296</v>
      </c>
      <c r="BE11" s="135">
        <f t="shared" si="1"/>
        <v>947.23284643587374</v>
      </c>
      <c r="BF11" s="135">
        <f t="shared" si="1"/>
        <v>636.66470006345617</v>
      </c>
      <c r="BG11" s="135">
        <f t="shared" si="1"/>
        <v>545.23526825668239</v>
      </c>
      <c r="BH11" s="135">
        <f t="shared" si="1"/>
        <v>729.8351439751815</v>
      </c>
      <c r="BI11" s="135">
        <f t="shared" si="1"/>
        <v>807.4771805682858</v>
      </c>
      <c r="BJ11" s="135">
        <f t="shared" si="1"/>
        <v>1097.0317608179928</v>
      </c>
      <c r="BK11" s="135">
        <f t="shared" si="1"/>
        <v>1406.0547920343288</v>
      </c>
      <c r="BL11" s="135">
        <f t="shared" si="1"/>
        <v>1576.0174592033136</v>
      </c>
      <c r="BM11" s="135">
        <f t="shared" si="1"/>
        <v>1914.2104431881005</v>
      </c>
      <c r="BN11" s="135">
        <f t="shared" si="1"/>
        <v>2194.0635216359856</v>
      </c>
      <c r="BO11" s="135">
        <f t="shared" si="1"/>
        <v>2039.5520060278179</v>
      </c>
      <c r="BP11" s="135">
        <f t="shared" si="1"/>
        <v>1576.0174592033136</v>
      </c>
      <c r="BQ11" s="135">
        <f t="shared" si="1"/>
        <v>942.52024520982491</v>
      </c>
      <c r="BR11" s="135">
        <f t="shared" si="1"/>
        <v>633.49721399348891</v>
      </c>
      <c r="BS11" s="135">
        <f t="shared" si="1"/>
        <v>542.5226549817736</v>
      </c>
      <c r="BT11" s="135">
        <f t="shared" si="1"/>
        <v>726.20412335838967</v>
      </c>
      <c r="BU11" s="135">
        <f t="shared" si="1"/>
        <v>803.45988116247361</v>
      </c>
      <c r="BV11" s="135">
        <f t="shared" ref="BV11:CD11" si="2">SUM(BV9:BV10)</f>
        <v>0</v>
      </c>
      <c r="BW11" s="135">
        <f t="shared" si="2"/>
        <v>0</v>
      </c>
      <c r="BX11" s="135">
        <f t="shared" si="2"/>
        <v>0</v>
      </c>
      <c r="BY11" s="135">
        <f t="shared" si="2"/>
        <v>0</v>
      </c>
      <c r="BZ11" s="135">
        <f t="shared" si="2"/>
        <v>0</v>
      </c>
      <c r="CA11" s="135">
        <f t="shared" si="2"/>
        <v>0</v>
      </c>
      <c r="CB11" s="135">
        <f t="shared" si="2"/>
        <v>0</v>
      </c>
      <c r="CC11" s="135">
        <f t="shared" si="2"/>
        <v>0</v>
      </c>
      <c r="CD11" s="135">
        <f t="shared" si="2"/>
        <v>0</v>
      </c>
    </row>
    <row r="12" spans="1:131" outlineLevel="1" x14ac:dyDescent="0.35"/>
    <row r="13" spans="1:131" outlineLevel="1" x14ac:dyDescent="0.35">
      <c r="A13" s="108"/>
      <c r="D13" s="112"/>
      <c r="E13" s="213" t="s">
        <v>108</v>
      </c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</row>
    <row r="14" spans="1:131" outlineLevel="1" x14ac:dyDescent="0.35">
      <c r="E14" s="111" t="s">
        <v>52</v>
      </c>
      <c r="F14" s="111"/>
      <c r="G14" s="111" t="str">
        <f xml:space="preserve"> SMU</f>
        <v>$ 000s</v>
      </c>
      <c r="H14" s="111">
        <f xml:space="preserve"> SUM(J14:EA14)</f>
        <v>78032.187836641722</v>
      </c>
      <c r="I14" s="111"/>
      <c r="J14" s="111">
        <f t="shared" ref="J14:AO14" si="3" xml:space="preserve"> J11 + SUM(J13:J13)</f>
        <v>0</v>
      </c>
      <c r="K14" s="111">
        <f t="shared" si="3"/>
        <v>0</v>
      </c>
      <c r="L14" s="111">
        <f t="shared" si="3"/>
        <v>0</v>
      </c>
      <c r="M14" s="111">
        <f t="shared" si="3"/>
        <v>0</v>
      </c>
      <c r="N14" s="111">
        <f t="shared" si="3"/>
        <v>1119.1374999999998</v>
      </c>
      <c r="O14" s="111">
        <f t="shared" si="3"/>
        <v>1434.3875</v>
      </c>
      <c r="P14" s="111">
        <f t="shared" si="3"/>
        <v>1607.7749999999999</v>
      </c>
      <c r="Q14" s="111">
        <f t="shared" si="3"/>
        <v>1952.7827419199425</v>
      </c>
      <c r="R14" s="111">
        <f t="shared" si="3"/>
        <v>2238.2749999999996</v>
      </c>
      <c r="S14" s="111">
        <f t="shared" si="3"/>
        <v>2080.65</v>
      </c>
      <c r="T14" s="111">
        <f t="shared" si="3"/>
        <v>1607.7749999999999</v>
      </c>
      <c r="U14" s="111">
        <f t="shared" si="3"/>
        <v>961.51250000000005</v>
      </c>
      <c r="V14" s="111">
        <f t="shared" si="3"/>
        <v>646.26250000000005</v>
      </c>
      <c r="W14" s="111">
        <f t="shared" si="3"/>
        <v>553.45475808006029</v>
      </c>
      <c r="X14" s="111">
        <f t="shared" si="3"/>
        <v>740.83750000000009</v>
      </c>
      <c r="Y14" s="111">
        <f t="shared" si="3"/>
        <v>819.65</v>
      </c>
      <c r="Z14" s="111">
        <f t="shared" si="3"/>
        <v>1113.5696517412935</v>
      </c>
      <c r="AA14" s="111">
        <f t="shared" si="3"/>
        <v>1427.2512437810947</v>
      </c>
      <c r="AB14" s="111">
        <f t="shared" si="3"/>
        <v>1599.7761194029854</v>
      </c>
      <c r="AC14" s="111">
        <f t="shared" si="3"/>
        <v>1943.0674048954654</v>
      </c>
      <c r="AD14" s="111">
        <f t="shared" si="3"/>
        <v>2227.1393034825869</v>
      </c>
      <c r="AE14" s="111">
        <f t="shared" si="3"/>
        <v>2070.2985074626872</v>
      </c>
      <c r="AF14" s="111">
        <f t="shared" si="3"/>
        <v>1599.7761194029854</v>
      </c>
      <c r="AG14" s="111">
        <f t="shared" si="3"/>
        <v>956.72885572139319</v>
      </c>
      <c r="AH14" s="111">
        <f t="shared" si="3"/>
        <v>643.0472636815922</v>
      </c>
      <c r="AI14" s="111">
        <f t="shared" si="3"/>
        <v>550.70125182095558</v>
      </c>
      <c r="AJ14" s="111">
        <f t="shared" si="3"/>
        <v>737.1517412935325</v>
      </c>
      <c r="AK14" s="111">
        <f t="shared" si="3"/>
        <v>815.57213930348269</v>
      </c>
      <c r="AL14" s="111">
        <f t="shared" si="3"/>
        <v>1108.0295042201928</v>
      </c>
      <c r="AM14" s="111">
        <f t="shared" si="3"/>
        <v>1420.1504913244726</v>
      </c>
      <c r="AN14" s="111">
        <f t="shared" si="3"/>
        <v>1591.8170342318265</v>
      </c>
      <c r="AO14" s="111">
        <f t="shared" si="3"/>
        <v>1933.4004028810605</v>
      </c>
      <c r="AP14" s="111">
        <f t="shared" ref="AP14:BU14" si="4" xml:space="preserve"> AP11 + SUM(AP13:AP13)</f>
        <v>2216.0590084403857</v>
      </c>
      <c r="AQ14" s="111">
        <f t="shared" si="4"/>
        <v>2059.9985148882461</v>
      </c>
      <c r="AR14" s="111">
        <f t="shared" si="4"/>
        <v>1591.8170342318265</v>
      </c>
      <c r="AS14" s="111">
        <f t="shared" si="4"/>
        <v>951.9690106680531</v>
      </c>
      <c r="AT14" s="111">
        <f t="shared" si="4"/>
        <v>639.84802356377338</v>
      </c>
      <c r="AU14" s="111">
        <f t="shared" si="4"/>
        <v>547.96144459796585</v>
      </c>
      <c r="AV14" s="111">
        <f t="shared" si="4"/>
        <v>733.48431969505725</v>
      </c>
      <c r="AW14" s="111">
        <f t="shared" si="4"/>
        <v>811.51456647112718</v>
      </c>
      <c r="AX14" s="111">
        <f t="shared" si="4"/>
        <v>1102.5169196220825</v>
      </c>
      <c r="AY14" s="111">
        <f t="shared" si="4"/>
        <v>1413.0850659945002</v>
      </c>
      <c r="AZ14" s="111">
        <f t="shared" si="4"/>
        <v>1583.8975464993296</v>
      </c>
      <c r="BA14" s="111">
        <f t="shared" si="4"/>
        <v>1923.7814954040405</v>
      </c>
      <c r="BB14" s="111">
        <f t="shared" si="4"/>
        <v>2205.0338392441649</v>
      </c>
      <c r="BC14" s="111">
        <f t="shared" si="4"/>
        <v>2049.7497660579565</v>
      </c>
      <c r="BD14" s="111">
        <f t="shared" si="4"/>
        <v>1583.8975464993296</v>
      </c>
      <c r="BE14" s="111">
        <f t="shared" si="4"/>
        <v>947.23284643587374</v>
      </c>
      <c r="BF14" s="111">
        <f t="shared" si="4"/>
        <v>636.66470006345617</v>
      </c>
      <c r="BG14" s="111">
        <f t="shared" si="4"/>
        <v>545.23526825668239</v>
      </c>
      <c r="BH14" s="111">
        <f t="shared" si="4"/>
        <v>729.8351439751815</v>
      </c>
      <c r="BI14" s="111">
        <f t="shared" si="4"/>
        <v>807.4771805682858</v>
      </c>
      <c r="BJ14" s="111">
        <f t="shared" si="4"/>
        <v>1097.0317608179928</v>
      </c>
      <c r="BK14" s="111">
        <f t="shared" si="4"/>
        <v>1406.0547920343288</v>
      </c>
      <c r="BL14" s="111">
        <f t="shared" si="4"/>
        <v>1576.0174592033136</v>
      </c>
      <c r="BM14" s="111">
        <f t="shared" si="4"/>
        <v>1914.2104431881005</v>
      </c>
      <c r="BN14" s="111">
        <f t="shared" si="4"/>
        <v>2194.0635216359856</v>
      </c>
      <c r="BO14" s="111">
        <f t="shared" si="4"/>
        <v>2039.5520060278179</v>
      </c>
      <c r="BP14" s="111">
        <f t="shared" si="4"/>
        <v>1576.0174592033136</v>
      </c>
      <c r="BQ14" s="111">
        <f t="shared" si="4"/>
        <v>942.52024520982491</v>
      </c>
      <c r="BR14" s="111">
        <f t="shared" si="4"/>
        <v>633.49721399348891</v>
      </c>
      <c r="BS14" s="111">
        <f t="shared" si="4"/>
        <v>542.5226549817736</v>
      </c>
      <c r="BT14" s="111">
        <f t="shared" si="4"/>
        <v>726.20412335838967</v>
      </c>
      <c r="BU14" s="111">
        <f t="shared" si="4"/>
        <v>803.45988116247361</v>
      </c>
      <c r="BV14" s="111">
        <f t="shared" ref="BV14:CD14" si="5" xml:space="preserve"> BV11 + SUM(BV13:BV13)</f>
        <v>0</v>
      </c>
      <c r="BW14" s="111">
        <f t="shared" si="5"/>
        <v>0</v>
      </c>
      <c r="BX14" s="111">
        <f t="shared" si="5"/>
        <v>0</v>
      </c>
      <c r="BY14" s="111">
        <f t="shared" si="5"/>
        <v>0</v>
      </c>
      <c r="BZ14" s="111">
        <f t="shared" si="5"/>
        <v>0</v>
      </c>
      <c r="CA14" s="111">
        <f t="shared" si="5"/>
        <v>0</v>
      </c>
      <c r="CB14" s="111">
        <f t="shared" si="5"/>
        <v>0</v>
      </c>
      <c r="CC14" s="111">
        <f t="shared" si="5"/>
        <v>0</v>
      </c>
      <c r="CD14" s="111">
        <f t="shared" si="5"/>
        <v>0</v>
      </c>
    </row>
    <row r="15" spans="1:131" outlineLevel="1" x14ac:dyDescent="0.35"/>
    <row r="16" spans="1:131" outlineLevel="1" x14ac:dyDescent="0.35">
      <c r="A16" s="108"/>
      <c r="D16" s="112"/>
      <c r="E16" s="213" t="s">
        <v>110</v>
      </c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</row>
    <row r="17" spans="1:131" outlineLevel="1" x14ac:dyDescent="0.35">
      <c r="A17" s="108"/>
      <c r="D17" s="112"/>
      <c r="E17" s="213" t="s">
        <v>111</v>
      </c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3"/>
      <c r="CB17" s="213"/>
      <c r="CC17" s="213"/>
      <c r="CD17" s="213"/>
    </row>
    <row r="18" spans="1:131" outlineLevel="1" x14ac:dyDescent="0.35">
      <c r="E18" s="213" t="s">
        <v>112</v>
      </c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3"/>
      <c r="BU18" s="213"/>
      <c r="BV18" s="213"/>
      <c r="BW18" s="213"/>
      <c r="BX18" s="213"/>
      <c r="BY18" s="213"/>
      <c r="BZ18" s="213"/>
      <c r="CA18" s="213"/>
      <c r="CB18" s="213"/>
      <c r="CC18" s="213"/>
      <c r="CD18" s="213"/>
    </row>
    <row r="19" spans="1:131" outlineLevel="1" x14ac:dyDescent="0.35">
      <c r="E19" s="111" t="s">
        <v>91</v>
      </c>
      <c r="F19" s="111"/>
      <c r="G19" s="111" t="str">
        <f xml:space="preserve"> SMU</f>
        <v>$ 000s</v>
      </c>
      <c r="H19" s="111">
        <f xml:space="preserve"> SUM(J19:EA19)</f>
        <v>78032.187836641722</v>
      </c>
      <c r="I19" s="111"/>
      <c r="J19" s="111">
        <f t="shared" ref="J19:AO19" si="6" xml:space="preserve"> J14 + SUM(J16:J18)</f>
        <v>0</v>
      </c>
      <c r="K19" s="111">
        <f t="shared" si="6"/>
        <v>0</v>
      </c>
      <c r="L19" s="111">
        <f t="shared" si="6"/>
        <v>0</v>
      </c>
      <c r="M19" s="111">
        <f t="shared" si="6"/>
        <v>0</v>
      </c>
      <c r="N19" s="111">
        <f t="shared" si="6"/>
        <v>1119.1374999999998</v>
      </c>
      <c r="O19" s="111">
        <f t="shared" si="6"/>
        <v>1434.3875</v>
      </c>
      <c r="P19" s="111">
        <f t="shared" si="6"/>
        <v>1607.7749999999999</v>
      </c>
      <c r="Q19" s="111">
        <f t="shared" si="6"/>
        <v>1952.7827419199425</v>
      </c>
      <c r="R19" s="111">
        <f t="shared" si="6"/>
        <v>2238.2749999999996</v>
      </c>
      <c r="S19" s="111">
        <f t="shared" si="6"/>
        <v>2080.65</v>
      </c>
      <c r="T19" s="111">
        <f t="shared" si="6"/>
        <v>1607.7749999999999</v>
      </c>
      <c r="U19" s="111">
        <f t="shared" si="6"/>
        <v>961.51250000000005</v>
      </c>
      <c r="V19" s="111">
        <f t="shared" si="6"/>
        <v>646.26250000000005</v>
      </c>
      <c r="W19" s="111">
        <f t="shared" si="6"/>
        <v>553.45475808006029</v>
      </c>
      <c r="X19" s="111">
        <f t="shared" si="6"/>
        <v>740.83750000000009</v>
      </c>
      <c r="Y19" s="111">
        <f t="shared" si="6"/>
        <v>819.65</v>
      </c>
      <c r="Z19" s="111">
        <f t="shared" si="6"/>
        <v>1113.5696517412935</v>
      </c>
      <c r="AA19" s="111">
        <f t="shared" si="6"/>
        <v>1427.2512437810947</v>
      </c>
      <c r="AB19" s="111">
        <f t="shared" si="6"/>
        <v>1599.7761194029854</v>
      </c>
      <c r="AC19" s="111">
        <f t="shared" si="6"/>
        <v>1943.0674048954654</v>
      </c>
      <c r="AD19" s="111">
        <f t="shared" si="6"/>
        <v>2227.1393034825869</v>
      </c>
      <c r="AE19" s="111">
        <f t="shared" si="6"/>
        <v>2070.2985074626872</v>
      </c>
      <c r="AF19" s="111">
        <f t="shared" si="6"/>
        <v>1599.7761194029854</v>
      </c>
      <c r="AG19" s="111">
        <f t="shared" si="6"/>
        <v>956.72885572139319</v>
      </c>
      <c r="AH19" s="111">
        <f t="shared" si="6"/>
        <v>643.0472636815922</v>
      </c>
      <c r="AI19" s="111">
        <f t="shared" si="6"/>
        <v>550.70125182095558</v>
      </c>
      <c r="AJ19" s="111">
        <f t="shared" si="6"/>
        <v>737.1517412935325</v>
      </c>
      <c r="AK19" s="111">
        <f t="shared" si="6"/>
        <v>815.57213930348269</v>
      </c>
      <c r="AL19" s="111">
        <f t="shared" si="6"/>
        <v>1108.0295042201928</v>
      </c>
      <c r="AM19" s="111">
        <f t="shared" si="6"/>
        <v>1420.1504913244726</v>
      </c>
      <c r="AN19" s="111">
        <f t="shared" si="6"/>
        <v>1591.8170342318265</v>
      </c>
      <c r="AO19" s="111">
        <f t="shared" si="6"/>
        <v>1933.4004028810605</v>
      </c>
      <c r="AP19" s="111">
        <f t="shared" ref="AP19:BU19" si="7" xml:space="preserve"> AP14 + SUM(AP16:AP18)</f>
        <v>2216.0590084403857</v>
      </c>
      <c r="AQ19" s="111">
        <f t="shared" si="7"/>
        <v>2059.9985148882461</v>
      </c>
      <c r="AR19" s="111">
        <f t="shared" si="7"/>
        <v>1591.8170342318265</v>
      </c>
      <c r="AS19" s="111">
        <f t="shared" si="7"/>
        <v>951.9690106680531</v>
      </c>
      <c r="AT19" s="111">
        <f t="shared" si="7"/>
        <v>639.84802356377338</v>
      </c>
      <c r="AU19" s="111">
        <f t="shared" si="7"/>
        <v>547.96144459796585</v>
      </c>
      <c r="AV19" s="111">
        <f t="shared" si="7"/>
        <v>733.48431969505725</v>
      </c>
      <c r="AW19" s="111">
        <f t="shared" si="7"/>
        <v>811.51456647112718</v>
      </c>
      <c r="AX19" s="111">
        <f t="shared" si="7"/>
        <v>1102.5169196220825</v>
      </c>
      <c r="AY19" s="111">
        <f t="shared" si="7"/>
        <v>1413.0850659945002</v>
      </c>
      <c r="AZ19" s="111">
        <f t="shared" si="7"/>
        <v>1583.8975464993296</v>
      </c>
      <c r="BA19" s="111">
        <f t="shared" si="7"/>
        <v>1923.7814954040405</v>
      </c>
      <c r="BB19" s="111">
        <f t="shared" si="7"/>
        <v>2205.0338392441649</v>
      </c>
      <c r="BC19" s="111">
        <f t="shared" si="7"/>
        <v>2049.7497660579565</v>
      </c>
      <c r="BD19" s="111">
        <f t="shared" si="7"/>
        <v>1583.8975464993296</v>
      </c>
      <c r="BE19" s="111">
        <f t="shared" si="7"/>
        <v>947.23284643587374</v>
      </c>
      <c r="BF19" s="111">
        <f t="shared" si="7"/>
        <v>636.66470006345617</v>
      </c>
      <c r="BG19" s="111">
        <f t="shared" si="7"/>
        <v>545.23526825668239</v>
      </c>
      <c r="BH19" s="111">
        <f t="shared" si="7"/>
        <v>729.8351439751815</v>
      </c>
      <c r="BI19" s="111">
        <f t="shared" si="7"/>
        <v>807.4771805682858</v>
      </c>
      <c r="BJ19" s="111">
        <f t="shared" si="7"/>
        <v>1097.0317608179928</v>
      </c>
      <c r="BK19" s="111">
        <f t="shared" si="7"/>
        <v>1406.0547920343288</v>
      </c>
      <c r="BL19" s="111">
        <f t="shared" si="7"/>
        <v>1576.0174592033136</v>
      </c>
      <c r="BM19" s="111">
        <f t="shared" si="7"/>
        <v>1914.2104431881005</v>
      </c>
      <c r="BN19" s="111">
        <f t="shared" si="7"/>
        <v>2194.0635216359856</v>
      </c>
      <c r="BO19" s="111">
        <f t="shared" si="7"/>
        <v>2039.5520060278179</v>
      </c>
      <c r="BP19" s="111">
        <f t="shared" si="7"/>
        <v>1576.0174592033136</v>
      </c>
      <c r="BQ19" s="111">
        <f t="shared" si="7"/>
        <v>942.52024520982491</v>
      </c>
      <c r="BR19" s="111">
        <f t="shared" si="7"/>
        <v>633.49721399348891</v>
      </c>
      <c r="BS19" s="111">
        <f t="shared" si="7"/>
        <v>542.5226549817736</v>
      </c>
      <c r="BT19" s="111">
        <f t="shared" si="7"/>
        <v>726.20412335838967</v>
      </c>
      <c r="BU19" s="111">
        <f t="shared" si="7"/>
        <v>803.45988116247361</v>
      </c>
      <c r="BV19" s="111">
        <f t="shared" ref="BV19:CD19" si="8" xml:space="preserve"> BV14 + SUM(BV16:BV18)</f>
        <v>0</v>
      </c>
      <c r="BW19" s="111">
        <f t="shared" si="8"/>
        <v>0</v>
      </c>
      <c r="BX19" s="111">
        <f t="shared" si="8"/>
        <v>0</v>
      </c>
      <c r="BY19" s="111">
        <f t="shared" si="8"/>
        <v>0</v>
      </c>
      <c r="BZ19" s="111">
        <f t="shared" si="8"/>
        <v>0</v>
      </c>
      <c r="CA19" s="111">
        <f t="shared" si="8"/>
        <v>0</v>
      </c>
      <c r="CB19" s="111">
        <f t="shared" si="8"/>
        <v>0</v>
      </c>
      <c r="CC19" s="111">
        <f t="shared" si="8"/>
        <v>0</v>
      </c>
      <c r="CD19" s="111">
        <f t="shared" si="8"/>
        <v>0</v>
      </c>
    </row>
    <row r="20" spans="1:131" outlineLevel="1" x14ac:dyDescent="0.35"/>
    <row r="21" spans="1:131" outlineLevel="1" x14ac:dyDescent="0.35">
      <c r="A21" s="108"/>
      <c r="D21" s="112"/>
      <c r="E21" s="213" t="s">
        <v>113</v>
      </c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</row>
    <row r="22" spans="1:131" s="262" customFormat="1" outlineLevel="1" x14ac:dyDescent="0.35">
      <c r="A22" s="107"/>
      <c r="B22" s="108"/>
      <c r="C22" s="109"/>
      <c r="D22" s="110"/>
      <c r="E22" s="111" t="s">
        <v>92</v>
      </c>
      <c r="F22" s="111"/>
      <c r="G22" s="111" t="str">
        <f>SMU</f>
        <v>$ 000s</v>
      </c>
      <c r="H22" s="111">
        <f xml:space="preserve"> SUM(J22:EA22)</f>
        <v>78032.187836641722</v>
      </c>
      <c r="I22" s="111"/>
      <c r="J22" s="111">
        <f xml:space="preserve"> J19 + J21</f>
        <v>0</v>
      </c>
      <c r="K22" s="111">
        <f t="shared" ref="K22:BV22" si="9" xml:space="preserve"> K19 + K21</f>
        <v>0</v>
      </c>
      <c r="L22" s="111">
        <f t="shared" si="9"/>
        <v>0</v>
      </c>
      <c r="M22" s="111">
        <f t="shared" si="9"/>
        <v>0</v>
      </c>
      <c r="N22" s="111">
        <f t="shared" si="9"/>
        <v>1119.1374999999998</v>
      </c>
      <c r="O22" s="111">
        <f t="shared" si="9"/>
        <v>1434.3875</v>
      </c>
      <c r="P22" s="111">
        <f t="shared" si="9"/>
        <v>1607.7749999999999</v>
      </c>
      <c r="Q22" s="111">
        <f t="shared" si="9"/>
        <v>1952.7827419199425</v>
      </c>
      <c r="R22" s="111">
        <f t="shared" si="9"/>
        <v>2238.2749999999996</v>
      </c>
      <c r="S22" s="111">
        <f t="shared" si="9"/>
        <v>2080.65</v>
      </c>
      <c r="T22" s="111">
        <f t="shared" si="9"/>
        <v>1607.7749999999999</v>
      </c>
      <c r="U22" s="111">
        <f t="shared" si="9"/>
        <v>961.51250000000005</v>
      </c>
      <c r="V22" s="111">
        <f t="shared" si="9"/>
        <v>646.26250000000005</v>
      </c>
      <c r="W22" s="111">
        <f t="shared" si="9"/>
        <v>553.45475808006029</v>
      </c>
      <c r="X22" s="111">
        <f t="shared" si="9"/>
        <v>740.83750000000009</v>
      </c>
      <c r="Y22" s="111">
        <f t="shared" si="9"/>
        <v>819.65</v>
      </c>
      <c r="Z22" s="111">
        <f t="shared" si="9"/>
        <v>1113.5696517412935</v>
      </c>
      <c r="AA22" s="111">
        <f t="shared" si="9"/>
        <v>1427.2512437810947</v>
      </c>
      <c r="AB22" s="111">
        <f t="shared" si="9"/>
        <v>1599.7761194029854</v>
      </c>
      <c r="AC22" s="111">
        <f t="shared" si="9"/>
        <v>1943.0674048954654</v>
      </c>
      <c r="AD22" s="111">
        <f t="shared" si="9"/>
        <v>2227.1393034825869</v>
      </c>
      <c r="AE22" s="111">
        <f t="shared" si="9"/>
        <v>2070.2985074626872</v>
      </c>
      <c r="AF22" s="111">
        <f t="shared" si="9"/>
        <v>1599.7761194029854</v>
      </c>
      <c r="AG22" s="111">
        <f t="shared" si="9"/>
        <v>956.72885572139319</v>
      </c>
      <c r="AH22" s="111">
        <f t="shared" si="9"/>
        <v>643.0472636815922</v>
      </c>
      <c r="AI22" s="111">
        <f t="shared" si="9"/>
        <v>550.70125182095558</v>
      </c>
      <c r="AJ22" s="111">
        <f t="shared" si="9"/>
        <v>737.1517412935325</v>
      </c>
      <c r="AK22" s="111">
        <f t="shared" si="9"/>
        <v>815.57213930348269</v>
      </c>
      <c r="AL22" s="111">
        <f t="shared" si="9"/>
        <v>1108.0295042201928</v>
      </c>
      <c r="AM22" s="111">
        <f t="shared" si="9"/>
        <v>1420.1504913244726</v>
      </c>
      <c r="AN22" s="111">
        <f t="shared" si="9"/>
        <v>1591.8170342318265</v>
      </c>
      <c r="AO22" s="111">
        <f t="shared" si="9"/>
        <v>1933.4004028810605</v>
      </c>
      <c r="AP22" s="111">
        <f t="shared" si="9"/>
        <v>2216.0590084403857</v>
      </c>
      <c r="AQ22" s="111">
        <f t="shared" si="9"/>
        <v>2059.9985148882461</v>
      </c>
      <c r="AR22" s="111">
        <f t="shared" si="9"/>
        <v>1591.8170342318265</v>
      </c>
      <c r="AS22" s="111">
        <f t="shared" si="9"/>
        <v>951.9690106680531</v>
      </c>
      <c r="AT22" s="111">
        <f t="shared" si="9"/>
        <v>639.84802356377338</v>
      </c>
      <c r="AU22" s="111">
        <f t="shared" si="9"/>
        <v>547.96144459796585</v>
      </c>
      <c r="AV22" s="111">
        <f t="shared" si="9"/>
        <v>733.48431969505725</v>
      </c>
      <c r="AW22" s="111">
        <f t="shared" si="9"/>
        <v>811.51456647112718</v>
      </c>
      <c r="AX22" s="111">
        <f t="shared" si="9"/>
        <v>1102.5169196220825</v>
      </c>
      <c r="AY22" s="111">
        <f t="shared" si="9"/>
        <v>1413.0850659945002</v>
      </c>
      <c r="AZ22" s="111">
        <f t="shared" si="9"/>
        <v>1583.8975464993296</v>
      </c>
      <c r="BA22" s="111">
        <f t="shared" si="9"/>
        <v>1923.7814954040405</v>
      </c>
      <c r="BB22" s="111">
        <f t="shared" si="9"/>
        <v>2205.0338392441649</v>
      </c>
      <c r="BC22" s="111">
        <f t="shared" si="9"/>
        <v>2049.7497660579565</v>
      </c>
      <c r="BD22" s="111">
        <f t="shared" si="9"/>
        <v>1583.8975464993296</v>
      </c>
      <c r="BE22" s="111">
        <f t="shared" si="9"/>
        <v>947.23284643587374</v>
      </c>
      <c r="BF22" s="111">
        <f t="shared" si="9"/>
        <v>636.66470006345617</v>
      </c>
      <c r="BG22" s="111">
        <f t="shared" si="9"/>
        <v>545.23526825668239</v>
      </c>
      <c r="BH22" s="111">
        <f t="shared" si="9"/>
        <v>729.8351439751815</v>
      </c>
      <c r="BI22" s="111">
        <f t="shared" si="9"/>
        <v>807.4771805682858</v>
      </c>
      <c r="BJ22" s="111">
        <f t="shared" si="9"/>
        <v>1097.0317608179928</v>
      </c>
      <c r="BK22" s="111">
        <f t="shared" si="9"/>
        <v>1406.0547920343288</v>
      </c>
      <c r="BL22" s="111">
        <f t="shared" si="9"/>
        <v>1576.0174592033136</v>
      </c>
      <c r="BM22" s="111">
        <f t="shared" si="9"/>
        <v>1914.2104431881005</v>
      </c>
      <c r="BN22" s="111">
        <f t="shared" si="9"/>
        <v>2194.0635216359856</v>
      </c>
      <c r="BO22" s="111">
        <f t="shared" si="9"/>
        <v>2039.5520060278179</v>
      </c>
      <c r="BP22" s="111">
        <f t="shared" si="9"/>
        <v>1576.0174592033136</v>
      </c>
      <c r="BQ22" s="111">
        <f t="shared" si="9"/>
        <v>942.52024520982491</v>
      </c>
      <c r="BR22" s="111">
        <f t="shared" si="9"/>
        <v>633.49721399348891</v>
      </c>
      <c r="BS22" s="111">
        <f t="shared" si="9"/>
        <v>542.5226549817736</v>
      </c>
      <c r="BT22" s="111">
        <f t="shared" si="9"/>
        <v>726.20412335838967</v>
      </c>
      <c r="BU22" s="111">
        <f t="shared" si="9"/>
        <v>803.45988116247361</v>
      </c>
      <c r="BV22" s="111">
        <f t="shared" si="9"/>
        <v>0</v>
      </c>
      <c r="BW22" s="111">
        <f t="shared" ref="BW22:CD22" si="10" xml:space="preserve"> BW19 + BW21</f>
        <v>0</v>
      </c>
      <c r="BX22" s="111">
        <f t="shared" si="10"/>
        <v>0</v>
      </c>
      <c r="BY22" s="111">
        <f t="shared" si="10"/>
        <v>0</v>
      </c>
      <c r="BZ22" s="111">
        <f t="shared" si="10"/>
        <v>0</v>
      </c>
      <c r="CA22" s="111">
        <f t="shared" si="10"/>
        <v>0</v>
      </c>
      <c r="CB22" s="111">
        <f t="shared" si="10"/>
        <v>0</v>
      </c>
      <c r="CC22" s="111">
        <f t="shared" si="10"/>
        <v>0</v>
      </c>
      <c r="CD22" s="111">
        <f t="shared" si="10"/>
        <v>0</v>
      </c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</row>
    <row r="23" spans="1:131" outlineLevel="1" x14ac:dyDescent="0.35"/>
    <row r="24" spans="1:131" outlineLevel="1" x14ac:dyDescent="0.35">
      <c r="A24" s="108"/>
      <c r="D24" s="112"/>
      <c r="E24" s="213" t="s">
        <v>114</v>
      </c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213"/>
      <c r="BS24" s="213"/>
      <c r="BT24" s="213"/>
      <c r="BU24" s="213"/>
      <c r="BV24" s="213"/>
      <c r="BW24" s="213"/>
      <c r="BX24" s="213"/>
      <c r="BY24" s="213"/>
      <c r="BZ24" s="213"/>
      <c r="CA24" s="213"/>
      <c r="CB24" s="213"/>
      <c r="CC24" s="213"/>
      <c r="CD24" s="213"/>
    </row>
    <row r="25" spans="1:131" outlineLevel="1" x14ac:dyDescent="0.35">
      <c r="E25" s="111" t="s">
        <v>53</v>
      </c>
      <c r="F25" s="111"/>
      <c r="G25" s="111" t="str">
        <f>SMU</f>
        <v>$ 000s</v>
      </c>
      <c r="H25" s="111">
        <f xml:space="preserve"> SUM(J25:EA25)</f>
        <v>78032.187836641722</v>
      </c>
      <c r="I25" s="111"/>
      <c r="J25" s="111">
        <f xml:space="preserve"> J22 + J24</f>
        <v>0</v>
      </c>
      <c r="K25" s="111">
        <f t="shared" ref="K25:BV25" si="11" xml:space="preserve"> K22 + K24</f>
        <v>0</v>
      </c>
      <c r="L25" s="111">
        <f t="shared" si="11"/>
        <v>0</v>
      </c>
      <c r="M25" s="111">
        <f t="shared" si="11"/>
        <v>0</v>
      </c>
      <c r="N25" s="111">
        <f t="shared" si="11"/>
        <v>1119.1374999999998</v>
      </c>
      <c r="O25" s="111">
        <f t="shared" si="11"/>
        <v>1434.3875</v>
      </c>
      <c r="P25" s="111">
        <f t="shared" si="11"/>
        <v>1607.7749999999999</v>
      </c>
      <c r="Q25" s="111">
        <f t="shared" si="11"/>
        <v>1952.7827419199425</v>
      </c>
      <c r="R25" s="111">
        <f t="shared" si="11"/>
        <v>2238.2749999999996</v>
      </c>
      <c r="S25" s="111">
        <f t="shared" si="11"/>
        <v>2080.65</v>
      </c>
      <c r="T25" s="111">
        <f t="shared" si="11"/>
        <v>1607.7749999999999</v>
      </c>
      <c r="U25" s="111">
        <f t="shared" si="11"/>
        <v>961.51250000000005</v>
      </c>
      <c r="V25" s="111">
        <f t="shared" si="11"/>
        <v>646.26250000000005</v>
      </c>
      <c r="W25" s="111">
        <f t="shared" si="11"/>
        <v>553.45475808006029</v>
      </c>
      <c r="X25" s="111">
        <f t="shared" si="11"/>
        <v>740.83750000000009</v>
      </c>
      <c r="Y25" s="111">
        <f t="shared" si="11"/>
        <v>819.65</v>
      </c>
      <c r="Z25" s="111">
        <f t="shared" si="11"/>
        <v>1113.5696517412935</v>
      </c>
      <c r="AA25" s="111">
        <f t="shared" si="11"/>
        <v>1427.2512437810947</v>
      </c>
      <c r="AB25" s="111">
        <f t="shared" si="11"/>
        <v>1599.7761194029854</v>
      </c>
      <c r="AC25" s="111">
        <f t="shared" si="11"/>
        <v>1943.0674048954654</v>
      </c>
      <c r="AD25" s="111">
        <f t="shared" si="11"/>
        <v>2227.1393034825869</v>
      </c>
      <c r="AE25" s="111">
        <f t="shared" si="11"/>
        <v>2070.2985074626872</v>
      </c>
      <c r="AF25" s="111">
        <f t="shared" si="11"/>
        <v>1599.7761194029854</v>
      </c>
      <c r="AG25" s="111">
        <f t="shared" si="11"/>
        <v>956.72885572139319</v>
      </c>
      <c r="AH25" s="111">
        <f t="shared" si="11"/>
        <v>643.0472636815922</v>
      </c>
      <c r="AI25" s="111">
        <f t="shared" si="11"/>
        <v>550.70125182095558</v>
      </c>
      <c r="AJ25" s="111">
        <f t="shared" si="11"/>
        <v>737.1517412935325</v>
      </c>
      <c r="AK25" s="111">
        <f t="shared" si="11"/>
        <v>815.57213930348269</v>
      </c>
      <c r="AL25" s="111">
        <f t="shared" si="11"/>
        <v>1108.0295042201928</v>
      </c>
      <c r="AM25" s="111">
        <f t="shared" si="11"/>
        <v>1420.1504913244726</v>
      </c>
      <c r="AN25" s="111">
        <f t="shared" si="11"/>
        <v>1591.8170342318265</v>
      </c>
      <c r="AO25" s="111">
        <f t="shared" si="11"/>
        <v>1933.4004028810605</v>
      </c>
      <c r="AP25" s="111">
        <f t="shared" si="11"/>
        <v>2216.0590084403857</v>
      </c>
      <c r="AQ25" s="111">
        <f t="shared" si="11"/>
        <v>2059.9985148882461</v>
      </c>
      <c r="AR25" s="111">
        <f t="shared" si="11"/>
        <v>1591.8170342318265</v>
      </c>
      <c r="AS25" s="111">
        <f t="shared" si="11"/>
        <v>951.9690106680531</v>
      </c>
      <c r="AT25" s="111">
        <f t="shared" si="11"/>
        <v>639.84802356377338</v>
      </c>
      <c r="AU25" s="111">
        <f t="shared" si="11"/>
        <v>547.96144459796585</v>
      </c>
      <c r="AV25" s="111">
        <f t="shared" si="11"/>
        <v>733.48431969505725</v>
      </c>
      <c r="AW25" s="111">
        <f t="shared" si="11"/>
        <v>811.51456647112718</v>
      </c>
      <c r="AX25" s="111">
        <f t="shared" si="11"/>
        <v>1102.5169196220825</v>
      </c>
      <c r="AY25" s="111">
        <f t="shared" si="11"/>
        <v>1413.0850659945002</v>
      </c>
      <c r="AZ25" s="111">
        <f t="shared" si="11"/>
        <v>1583.8975464993296</v>
      </c>
      <c r="BA25" s="111">
        <f t="shared" si="11"/>
        <v>1923.7814954040405</v>
      </c>
      <c r="BB25" s="111">
        <f t="shared" si="11"/>
        <v>2205.0338392441649</v>
      </c>
      <c r="BC25" s="111">
        <f t="shared" si="11"/>
        <v>2049.7497660579565</v>
      </c>
      <c r="BD25" s="111">
        <f t="shared" si="11"/>
        <v>1583.8975464993296</v>
      </c>
      <c r="BE25" s="111">
        <f t="shared" si="11"/>
        <v>947.23284643587374</v>
      </c>
      <c r="BF25" s="111">
        <f t="shared" si="11"/>
        <v>636.66470006345617</v>
      </c>
      <c r="BG25" s="111">
        <f t="shared" si="11"/>
        <v>545.23526825668239</v>
      </c>
      <c r="BH25" s="111">
        <f t="shared" si="11"/>
        <v>729.8351439751815</v>
      </c>
      <c r="BI25" s="111">
        <f t="shared" si="11"/>
        <v>807.4771805682858</v>
      </c>
      <c r="BJ25" s="111">
        <f t="shared" si="11"/>
        <v>1097.0317608179928</v>
      </c>
      <c r="BK25" s="111">
        <f t="shared" si="11"/>
        <v>1406.0547920343288</v>
      </c>
      <c r="BL25" s="111">
        <f t="shared" si="11"/>
        <v>1576.0174592033136</v>
      </c>
      <c r="BM25" s="111">
        <f t="shared" si="11"/>
        <v>1914.2104431881005</v>
      </c>
      <c r="BN25" s="111">
        <f t="shared" si="11"/>
        <v>2194.0635216359856</v>
      </c>
      <c r="BO25" s="111">
        <f t="shared" si="11"/>
        <v>2039.5520060278179</v>
      </c>
      <c r="BP25" s="111">
        <f t="shared" si="11"/>
        <v>1576.0174592033136</v>
      </c>
      <c r="BQ25" s="111">
        <f t="shared" si="11"/>
        <v>942.52024520982491</v>
      </c>
      <c r="BR25" s="111">
        <f t="shared" si="11"/>
        <v>633.49721399348891</v>
      </c>
      <c r="BS25" s="111">
        <f t="shared" si="11"/>
        <v>542.5226549817736</v>
      </c>
      <c r="BT25" s="111">
        <f t="shared" si="11"/>
        <v>726.20412335838967</v>
      </c>
      <c r="BU25" s="111">
        <f t="shared" si="11"/>
        <v>803.45988116247361</v>
      </c>
      <c r="BV25" s="111">
        <f t="shared" si="11"/>
        <v>0</v>
      </c>
      <c r="BW25" s="111">
        <f t="shared" ref="BW25:CD25" si="12" xml:space="preserve"> BW22 + BW24</f>
        <v>0</v>
      </c>
      <c r="BX25" s="111">
        <f t="shared" si="12"/>
        <v>0</v>
      </c>
      <c r="BY25" s="111">
        <f t="shared" si="12"/>
        <v>0</v>
      </c>
      <c r="BZ25" s="111">
        <f t="shared" si="12"/>
        <v>0</v>
      </c>
      <c r="CA25" s="111">
        <f t="shared" si="12"/>
        <v>0</v>
      </c>
      <c r="CB25" s="111">
        <f t="shared" si="12"/>
        <v>0</v>
      </c>
      <c r="CC25" s="111">
        <f t="shared" si="12"/>
        <v>0</v>
      </c>
      <c r="CD25" s="111">
        <f t="shared" si="12"/>
        <v>0</v>
      </c>
    </row>
    <row r="26" spans="1:131" outlineLevel="1" x14ac:dyDescent="0.35"/>
    <row r="28" spans="1:131" x14ac:dyDescent="0.35">
      <c r="A28" s="107" t="s">
        <v>54</v>
      </c>
    </row>
    <row r="29" spans="1:131" outlineLevel="1" x14ac:dyDescent="0.35"/>
    <row r="30" spans="1:131" s="68" customFormat="1" outlineLevel="1" x14ac:dyDescent="0.35">
      <c r="A30" s="108"/>
      <c r="B30" s="108"/>
      <c r="C30" s="109"/>
      <c r="D30" s="112"/>
      <c r="E30" s="37" t="str">
        <f xml:space="preserve"> Ops!E$71</f>
        <v>Cash received from invoices</v>
      </c>
      <c r="F30" s="37">
        <f xml:space="preserve"> Ops!F$71</f>
        <v>0</v>
      </c>
      <c r="G30" s="37" t="str">
        <f xml:space="preserve"> Ops!G$71</f>
        <v>$ 000s</v>
      </c>
      <c r="H30" s="37">
        <f xml:space="preserve"> Ops!H$71</f>
        <v>80640.187836641722</v>
      </c>
      <c r="I30" s="37">
        <f xml:space="preserve"> Ops!I$71</f>
        <v>0</v>
      </c>
      <c r="J30" s="37">
        <f xml:space="preserve"> Ops!J$71</f>
        <v>0</v>
      </c>
      <c r="K30" s="37">
        <f xml:space="preserve"> Ops!K$71</f>
        <v>0</v>
      </c>
      <c r="L30" s="37">
        <f xml:space="preserve"> Ops!L$71</f>
        <v>0</v>
      </c>
      <c r="M30" s="37">
        <f xml:space="preserve"> Ops!M$71</f>
        <v>0</v>
      </c>
      <c r="N30" s="37">
        <f xml:space="preserve"> Ops!N$71</f>
        <v>1310</v>
      </c>
      <c r="O30" s="37">
        <f xml:space="preserve"> Ops!O$71</f>
        <v>1298</v>
      </c>
      <c r="P30" s="37">
        <f xml:space="preserve"> Ops!P$71</f>
        <v>1119.1374999999998</v>
      </c>
      <c r="Q30" s="37">
        <f xml:space="preserve"> Ops!Q$71</f>
        <v>1434.3875</v>
      </c>
      <c r="R30" s="37">
        <f xml:space="preserve"> Ops!R$71</f>
        <v>1607.7749999999999</v>
      </c>
      <c r="S30" s="37">
        <f xml:space="preserve"> Ops!S$71</f>
        <v>1952.7827419199425</v>
      </c>
      <c r="T30" s="37">
        <f xml:space="preserve"> Ops!T$71</f>
        <v>2238.2749999999996</v>
      </c>
      <c r="U30" s="37">
        <f xml:space="preserve"> Ops!U$71</f>
        <v>2080.65</v>
      </c>
      <c r="V30" s="37">
        <f xml:space="preserve"> Ops!V$71</f>
        <v>1607.7749999999999</v>
      </c>
      <c r="W30" s="37">
        <f xml:space="preserve"> Ops!W$71</f>
        <v>961.51250000000005</v>
      </c>
      <c r="X30" s="37">
        <f xml:space="preserve"> Ops!X$71</f>
        <v>646.26250000000005</v>
      </c>
      <c r="Y30" s="37">
        <f xml:space="preserve"> Ops!Y$71</f>
        <v>553.45475808006029</v>
      </c>
      <c r="Z30" s="37">
        <f xml:space="preserve"> Ops!Z$71</f>
        <v>740.83750000000009</v>
      </c>
      <c r="AA30" s="37">
        <f xml:space="preserve"> Ops!AA$71</f>
        <v>819.65</v>
      </c>
      <c r="AB30" s="37">
        <f xml:space="preserve"> Ops!AB$71</f>
        <v>1113.5696517412935</v>
      </c>
      <c r="AC30" s="37">
        <f xml:space="preserve"> Ops!AC$71</f>
        <v>1427.2512437810947</v>
      </c>
      <c r="AD30" s="37">
        <f xml:space="preserve"> Ops!AD$71</f>
        <v>1599.7761194029854</v>
      </c>
      <c r="AE30" s="37">
        <f xml:space="preserve"> Ops!AE$71</f>
        <v>1943.0674048954654</v>
      </c>
      <c r="AF30" s="37">
        <f xml:space="preserve"> Ops!AF$71</f>
        <v>2227.1393034825869</v>
      </c>
      <c r="AG30" s="37">
        <f xml:space="preserve"> Ops!AG$71</f>
        <v>2070.2985074626872</v>
      </c>
      <c r="AH30" s="37">
        <f xml:space="preserve"> Ops!AH$71</f>
        <v>1599.7761194029854</v>
      </c>
      <c r="AI30" s="37">
        <f xml:space="preserve"> Ops!AI$71</f>
        <v>956.72885572139319</v>
      </c>
      <c r="AJ30" s="37">
        <f xml:space="preserve"> Ops!AJ$71</f>
        <v>643.0472636815922</v>
      </c>
      <c r="AK30" s="37">
        <f xml:space="preserve"> Ops!AK$71</f>
        <v>550.70125182095558</v>
      </c>
      <c r="AL30" s="37">
        <f xml:space="preserve"> Ops!AL$71</f>
        <v>737.1517412935325</v>
      </c>
      <c r="AM30" s="37">
        <f xml:space="preserve"> Ops!AM$71</f>
        <v>815.57213930348269</v>
      </c>
      <c r="AN30" s="37">
        <f xml:space="preserve"> Ops!AN$71</f>
        <v>1108.0295042201928</v>
      </c>
      <c r="AO30" s="37">
        <f xml:space="preserve"> Ops!AO$71</f>
        <v>1420.1504913244726</v>
      </c>
      <c r="AP30" s="37">
        <f xml:space="preserve"> Ops!AP$71</f>
        <v>1591.8170342318265</v>
      </c>
      <c r="AQ30" s="37">
        <f xml:space="preserve"> Ops!AQ$71</f>
        <v>1933.4004028810605</v>
      </c>
      <c r="AR30" s="37">
        <f xml:space="preserve"> Ops!AR$71</f>
        <v>2216.0590084403857</v>
      </c>
      <c r="AS30" s="37">
        <f xml:space="preserve"> Ops!AS$71</f>
        <v>2059.9985148882461</v>
      </c>
      <c r="AT30" s="37">
        <f xml:space="preserve"> Ops!AT$71</f>
        <v>1591.8170342318265</v>
      </c>
      <c r="AU30" s="37">
        <f xml:space="preserve"> Ops!AU$71</f>
        <v>951.9690106680531</v>
      </c>
      <c r="AV30" s="37">
        <f xml:space="preserve"> Ops!AV$71</f>
        <v>639.84802356377338</v>
      </c>
      <c r="AW30" s="37">
        <f xml:space="preserve"> Ops!AW$71</f>
        <v>547.96144459796585</v>
      </c>
      <c r="AX30" s="37">
        <f xml:space="preserve"> Ops!AX$71</f>
        <v>733.48431969505725</v>
      </c>
      <c r="AY30" s="37">
        <f xml:space="preserve"> Ops!AY$71</f>
        <v>811.51456647112718</v>
      </c>
      <c r="AZ30" s="37">
        <f xml:space="preserve"> Ops!AZ$71</f>
        <v>1102.5169196220825</v>
      </c>
      <c r="BA30" s="37">
        <f xml:space="preserve"> Ops!BA$71</f>
        <v>1413.0850659945002</v>
      </c>
      <c r="BB30" s="37">
        <f xml:space="preserve"> Ops!BB$71</f>
        <v>1583.8975464993296</v>
      </c>
      <c r="BC30" s="37">
        <f xml:space="preserve"> Ops!BC$71</f>
        <v>1923.7814954040405</v>
      </c>
      <c r="BD30" s="37">
        <f xml:space="preserve"> Ops!BD$71</f>
        <v>2205.0338392441649</v>
      </c>
      <c r="BE30" s="37">
        <f xml:space="preserve"> Ops!BE$71</f>
        <v>2049.7497660579565</v>
      </c>
      <c r="BF30" s="37">
        <f xml:space="preserve"> Ops!BF$71</f>
        <v>1583.8975464993296</v>
      </c>
      <c r="BG30" s="37">
        <f xml:space="preserve"> Ops!BG$71</f>
        <v>947.23284643587374</v>
      </c>
      <c r="BH30" s="37">
        <f xml:space="preserve"> Ops!BH$71</f>
        <v>636.66470006345617</v>
      </c>
      <c r="BI30" s="37">
        <f xml:space="preserve"> Ops!BI$71</f>
        <v>545.23526825668239</v>
      </c>
      <c r="BJ30" s="37">
        <f xml:space="preserve"> Ops!BJ$71</f>
        <v>729.8351439751815</v>
      </c>
      <c r="BK30" s="37">
        <f xml:space="preserve"> Ops!BK$71</f>
        <v>807.4771805682858</v>
      </c>
      <c r="BL30" s="37">
        <f xml:space="preserve"> Ops!BL$71</f>
        <v>1097.0317608179928</v>
      </c>
      <c r="BM30" s="37">
        <f xml:space="preserve"> Ops!BM$71</f>
        <v>1406.0547920343288</v>
      </c>
      <c r="BN30" s="37">
        <f xml:space="preserve"> Ops!BN$71</f>
        <v>1576.0174592033136</v>
      </c>
      <c r="BO30" s="37">
        <f xml:space="preserve"> Ops!BO$71</f>
        <v>1914.2104431881005</v>
      </c>
      <c r="BP30" s="37">
        <f xml:space="preserve"> Ops!BP$71</f>
        <v>2194.0635216359856</v>
      </c>
      <c r="BQ30" s="37">
        <f xml:space="preserve"> Ops!BQ$71</f>
        <v>2039.5520060278179</v>
      </c>
      <c r="BR30" s="37">
        <f xml:space="preserve"> Ops!BR$71</f>
        <v>1576.0174592033136</v>
      </c>
      <c r="BS30" s="37">
        <f xml:space="preserve"> Ops!BS$71</f>
        <v>942.52024520982491</v>
      </c>
      <c r="BT30" s="37">
        <f xml:space="preserve"> Ops!BT$71</f>
        <v>633.49721399348891</v>
      </c>
      <c r="BU30" s="37">
        <f xml:space="preserve"> Ops!BU$71</f>
        <v>542.5226549817736</v>
      </c>
      <c r="BV30" s="37">
        <f xml:space="preserve"> Ops!BV$71</f>
        <v>726.20412335838967</v>
      </c>
      <c r="BW30" s="37">
        <f xml:space="preserve"> Ops!BW$71</f>
        <v>803.45988116247361</v>
      </c>
      <c r="BX30" s="37">
        <f xml:space="preserve"> Ops!BX$71</f>
        <v>0</v>
      </c>
      <c r="BY30" s="37">
        <f xml:space="preserve"> Ops!BY$71</f>
        <v>0</v>
      </c>
      <c r="BZ30" s="37">
        <f xml:space="preserve"> Ops!BZ$71</f>
        <v>0</v>
      </c>
      <c r="CA30" s="37">
        <f xml:space="preserve"> Ops!CA$71</f>
        <v>0</v>
      </c>
      <c r="CB30" s="37">
        <f xml:space="preserve"> Ops!CB$71</f>
        <v>0</v>
      </c>
      <c r="CC30" s="37">
        <f xml:space="preserve"> Ops!CC$71</f>
        <v>0</v>
      </c>
      <c r="CD30" s="37">
        <f xml:space="preserve"> Ops!CD$71</f>
        <v>0</v>
      </c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outlineLevel="1" x14ac:dyDescent="0.35">
      <c r="A31" s="108"/>
      <c r="D31" s="112"/>
      <c r="E31" s="213" t="s">
        <v>115</v>
      </c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  <c r="BD31" s="213"/>
      <c r="BE31" s="213"/>
      <c r="BF31" s="213"/>
      <c r="BG31" s="213"/>
      <c r="BH31" s="213"/>
      <c r="BI31" s="213"/>
      <c r="BJ31" s="213"/>
      <c r="BK31" s="213"/>
      <c r="BL31" s="213"/>
      <c r="BM31" s="213"/>
      <c r="BN31" s="213"/>
      <c r="BO31" s="213"/>
      <c r="BP31" s="213"/>
      <c r="BQ31" s="213"/>
      <c r="BR31" s="213"/>
      <c r="BS31" s="213"/>
      <c r="BT31" s="213"/>
      <c r="BU31" s="213"/>
      <c r="BV31" s="213"/>
      <c r="BW31" s="213"/>
      <c r="BX31" s="213"/>
      <c r="BY31" s="213"/>
      <c r="BZ31" s="213"/>
      <c r="CA31" s="213"/>
      <c r="CB31" s="213"/>
      <c r="CC31" s="213"/>
      <c r="CD31" s="213"/>
    </row>
    <row r="32" spans="1:131" outlineLevel="1" x14ac:dyDescent="0.35">
      <c r="A32" s="108"/>
      <c r="D32" s="112"/>
      <c r="E32" s="213" t="s">
        <v>113</v>
      </c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  <c r="BK32" s="213"/>
      <c r="BL32" s="213"/>
      <c r="BM32" s="213"/>
      <c r="BN32" s="213"/>
      <c r="BO32" s="213"/>
      <c r="BP32" s="213"/>
      <c r="BQ32" s="213"/>
      <c r="BR32" s="213"/>
      <c r="BS32" s="213"/>
      <c r="BT32" s="213"/>
      <c r="BU32" s="213"/>
      <c r="BV32" s="213"/>
      <c r="BW32" s="213"/>
      <c r="BX32" s="213"/>
      <c r="BY32" s="213"/>
      <c r="BZ32" s="213"/>
      <c r="CA32" s="213"/>
      <c r="CB32" s="213"/>
      <c r="CC32" s="213"/>
      <c r="CD32" s="213"/>
    </row>
    <row r="33" spans="1:82" outlineLevel="1" x14ac:dyDescent="0.35">
      <c r="E33" s="111" t="s">
        <v>139</v>
      </c>
      <c r="F33" s="111"/>
      <c r="G33" s="111" t="str">
        <f>SMU</f>
        <v>$ 000s</v>
      </c>
      <c r="H33" s="111">
        <f xml:space="preserve"> SUM(J33:EA33)</f>
        <v>80640.187836641722</v>
      </c>
      <c r="I33" s="111"/>
      <c r="J33" s="111">
        <f t="shared" ref="J33:AO33" si="13">SUM(J30:J32)</f>
        <v>0</v>
      </c>
      <c r="K33" s="111">
        <f t="shared" si="13"/>
        <v>0</v>
      </c>
      <c r="L33" s="111">
        <f t="shared" si="13"/>
        <v>0</v>
      </c>
      <c r="M33" s="111">
        <f t="shared" si="13"/>
        <v>0</v>
      </c>
      <c r="N33" s="111">
        <f t="shared" si="13"/>
        <v>1310</v>
      </c>
      <c r="O33" s="111">
        <f t="shared" si="13"/>
        <v>1298</v>
      </c>
      <c r="P33" s="111">
        <f t="shared" si="13"/>
        <v>1119.1374999999998</v>
      </c>
      <c r="Q33" s="111">
        <f t="shared" si="13"/>
        <v>1434.3875</v>
      </c>
      <c r="R33" s="111">
        <f t="shared" si="13"/>
        <v>1607.7749999999999</v>
      </c>
      <c r="S33" s="111">
        <f t="shared" si="13"/>
        <v>1952.7827419199425</v>
      </c>
      <c r="T33" s="111">
        <f t="shared" si="13"/>
        <v>2238.2749999999996</v>
      </c>
      <c r="U33" s="111">
        <f t="shared" si="13"/>
        <v>2080.65</v>
      </c>
      <c r="V33" s="111">
        <f t="shared" si="13"/>
        <v>1607.7749999999999</v>
      </c>
      <c r="W33" s="111">
        <f t="shared" si="13"/>
        <v>961.51250000000005</v>
      </c>
      <c r="X33" s="111">
        <f t="shared" si="13"/>
        <v>646.26250000000005</v>
      </c>
      <c r="Y33" s="111">
        <f t="shared" si="13"/>
        <v>553.45475808006029</v>
      </c>
      <c r="Z33" s="111">
        <f t="shared" si="13"/>
        <v>740.83750000000009</v>
      </c>
      <c r="AA33" s="111">
        <f t="shared" si="13"/>
        <v>819.65</v>
      </c>
      <c r="AB33" s="111">
        <f t="shared" si="13"/>
        <v>1113.5696517412935</v>
      </c>
      <c r="AC33" s="111">
        <f t="shared" si="13"/>
        <v>1427.2512437810947</v>
      </c>
      <c r="AD33" s="111">
        <f t="shared" si="13"/>
        <v>1599.7761194029854</v>
      </c>
      <c r="AE33" s="111">
        <f t="shared" si="13"/>
        <v>1943.0674048954654</v>
      </c>
      <c r="AF33" s="111">
        <f t="shared" si="13"/>
        <v>2227.1393034825869</v>
      </c>
      <c r="AG33" s="111">
        <f t="shared" si="13"/>
        <v>2070.2985074626872</v>
      </c>
      <c r="AH33" s="111">
        <f t="shared" si="13"/>
        <v>1599.7761194029854</v>
      </c>
      <c r="AI33" s="111">
        <f t="shared" si="13"/>
        <v>956.72885572139319</v>
      </c>
      <c r="AJ33" s="111">
        <f t="shared" si="13"/>
        <v>643.0472636815922</v>
      </c>
      <c r="AK33" s="111">
        <f t="shared" si="13"/>
        <v>550.70125182095558</v>
      </c>
      <c r="AL33" s="111">
        <f t="shared" si="13"/>
        <v>737.1517412935325</v>
      </c>
      <c r="AM33" s="111">
        <f t="shared" si="13"/>
        <v>815.57213930348269</v>
      </c>
      <c r="AN33" s="111">
        <f t="shared" si="13"/>
        <v>1108.0295042201928</v>
      </c>
      <c r="AO33" s="111">
        <f t="shared" si="13"/>
        <v>1420.1504913244726</v>
      </c>
      <c r="AP33" s="111">
        <f t="shared" ref="AP33:BU33" si="14">SUM(AP30:AP32)</f>
        <v>1591.8170342318265</v>
      </c>
      <c r="AQ33" s="111">
        <f t="shared" si="14"/>
        <v>1933.4004028810605</v>
      </c>
      <c r="AR33" s="111">
        <f t="shared" si="14"/>
        <v>2216.0590084403857</v>
      </c>
      <c r="AS33" s="111">
        <f t="shared" si="14"/>
        <v>2059.9985148882461</v>
      </c>
      <c r="AT33" s="111">
        <f t="shared" si="14"/>
        <v>1591.8170342318265</v>
      </c>
      <c r="AU33" s="111">
        <f t="shared" si="14"/>
        <v>951.9690106680531</v>
      </c>
      <c r="AV33" s="111">
        <f t="shared" si="14"/>
        <v>639.84802356377338</v>
      </c>
      <c r="AW33" s="111">
        <f t="shared" si="14"/>
        <v>547.96144459796585</v>
      </c>
      <c r="AX33" s="111">
        <f t="shared" si="14"/>
        <v>733.48431969505725</v>
      </c>
      <c r="AY33" s="111">
        <f t="shared" si="14"/>
        <v>811.51456647112718</v>
      </c>
      <c r="AZ33" s="111">
        <f t="shared" si="14"/>
        <v>1102.5169196220825</v>
      </c>
      <c r="BA33" s="111">
        <f t="shared" si="14"/>
        <v>1413.0850659945002</v>
      </c>
      <c r="BB33" s="111">
        <f t="shared" si="14"/>
        <v>1583.8975464993296</v>
      </c>
      <c r="BC33" s="111">
        <f t="shared" si="14"/>
        <v>1923.7814954040405</v>
      </c>
      <c r="BD33" s="111">
        <f t="shared" si="14"/>
        <v>2205.0338392441649</v>
      </c>
      <c r="BE33" s="111">
        <f t="shared" si="14"/>
        <v>2049.7497660579565</v>
      </c>
      <c r="BF33" s="111">
        <f t="shared" si="14"/>
        <v>1583.8975464993296</v>
      </c>
      <c r="BG33" s="111">
        <f t="shared" si="14"/>
        <v>947.23284643587374</v>
      </c>
      <c r="BH33" s="111">
        <f t="shared" si="14"/>
        <v>636.66470006345617</v>
      </c>
      <c r="BI33" s="111">
        <f t="shared" si="14"/>
        <v>545.23526825668239</v>
      </c>
      <c r="BJ33" s="111">
        <f t="shared" si="14"/>
        <v>729.8351439751815</v>
      </c>
      <c r="BK33" s="111">
        <f t="shared" si="14"/>
        <v>807.4771805682858</v>
      </c>
      <c r="BL33" s="111">
        <f t="shared" si="14"/>
        <v>1097.0317608179928</v>
      </c>
      <c r="BM33" s="111">
        <f t="shared" si="14"/>
        <v>1406.0547920343288</v>
      </c>
      <c r="BN33" s="111">
        <f t="shared" si="14"/>
        <v>1576.0174592033136</v>
      </c>
      <c r="BO33" s="111">
        <f t="shared" si="14"/>
        <v>1914.2104431881005</v>
      </c>
      <c r="BP33" s="111">
        <f t="shared" si="14"/>
        <v>2194.0635216359856</v>
      </c>
      <c r="BQ33" s="111">
        <f t="shared" si="14"/>
        <v>2039.5520060278179</v>
      </c>
      <c r="BR33" s="111">
        <f t="shared" si="14"/>
        <v>1576.0174592033136</v>
      </c>
      <c r="BS33" s="111">
        <f t="shared" si="14"/>
        <v>942.52024520982491</v>
      </c>
      <c r="BT33" s="111">
        <f t="shared" si="14"/>
        <v>633.49721399348891</v>
      </c>
      <c r="BU33" s="111">
        <f t="shared" si="14"/>
        <v>542.5226549817736</v>
      </c>
      <c r="BV33" s="111">
        <f t="shared" ref="BV33:CD33" si="15">SUM(BV30:BV32)</f>
        <v>726.20412335838967</v>
      </c>
      <c r="BW33" s="111">
        <f t="shared" si="15"/>
        <v>803.45988116247361</v>
      </c>
      <c r="BX33" s="111">
        <f t="shared" si="15"/>
        <v>0</v>
      </c>
      <c r="BY33" s="111">
        <f t="shared" si="15"/>
        <v>0</v>
      </c>
      <c r="BZ33" s="111">
        <f t="shared" si="15"/>
        <v>0</v>
      </c>
      <c r="CA33" s="111">
        <f t="shared" si="15"/>
        <v>0</v>
      </c>
      <c r="CB33" s="111">
        <f t="shared" si="15"/>
        <v>0</v>
      </c>
      <c r="CC33" s="111">
        <f t="shared" si="15"/>
        <v>0</v>
      </c>
      <c r="CD33" s="111">
        <f t="shared" si="15"/>
        <v>0</v>
      </c>
    </row>
    <row r="34" spans="1:82" outlineLevel="1" x14ac:dyDescent="0.35"/>
    <row r="35" spans="1:82" outlineLevel="1" x14ac:dyDescent="0.35">
      <c r="A35" s="108"/>
      <c r="D35" s="112"/>
      <c r="E35" s="213" t="s">
        <v>110</v>
      </c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  <c r="BD35" s="213"/>
      <c r="BE35" s="213"/>
      <c r="BF35" s="213"/>
      <c r="BG35" s="213"/>
      <c r="BH35" s="213"/>
      <c r="BI35" s="213"/>
      <c r="BJ35" s="213"/>
      <c r="BK35" s="213"/>
      <c r="BL35" s="213"/>
      <c r="BM35" s="213"/>
      <c r="BN35" s="213"/>
      <c r="BO35" s="213"/>
      <c r="BP35" s="213"/>
      <c r="BQ35" s="213"/>
      <c r="BR35" s="213"/>
      <c r="BS35" s="213"/>
      <c r="BT35" s="213"/>
      <c r="BU35" s="213"/>
      <c r="BV35" s="213"/>
      <c r="BW35" s="213"/>
      <c r="BX35" s="213"/>
      <c r="BY35" s="213"/>
      <c r="BZ35" s="213"/>
      <c r="CA35" s="213"/>
      <c r="CB35" s="213"/>
      <c r="CC35" s="213"/>
      <c r="CD35" s="213"/>
    </row>
    <row r="36" spans="1:82" outlineLevel="1" x14ac:dyDescent="0.35">
      <c r="A36" s="108"/>
      <c r="D36" s="112"/>
      <c r="E36" s="213" t="s">
        <v>116</v>
      </c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3"/>
      <c r="BD36" s="213"/>
      <c r="BE36" s="213"/>
      <c r="BF36" s="213"/>
      <c r="BG36" s="213"/>
      <c r="BH36" s="213"/>
      <c r="BI36" s="213"/>
      <c r="BJ36" s="213"/>
      <c r="BK36" s="213"/>
      <c r="BL36" s="213"/>
      <c r="BM36" s="213"/>
      <c r="BN36" s="213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  <c r="BY36" s="213"/>
      <c r="BZ36" s="213"/>
      <c r="CA36" s="213"/>
      <c r="CB36" s="213"/>
      <c r="CC36" s="213"/>
      <c r="CD36" s="213"/>
    </row>
    <row r="37" spans="1:82" outlineLevel="1" x14ac:dyDescent="0.35">
      <c r="E37" s="111" t="s">
        <v>107</v>
      </c>
      <c r="F37" s="111"/>
      <c r="G37" s="111" t="str">
        <f>SMU</f>
        <v>$ 000s</v>
      </c>
      <c r="H37" s="111">
        <f xml:space="preserve"> SUM(J37:EA37)</f>
        <v>80640.187836641722</v>
      </c>
      <c r="I37" s="111"/>
      <c r="J37" s="111">
        <f t="shared" ref="J37:AO37" si="16" xml:space="preserve"> J33 + SUM(J35:J36)</f>
        <v>0</v>
      </c>
      <c r="K37" s="111">
        <f t="shared" si="16"/>
        <v>0</v>
      </c>
      <c r="L37" s="111">
        <f t="shared" si="16"/>
        <v>0</v>
      </c>
      <c r="M37" s="111">
        <f t="shared" si="16"/>
        <v>0</v>
      </c>
      <c r="N37" s="111">
        <f t="shared" si="16"/>
        <v>1310</v>
      </c>
      <c r="O37" s="111">
        <f t="shared" si="16"/>
        <v>1298</v>
      </c>
      <c r="P37" s="111">
        <f t="shared" si="16"/>
        <v>1119.1374999999998</v>
      </c>
      <c r="Q37" s="111">
        <f t="shared" si="16"/>
        <v>1434.3875</v>
      </c>
      <c r="R37" s="111">
        <f t="shared" si="16"/>
        <v>1607.7749999999999</v>
      </c>
      <c r="S37" s="111">
        <f t="shared" si="16"/>
        <v>1952.7827419199425</v>
      </c>
      <c r="T37" s="111">
        <f t="shared" si="16"/>
        <v>2238.2749999999996</v>
      </c>
      <c r="U37" s="111">
        <f t="shared" si="16"/>
        <v>2080.65</v>
      </c>
      <c r="V37" s="111">
        <f t="shared" si="16"/>
        <v>1607.7749999999999</v>
      </c>
      <c r="W37" s="111">
        <f t="shared" si="16"/>
        <v>961.51250000000005</v>
      </c>
      <c r="X37" s="111">
        <f t="shared" si="16"/>
        <v>646.26250000000005</v>
      </c>
      <c r="Y37" s="111">
        <f t="shared" si="16"/>
        <v>553.45475808006029</v>
      </c>
      <c r="Z37" s="111">
        <f t="shared" si="16"/>
        <v>740.83750000000009</v>
      </c>
      <c r="AA37" s="111">
        <f t="shared" si="16"/>
        <v>819.65</v>
      </c>
      <c r="AB37" s="111">
        <f t="shared" si="16"/>
        <v>1113.5696517412935</v>
      </c>
      <c r="AC37" s="111">
        <f t="shared" si="16"/>
        <v>1427.2512437810947</v>
      </c>
      <c r="AD37" s="111">
        <f t="shared" si="16"/>
        <v>1599.7761194029854</v>
      </c>
      <c r="AE37" s="111">
        <f t="shared" si="16"/>
        <v>1943.0674048954654</v>
      </c>
      <c r="AF37" s="111">
        <f t="shared" si="16"/>
        <v>2227.1393034825869</v>
      </c>
      <c r="AG37" s="111">
        <f t="shared" si="16"/>
        <v>2070.2985074626872</v>
      </c>
      <c r="AH37" s="111">
        <f t="shared" si="16"/>
        <v>1599.7761194029854</v>
      </c>
      <c r="AI37" s="111">
        <f t="shared" si="16"/>
        <v>956.72885572139319</v>
      </c>
      <c r="AJ37" s="111">
        <f t="shared" si="16"/>
        <v>643.0472636815922</v>
      </c>
      <c r="AK37" s="111">
        <f t="shared" si="16"/>
        <v>550.70125182095558</v>
      </c>
      <c r="AL37" s="111">
        <f t="shared" si="16"/>
        <v>737.1517412935325</v>
      </c>
      <c r="AM37" s="111">
        <f t="shared" si="16"/>
        <v>815.57213930348269</v>
      </c>
      <c r="AN37" s="111">
        <f t="shared" si="16"/>
        <v>1108.0295042201928</v>
      </c>
      <c r="AO37" s="111">
        <f t="shared" si="16"/>
        <v>1420.1504913244726</v>
      </c>
      <c r="AP37" s="111">
        <f t="shared" ref="AP37:BU37" si="17" xml:space="preserve"> AP33 + SUM(AP35:AP36)</f>
        <v>1591.8170342318265</v>
      </c>
      <c r="AQ37" s="111">
        <f t="shared" si="17"/>
        <v>1933.4004028810605</v>
      </c>
      <c r="AR37" s="111">
        <f t="shared" si="17"/>
        <v>2216.0590084403857</v>
      </c>
      <c r="AS37" s="111">
        <f t="shared" si="17"/>
        <v>2059.9985148882461</v>
      </c>
      <c r="AT37" s="111">
        <f t="shared" si="17"/>
        <v>1591.8170342318265</v>
      </c>
      <c r="AU37" s="111">
        <f t="shared" si="17"/>
        <v>951.9690106680531</v>
      </c>
      <c r="AV37" s="111">
        <f t="shared" si="17"/>
        <v>639.84802356377338</v>
      </c>
      <c r="AW37" s="111">
        <f t="shared" si="17"/>
        <v>547.96144459796585</v>
      </c>
      <c r="AX37" s="111">
        <f t="shared" si="17"/>
        <v>733.48431969505725</v>
      </c>
      <c r="AY37" s="111">
        <f t="shared" si="17"/>
        <v>811.51456647112718</v>
      </c>
      <c r="AZ37" s="111">
        <f t="shared" si="17"/>
        <v>1102.5169196220825</v>
      </c>
      <c r="BA37" s="111">
        <f t="shared" si="17"/>
        <v>1413.0850659945002</v>
      </c>
      <c r="BB37" s="111">
        <f t="shared" si="17"/>
        <v>1583.8975464993296</v>
      </c>
      <c r="BC37" s="111">
        <f t="shared" si="17"/>
        <v>1923.7814954040405</v>
      </c>
      <c r="BD37" s="111">
        <f t="shared" si="17"/>
        <v>2205.0338392441649</v>
      </c>
      <c r="BE37" s="111">
        <f t="shared" si="17"/>
        <v>2049.7497660579565</v>
      </c>
      <c r="BF37" s="111">
        <f t="shared" si="17"/>
        <v>1583.8975464993296</v>
      </c>
      <c r="BG37" s="111">
        <f t="shared" si="17"/>
        <v>947.23284643587374</v>
      </c>
      <c r="BH37" s="111">
        <f t="shared" si="17"/>
        <v>636.66470006345617</v>
      </c>
      <c r="BI37" s="111">
        <f t="shared" si="17"/>
        <v>545.23526825668239</v>
      </c>
      <c r="BJ37" s="111">
        <f t="shared" si="17"/>
        <v>729.8351439751815</v>
      </c>
      <c r="BK37" s="111">
        <f t="shared" si="17"/>
        <v>807.4771805682858</v>
      </c>
      <c r="BL37" s="111">
        <f t="shared" si="17"/>
        <v>1097.0317608179928</v>
      </c>
      <c r="BM37" s="111">
        <f t="shared" si="17"/>
        <v>1406.0547920343288</v>
      </c>
      <c r="BN37" s="111">
        <f t="shared" si="17"/>
        <v>1576.0174592033136</v>
      </c>
      <c r="BO37" s="111">
        <f t="shared" si="17"/>
        <v>1914.2104431881005</v>
      </c>
      <c r="BP37" s="111">
        <f t="shared" si="17"/>
        <v>2194.0635216359856</v>
      </c>
      <c r="BQ37" s="111">
        <f t="shared" si="17"/>
        <v>2039.5520060278179</v>
      </c>
      <c r="BR37" s="111">
        <f t="shared" si="17"/>
        <v>1576.0174592033136</v>
      </c>
      <c r="BS37" s="111">
        <f t="shared" si="17"/>
        <v>942.52024520982491</v>
      </c>
      <c r="BT37" s="111">
        <f t="shared" si="17"/>
        <v>633.49721399348891</v>
      </c>
      <c r="BU37" s="111">
        <f t="shared" si="17"/>
        <v>542.5226549817736</v>
      </c>
      <c r="BV37" s="111">
        <f t="shared" ref="BV37:CD37" si="18" xml:space="preserve"> BV33 + SUM(BV35:BV36)</f>
        <v>726.20412335838967</v>
      </c>
      <c r="BW37" s="111">
        <f t="shared" si="18"/>
        <v>803.45988116247361</v>
      </c>
      <c r="BX37" s="111">
        <f t="shared" si="18"/>
        <v>0</v>
      </c>
      <c r="BY37" s="111">
        <f t="shared" si="18"/>
        <v>0</v>
      </c>
      <c r="BZ37" s="111">
        <f t="shared" si="18"/>
        <v>0</v>
      </c>
      <c r="CA37" s="111">
        <f t="shared" si="18"/>
        <v>0</v>
      </c>
      <c r="CB37" s="111">
        <f t="shared" si="18"/>
        <v>0</v>
      </c>
      <c r="CC37" s="111">
        <f t="shared" si="18"/>
        <v>0</v>
      </c>
      <c r="CD37" s="111">
        <f t="shared" si="18"/>
        <v>0</v>
      </c>
    </row>
    <row r="38" spans="1:82" outlineLevel="1" x14ac:dyDescent="0.35"/>
    <row r="39" spans="1:82" outlineLevel="1" x14ac:dyDescent="0.35">
      <c r="A39" s="108"/>
      <c r="D39" s="112"/>
      <c r="E39" s="213" t="s">
        <v>117</v>
      </c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  <c r="BC39" s="213"/>
      <c r="BD39" s="213"/>
      <c r="BE39" s="213"/>
      <c r="BF39" s="213"/>
      <c r="BG39" s="213"/>
      <c r="BH39" s="213"/>
      <c r="BI39" s="213"/>
      <c r="BJ39" s="213"/>
      <c r="BK39" s="213"/>
      <c r="BL39" s="213"/>
      <c r="BM39" s="213"/>
      <c r="BN39" s="213"/>
      <c r="BO39" s="213"/>
      <c r="BP39" s="213"/>
      <c r="BQ39" s="213"/>
      <c r="BR39" s="213"/>
      <c r="BS39" s="213"/>
      <c r="BT39" s="213"/>
      <c r="BU39" s="213"/>
      <c r="BV39" s="213"/>
      <c r="BW39" s="213"/>
      <c r="BX39" s="213"/>
      <c r="BY39" s="213"/>
      <c r="BZ39" s="213"/>
      <c r="CA39" s="213"/>
      <c r="CB39" s="213"/>
      <c r="CC39" s="213"/>
      <c r="CD39" s="213"/>
    </row>
    <row r="40" spans="1:82" outlineLevel="1" x14ac:dyDescent="0.35">
      <c r="A40" s="108"/>
      <c r="D40" s="112"/>
      <c r="E40" s="213" t="s">
        <v>118</v>
      </c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  <c r="BC40" s="213"/>
      <c r="BD40" s="213"/>
      <c r="BE40" s="213"/>
      <c r="BF40" s="213"/>
      <c r="BG40" s="213"/>
      <c r="BH40" s="213"/>
      <c r="BI40" s="213"/>
      <c r="BJ40" s="213"/>
      <c r="BK40" s="213"/>
      <c r="BL40" s="213"/>
      <c r="BM40" s="213"/>
      <c r="BN40" s="213"/>
      <c r="BO40" s="213"/>
      <c r="BP40" s="213"/>
      <c r="BQ40" s="213"/>
      <c r="BR40" s="213"/>
      <c r="BS40" s="213"/>
      <c r="BT40" s="213"/>
      <c r="BU40" s="213"/>
      <c r="BV40" s="213"/>
      <c r="BW40" s="213"/>
      <c r="BX40" s="213"/>
      <c r="BY40" s="213"/>
      <c r="BZ40" s="213"/>
      <c r="CA40" s="213"/>
      <c r="CB40" s="213"/>
      <c r="CC40" s="213"/>
      <c r="CD40" s="213"/>
    </row>
    <row r="41" spans="1:82" outlineLevel="1" x14ac:dyDescent="0.35">
      <c r="A41" s="108"/>
      <c r="D41" s="112"/>
      <c r="E41" s="213" t="s">
        <v>111</v>
      </c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13"/>
      <c r="BD41" s="213"/>
      <c r="BE41" s="213"/>
      <c r="BF41" s="213"/>
      <c r="BG41" s="213"/>
      <c r="BH41" s="213"/>
      <c r="BI41" s="213"/>
      <c r="BJ41" s="213"/>
      <c r="BK41" s="213"/>
      <c r="BL41" s="213"/>
      <c r="BM41" s="213"/>
      <c r="BN41" s="213"/>
      <c r="BO41" s="213"/>
      <c r="BP41" s="213"/>
      <c r="BQ41" s="213"/>
      <c r="BR41" s="213"/>
      <c r="BS41" s="213"/>
      <c r="BT41" s="213"/>
      <c r="BU41" s="213"/>
      <c r="BV41" s="213"/>
      <c r="BW41" s="213"/>
      <c r="BX41" s="213"/>
      <c r="BY41" s="213"/>
      <c r="BZ41" s="213"/>
      <c r="CA41" s="213"/>
      <c r="CB41" s="213"/>
      <c r="CC41" s="213"/>
      <c r="CD41" s="213"/>
    </row>
    <row r="42" spans="1:82" outlineLevel="1" x14ac:dyDescent="0.35">
      <c r="E42" s="111" t="s">
        <v>106</v>
      </c>
      <c r="F42" s="111"/>
      <c r="G42" s="111" t="str">
        <f>SMU</f>
        <v>$ 000s</v>
      </c>
      <c r="H42" s="111">
        <f xml:space="preserve"> SUM(J42:EA42)</f>
        <v>80640.187836641722</v>
      </c>
      <c r="I42" s="111"/>
      <c r="J42" s="111">
        <f t="shared" ref="J42:AO42" si="19" xml:space="preserve"> J37 + SUM(J39:J41)</f>
        <v>0</v>
      </c>
      <c r="K42" s="111">
        <f t="shared" si="19"/>
        <v>0</v>
      </c>
      <c r="L42" s="111">
        <f t="shared" si="19"/>
        <v>0</v>
      </c>
      <c r="M42" s="111">
        <f t="shared" si="19"/>
        <v>0</v>
      </c>
      <c r="N42" s="111">
        <f t="shared" si="19"/>
        <v>1310</v>
      </c>
      <c r="O42" s="111">
        <f t="shared" si="19"/>
        <v>1298</v>
      </c>
      <c r="P42" s="111">
        <f t="shared" si="19"/>
        <v>1119.1374999999998</v>
      </c>
      <c r="Q42" s="111">
        <f t="shared" si="19"/>
        <v>1434.3875</v>
      </c>
      <c r="R42" s="111">
        <f t="shared" si="19"/>
        <v>1607.7749999999999</v>
      </c>
      <c r="S42" s="111">
        <f t="shared" si="19"/>
        <v>1952.7827419199425</v>
      </c>
      <c r="T42" s="111">
        <f t="shared" si="19"/>
        <v>2238.2749999999996</v>
      </c>
      <c r="U42" s="111">
        <f t="shared" si="19"/>
        <v>2080.65</v>
      </c>
      <c r="V42" s="111">
        <f t="shared" si="19"/>
        <v>1607.7749999999999</v>
      </c>
      <c r="W42" s="111">
        <f t="shared" si="19"/>
        <v>961.51250000000005</v>
      </c>
      <c r="X42" s="111">
        <f t="shared" si="19"/>
        <v>646.26250000000005</v>
      </c>
      <c r="Y42" s="111">
        <f t="shared" si="19"/>
        <v>553.45475808006029</v>
      </c>
      <c r="Z42" s="111">
        <f t="shared" si="19"/>
        <v>740.83750000000009</v>
      </c>
      <c r="AA42" s="111">
        <f t="shared" si="19"/>
        <v>819.65</v>
      </c>
      <c r="AB42" s="111">
        <f t="shared" si="19"/>
        <v>1113.5696517412935</v>
      </c>
      <c r="AC42" s="111">
        <f t="shared" si="19"/>
        <v>1427.2512437810947</v>
      </c>
      <c r="AD42" s="111">
        <f t="shared" si="19"/>
        <v>1599.7761194029854</v>
      </c>
      <c r="AE42" s="111">
        <f t="shared" si="19"/>
        <v>1943.0674048954654</v>
      </c>
      <c r="AF42" s="111">
        <f t="shared" si="19"/>
        <v>2227.1393034825869</v>
      </c>
      <c r="AG42" s="111">
        <f t="shared" si="19"/>
        <v>2070.2985074626872</v>
      </c>
      <c r="AH42" s="111">
        <f t="shared" si="19"/>
        <v>1599.7761194029854</v>
      </c>
      <c r="AI42" s="111">
        <f t="shared" si="19"/>
        <v>956.72885572139319</v>
      </c>
      <c r="AJ42" s="111">
        <f t="shared" si="19"/>
        <v>643.0472636815922</v>
      </c>
      <c r="AK42" s="111">
        <f t="shared" si="19"/>
        <v>550.70125182095558</v>
      </c>
      <c r="AL42" s="111">
        <f t="shared" si="19"/>
        <v>737.1517412935325</v>
      </c>
      <c r="AM42" s="111">
        <f t="shared" si="19"/>
        <v>815.57213930348269</v>
      </c>
      <c r="AN42" s="111">
        <f t="shared" si="19"/>
        <v>1108.0295042201928</v>
      </c>
      <c r="AO42" s="111">
        <f t="shared" si="19"/>
        <v>1420.1504913244726</v>
      </c>
      <c r="AP42" s="111">
        <f t="shared" ref="AP42:BU42" si="20" xml:space="preserve"> AP37 + SUM(AP39:AP41)</f>
        <v>1591.8170342318265</v>
      </c>
      <c r="AQ42" s="111">
        <f t="shared" si="20"/>
        <v>1933.4004028810605</v>
      </c>
      <c r="AR42" s="111">
        <f t="shared" si="20"/>
        <v>2216.0590084403857</v>
      </c>
      <c r="AS42" s="111">
        <f t="shared" si="20"/>
        <v>2059.9985148882461</v>
      </c>
      <c r="AT42" s="111">
        <f t="shared" si="20"/>
        <v>1591.8170342318265</v>
      </c>
      <c r="AU42" s="111">
        <f t="shared" si="20"/>
        <v>951.9690106680531</v>
      </c>
      <c r="AV42" s="111">
        <f t="shared" si="20"/>
        <v>639.84802356377338</v>
      </c>
      <c r="AW42" s="111">
        <f t="shared" si="20"/>
        <v>547.96144459796585</v>
      </c>
      <c r="AX42" s="111">
        <f t="shared" si="20"/>
        <v>733.48431969505725</v>
      </c>
      <c r="AY42" s="111">
        <f t="shared" si="20"/>
        <v>811.51456647112718</v>
      </c>
      <c r="AZ42" s="111">
        <f t="shared" si="20"/>
        <v>1102.5169196220825</v>
      </c>
      <c r="BA42" s="111">
        <f t="shared" si="20"/>
        <v>1413.0850659945002</v>
      </c>
      <c r="BB42" s="111">
        <f t="shared" si="20"/>
        <v>1583.8975464993296</v>
      </c>
      <c r="BC42" s="111">
        <f t="shared" si="20"/>
        <v>1923.7814954040405</v>
      </c>
      <c r="BD42" s="111">
        <f t="shared" si="20"/>
        <v>2205.0338392441649</v>
      </c>
      <c r="BE42" s="111">
        <f t="shared" si="20"/>
        <v>2049.7497660579565</v>
      </c>
      <c r="BF42" s="111">
        <f t="shared" si="20"/>
        <v>1583.8975464993296</v>
      </c>
      <c r="BG42" s="111">
        <f t="shared" si="20"/>
        <v>947.23284643587374</v>
      </c>
      <c r="BH42" s="111">
        <f t="shared" si="20"/>
        <v>636.66470006345617</v>
      </c>
      <c r="BI42" s="111">
        <f t="shared" si="20"/>
        <v>545.23526825668239</v>
      </c>
      <c r="BJ42" s="111">
        <f t="shared" si="20"/>
        <v>729.8351439751815</v>
      </c>
      <c r="BK42" s="111">
        <f t="shared" si="20"/>
        <v>807.4771805682858</v>
      </c>
      <c r="BL42" s="111">
        <f t="shared" si="20"/>
        <v>1097.0317608179928</v>
      </c>
      <c r="BM42" s="111">
        <f t="shared" si="20"/>
        <v>1406.0547920343288</v>
      </c>
      <c r="BN42" s="111">
        <f t="shared" si="20"/>
        <v>1576.0174592033136</v>
      </c>
      <c r="BO42" s="111">
        <f t="shared" si="20"/>
        <v>1914.2104431881005</v>
      </c>
      <c r="BP42" s="111">
        <f t="shared" si="20"/>
        <v>2194.0635216359856</v>
      </c>
      <c r="BQ42" s="111">
        <f t="shared" si="20"/>
        <v>2039.5520060278179</v>
      </c>
      <c r="BR42" s="111">
        <f t="shared" si="20"/>
        <v>1576.0174592033136</v>
      </c>
      <c r="BS42" s="111">
        <f t="shared" si="20"/>
        <v>942.52024520982491</v>
      </c>
      <c r="BT42" s="111">
        <f t="shared" si="20"/>
        <v>633.49721399348891</v>
      </c>
      <c r="BU42" s="111">
        <f t="shared" si="20"/>
        <v>542.5226549817736</v>
      </c>
      <c r="BV42" s="111">
        <f t="shared" ref="BV42:CD42" si="21" xml:space="preserve"> BV37 + SUM(BV39:BV41)</f>
        <v>726.20412335838967</v>
      </c>
      <c r="BW42" s="111">
        <f t="shared" si="21"/>
        <v>803.45988116247361</v>
      </c>
      <c r="BX42" s="111">
        <f t="shared" si="21"/>
        <v>0</v>
      </c>
      <c r="BY42" s="111">
        <f t="shared" si="21"/>
        <v>0</v>
      </c>
      <c r="BZ42" s="111">
        <f t="shared" si="21"/>
        <v>0</v>
      </c>
      <c r="CA42" s="111">
        <f t="shared" si="21"/>
        <v>0</v>
      </c>
      <c r="CB42" s="111">
        <f t="shared" si="21"/>
        <v>0</v>
      </c>
      <c r="CC42" s="111">
        <f t="shared" si="21"/>
        <v>0</v>
      </c>
      <c r="CD42" s="111">
        <f t="shared" si="21"/>
        <v>0</v>
      </c>
    </row>
    <row r="43" spans="1:82" outlineLevel="1" x14ac:dyDescent="0.35"/>
    <row r="44" spans="1:82" outlineLevel="1" x14ac:dyDescent="0.35">
      <c r="A44" s="108"/>
      <c r="D44" s="112"/>
      <c r="E44" s="213" t="s">
        <v>119</v>
      </c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  <c r="BC44" s="213"/>
      <c r="BD44" s="213"/>
      <c r="BE44" s="213"/>
      <c r="BF44" s="213"/>
      <c r="BG44" s="213"/>
      <c r="BH44" s="213"/>
      <c r="BI44" s="213"/>
      <c r="BJ44" s="213"/>
      <c r="BK44" s="213"/>
      <c r="BL44" s="213"/>
      <c r="BM44" s="213"/>
      <c r="BN44" s="213"/>
      <c r="BO44" s="213"/>
      <c r="BP44" s="213"/>
      <c r="BQ44" s="213"/>
      <c r="BR44" s="213"/>
      <c r="BS44" s="213"/>
      <c r="BT44" s="213"/>
      <c r="BU44" s="213"/>
      <c r="BV44" s="213"/>
      <c r="BW44" s="213"/>
      <c r="BX44" s="213"/>
      <c r="BY44" s="213"/>
      <c r="BZ44" s="213"/>
      <c r="CA44" s="213"/>
      <c r="CB44" s="213"/>
      <c r="CC44" s="213"/>
      <c r="CD44" s="213"/>
    </row>
    <row r="45" spans="1:82" outlineLevel="1" x14ac:dyDescent="0.35">
      <c r="E45" s="213" t="s">
        <v>120</v>
      </c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3"/>
      <c r="BD45" s="213"/>
      <c r="BE45" s="213"/>
      <c r="BF45" s="213"/>
      <c r="BG45" s="213"/>
      <c r="BH45" s="213"/>
      <c r="BI45" s="213"/>
      <c r="BJ45" s="213"/>
      <c r="BK45" s="213"/>
      <c r="BL45" s="213"/>
      <c r="BM45" s="213"/>
      <c r="BN45" s="213"/>
      <c r="BO45" s="213"/>
      <c r="BP45" s="213"/>
      <c r="BQ45" s="213"/>
      <c r="BR45" s="213"/>
      <c r="BS45" s="213"/>
      <c r="BT45" s="213"/>
      <c r="BU45" s="213"/>
      <c r="BV45" s="213"/>
      <c r="BW45" s="213"/>
      <c r="BX45" s="213"/>
      <c r="BY45" s="213"/>
      <c r="BZ45" s="213"/>
      <c r="CA45" s="213"/>
      <c r="CB45" s="213"/>
      <c r="CC45" s="213"/>
      <c r="CD45" s="213"/>
    </row>
    <row r="46" spans="1:82" outlineLevel="1" x14ac:dyDescent="0.35">
      <c r="A46" s="108"/>
      <c r="D46" s="112"/>
      <c r="E46" s="213" t="s">
        <v>121</v>
      </c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/>
      <c r="BD46" s="213"/>
      <c r="BE46" s="213"/>
      <c r="BF46" s="213"/>
      <c r="BG46" s="213"/>
      <c r="BH46" s="213"/>
      <c r="BI46" s="213"/>
      <c r="BJ46" s="213"/>
      <c r="BK46" s="213"/>
      <c r="BL46" s="213"/>
      <c r="BM46" s="213"/>
      <c r="BN46" s="213"/>
      <c r="BO46" s="213"/>
      <c r="BP46" s="213"/>
      <c r="BQ46" s="213"/>
      <c r="BR46" s="213"/>
      <c r="BS46" s="213"/>
      <c r="BT46" s="213"/>
      <c r="BU46" s="213"/>
      <c r="BV46" s="213"/>
      <c r="BW46" s="213"/>
      <c r="BX46" s="213"/>
      <c r="BY46" s="213"/>
      <c r="BZ46" s="213"/>
      <c r="CA46" s="213"/>
      <c r="CB46" s="213"/>
      <c r="CC46" s="213"/>
      <c r="CD46" s="213"/>
    </row>
    <row r="47" spans="1:82" outlineLevel="1" x14ac:dyDescent="0.35">
      <c r="E47" s="111" t="s">
        <v>105</v>
      </c>
      <c r="F47" s="111"/>
      <c r="G47" s="111" t="str">
        <f xml:space="preserve"> SMU</f>
        <v>$ 000s</v>
      </c>
      <c r="H47" s="111">
        <f xml:space="preserve"> SUM(J47:EA47)</f>
        <v>80640.187836641722</v>
      </c>
      <c r="I47" s="111"/>
      <c r="J47" s="111">
        <f t="shared" ref="J47:AO47" si="22" xml:space="preserve"> J42 + SUM(J44:J46)</f>
        <v>0</v>
      </c>
      <c r="K47" s="111">
        <f t="shared" si="22"/>
        <v>0</v>
      </c>
      <c r="L47" s="111">
        <f t="shared" si="22"/>
        <v>0</v>
      </c>
      <c r="M47" s="111">
        <f t="shared" si="22"/>
        <v>0</v>
      </c>
      <c r="N47" s="111">
        <f t="shared" si="22"/>
        <v>1310</v>
      </c>
      <c r="O47" s="111">
        <f t="shared" si="22"/>
        <v>1298</v>
      </c>
      <c r="P47" s="111">
        <f t="shared" si="22"/>
        <v>1119.1374999999998</v>
      </c>
      <c r="Q47" s="111">
        <f t="shared" si="22"/>
        <v>1434.3875</v>
      </c>
      <c r="R47" s="111">
        <f t="shared" si="22"/>
        <v>1607.7749999999999</v>
      </c>
      <c r="S47" s="111">
        <f t="shared" si="22"/>
        <v>1952.7827419199425</v>
      </c>
      <c r="T47" s="111">
        <f t="shared" si="22"/>
        <v>2238.2749999999996</v>
      </c>
      <c r="U47" s="111">
        <f t="shared" si="22"/>
        <v>2080.65</v>
      </c>
      <c r="V47" s="111">
        <f t="shared" si="22"/>
        <v>1607.7749999999999</v>
      </c>
      <c r="W47" s="111">
        <f t="shared" si="22"/>
        <v>961.51250000000005</v>
      </c>
      <c r="X47" s="111">
        <f t="shared" si="22"/>
        <v>646.26250000000005</v>
      </c>
      <c r="Y47" s="111">
        <f t="shared" si="22"/>
        <v>553.45475808006029</v>
      </c>
      <c r="Z47" s="111">
        <f t="shared" si="22"/>
        <v>740.83750000000009</v>
      </c>
      <c r="AA47" s="111">
        <f t="shared" si="22"/>
        <v>819.65</v>
      </c>
      <c r="AB47" s="111">
        <f t="shared" si="22"/>
        <v>1113.5696517412935</v>
      </c>
      <c r="AC47" s="111">
        <f t="shared" si="22"/>
        <v>1427.2512437810947</v>
      </c>
      <c r="AD47" s="111">
        <f t="shared" si="22"/>
        <v>1599.7761194029854</v>
      </c>
      <c r="AE47" s="111">
        <f t="shared" si="22"/>
        <v>1943.0674048954654</v>
      </c>
      <c r="AF47" s="111">
        <f t="shared" si="22"/>
        <v>2227.1393034825869</v>
      </c>
      <c r="AG47" s="111">
        <f t="shared" si="22"/>
        <v>2070.2985074626872</v>
      </c>
      <c r="AH47" s="111">
        <f t="shared" si="22"/>
        <v>1599.7761194029854</v>
      </c>
      <c r="AI47" s="111">
        <f t="shared" si="22"/>
        <v>956.72885572139319</v>
      </c>
      <c r="AJ47" s="111">
        <f t="shared" si="22"/>
        <v>643.0472636815922</v>
      </c>
      <c r="AK47" s="111">
        <f t="shared" si="22"/>
        <v>550.70125182095558</v>
      </c>
      <c r="AL47" s="111">
        <f t="shared" si="22"/>
        <v>737.1517412935325</v>
      </c>
      <c r="AM47" s="111">
        <f t="shared" si="22"/>
        <v>815.57213930348269</v>
      </c>
      <c r="AN47" s="111">
        <f t="shared" si="22"/>
        <v>1108.0295042201928</v>
      </c>
      <c r="AO47" s="111">
        <f t="shared" si="22"/>
        <v>1420.1504913244726</v>
      </c>
      <c r="AP47" s="111">
        <f t="shared" ref="AP47:BU47" si="23" xml:space="preserve"> AP42 + SUM(AP44:AP46)</f>
        <v>1591.8170342318265</v>
      </c>
      <c r="AQ47" s="111">
        <f t="shared" si="23"/>
        <v>1933.4004028810605</v>
      </c>
      <c r="AR47" s="111">
        <f t="shared" si="23"/>
        <v>2216.0590084403857</v>
      </c>
      <c r="AS47" s="111">
        <f t="shared" si="23"/>
        <v>2059.9985148882461</v>
      </c>
      <c r="AT47" s="111">
        <f t="shared" si="23"/>
        <v>1591.8170342318265</v>
      </c>
      <c r="AU47" s="111">
        <f t="shared" si="23"/>
        <v>951.9690106680531</v>
      </c>
      <c r="AV47" s="111">
        <f t="shared" si="23"/>
        <v>639.84802356377338</v>
      </c>
      <c r="AW47" s="111">
        <f t="shared" si="23"/>
        <v>547.96144459796585</v>
      </c>
      <c r="AX47" s="111">
        <f t="shared" si="23"/>
        <v>733.48431969505725</v>
      </c>
      <c r="AY47" s="111">
        <f t="shared" si="23"/>
        <v>811.51456647112718</v>
      </c>
      <c r="AZ47" s="111">
        <f t="shared" si="23"/>
        <v>1102.5169196220825</v>
      </c>
      <c r="BA47" s="111">
        <f t="shared" si="23"/>
        <v>1413.0850659945002</v>
      </c>
      <c r="BB47" s="111">
        <f t="shared" si="23"/>
        <v>1583.8975464993296</v>
      </c>
      <c r="BC47" s="111">
        <f t="shared" si="23"/>
        <v>1923.7814954040405</v>
      </c>
      <c r="BD47" s="111">
        <f t="shared" si="23"/>
        <v>2205.0338392441649</v>
      </c>
      <c r="BE47" s="111">
        <f t="shared" si="23"/>
        <v>2049.7497660579565</v>
      </c>
      <c r="BF47" s="111">
        <f t="shared" si="23"/>
        <v>1583.8975464993296</v>
      </c>
      <c r="BG47" s="111">
        <f t="shared" si="23"/>
        <v>947.23284643587374</v>
      </c>
      <c r="BH47" s="111">
        <f t="shared" si="23"/>
        <v>636.66470006345617</v>
      </c>
      <c r="BI47" s="111">
        <f t="shared" si="23"/>
        <v>545.23526825668239</v>
      </c>
      <c r="BJ47" s="111">
        <f t="shared" si="23"/>
        <v>729.8351439751815</v>
      </c>
      <c r="BK47" s="111">
        <f t="shared" si="23"/>
        <v>807.4771805682858</v>
      </c>
      <c r="BL47" s="111">
        <f t="shared" si="23"/>
        <v>1097.0317608179928</v>
      </c>
      <c r="BM47" s="111">
        <f t="shared" si="23"/>
        <v>1406.0547920343288</v>
      </c>
      <c r="BN47" s="111">
        <f t="shared" si="23"/>
        <v>1576.0174592033136</v>
      </c>
      <c r="BO47" s="111">
        <f t="shared" si="23"/>
        <v>1914.2104431881005</v>
      </c>
      <c r="BP47" s="111">
        <f t="shared" si="23"/>
        <v>2194.0635216359856</v>
      </c>
      <c r="BQ47" s="111">
        <f t="shared" si="23"/>
        <v>2039.5520060278179</v>
      </c>
      <c r="BR47" s="111">
        <f t="shared" si="23"/>
        <v>1576.0174592033136</v>
      </c>
      <c r="BS47" s="111">
        <f t="shared" si="23"/>
        <v>942.52024520982491</v>
      </c>
      <c r="BT47" s="111">
        <f t="shared" si="23"/>
        <v>633.49721399348891</v>
      </c>
      <c r="BU47" s="111">
        <f t="shared" si="23"/>
        <v>542.5226549817736</v>
      </c>
      <c r="BV47" s="111">
        <f t="shared" ref="BV47:CD47" si="24" xml:space="preserve"> BV42 + SUM(BV44:BV46)</f>
        <v>726.20412335838967</v>
      </c>
      <c r="BW47" s="111">
        <f t="shared" si="24"/>
        <v>803.45988116247361</v>
      </c>
      <c r="BX47" s="111">
        <f t="shared" si="24"/>
        <v>0</v>
      </c>
      <c r="BY47" s="111">
        <f t="shared" si="24"/>
        <v>0</v>
      </c>
      <c r="BZ47" s="111">
        <f t="shared" si="24"/>
        <v>0</v>
      </c>
      <c r="CA47" s="111">
        <f t="shared" si="24"/>
        <v>0</v>
      </c>
      <c r="CB47" s="111">
        <f t="shared" si="24"/>
        <v>0</v>
      </c>
      <c r="CC47" s="111">
        <f t="shared" si="24"/>
        <v>0</v>
      </c>
      <c r="CD47" s="111">
        <f t="shared" si="24"/>
        <v>0</v>
      </c>
    </row>
    <row r="48" spans="1:82" outlineLevel="1" x14ac:dyDescent="0.35"/>
    <row r="49" spans="1:131" outlineLevel="1" x14ac:dyDescent="0.35">
      <c r="A49" s="108"/>
      <c r="D49" s="112"/>
      <c r="E49" s="213" t="s">
        <v>122</v>
      </c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  <c r="BC49" s="213"/>
      <c r="BD49" s="213"/>
      <c r="BE49" s="213"/>
      <c r="BF49" s="213"/>
      <c r="BG49" s="213"/>
      <c r="BH49" s="213"/>
      <c r="BI49" s="213"/>
      <c r="BJ49" s="213"/>
      <c r="BK49" s="213"/>
      <c r="BL49" s="213"/>
      <c r="BM49" s="213"/>
      <c r="BN49" s="213"/>
      <c r="BO49" s="213"/>
      <c r="BP49" s="213"/>
      <c r="BQ49" s="213"/>
      <c r="BR49" s="213"/>
      <c r="BS49" s="213"/>
      <c r="BT49" s="213"/>
      <c r="BU49" s="213"/>
      <c r="BV49" s="213"/>
      <c r="BW49" s="213"/>
      <c r="BX49" s="213"/>
      <c r="BY49" s="213"/>
      <c r="BZ49" s="213"/>
      <c r="CA49" s="213"/>
      <c r="CB49" s="213"/>
      <c r="CC49" s="213"/>
      <c r="CD49" s="213"/>
    </row>
    <row r="50" spans="1:131" s="262" customFormat="1" outlineLevel="1" x14ac:dyDescent="0.35">
      <c r="A50" s="107"/>
      <c r="B50" s="108"/>
      <c r="C50" s="109"/>
      <c r="D50" s="110"/>
      <c r="E50" s="111" t="s">
        <v>55</v>
      </c>
      <c r="F50" s="111"/>
      <c r="G50" s="111" t="str">
        <f>SMU</f>
        <v>$ 000s</v>
      </c>
      <c r="H50" s="111">
        <f xml:space="preserve"> SUM(J50:EA50)</f>
        <v>80640.187836641722</v>
      </c>
      <c r="I50" s="111"/>
      <c r="J50" s="111">
        <f t="shared" ref="J50:AO50" si="25" xml:space="preserve"> J47 + J49</f>
        <v>0</v>
      </c>
      <c r="K50" s="111">
        <f t="shared" si="25"/>
        <v>0</v>
      </c>
      <c r="L50" s="111">
        <f t="shared" si="25"/>
        <v>0</v>
      </c>
      <c r="M50" s="111">
        <f t="shared" si="25"/>
        <v>0</v>
      </c>
      <c r="N50" s="111">
        <f t="shared" si="25"/>
        <v>1310</v>
      </c>
      <c r="O50" s="111">
        <f t="shared" si="25"/>
        <v>1298</v>
      </c>
      <c r="P50" s="111">
        <f t="shared" si="25"/>
        <v>1119.1374999999998</v>
      </c>
      <c r="Q50" s="111">
        <f t="shared" si="25"/>
        <v>1434.3875</v>
      </c>
      <c r="R50" s="111">
        <f t="shared" si="25"/>
        <v>1607.7749999999999</v>
      </c>
      <c r="S50" s="111">
        <f t="shared" si="25"/>
        <v>1952.7827419199425</v>
      </c>
      <c r="T50" s="111">
        <f t="shared" si="25"/>
        <v>2238.2749999999996</v>
      </c>
      <c r="U50" s="111">
        <f t="shared" si="25"/>
        <v>2080.65</v>
      </c>
      <c r="V50" s="111">
        <f t="shared" si="25"/>
        <v>1607.7749999999999</v>
      </c>
      <c r="W50" s="111">
        <f t="shared" si="25"/>
        <v>961.51250000000005</v>
      </c>
      <c r="X50" s="111">
        <f t="shared" si="25"/>
        <v>646.26250000000005</v>
      </c>
      <c r="Y50" s="111">
        <f t="shared" si="25"/>
        <v>553.45475808006029</v>
      </c>
      <c r="Z50" s="111">
        <f t="shared" si="25"/>
        <v>740.83750000000009</v>
      </c>
      <c r="AA50" s="111">
        <f t="shared" si="25"/>
        <v>819.65</v>
      </c>
      <c r="AB50" s="111">
        <f t="shared" si="25"/>
        <v>1113.5696517412935</v>
      </c>
      <c r="AC50" s="111">
        <f t="shared" si="25"/>
        <v>1427.2512437810947</v>
      </c>
      <c r="AD50" s="111">
        <f t="shared" si="25"/>
        <v>1599.7761194029854</v>
      </c>
      <c r="AE50" s="111">
        <f t="shared" si="25"/>
        <v>1943.0674048954654</v>
      </c>
      <c r="AF50" s="111">
        <f t="shared" si="25"/>
        <v>2227.1393034825869</v>
      </c>
      <c r="AG50" s="111">
        <f t="shared" si="25"/>
        <v>2070.2985074626872</v>
      </c>
      <c r="AH50" s="111">
        <f t="shared" si="25"/>
        <v>1599.7761194029854</v>
      </c>
      <c r="AI50" s="111">
        <f t="shared" si="25"/>
        <v>956.72885572139319</v>
      </c>
      <c r="AJ50" s="111">
        <f t="shared" si="25"/>
        <v>643.0472636815922</v>
      </c>
      <c r="AK50" s="111">
        <f t="shared" si="25"/>
        <v>550.70125182095558</v>
      </c>
      <c r="AL50" s="111">
        <f t="shared" si="25"/>
        <v>737.1517412935325</v>
      </c>
      <c r="AM50" s="111">
        <f t="shared" si="25"/>
        <v>815.57213930348269</v>
      </c>
      <c r="AN50" s="111">
        <f t="shared" si="25"/>
        <v>1108.0295042201928</v>
      </c>
      <c r="AO50" s="111">
        <f t="shared" si="25"/>
        <v>1420.1504913244726</v>
      </c>
      <c r="AP50" s="111">
        <f t="shared" ref="AP50:BU50" si="26" xml:space="preserve"> AP47 + AP49</f>
        <v>1591.8170342318265</v>
      </c>
      <c r="AQ50" s="111">
        <f t="shared" si="26"/>
        <v>1933.4004028810605</v>
      </c>
      <c r="AR50" s="111">
        <f t="shared" si="26"/>
        <v>2216.0590084403857</v>
      </c>
      <c r="AS50" s="111">
        <f t="shared" si="26"/>
        <v>2059.9985148882461</v>
      </c>
      <c r="AT50" s="111">
        <f t="shared" si="26"/>
        <v>1591.8170342318265</v>
      </c>
      <c r="AU50" s="111">
        <f t="shared" si="26"/>
        <v>951.9690106680531</v>
      </c>
      <c r="AV50" s="111">
        <f t="shared" si="26"/>
        <v>639.84802356377338</v>
      </c>
      <c r="AW50" s="111">
        <f t="shared" si="26"/>
        <v>547.96144459796585</v>
      </c>
      <c r="AX50" s="111">
        <f t="shared" si="26"/>
        <v>733.48431969505725</v>
      </c>
      <c r="AY50" s="111">
        <f t="shared" si="26"/>
        <v>811.51456647112718</v>
      </c>
      <c r="AZ50" s="111">
        <f t="shared" si="26"/>
        <v>1102.5169196220825</v>
      </c>
      <c r="BA50" s="111">
        <f t="shared" si="26"/>
        <v>1413.0850659945002</v>
      </c>
      <c r="BB50" s="111">
        <f t="shared" si="26"/>
        <v>1583.8975464993296</v>
      </c>
      <c r="BC50" s="111">
        <f t="shared" si="26"/>
        <v>1923.7814954040405</v>
      </c>
      <c r="BD50" s="111">
        <f t="shared" si="26"/>
        <v>2205.0338392441649</v>
      </c>
      <c r="BE50" s="111">
        <f t="shared" si="26"/>
        <v>2049.7497660579565</v>
      </c>
      <c r="BF50" s="111">
        <f t="shared" si="26"/>
        <v>1583.8975464993296</v>
      </c>
      <c r="BG50" s="111">
        <f t="shared" si="26"/>
        <v>947.23284643587374</v>
      </c>
      <c r="BH50" s="111">
        <f t="shared" si="26"/>
        <v>636.66470006345617</v>
      </c>
      <c r="BI50" s="111">
        <f t="shared" si="26"/>
        <v>545.23526825668239</v>
      </c>
      <c r="BJ50" s="111">
        <f t="shared" si="26"/>
        <v>729.8351439751815</v>
      </c>
      <c r="BK50" s="111">
        <f t="shared" si="26"/>
        <v>807.4771805682858</v>
      </c>
      <c r="BL50" s="111">
        <f t="shared" si="26"/>
        <v>1097.0317608179928</v>
      </c>
      <c r="BM50" s="111">
        <f t="shared" si="26"/>
        <v>1406.0547920343288</v>
      </c>
      <c r="BN50" s="111">
        <f t="shared" si="26"/>
        <v>1576.0174592033136</v>
      </c>
      <c r="BO50" s="111">
        <f t="shared" si="26"/>
        <v>1914.2104431881005</v>
      </c>
      <c r="BP50" s="111">
        <f t="shared" si="26"/>
        <v>2194.0635216359856</v>
      </c>
      <c r="BQ50" s="111">
        <f t="shared" si="26"/>
        <v>2039.5520060278179</v>
      </c>
      <c r="BR50" s="111">
        <f t="shared" si="26"/>
        <v>1576.0174592033136</v>
      </c>
      <c r="BS50" s="111">
        <f t="shared" si="26"/>
        <v>942.52024520982491</v>
      </c>
      <c r="BT50" s="111">
        <f t="shared" si="26"/>
        <v>633.49721399348891</v>
      </c>
      <c r="BU50" s="111">
        <f t="shared" si="26"/>
        <v>542.5226549817736</v>
      </c>
      <c r="BV50" s="111">
        <f t="shared" ref="BV50:CD50" si="27" xml:space="preserve"> BV47 + BV49</f>
        <v>726.20412335838967</v>
      </c>
      <c r="BW50" s="111">
        <f t="shared" si="27"/>
        <v>803.45988116247361</v>
      </c>
      <c r="BX50" s="111">
        <f t="shared" si="27"/>
        <v>0</v>
      </c>
      <c r="BY50" s="111">
        <f t="shared" si="27"/>
        <v>0</v>
      </c>
      <c r="BZ50" s="111">
        <f t="shared" si="27"/>
        <v>0</v>
      </c>
      <c r="CA50" s="111">
        <f t="shared" si="27"/>
        <v>0</v>
      </c>
      <c r="CB50" s="111">
        <f t="shared" si="27"/>
        <v>0</v>
      </c>
      <c r="CC50" s="111">
        <f t="shared" si="27"/>
        <v>0</v>
      </c>
      <c r="CD50" s="111">
        <f t="shared" si="27"/>
        <v>0</v>
      </c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</row>
    <row r="51" spans="1:131" outlineLevel="1" x14ac:dyDescent="0.35"/>
    <row r="52" spans="1:131" outlineLevel="1" x14ac:dyDescent="0.35">
      <c r="A52" s="108"/>
      <c r="D52" s="112"/>
      <c r="E52" s="213" t="s">
        <v>114</v>
      </c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  <c r="AE52" s="213"/>
      <c r="AF52" s="213"/>
      <c r="AG52" s="213"/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  <c r="BC52" s="213"/>
      <c r="BD52" s="213"/>
      <c r="BE52" s="213"/>
      <c r="BF52" s="213"/>
      <c r="BG52" s="213"/>
      <c r="BH52" s="213"/>
      <c r="BI52" s="213"/>
      <c r="BJ52" s="213"/>
      <c r="BK52" s="213"/>
      <c r="BL52" s="213"/>
      <c r="BM52" s="213"/>
      <c r="BN52" s="213"/>
      <c r="BO52" s="213"/>
      <c r="BP52" s="213"/>
      <c r="BQ52" s="213"/>
      <c r="BR52" s="213"/>
      <c r="BS52" s="213"/>
      <c r="BT52" s="213"/>
      <c r="BU52" s="213"/>
      <c r="BV52" s="213"/>
      <c r="BW52" s="213"/>
      <c r="BX52" s="213"/>
      <c r="BY52" s="213"/>
      <c r="BZ52" s="213"/>
      <c r="CA52" s="213"/>
      <c r="CB52" s="213"/>
      <c r="CC52" s="213"/>
      <c r="CD52" s="213"/>
    </row>
    <row r="53" spans="1:131" outlineLevel="1" x14ac:dyDescent="0.35">
      <c r="E53" s="111" t="s">
        <v>56</v>
      </c>
      <c r="F53" s="111"/>
      <c r="G53" s="111" t="str">
        <f>SMU</f>
        <v>$ 000s</v>
      </c>
      <c r="H53" s="111">
        <f xml:space="preserve"> SUM(J53:EA53)</f>
        <v>80640.187836641722</v>
      </c>
      <c r="I53" s="111"/>
      <c r="J53" s="111">
        <f xml:space="preserve"> J50 + J52</f>
        <v>0</v>
      </c>
      <c r="K53" s="111">
        <f t="shared" ref="K53:BV53" si="28" xml:space="preserve"> K50 + K52</f>
        <v>0</v>
      </c>
      <c r="L53" s="111">
        <f t="shared" si="28"/>
        <v>0</v>
      </c>
      <c r="M53" s="111">
        <f t="shared" si="28"/>
        <v>0</v>
      </c>
      <c r="N53" s="111">
        <f t="shared" si="28"/>
        <v>1310</v>
      </c>
      <c r="O53" s="111">
        <f t="shared" si="28"/>
        <v>1298</v>
      </c>
      <c r="P53" s="111">
        <f t="shared" si="28"/>
        <v>1119.1374999999998</v>
      </c>
      <c r="Q53" s="111">
        <f t="shared" si="28"/>
        <v>1434.3875</v>
      </c>
      <c r="R53" s="111">
        <f t="shared" si="28"/>
        <v>1607.7749999999999</v>
      </c>
      <c r="S53" s="111">
        <f t="shared" si="28"/>
        <v>1952.7827419199425</v>
      </c>
      <c r="T53" s="111">
        <f t="shared" si="28"/>
        <v>2238.2749999999996</v>
      </c>
      <c r="U53" s="111">
        <f t="shared" si="28"/>
        <v>2080.65</v>
      </c>
      <c r="V53" s="111">
        <f t="shared" si="28"/>
        <v>1607.7749999999999</v>
      </c>
      <c r="W53" s="111">
        <f t="shared" si="28"/>
        <v>961.51250000000005</v>
      </c>
      <c r="X53" s="111">
        <f t="shared" si="28"/>
        <v>646.26250000000005</v>
      </c>
      <c r="Y53" s="111">
        <f t="shared" si="28"/>
        <v>553.45475808006029</v>
      </c>
      <c r="Z53" s="111">
        <f t="shared" si="28"/>
        <v>740.83750000000009</v>
      </c>
      <c r="AA53" s="111">
        <f t="shared" si="28"/>
        <v>819.65</v>
      </c>
      <c r="AB53" s="111">
        <f t="shared" si="28"/>
        <v>1113.5696517412935</v>
      </c>
      <c r="AC53" s="111">
        <f t="shared" si="28"/>
        <v>1427.2512437810947</v>
      </c>
      <c r="AD53" s="111">
        <f t="shared" si="28"/>
        <v>1599.7761194029854</v>
      </c>
      <c r="AE53" s="111">
        <f t="shared" si="28"/>
        <v>1943.0674048954654</v>
      </c>
      <c r="AF53" s="111">
        <f t="shared" si="28"/>
        <v>2227.1393034825869</v>
      </c>
      <c r="AG53" s="111">
        <f t="shared" si="28"/>
        <v>2070.2985074626872</v>
      </c>
      <c r="AH53" s="111">
        <f t="shared" si="28"/>
        <v>1599.7761194029854</v>
      </c>
      <c r="AI53" s="111">
        <f t="shared" si="28"/>
        <v>956.72885572139319</v>
      </c>
      <c r="AJ53" s="111">
        <f t="shared" si="28"/>
        <v>643.0472636815922</v>
      </c>
      <c r="AK53" s="111">
        <f t="shared" si="28"/>
        <v>550.70125182095558</v>
      </c>
      <c r="AL53" s="111">
        <f t="shared" si="28"/>
        <v>737.1517412935325</v>
      </c>
      <c r="AM53" s="111">
        <f t="shared" si="28"/>
        <v>815.57213930348269</v>
      </c>
      <c r="AN53" s="111">
        <f t="shared" si="28"/>
        <v>1108.0295042201928</v>
      </c>
      <c r="AO53" s="111">
        <f t="shared" si="28"/>
        <v>1420.1504913244726</v>
      </c>
      <c r="AP53" s="111">
        <f t="shared" si="28"/>
        <v>1591.8170342318265</v>
      </c>
      <c r="AQ53" s="111">
        <f t="shared" si="28"/>
        <v>1933.4004028810605</v>
      </c>
      <c r="AR53" s="111">
        <f t="shared" si="28"/>
        <v>2216.0590084403857</v>
      </c>
      <c r="AS53" s="111">
        <f t="shared" si="28"/>
        <v>2059.9985148882461</v>
      </c>
      <c r="AT53" s="111">
        <f t="shared" si="28"/>
        <v>1591.8170342318265</v>
      </c>
      <c r="AU53" s="111">
        <f t="shared" si="28"/>
        <v>951.9690106680531</v>
      </c>
      <c r="AV53" s="111">
        <f t="shared" si="28"/>
        <v>639.84802356377338</v>
      </c>
      <c r="AW53" s="111">
        <f t="shared" si="28"/>
        <v>547.96144459796585</v>
      </c>
      <c r="AX53" s="111">
        <f t="shared" si="28"/>
        <v>733.48431969505725</v>
      </c>
      <c r="AY53" s="111">
        <f t="shared" si="28"/>
        <v>811.51456647112718</v>
      </c>
      <c r="AZ53" s="111">
        <f t="shared" si="28"/>
        <v>1102.5169196220825</v>
      </c>
      <c r="BA53" s="111">
        <f t="shared" si="28"/>
        <v>1413.0850659945002</v>
      </c>
      <c r="BB53" s="111">
        <f t="shared" si="28"/>
        <v>1583.8975464993296</v>
      </c>
      <c r="BC53" s="111">
        <f t="shared" si="28"/>
        <v>1923.7814954040405</v>
      </c>
      <c r="BD53" s="111">
        <f t="shared" si="28"/>
        <v>2205.0338392441649</v>
      </c>
      <c r="BE53" s="111">
        <f t="shared" si="28"/>
        <v>2049.7497660579565</v>
      </c>
      <c r="BF53" s="111">
        <f t="shared" si="28"/>
        <v>1583.8975464993296</v>
      </c>
      <c r="BG53" s="111">
        <f t="shared" si="28"/>
        <v>947.23284643587374</v>
      </c>
      <c r="BH53" s="111">
        <f t="shared" si="28"/>
        <v>636.66470006345617</v>
      </c>
      <c r="BI53" s="111">
        <f t="shared" si="28"/>
        <v>545.23526825668239</v>
      </c>
      <c r="BJ53" s="111">
        <f t="shared" si="28"/>
        <v>729.8351439751815</v>
      </c>
      <c r="BK53" s="111">
        <f t="shared" si="28"/>
        <v>807.4771805682858</v>
      </c>
      <c r="BL53" s="111">
        <f t="shared" si="28"/>
        <v>1097.0317608179928</v>
      </c>
      <c r="BM53" s="111">
        <f t="shared" si="28"/>
        <v>1406.0547920343288</v>
      </c>
      <c r="BN53" s="111">
        <f t="shared" si="28"/>
        <v>1576.0174592033136</v>
      </c>
      <c r="BO53" s="111">
        <f t="shared" si="28"/>
        <v>1914.2104431881005</v>
      </c>
      <c r="BP53" s="111">
        <f t="shared" si="28"/>
        <v>2194.0635216359856</v>
      </c>
      <c r="BQ53" s="111">
        <f t="shared" si="28"/>
        <v>2039.5520060278179</v>
      </c>
      <c r="BR53" s="111">
        <f t="shared" si="28"/>
        <v>1576.0174592033136</v>
      </c>
      <c r="BS53" s="111">
        <f t="shared" si="28"/>
        <v>942.52024520982491</v>
      </c>
      <c r="BT53" s="111">
        <f t="shared" si="28"/>
        <v>633.49721399348891</v>
      </c>
      <c r="BU53" s="111">
        <f t="shared" si="28"/>
        <v>542.5226549817736</v>
      </c>
      <c r="BV53" s="111">
        <f t="shared" si="28"/>
        <v>726.20412335838967</v>
      </c>
      <c r="BW53" s="111">
        <f t="shared" ref="BW53:CD53" si="29" xml:space="preserve"> BW50 + BW52</f>
        <v>803.45988116247361</v>
      </c>
      <c r="BX53" s="111">
        <f t="shared" si="29"/>
        <v>0</v>
      </c>
      <c r="BY53" s="111">
        <f t="shared" si="29"/>
        <v>0</v>
      </c>
      <c r="BZ53" s="111">
        <f t="shared" si="29"/>
        <v>0</v>
      </c>
      <c r="CA53" s="111">
        <f t="shared" si="29"/>
        <v>0</v>
      </c>
      <c r="CB53" s="111">
        <f t="shared" si="29"/>
        <v>0</v>
      </c>
      <c r="CC53" s="111">
        <f t="shared" si="29"/>
        <v>0</v>
      </c>
      <c r="CD53" s="111">
        <f t="shared" si="29"/>
        <v>0</v>
      </c>
    </row>
    <row r="54" spans="1:131" outlineLevel="1" x14ac:dyDescent="0.35"/>
    <row r="56" spans="1:131" x14ac:dyDescent="0.35">
      <c r="A56" s="107" t="s">
        <v>60</v>
      </c>
    </row>
    <row r="57" spans="1:131" outlineLevel="1" x14ac:dyDescent="0.35"/>
    <row r="58" spans="1:131" outlineLevel="1" x14ac:dyDescent="0.35">
      <c r="B58" s="108" t="s">
        <v>61</v>
      </c>
    </row>
    <row r="59" spans="1:131" outlineLevel="1" x14ac:dyDescent="0.35">
      <c r="A59" s="108"/>
      <c r="D59" s="112"/>
      <c r="E59" s="213" t="s">
        <v>123</v>
      </c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  <c r="BC59" s="213"/>
      <c r="BD59" s="213"/>
      <c r="BE59" s="213"/>
      <c r="BF59" s="213"/>
      <c r="BG59" s="213"/>
      <c r="BH59" s="213"/>
      <c r="BI59" s="213"/>
      <c r="BJ59" s="213"/>
      <c r="BK59" s="213"/>
      <c r="BL59" s="213"/>
      <c r="BM59" s="213"/>
      <c r="BN59" s="213"/>
      <c r="BO59" s="213"/>
      <c r="BP59" s="213"/>
      <c r="BQ59" s="213"/>
      <c r="BR59" s="213"/>
      <c r="BS59" s="213"/>
      <c r="BT59" s="213"/>
      <c r="BU59" s="213"/>
      <c r="BV59" s="213"/>
      <c r="BW59" s="213"/>
      <c r="BX59" s="213"/>
      <c r="BY59" s="213"/>
      <c r="BZ59" s="213"/>
      <c r="CA59" s="213"/>
      <c r="CB59" s="213"/>
      <c r="CC59" s="213"/>
      <c r="CD59" s="213"/>
    </row>
    <row r="60" spans="1:131" outlineLevel="1" x14ac:dyDescent="0.35">
      <c r="E60" s="111" t="s">
        <v>61</v>
      </c>
      <c r="F60" s="111"/>
      <c r="G60" s="111" t="str">
        <f>SMU</f>
        <v>$ 000s</v>
      </c>
      <c r="H60" s="111"/>
      <c r="I60" s="111"/>
      <c r="J60" s="111">
        <f t="shared" ref="J60:AO60" si="30">SUM(J59)</f>
        <v>0</v>
      </c>
      <c r="K60" s="111">
        <f t="shared" si="30"/>
        <v>0</v>
      </c>
      <c r="L60" s="111">
        <f t="shared" si="30"/>
        <v>0</v>
      </c>
      <c r="M60" s="111">
        <f t="shared" si="30"/>
        <v>0</v>
      </c>
      <c r="N60" s="111">
        <f t="shared" si="30"/>
        <v>0</v>
      </c>
      <c r="O60" s="111">
        <f t="shared" si="30"/>
        <v>0</v>
      </c>
      <c r="P60" s="111">
        <f t="shared" si="30"/>
        <v>0</v>
      </c>
      <c r="Q60" s="111">
        <f t="shared" si="30"/>
        <v>0</v>
      </c>
      <c r="R60" s="111">
        <f t="shared" si="30"/>
        <v>0</v>
      </c>
      <c r="S60" s="111">
        <f t="shared" si="30"/>
        <v>0</v>
      </c>
      <c r="T60" s="111">
        <f t="shared" si="30"/>
        <v>0</v>
      </c>
      <c r="U60" s="111">
        <f t="shared" si="30"/>
        <v>0</v>
      </c>
      <c r="V60" s="111">
        <f t="shared" si="30"/>
        <v>0</v>
      </c>
      <c r="W60" s="111">
        <f t="shared" si="30"/>
        <v>0</v>
      </c>
      <c r="X60" s="111">
        <f t="shared" si="30"/>
        <v>0</v>
      </c>
      <c r="Y60" s="111">
        <f t="shared" si="30"/>
        <v>0</v>
      </c>
      <c r="Z60" s="111">
        <f t="shared" si="30"/>
        <v>0</v>
      </c>
      <c r="AA60" s="111">
        <f t="shared" si="30"/>
        <v>0</v>
      </c>
      <c r="AB60" s="111">
        <f t="shared" si="30"/>
        <v>0</v>
      </c>
      <c r="AC60" s="111">
        <f t="shared" si="30"/>
        <v>0</v>
      </c>
      <c r="AD60" s="111">
        <f t="shared" si="30"/>
        <v>0</v>
      </c>
      <c r="AE60" s="111">
        <f t="shared" si="30"/>
        <v>0</v>
      </c>
      <c r="AF60" s="111">
        <f t="shared" si="30"/>
        <v>0</v>
      </c>
      <c r="AG60" s="111">
        <f t="shared" si="30"/>
        <v>0</v>
      </c>
      <c r="AH60" s="111">
        <f t="shared" si="30"/>
        <v>0</v>
      </c>
      <c r="AI60" s="111">
        <f t="shared" si="30"/>
        <v>0</v>
      </c>
      <c r="AJ60" s="111">
        <f t="shared" si="30"/>
        <v>0</v>
      </c>
      <c r="AK60" s="111">
        <f t="shared" si="30"/>
        <v>0</v>
      </c>
      <c r="AL60" s="111">
        <f t="shared" si="30"/>
        <v>0</v>
      </c>
      <c r="AM60" s="111">
        <f t="shared" si="30"/>
        <v>0</v>
      </c>
      <c r="AN60" s="111">
        <f t="shared" si="30"/>
        <v>0</v>
      </c>
      <c r="AO60" s="111">
        <f t="shared" si="30"/>
        <v>0</v>
      </c>
      <c r="AP60" s="111">
        <f t="shared" ref="AP60:BU60" si="31">SUM(AP59)</f>
        <v>0</v>
      </c>
      <c r="AQ60" s="111">
        <f t="shared" si="31"/>
        <v>0</v>
      </c>
      <c r="AR60" s="111">
        <f t="shared" si="31"/>
        <v>0</v>
      </c>
      <c r="AS60" s="111">
        <f t="shared" si="31"/>
        <v>0</v>
      </c>
      <c r="AT60" s="111">
        <f t="shared" si="31"/>
        <v>0</v>
      </c>
      <c r="AU60" s="111">
        <f t="shared" si="31"/>
        <v>0</v>
      </c>
      <c r="AV60" s="111">
        <f t="shared" si="31"/>
        <v>0</v>
      </c>
      <c r="AW60" s="111">
        <f t="shared" si="31"/>
        <v>0</v>
      </c>
      <c r="AX60" s="111">
        <f t="shared" si="31"/>
        <v>0</v>
      </c>
      <c r="AY60" s="111">
        <f t="shared" si="31"/>
        <v>0</v>
      </c>
      <c r="AZ60" s="111">
        <f t="shared" si="31"/>
        <v>0</v>
      </c>
      <c r="BA60" s="111">
        <f t="shared" si="31"/>
        <v>0</v>
      </c>
      <c r="BB60" s="111">
        <f t="shared" si="31"/>
        <v>0</v>
      </c>
      <c r="BC60" s="111">
        <f t="shared" si="31"/>
        <v>0</v>
      </c>
      <c r="BD60" s="111">
        <f t="shared" si="31"/>
        <v>0</v>
      </c>
      <c r="BE60" s="111">
        <f t="shared" si="31"/>
        <v>0</v>
      </c>
      <c r="BF60" s="111">
        <f t="shared" si="31"/>
        <v>0</v>
      </c>
      <c r="BG60" s="111">
        <f t="shared" si="31"/>
        <v>0</v>
      </c>
      <c r="BH60" s="111">
        <f t="shared" si="31"/>
        <v>0</v>
      </c>
      <c r="BI60" s="111">
        <f t="shared" si="31"/>
        <v>0</v>
      </c>
      <c r="BJ60" s="111">
        <f t="shared" si="31"/>
        <v>0</v>
      </c>
      <c r="BK60" s="111">
        <f t="shared" si="31"/>
        <v>0</v>
      </c>
      <c r="BL60" s="111">
        <f t="shared" si="31"/>
        <v>0</v>
      </c>
      <c r="BM60" s="111">
        <f t="shared" si="31"/>
        <v>0</v>
      </c>
      <c r="BN60" s="111">
        <f t="shared" si="31"/>
        <v>0</v>
      </c>
      <c r="BO60" s="111">
        <f t="shared" si="31"/>
        <v>0</v>
      </c>
      <c r="BP60" s="111">
        <f t="shared" si="31"/>
        <v>0</v>
      </c>
      <c r="BQ60" s="111">
        <f t="shared" si="31"/>
        <v>0</v>
      </c>
      <c r="BR60" s="111">
        <f t="shared" si="31"/>
        <v>0</v>
      </c>
      <c r="BS60" s="111">
        <f t="shared" si="31"/>
        <v>0</v>
      </c>
      <c r="BT60" s="111">
        <f t="shared" si="31"/>
        <v>0</v>
      </c>
      <c r="BU60" s="111">
        <f t="shared" si="31"/>
        <v>0</v>
      </c>
      <c r="BV60" s="111">
        <f t="shared" ref="BV60:CD60" si="32">SUM(BV59)</f>
        <v>0</v>
      </c>
      <c r="BW60" s="111">
        <f t="shared" si="32"/>
        <v>0</v>
      </c>
      <c r="BX60" s="111">
        <f t="shared" si="32"/>
        <v>0</v>
      </c>
      <c r="BY60" s="111">
        <f t="shared" si="32"/>
        <v>0</v>
      </c>
      <c r="BZ60" s="111">
        <f t="shared" si="32"/>
        <v>0</v>
      </c>
      <c r="CA60" s="111">
        <f t="shared" si="32"/>
        <v>0</v>
      </c>
      <c r="CB60" s="111">
        <f t="shared" si="32"/>
        <v>0</v>
      </c>
      <c r="CC60" s="111">
        <f t="shared" si="32"/>
        <v>0</v>
      </c>
      <c r="CD60" s="111">
        <f t="shared" si="32"/>
        <v>0</v>
      </c>
    </row>
    <row r="61" spans="1:131" outlineLevel="1" x14ac:dyDescent="0.35"/>
    <row r="62" spans="1:131" outlineLevel="1" x14ac:dyDescent="0.35">
      <c r="B62" s="108" t="s">
        <v>57</v>
      </c>
    </row>
    <row r="63" spans="1:131" s="271" customFormat="1" outlineLevel="1" x14ac:dyDescent="0.35">
      <c r="A63" s="108"/>
      <c r="B63" s="108"/>
      <c r="C63" s="109"/>
      <c r="D63" s="112"/>
      <c r="E63" s="137" t="str">
        <f xml:space="preserve"> Equity!E$27</f>
        <v>Retained cash balance</v>
      </c>
      <c r="F63" s="137">
        <f xml:space="preserve"> Equity!F$27</f>
        <v>0</v>
      </c>
      <c r="G63" s="137" t="str">
        <f xml:space="preserve"> Equity!G$27</f>
        <v>$ 000s</v>
      </c>
      <c r="H63" s="137">
        <f xml:space="preserve"> Equity!H$27</f>
        <v>0</v>
      </c>
      <c r="I63" s="137">
        <f xml:space="preserve"> Equity!I$27</f>
        <v>0</v>
      </c>
      <c r="J63" s="137">
        <f xml:space="preserve"> Equity!J$27</f>
        <v>0</v>
      </c>
      <c r="K63" s="137">
        <f xml:space="preserve"> Equity!K$27</f>
        <v>0</v>
      </c>
      <c r="L63" s="137">
        <f xml:space="preserve"> Equity!L$27</f>
        <v>0</v>
      </c>
      <c r="M63" s="137">
        <f xml:space="preserve"> Equity!M$27</f>
        <v>0</v>
      </c>
      <c r="N63" s="137">
        <f xml:space="preserve"> Equity!N$27</f>
        <v>1310</v>
      </c>
      <c r="O63" s="137">
        <f xml:space="preserve"> Equity!O$27</f>
        <v>2608</v>
      </c>
      <c r="P63" s="137">
        <f xml:space="preserve"> Equity!P$27</f>
        <v>3727.1374999999998</v>
      </c>
      <c r="Q63" s="137">
        <f xml:space="preserve"> Equity!Q$27</f>
        <v>5161.5249999999996</v>
      </c>
      <c r="R63" s="137">
        <f xml:space="preserve"> Equity!R$27</f>
        <v>6769.2999999999993</v>
      </c>
      <c r="S63" s="137">
        <f xml:space="preserve"> Equity!S$27</f>
        <v>8722.0827419199413</v>
      </c>
      <c r="T63" s="137">
        <f xml:space="preserve"> Equity!T$27</f>
        <v>10960.357741919941</v>
      </c>
      <c r="U63" s="137">
        <f xml:space="preserve"> Equity!U$27</f>
        <v>13041.007741919941</v>
      </c>
      <c r="V63" s="137">
        <f xml:space="preserve"> Equity!V$27</f>
        <v>14648.78274191994</v>
      </c>
      <c r="W63" s="137">
        <f xml:space="preserve"> Equity!W$27</f>
        <v>15610.295241919941</v>
      </c>
      <c r="X63" s="137">
        <f xml:space="preserve"> Equity!X$27</f>
        <v>16256.557741919942</v>
      </c>
      <c r="Y63" s="137">
        <f xml:space="preserve"> Equity!Y$27</f>
        <v>16810.012500000001</v>
      </c>
      <c r="Z63" s="137">
        <f xml:space="preserve"> Equity!Z$27</f>
        <v>17550.850000000002</v>
      </c>
      <c r="AA63" s="137">
        <f xml:space="preserve"> Equity!AA$27</f>
        <v>18370.500000000004</v>
      </c>
      <c r="AB63" s="137">
        <f xml:space="preserve"> Equity!AB$27</f>
        <v>19484.069651741298</v>
      </c>
      <c r="AC63" s="137">
        <f xml:space="preserve"> Equity!AC$27</f>
        <v>20911.320895522393</v>
      </c>
      <c r="AD63" s="137">
        <f xml:space="preserve"> Equity!AD$27</f>
        <v>22511.097014925377</v>
      </c>
      <c r="AE63" s="137">
        <f xml:space="preserve"> Equity!AE$27</f>
        <v>24454.164419820841</v>
      </c>
      <c r="AF63" s="137">
        <f xml:space="preserve"> Equity!AF$27</f>
        <v>26681.303723303427</v>
      </c>
      <c r="AG63" s="137">
        <f xml:space="preserve"> Equity!AG$27</f>
        <v>28751.602230766115</v>
      </c>
      <c r="AH63" s="137">
        <f xml:space="preserve"> Equity!AH$27</f>
        <v>30351.3783501691</v>
      </c>
      <c r="AI63" s="137">
        <f xml:space="preserve"> Equity!AI$27</f>
        <v>31308.107205890494</v>
      </c>
      <c r="AJ63" s="137">
        <f xml:space="preserve"> Equity!AJ$27</f>
        <v>31951.154469572088</v>
      </c>
      <c r="AK63" s="137">
        <f xml:space="preserve"> Equity!AK$27</f>
        <v>32501.855721393043</v>
      </c>
      <c r="AL63" s="137">
        <f xml:space="preserve"> Equity!AL$27</f>
        <v>33239.007462686575</v>
      </c>
      <c r="AM63" s="137">
        <f xml:space="preserve"> Equity!AM$27</f>
        <v>34054.579601990059</v>
      </c>
      <c r="AN63" s="137">
        <f xml:space="preserve"> Equity!AN$27</f>
        <v>35162.60910621025</v>
      </c>
      <c r="AO63" s="137">
        <f xml:space="preserve"> Equity!AO$27</f>
        <v>36582.759597534721</v>
      </c>
      <c r="AP63" s="137">
        <f xml:space="preserve"> Equity!AP$27</f>
        <v>38174.576631766548</v>
      </c>
      <c r="AQ63" s="137">
        <f xml:space="preserve"> Equity!AQ$27</f>
        <v>40107.977034647607</v>
      </c>
      <c r="AR63" s="137">
        <f xml:space="preserve"> Equity!AR$27</f>
        <v>42324.036043087995</v>
      </c>
      <c r="AS63" s="137">
        <f xml:space="preserve"> Equity!AS$27</f>
        <v>44384.034557976243</v>
      </c>
      <c r="AT63" s="137">
        <f xml:space="preserve"> Equity!AT$27</f>
        <v>45975.85159220807</v>
      </c>
      <c r="AU63" s="137">
        <f xml:space="preserve"> Equity!AU$27</f>
        <v>46927.82060287612</v>
      </c>
      <c r="AV63" s="137">
        <f xml:space="preserve"> Equity!AV$27</f>
        <v>47567.668626439896</v>
      </c>
      <c r="AW63" s="137">
        <f xml:space="preserve"> Equity!AW$27</f>
        <v>48115.630071037864</v>
      </c>
      <c r="AX63" s="137">
        <f xml:space="preserve"> Equity!AX$27</f>
        <v>48849.114390732924</v>
      </c>
      <c r="AY63" s="137">
        <f xml:space="preserve"> Equity!AY$27</f>
        <v>49660.628957204055</v>
      </c>
      <c r="AZ63" s="137">
        <f xml:space="preserve"> Equity!AZ$27</f>
        <v>50763.145876826136</v>
      </c>
      <c r="BA63" s="137">
        <f xml:space="preserve"> Equity!BA$27</f>
        <v>52176.230942820635</v>
      </c>
      <c r="BB63" s="137">
        <f xml:space="preserve"> Equity!BB$27</f>
        <v>53760.128489319963</v>
      </c>
      <c r="BC63" s="137">
        <f xml:space="preserve"> Equity!BC$27</f>
        <v>55683.909984724</v>
      </c>
      <c r="BD63" s="137">
        <f xml:space="preserve"> Equity!BD$27</f>
        <v>57888.943823968162</v>
      </c>
      <c r="BE63" s="137">
        <f xml:space="preserve"> Equity!BE$27</f>
        <v>59938.693590026116</v>
      </c>
      <c r="BF63" s="137">
        <f xml:space="preserve"> Equity!BF$27</f>
        <v>61522.591136525443</v>
      </c>
      <c r="BG63" s="137">
        <f xml:space="preserve"> Equity!BG$27</f>
        <v>62469.823982961316</v>
      </c>
      <c r="BH63" s="137">
        <f xml:space="preserve"> Equity!BH$27</f>
        <v>63106.488683024771</v>
      </c>
      <c r="BI63" s="137">
        <f xml:space="preserve"> Equity!BI$27</f>
        <v>63651.723951281456</v>
      </c>
      <c r="BJ63" s="137">
        <f xml:space="preserve"> Equity!BJ$27</f>
        <v>64381.559095256634</v>
      </c>
      <c r="BK63" s="137">
        <f xml:space="preserve"> Equity!BK$27</f>
        <v>65189.036275824918</v>
      </c>
      <c r="BL63" s="137">
        <f xml:space="preserve"> Equity!BL$27</f>
        <v>66286.068036642915</v>
      </c>
      <c r="BM63" s="137">
        <f xml:space="preserve"> Equity!BM$27</f>
        <v>67692.122828677238</v>
      </c>
      <c r="BN63" s="137">
        <f xml:space="preserve"> Equity!BN$27</f>
        <v>69268.140287880553</v>
      </c>
      <c r="BO63" s="137">
        <f xml:space="preserve"> Equity!BO$27</f>
        <v>71182.350731068655</v>
      </c>
      <c r="BP63" s="137">
        <f xml:space="preserve"> Equity!BP$27</f>
        <v>73376.414252704635</v>
      </c>
      <c r="BQ63" s="137">
        <f xml:space="preserve"> Equity!BQ$27</f>
        <v>75415.966258732456</v>
      </c>
      <c r="BR63" s="137">
        <f xml:space="preserve"> Equity!BR$27</f>
        <v>76991.983717935771</v>
      </c>
      <c r="BS63" s="137">
        <f xml:space="preserve"> Equity!BS$27</f>
        <v>77934.503963145602</v>
      </c>
      <c r="BT63" s="137">
        <f xml:space="preserve"> Equity!BT$27</f>
        <v>78568.001177139085</v>
      </c>
      <c r="BU63" s="137">
        <f xml:space="preserve"> Equity!BU$27</f>
        <v>79110.52383212086</v>
      </c>
      <c r="BV63" s="137">
        <f xml:space="preserve"> Equity!BV$27</f>
        <v>79836.727955479248</v>
      </c>
      <c r="BW63" s="137">
        <f xml:space="preserve"> Equity!BW$27</f>
        <v>80640.187836641722</v>
      </c>
      <c r="BX63" s="137">
        <f xml:space="preserve"> Equity!BX$27</f>
        <v>80640.187836641722</v>
      </c>
      <c r="BY63" s="137">
        <f xml:space="preserve"> Equity!BY$27</f>
        <v>80640.187836641722</v>
      </c>
      <c r="BZ63" s="137">
        <f xml:space="preserve"> Equity!BZ$27</f>
        <v>80640.187836641722</v>
      </c>
      <c r="CA63" s="137">
        <f xml:space="preserve"> Equity!CA$27</f>
        <v>80640.187836641722</v>
      </c>
      <c r="CB63" s="137">
        <f xml:space="preserve"> Equity!CB$27</f>
        <v>80640.187836641722</v>
      </c>
      <c r="CC63" s="137">
        <f xml:space="preserve"> Equity!CC$27</f>
        <v>80640.187836641722</v>
      </c>
      <c r="CD63" s="137">
        <f xml:space="preserve"> Equity!CD$27</f>
        <v>80640.187836641722</v>
      </c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</row>
    <row r="64" spans="1:131" s="98" customFormat="1" outlineLevel="1" x14ac:dyDescent="0.35">
      <c r="A64" s="108"/>
      <c r="B64" s="108"/>
      <c r="C64" s="109"/>
      <c r="D64" s="112"/>
      <c r="E64" s="137" t="str">
        <f xml:space="preserve"> Ops!E$81</f>
        <v>Accounts receivable balance</v>
      </c>
      <c r="F64" s="137">
        <f xml:space="preserve"> Ops!F$81</f>
        <v>0</v>
      </c>
      <c r="G64" s="137" t="str">
        <f xml:space="preserve"> Ops!G$81</f>
        <v>$ 000s</v>
      </c>
      <c r="H64" s="137">
        <f xml:space="preserve"> Ops!H$81</f>
        <v>0</v>
      </c>
      <c r="I64" s="137">
        <f xml:space="preserve"> Ops!I$81</f>
        <v>0</v>
      </c>
      <c r="J64" s="137">
        <f xml:space="preserve"> Ops!J$81</f>
        <v>0</v>
      </c>
      <c r="K64" s="137">
        <f xml:space="preserve"> Ops!K$81</f>
        <v>0</v>
      </c>
      <c r="L64" s="137">
        <f xml:space="preserve"> Ops!L$81</f>
        <v>0</v>
      </c>
      <c r="M64" s="137">
        <f xml:space="preserve"> Ops!M$81</f>
        <v>2608</v>
      </c>
      <c r="N64" s="137">
        <f xml:space="preserve"> Ops!N$81</f>
        <v>2417.1374999999998</v>
      </c>
      <c r="O64" s="137">
        <f xml:space="preserve"> Ops!O$81</f>
        <v>2553.5249999999996</v>
      </c>
      <c r="P64" s="137">
        <f xml:space="preserve"> Ops!P$81</f>
        <v>3042.1624999999995</v>
      </c>
      <c r="Q64" s="137">
        <f xml:space="preserve"> Ops!Q$81</f>
        <v>3560.5577419199426</v>
      </c>
      <c r="R64" s="137">
        <f xml:space="preserve"> Ops!R$81</f>
        <v>4191.0577419199426</v>
      </c>
      <c r="S64" s="137">
        <f xml:space="preserve"> Ops!S$81</f>
        <v>4318.9250000000011</v>
      </c>
      <c r="T64" s="137">
        <f xml:space="preserve"> Ops!T$81</f>
        <v>3688.4250000000011</v>
      </c>
      <c r="U64" s="137">
        <f xml:space="preserve"> Ops!U$81</f>
        <v>2569.2875000000008</v>
      </c>
      <c r="V64" s="137">
        <f xml:space="preserve"> Ops!V$81</f>
        <v>1607.7750000000012</v>
      </c>
      <c r="W64" s="137">
        <f xml:space="preserve"> Ops!W$81</f>
        <v>1199.7172580800614</v>
      </c>
      <c r="X64" s="137">
        <f xml:space="preserve"> Ops!X$81</f>
        <v>1294.2922580800614</v>
      </c>
      <c r="Y64" s="137">
        <f xml:space="preserve"> Ops!Y$81</f>
        <v>1560.4875000000011</v>
      </c>
      <c r="Z64" s="137">
        <f xml:space="preserve"> Ops!Z$81</f>
        <v>1933.2196517412945</v>
      </c>
      <c r="AA64" s="137">
        <f xml:space="preserve"> Ops!AA$81</f>
        <v>2540.820895522389</v>
      </c>
      <c r="AB64" s="137">
        <f xml:space="preserve"> Ops!AB$81</f>
        <v>3027.027363184081</v>
      </c>
      <c r="AC64" s="137">
        <f xml:space="preserve"> Ops!AC$81</f>
        <v>3542.8435242984515</v>
      </c>
      <c r="AD64" s="137">
        <f xml:space="preserve"> Ops!AD$81</f>
        <v>4170.206708378053</v>
      </c>
      <c r="AE64" s="137">
        <f xml:space="preserve"> Ops!AE$81</f>
        <v>4297.4378109452746</v>
      </c>
      <c r="AF64" s="137">
        <f xml:space="preserve"> Ops!AF$81</f>
        <v>3670.0746268656731</v>
      </c>
      <c r="AG64" s="137">
        <f xml:space="preserve"> Ops!AG$81</f>
        <v>2556.5049751243791</v>
      </c>
      <c r="AH64" s="137">
        <f xml:space="preserve"> Ops!AH$81</f>
        <v>1599.7761194029858</v>
      </c>
      <c r="AI64" s="137">
        <f xml:space="preserve"> Ops!AI$81</f>
        <v>1193.7485155025479</v>
      </c>
      <c r="AJ64" s="137">
        <f xml:space="preserve"> Ops!AJ$81</f>
        <v>1287.8529931144881</v>
      </c>
      <c r="AK64" s="137">
        <f xml:space="preserve"> Ops!AK$81</f>
        <v>1552.7238805970153</v>
      </c>
      <c r="AL64" s="137">
        <f xml:space="preserve"> Ops!AL$81</f>
        <v>1923.6016435236754</v>
      </c>
      <c r="AM64" s="137">
        <f xml:space="preserve"> Ops!AM$81</f>
        <v>2528.179995544665</v>
      </c>
      <c r="AN64" s="137">
        <f xml:space="preserve"> Ops!AN$81</f>
        <v>3011.9675255562984</v>
      </c>
      <c r="AO64" s="137">
        <f xml:space="preserve"> Ops!AO$81</f>
        <v>3525.2174371128867</v>
      </c>
      <c r="AP64" s="137">
        <f xml:space="preserve"> Ops!AP$81</f>
        <v>4149.4594113214462</v>
      </c>
      <c r="AQ64" s="137">
        <f xml:space="preserve"> Ops!AQ$81</f>
        <v>4276.0575233286318</v>
      </c>
      <c r="AR64" s="137">
        <f xml:space="preserve"> Ops!AR$81</f>
        <v>3651.8155491200723</v>
      </c>
      <c r="AS64" s="137">
        <f xml:space="preserve"> Ops!AS$81</f>
        <v>2543.786044899879</v>
      </c>
      <c r="AT64" s="137">
        <f xml:space="preserve"> Ops!AT$81</f>
        <v>1591.817034231826</v>
      </c>
      <c r="AU64" s="137">
        <f xml:space="preserve"> Ops!AU$81</f>
        <v>1187.8094681617386</v>
      </c>
      <c r="AV64" s="137">
        <f xml:space="preserve"> Ops!AV$81</f>
        <v>1281.4457642930224</v>
      </c>
      <c r="AW64" s="137">
        <f xml:space="preserve"> Ops!AW$81</f>
        <v>1544.9988861661836</v>
      </c>
      <c r="AX64" s="137">
        <f xml:space="preserve"> Ops!AX$81</f>
        <v>1914.031486093209</v>
      </c>
      <c r="AY64" s="137">
        <f xml:space="preserve"> Ops!AY$81</f>
        <v>2515.6019856165822</v>
      </c>
      <c r="AZ64" s="137">
        <f xml:space="preserve"> Ops!AZ$81</f>
        <v>2996.982612493829</v>
      </c>
      <c r="BA64" s="137">
        <f xml:space="preserve"> Ops!BA$81</f>
        <v>3507.6790419033696</v>
      </c>
      <c r="BB64" s="137">
        <f xml:space="preserve"> Ops!BB$81</f>
        <v>4128.815334648205</v>
      </c>
      <c r="BC64" s="137">
        <f xml:space="preserve"> Ops!BC$81</f>
        <v>4254.783605302121</v>
      </c>
      <c r="BD64" s="137">
        <f xml:space="preserve"> Ops!BD$81</f>
        <v>3633.6473125572861</v>
      </c>
      <c r="BE64" s="137">
        <f xml:space="preserve"> Ops!BE$81</f>
        <v>2531.1303929352034</v>
      </c>
      <c r="BF64" s="137">
        <f xml:space="preserve"> Ops!BF$81</f>
        <v>1583.89754649933</v>
      </c>
      <c r="BG64" s="137">
        <f xml:space="preserve"> Ops!BG$81</f>
        <v>1181.8999683201387</v>
      </c>
      <c r="BH64" s="137">
        <f xml:space="preserve"> Ops!BH$81</f>
        <v>1275.0704122318639</v>
      </c>
      <c r="BI64" s="137">
        <f xml:space="preserve"> Ops!BI$81</f>
        <v>1537.3123245434672</v>
      </c>
      <c r="BJ64" s="137">
        <f xml:space="preserve"> Ops!BJ$81</f>
        <v>1904.5089413862788</v>
      </c>
      <c r="BK64" s="137">
        <f xml:space="preserve"> Ops!BK$81</f>
        <v>2503.0865528523218</v>
      </c>
      <c r="BL64" s="137">
        <f xml:space="preserve"> Ops!BL$81</f>
        <v>2982.0722512376424</v>
      </c>
      <c r="BM64" s="137">
        <f xml:space="preserve"> Ops!BM$81</f>
        <v>3490.2279023914143</v>
      </c>
      <c r="BN64" s="137">
        <f xml:space="preserve"> Ops!BN$81</f>
        <v>4108.2739648240868</v>
      </c>
      <c r="BO64" s="137">
        <f xml:space="preserve"> Ops!BO$81</f>
        <v>4233.6155276638037</v>
      </c>
      <c r="BP64" s="137">
        <f xml:space="preserve"> Ops!BP$81</f>
        <v>3615.5694652311317</v>
      </c>
      <c r="BQ64" s="137">
        <f xml:space="preserve"> Ops!BQ$81</f>
        <v>2518.5377044131392</v>
      </c>
      <c r="BR64" s="137">
        <f xml:space="preserve"> Ops!BR$81</f>
        <v>1576.0174592033145</v>
      </c>
      <c r="BS64" s="137">
        <f xml:space="preserve"> Ops!BS$81</f>
        <v>1176.0198689752631</v>
      </c>
      <c r="BT64" s="137">
        <f xml:space="preserve"> Ops!BT$81</f>
        <v>1268.7267783401639</v>
      </c>
      <c r="BU64" s="137">
        <f xml:space="preserve"> Ops!BU$81</f>
        <v>1529.6640045208642</v>
      </c>
      <c r="BV64" s="137">
        <f xml:space="preserve"> Ops!BV$81</f>
        <v>803.45988116247452</v>
      </c>
      <c r="BW64" s="137">
        <f xml:space="preserve"> Ops!BW$81</f>
        <v>9.0949470177292824E-13</v>
      </c>
      <c r="BX64" s="137">
        <f xml:space="preserve"> Ops!BX$81</f>
        <v>9.0949470177292824E-13</v>
      </c>
      <c r="BY64" s="137">
        <f xml:space="preserve"> Ops!BY$81</f>
        <v>9.0949470177292824E-13</v>
      </c>
      <c r="BZ64" s="137">
        <f xml:space="preserve"> Ops!BZ$81</f>
        <v>9.0949470177292824E-13</v>
      </c>
      <c r="CA64" s="137">
        <f xml:space="preserve"> Ops!CA$81</f>
        <v>9.0949470177292824E-13</v>
      </c>
      <c r="CB64" s="137">
        <f xml:space="preserve"> Ops!CB$81</f>
        <v>9.0949470177292824E-13</v>
      </c>
      <c r="CC64" s="137">
        <f xml:space="preserve"> Ops!CC$81</f>
        <v>9.0949470177292824E-13</v>
      </c>
      <c r="CD64" s="137">
        <f xml:space="preserve"> Ops!CD$81</f>
        <v>9.0949470177292824E-13</v>
      </c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</row>
    <row r="65" spans="1:131" outlineLevel="1" x14ac:dyDescent="0.35">
      <c r="A65" s="108"/>
      <c r="D65" s="112"/>
      <c r="E65" s="135" t="s">
        <v>57</v>
      </c>
      <c r="F65" s="135"/>
      <c r="G65" s="111" t="str">
        <f>SMU</f>
        <v>$ 000s</v>
      </c>
      <c r="H65" s="135"/>
      <c r="I65" s="135"/>
      <c r="J65" s="135">
        <f t="shared" ref="J65:AO65" si="33">SUM(J63:J64)</f>
        <v>0</v>
      </c>
      <c r="K65" s="135">
        <f t="shared" si="33"/>
        <v>0</v>
      </c>
      <c r="L65" s="135">
        <f t="shared" si="33"/>
        <v>0</v>
      </c>
      <c r="M65" s="135">
        <f t="shared" si="33"/>
        <v>2608</v>
      </c>
      <c r="N65" s="135">
        <f t="shared" si="33"/>
        <v>3727.1374999999998</v>
      </c>
      <c r="O65" s="135">
        <f t="shared" si="33"/>
        <v>5161.5249999999996</v>
      </c>
      <c r="P65" s="135">
        <f t="shared" si="33"/>
        <v>6769.2999999999993</v>
      </c>
      <c r="Q65" s="135">
        <f t="shared" si="33"/>
        <v>8722.0827419199413</v>
      </c>
      <c r="R65" s="135">
        <f t="shared" si="33"/>
        <v>10960.357741919943</v>
      </c>
      <c r="S65" s="135">
        <f t="shared" si="33"/>
        <v>13041.007741919942</v>
      </c>
      <c r="T65" s="135">
        <f t="shared" si="33"/>
        <v>14648.782741919942</v>
      </c>
      <c r="U65" s="135">
        <f t="shared" si="33"/>
        <v>15610.295241919941</v>
      </c>
      <c r="V65" s="135">
        <f t="shared" si="33"/>
        <v>16256.557741919942</v>
      </c>
      <c r="W65" s="135">
        <f t="shared" si="33"/>
        <v>16810.012500000001</v>
      </c>
      <c r="X65" s="135">
        <f t="shared" si="33"/>
        <v>17550.850000000002</v>
      </c>
      <c r="Y65" s="135">
        <f t="shared" si="33"/>
        <v>18370.5</v>
      </c>
      <c r="Z65" s="135">
        <f t="shared" si="33"/>
        <v>19484.069651741298</v>
      </c>
      <c r="AA65" s="135">
        <f t="shared" si="33"/>
        <v>20911.320895522393</v>
      </c>
      <c r="AB65" s="135">
        <f t="shared" si="33"/>
        <v>22511.097014925377</v>
      </c>
      <c r="AC65" s="135">
        <f t="shared" si="33"/>
        <v>24454.164419820845</v>
      </c>
      <c r="AD65" s="135">
        <f t="shared" si="33"/>
        <v>26681.30372330343</v>
      </c>
      <c r="AE65" s="135">
        <f t="shared" si="33"/>
        <v>28751.602230766115</v>
      </c>
      <c r="AF65" s="135">
        <f t="shared" si="33"/>
        <v>30351.3783501691</v>
      </c>
      <c r="AG65" s="135">
        <f t="shared" si="33"/>
        <v>31308.107205890494</v>
      </c>
      <c r="AH65" s="135">
        <f t="shared" si="33"/>
        <v>31951.154469572084</v>
      </c>
      <c r="AI65" s="135">
        <f t="shared" si="33"/>
        <v>32501.85572139304</v>
      </c>
      <c r="AJ65" s="135">
        <f t="shared" si="33"/>
        <v>33239.007462686575</v>
      </c>
      <c r="AK65" s="135">
        <f t="shared" si="33"/>
        <v>34054.579601990059</v>
      </c>
      <c r="AL65" s="135">
        <f t="shared" si="33"/>
        <v>35162.60910621025</v>
      </c>
      <c r="AM65" s="135">
        <f t="shared" si="33"/>
        <v>36582.759597534721</v>
      </c>
      <c r="AN65" s="135">
        <f t="shared" si="33"/>
        <v>38174.576631766548</v>
      </c>
      <c r="AO65" s="135">
        <f t="shared" si="33"/>
        <v>40107.977034647607</v>
      </c>
      <c r="AP65" s="135">
        <f t="shared" ref="AP65:BU65" si="34">SUM(AP63:AP64)</f>
        <v>42324.036043087995</v>
      </c>
      <c r="AQ65" s="135">
        <f t="shared" si="34"/>
        <v>44384.034557976236</v>
      </c>
      <c r="AR65" s="135">
        <f t="shared" si="34"/>
        <v>45975.85159220807</v>
      </c>
      <c r="AS65" s="135">
        <f t="shared" si="34"/>
        <v>46927.82060287612</v>
      </c>
      <c r="AT65" s="135">
        <f t="shared" si="34"/>
        <v>47567.668626439896</v>
      </c>
      <c r="AU65" s="135">
        <f t="shared" si="34"/>
        <v>48115.630071037856</v>
      </c>
      <c r="AV65" s="135">
        <f t="shared" si="34"/>
        <v>48849.114390732917</v>
      </c>
      <c r="AW65" s="135">
        <f t="shared" si="34"/>
        <v>49660.628957204048</v>
      </c>
      <c r="AX65" s="135">
        <f t="shared" si="34"/>
        <v>50763.145876826136</v>
      </c>
      <c r="AY65" s="135">
        <f t="shared" si="34"/>
        <v>52176.230942820635</v>
      </c>
      <c r="AZ65" s="135">
        <f t="shared" si="34"/>
        <v>53760.128489319963</v>
      </c>
      <c r="BA65" s="135">
        <f t="shared" si="34"/>
        <v>55683.909984724007</v>
      </c>
      <c r="BB65" s="135">
        <f t="shared" si="34"/>
        <v>57888.943823968169</v>
      </c>
      <c r="BC65" s="135">
        <f t="shared" si="34"/>
        <v>59938.693590026123</v>
      </c>
      <c r="BD65" s="135">
        <f t="shared" si="34"/>
        <v>61522.591136525451</v>
      </c>
      <c r="BE65" s="135">
        <f t="shared" si="34"/>
        <v>62469.823982961316</v>
      </c>
      <c r="BF65" s="135">
        <f t="shared" si="34"/>
        <v>63106.488683024771</v>
      </c>
      <c r="BG65" s="135">
        <f t="shared" si="34"/>
        <v>63651.723951281456</v>
      </c>
      <c r="BH65" s="135">
        <f t="shared" si="34"/>
        <v>64381.559095256634</v>
      </c>
      <c r="BI65" s="135">
        <f t="shared" si="34"/>
        <v>65189.036275824925</v>
      </c>
      <c r="BJ65" s="135">
        <f t="shared" si="34"/>
        <v>66286.068036642915</v>
      </c>
      <c r="BK65" s="135">
        <f t="shared" si="34"/>
        <v>67692.122828677238</v>
      </c>
      <c r="BL65" s="135">
        <f t="shared" si="34"/>
        <v>69268.140287880553</v>
      </c>
      <c r="BM65" s="135">
        <f t="shared" si="34"/>
        <v>71182.350731068655</v>
      </c>
      <c r="BN65" s="135">
        <f t="shared" si="34"/>
        <v>73376.414252704635</v>
      </c>
      <c r="BO65" s="135">
        <f t="shared" si="34"/>
        <v>75415.966258732456</v>
      </c>
      <c r="BP65" s="135">
        <f t="shared" si="34"/>
        <v>76991.983717935771</v>
      </c>
      <c r="BQ65" s="135">
        <f t="shared" si="34"/>
        <v>77934.503963145602</v>
      </c>
      <c r="BR65" s="135">
        <f t="shared" si="34"/>
        <v>78568.001177139085</v>
      </c>
      <c r="BS65" s="135">
        <f t="shared" si="34"/>
        <v>79110.52383212086</v>
      </c>
      <c r="BT65" s="135">
        <f t="shared" si="34"/>
        <v>79836.727955479248</v>
      </c>
      <c r="BU65" s="135">
        <f t="shared" si="34"/>
        <v>80640.187836641722</v>
      </c>
      <c r="BV65" s="135">
        <f t="shared" ref="BV65:CD65" si="35">SUM(BV63:BV64)</f>
        <v>80640.187836641722</v>
      </c>
      <c r="BW65" s="135">
        <f t="shared" si="35"/>
        <v>80640.187836641722</v>
      </c>
      <c r="BX65" s="135">
        <f t="shared" si="35"/>
        <v>80640.187836641722</v>
      </c>
      <c r="BY65" s="135">
        <f t="shared" si="35"/>
        <v>80640.187836641722</v>
      </c>
      <c r="BZ65" s="135">
        <f t="shared" si="35"/>
        <v>80640.187836641722</v>
      </c>
      <c r="CA65" s="135">
        <f t="shared" si="35"/>
        <v>80640.187836641722</v>
      </c>
      <c r="CB65" s="135">
        <f t="shared" si="35"/>
        <v>80640.187836641722</v>
      </c>
      <c r="CC65" s="135">
        <f t="shared" si="35"/>
        <v>80640.187836641722</v>
      </c>
      <c r="CD65" s="135">
        <f t="shared" si="35"/>
        <v>80640.187836641722</v>
      </c>
    </row>
    <row r="66" spans="1:131" outlineLevel="1" x14ac:dyDescent="0.35"/>
    <row r="67" spans="1:131" outlineLevel="1" x14ac:dyDescent="0.35">
      <c r="E67" s="111" t="s">
        <v>58</v>
      </c>
      <c r="F67" s="111"/>
      <c r="G67" s="111" t="str">
        <f>SMU</f>
        <v>$ 000s</v>
      </c>
      <c r="H67" s="111"/>
      <c r="I67" s="111"/>
      <c r="J67" s="111">
        <f t="shared" ref="J67:AO67" si="36" xml:space="preserve"> J65 + J60</f>
        <v>0</v>
      </c>
      <c r="K67" s="111">
        <f t="shared" si="36"/>
        <v>0</v>
      </c>
      <c r="L67" s="111">
        <f t="shared" si="36"/>
        <v>0</v>
      </c>
      <c r="M67" s="111">
        <f t="shared" si="36"/>
        <v>2608</v>
      </c>
      <c r="N67" s="111">
        <f t="shared" si="36"/>
        <v>3727.1374999999998</v>
      </c>
      <c r="O67" s="111">
        <f t="shared" si="36"/>
        <v>5161.5249999999996</v>
      </c>
      <c r="P67" s="111">
        <f t="shared" si="36"/>
        <v>6769.2999999999993</v>
      </c>
      <c r="Q67" s="111">
        <f t="shared" si="36"/>
        <v>8722.0827419199413</v>
      </c>
      <c r="R67" s="111">
        <f t="shared" si="36"/>
        <v>10960.357741919943</v>
      </c>
      <c r="S67" s="111">
        <f t="shared" si="36"/>
        <v>13041.007741919942</v>
      </c>
      <c r="T67" s="111">
        <f t="shared" si="36"/>
        <v>14648.782741919942</v>
      </c>
      <c r="U67" s="111">
        <f t="shared" si="36"/>
        <v>15610.295241919941</v>
      </c>
      <c r="V67" s="111">
        <f t="shared" si="36"/>
        <v>16256.557741919942</v>
      </c>
      <c r="W67" s="111">
        <f t="shared" si="36"/>
        <v>16810.012500000001</v>
      </c>
      <c r="X67" s="111">
        <f t="shared" si="36"/>
        <v>17550.850000000002</v>
      </c>
      <c r="Y67" s="111">
        <f t="shared" si="36"/>
        <v>18370.5</v>
      </c>
      <c r="Z67" s="111">
        <f t="shared" si="36"/>
        <v>19484.069651741298</v>
      </c>
      <c r="AA67" s="111">
        <f t="shared" si="36"/>
        <v>20911.320895522393</v>
      </c>
      <c r="AB67" s="111">
        <f t="shared" si="36"/>
        <v>22511.097014925377</v>
      </c>
      <c r="AC67" s="111">
        <f t="shared" si="36"/>
        <v>24454.164419820845</v>
      </c>
      <c r="AD67" s="111">
        <f t="shared" si="36"/>
        <v>26681.30372330343</v>
      </c>
      <c r="AE67" s="111">
        <f t="shared" si="36"/>
        <v>28751.602230766115</v>
      </c>
      <c r="AF67" s="111">
        <f t="shared" si="36"/>
        <v>30351.3783501691</v>
      </c>
      <c r="AG67" s="111">
        <f t="shared" si="36"/>
        <v>31308.107205890494</v>
      </c>
      <c r="AH67" s="111">
        <f t="shared" si="36"/>
        <v>31951.154469572084</v>
      </c>
      <c r="AI67" s="111">
        <f t="shared" si="36"/>
        <v>32501.85572139304</v>
      </c>
      <c r="AJ67" s="111">
        <f t="shared" si="36"/>
        <v>33239.007462686575</v>
      </c>
      <c r="AK67" s="111">
        <f t="shared" si="36"/>
        <v>34054.579601990059</v>
      </c>
      <c r="AL67" s="111">
        <f t="shared" si="36"/>
        <v>35162.60910621025</v>
      </c>
      <c r="AM67" s="111">
        <f t="shared" si="36"/>
        <v>36582.759597534721</v>
      </c>
      <c r="AN67" s="111">
        <f t="shared" si="36"/>
        <v>38174.576631766548</v>
      </c>
      <c r="AO67" s="111">
        <f t="shared" si="36"/>
        <v>40107.977034647607</v>
      </c>
      <c r="AP67" s="111">
        <f t="shared" ref="AP67:BU67" si="37" xml:space="preserve"> AP65 + AP60</f>
        <v>42324.036043087995</v>
      </c>
      <c r="AQ67" s="111">
        <f t="shared" si="37"/>
        <v>44384.034557976236</v>
      </c>
      <c r="AR67" s="111">
        <f t="shared" si="37"/>
        <v>45975.85159220807</v>
      </c>
      <c r="AS67" s="111">
        <f t="shared" si="37"/>
        <v>46927.82060287612</v>
      </c>
      <c r="AT67" s="111">
        <f t="shared" si="37"/>
        <v>47567.668626439896</v>
      </c>
      <c r="AU67" s="111">
        <f t="shared" si="37"/>
        <v>48115.630071037856</v>
      </c>
      <c r="AV67" s="111">
        <f t="shared" si="37"/>
        <v>48849.114390732917</v>
      </c>
      <c r="AW67" s="111">
        <f t="shared" si="37"/>
        <v>49660.628957204048</v>
      </c>
      <c r="AX67" s="111">
        <f t="shared" si="37"/>
        <v>50763.145876826136</v>
      </c>
      <c r="AY67" s="111">
        <f t="shared" si="37"/>
        <v>52176.230942820635</v>
      </c>
      <c r="AZ67" s="111">
        <f t="shared" si="37"/>
        <v>53760.128489319963</v>
      </c>
      <c r="BA67" s="111">
        <f t="shared" si="37"/>
        <v>55683.909984724007</v>
      </c>
      <c r="BB67" s="111">
        <f t="shared" si="37"/>
        <v>57888.943823968169</v>
      </c>
      <c r="BC67" s="111">
        <f t="shared" si="37"/>
        <v>59938.693590026123</v>
      </c>
      <c r="BD67" s="111">
        <f t="shared" si="37"/>
        <v>61522.591136525451</v>
      </c>
      <c r="BE67" s="111">
        <f t="shared" si="37"/>
        <v>62469.823982961316</v>
      </c>
      <c r="BF67" s="111">
        <f t="shared" si="37"/>
        <v>63106.488683024771</v>
      </c>
      <c r="BG67" s="111">
        <f t="shared" si="37"/>
        <v>63651.723951281456</v>
      </c>
      <c r="BH67" s="111">
        <f t="shared" si="37"/>
        <v>64381.559095256634</v>
      </c>
      <c r="BI67" s="111">
        <f t="shared" si="37"/>
        <v>65189.036275824925</v>
      </c>
      <c r="BJ67" s="111">
        <f t="shared" si="37"/>
        <v>66286.068036642915</v>
      </c>
      <c r="BK67" s="111">
        <f t="shared" si="37"/>
        <v>67692.122828677238</v>
      </c>
      <c r="BL67" s="111">
        <f t="shared" si="37"/>
        <v>69268.140287880553</v>
      </c>
      <c r="BM67" s="111">
        <f t="shared" si="37"/>
        <v>71182.350731068655</v>
      </c>
      <c r="BN67" s="111">
        <f t="shared" si="37"/>
        <v>73376.414252704635</v>
      </c>
      <c r="BO67" s="111">
        <f t="shared" si="37"/>
        <v>75415.966258732456</v>
      </c>
      <c r="BP67" s="111">
        <f t="shared" si="37"/>
        <v>76991.983717935771</v>
      </c>
      <c r="BQ67" s="111">
        <f t="shared" si="37"/>
        <v>77934.503963145602</v>
      </c>
      <c r="BR67" s="111">
        <f t="shared" si="37"/>
        <v>78568.001177139085</v>
      </c>
      <c r="BS67" s="111">
        <f t="shared" si="37"/>
        <v>79110.52383212086</v>
      </c>
      <c r="BT67" s="111">
        <f t="shared" si="37"/>
        <v>79836.727955479248</v>
      </c>
      <c r="BU67" s="111">
        <f t="shared" si="37"/>
        <v>80640.187836641722</v>
      </c>
      <c r="BV67" s="111">
        <f t="shared" ref="BV67:CD67" si="38" xml:space="preserve"> BV65 + BV60</f>
        <v>80640.187836641722</v>
      </c>
      <c r="BW67" s="111">
        <f t="shared" si="38"/>
        <v>80640.187836641722</v>
      </c>
      <c r="BX67" s="111">
        <f t="shared" si="38"/>
        <v>80640.187836641722</v>
      </c>
      <c r="BY67" s="111">
        <f t="shared" si="38"/>
        <v>80640.187836641722</v>
      </c>
      <c r="BZ67" s="111">
        <f t="shared" si="38"/>
        <v>80640.187836641722</v>
      </c>
      <c r="CA67" s="111">
        <f t="shared" si="38"/>
        <v>80640.187836641722</v>
      </c>
      <c r="CB67" s="111">
        <f t="shared" si="38"/>
        <v>80640.187836641722</v>
      </c>
      <c r="CC67" s="111">
        <f t="shared" si="38"/>
        <v>80640.187836641722</v>
      </c>
      <c r="CD67" s="111">
        <f t="shared" si="38"/>
        <v>80640.187836641722</v>
      </c>
    </row>
    <row r="68" spans="1:131" outlineLevel="1" x14ac:dyDescent="0.35">
      <c r="A68" s="108"/>
      <c r="D68" s="112"/>
    </row>
    <row r="69" spans="1:131" outlineLevel="1" x14ac:dyDescent="0.35">
      <c r="A69" s="108"/>
      <c r="D69" s="112"/>
      <c r="E69" s="213" t="s">
        <v>124</v>
      </c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  <c r="BC69" s="213"/>
      <c r="BD69" s="213"/>
      <c r="BE69" s="213"/>
      <c r="BF69" s="213"/>
      <c r="BG69" s="213"/>
      <c r="BH69" s="213"/>
      <c r="BI69" s="213"/>
      <c r="BJ69" s="213"/>
      <c r="BK69" s="213"/>
      <c r="BL69" s="213"/>
      <c r="BM69" s="213"/>
      <c r="BN69" s="213"/>
      <c r="BO69" s="213"/>
      <c r="BP69" s="213"/>
      <c r="BQ69" s="213"/>
      <c r="BR69" s="213"/>
      <c r="BS69" s="213"/>
      <c r="BT69" s="213"/>
      <c r="BU69" s="213"/>
      <c r="BV69" s="213"/>
      <c r="BW69" s="213"/>
      <c r="BX69" s="213"/>
      <c r="BY69" s="213"/>
      <c r="BZ69" s="213"/>
      <c r="CA69" s="213"/>
      <c r="CB69" s="213"/>
      <c r="CC69" s="213"/>
      <c r="CD69" s="213"/>
    </row>
    <row r="70" spans="1:131" outlineLevel="1" x14ac:dyDescent="0.35">
      <c r="A70" s="108"/>
      <c r="D70" s="112"/>
      <c r="E70" s="213" t="s">
        <v>125</v>
      </c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  <c r="BC70" s="213"/>
      <c r="BD70" s="213"/>
      <c r="BE70" s="213"/>
      <c r="BF70" s="213"/>
      <c r="BG70" s="213"/>
      <c r="BH70" s="213"/>
      <c r="BI70" s="213"/>
      <c r="BJ70" s="213"/>
      <c r="BK70" s="213"/>
      <c r="BL70" s="213"/>
      <c r="BM70" s="213"/>
      <c r="BN70" s="213"/>
      <c r="BO70" s="213"/>
      <c r="BP70" s="213"/>
      <c r="BQ70" s="213"/>
      <c r="BR70" s="213"/>
      <c r="BS70" s="213"/>
      <c r="BT70" s="213"/>
      <c r="BU70" s="213"/>
      <c r="BV70" s="213"/>
      <c r="BW70" s="213"/>
      <c r="BX70" s="213"/>
      <c r="BY70" s="213"/>
      <c r="BZ70" s="213"/>
      <c r="CA70" s="213"/>
      <c r="CB70" s="213"/>
      <c r="CC70" s="213"/>
      <c r="CD70" s="213"/>
    </row>
    <row r="71" spans="1:131" outlineLevel="1" x14ac:dyDescent="0.35">
      <c r="A71" s="108"/>
      <c r="D71" s="112"/>
      <c r="E71" s="213" t="s">
        <v>126</v>
      </c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  <c r="BC71" s="213"/>
      <c r="BD71" s="213"/>
      <c r="BE71" s="213"/>
      <c r="BF71" s="213"/>
      <c r="BG71" s="213"/>
      <c r="BH71" s="213"/>
      <c r="BI71" s="213"/>
      <c r="BJ71" s="213"/>
      <c r="BK71" s="213"/>
      <c r="BL71" s="213"/>
      <c r="BM71" s="213"/>
      <c r="BN71" s="213"/>
      <c r="BO71" s="213"/>
      <c r="BP71" s="213"/>
      <c r="BQ71" s="213"/>
      <c r="BR71" s="213"/>
      <c r="BS71" s="213"/>
      <c r="BT71" s="213"/>
      <c r="BU71" s="213"/>
      <c r="BV71" s="213"/>
      <c r="BW71" s="213"/>
      <c r="BX71" s="213"/>
      <c r="BY71" s="213"/>
      <c r="BZ71" s="213"/>
      <c r="CA71" s="213"/>
      <c r="CB71" s="213"/>
      <c r="CC71" s="213"/>
      <c r="CD71" s="213"/>
    </row>
    <row r="72" spans="1:131" outlineLevel="1" x14ac:dyDescent="0.35">
      <c r="A72" s="108"/>
      <c r="D72" s="112"/>
      <c r="E72" s="213" t="s">
        <v>127</v>
      </c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  <c r="BC72" s="213"/>
      <c r="BD72" s="213"/>
      <c r="BE72" s="213"/>
      <c r="BF72" s="213"/>
      <c r="BG72" s="213"/>
      <c r="BH72" s="213"/>
      <c r="BI72" s="213"/>
      <c r="BJ72" s="213"/>
      <c r="BK72" s="213"/>
      <c r="BL72" s="213"/>
      <c r="BM72" s="213"/>
      <c r="BN72" s="213"/>
      <c r="BO72" s="213"/>
      <c r="BP72" s="213"/>
      <c r="BQ72" s="213"/>
      <c r="BR72" s="213"/>
      <c r="BS72" s="213"/>
      <c r="BT72" s="213"/>
      <c r="BU72" s="213"/>
      <c r="BV72" s="213"/>
      <c r="BW72" s="213"/>
      <c r="BX72" s="213"/>
      <c r="BY72" s="213"/>
      <c r="BZ72" s="213"/>
      <c r="CA72" s="213"/>
      <c r="CB72" s="213"/>
      <c r="CC72" s="213"/>
      <c r="CD72" s="213"/>
    </row>
    <row r="73" spans="1:131" outlineLevel="1" x14ac:dyDescent="0.35">
      <c r="A73" s="108"/>
      <c r="D73" s="112"/>
      <c r="E73" s="213" t="s">
        <v>128</v>
      </c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  <c r="BC73" s="213"/>
      <c r="BD73" s="213"/>
      <c r="BE73" s="213"/>
      <c r="BF73" s="213"/>
      <c r="BG73" s="213"/>
      <c r="BH73" s="213"/>
      <c r="BI73" s="213"/>
      <c r="BJ73" s="213"/>
      <c r="BK73" s="213"/>
      <c r="BL73" s="213"/>
      <c r="BM73" s="213"/>
      <c r="BN73" s="213"/>
      <c r="BO73" s="213"/>
      <c r="BP73" s="213"/>
      <c r="BQ73" s="213"/>
      <c r="BR73" s="213"/>
      <c r="BS73" s="213"/>
      <c r="BT73" s="213"/>
      <c r="BU73" s="213"/>
      <c r="BV73" s="213"/>
      <c r="BW73" s="213"/>
      <c r="BX73" s="213"/>
      <c r="BY73" s="213"/>
      <c r="BZ73" s="213"/>
      <c r="CA73" s="213"/>
      <c r="CB73" s="213"/>
      <c r="CC73" s="213"/>
      <c r="CD73" s="213"/>
    </row>
    <row r="74" spans="1:131" s="271" customFormat="1" outlineLevel="1" x14ac:dyDescent="0.35">
      <c r="A74" s="108"/>
      <c r="B74" s="108"/>
      <c r="C74" s="109"/>
      <c r="D74" s="112"/>
      <c r="E74" s="137" t="str">
        <f xml:space="preserve"> Equity!E$16</f>
        <v>Retained earnings balance</v>
      </c>
      <c r="F74" s="137">
        <f xml:space="preserve"> Equity!F$16</f>
        <v>0</v>
      </c>
      <c r="G74" s="137" t="str">
        <f xml:space="preserve"> Equity!G$16</f>
        <v>$ 000s</v>
      </c>
      <c r="H74" s="137">
        <f xml:space="preserve"> Equity!H$16</f>
        <v>0</v>
      </c>
      <c r="I74" s="137">
        <f xml:space="preserve"> Equity!I$16</f>
        <v>0</v>
      </c>
      <c r="J74" s="137">
        <f xml:space="preserve"> Equity!J$16</f>
        <v>0</v>
      </c>
      <c r="K74" s="137">
        <f xml:space="preserve"> Equity!K$16</f>
        <v>0</v>
      </c>
      <c r="L74" s="137">
        <f xml:space="preserve"> Equity!L$16</f>
        <v>0</v>
      </c>
      <c r="M74" s="137">
        <f xml:space="preserve"> Equity!M$16</f>
        <v>2608</v>
      </c>
      <c r="N74" s="137">
        <f xml:space="preserve"> Equity!N$16</f>
        <v>3727.1374999999998</v>
      </c>
      <c r="O74" s="137">
        <f xml:space="preserve"> Equity!O$16</f>
        <v>5161.5249999999996</v>
      </c>
      <c r="P74" s="137">
        <f xml:space="preserve"> Equity!P$16</f>
        <v>6769.2999999999993</v>
      </c>
      <c r="Q74" s="137">
        <f xml:space="preserve"> Equity!Q$16</f>
        <v>8722.0827419199413</v>
      </c>
      <c r="R74" s="137">
        <f xml:space="preserve"> Equity!R$16</f>
        <v>10960.357741919941</v>
      </c>
      <c r="S74" s="137">
        <f xml:space="preserve"> Equity!S$16</f>
        <v>13041.007741919941</v>
      </c>
      <c r="T74" s="137">
        <f xml:space="preserve"> Equity!T$16</f>
        <v>14648.78274191994</v>
      </c>
      <c r="U74" s="137">
        <f xml:space="preserve"> Equity!U$16</f>
        <v>15610.295241919941</v>
      </c>
      <c r="V74" s="137">
        <f xml:space="preserve"> Equity!V$16</f>
        <v>16256.557741919942</v>
      </c>
      <c r="W74" s="137">
        <f xml:space="preserve"> Equity!W$16</f>
        <v>16810.012500000001</v>
      </c>
      <c r="X74" s="137">
        <f xml:space="preserve"> Equity!X$16</f>
        <v>17550.850000000002</v>
      </c>
      <c r="Y74" s="137">
        <f xml:space="preserve"> Equity!Y$16</f>
        <v>18370.500000000004</v>
      </c>
      <c r="Z74" s="137">
        <f xml:space="preserve"> Equity!Z$16</f>
        <v>19484.069651741298</v>
      </c>
      <c r="AA74" s="137">
        <f xml:space="preserve"> Equity!AA$16</f>
        <v>20911.320895522393</v>
      </c>
      <c r="AB74" s="137">
        <f xml:space="preserve"> Equity!AB$16</f>
        <v>22511.097014925377</v>
      </c>
      <c r="AC74" s="137">
        <f xml:space="preserve"> Equity!AC$16</f>
        <v>24454.164419820841</v>
      </c>
      <c r="AD74" s="137">
        <f xml:space="preserve"> Equity!AD$16</f>
        <v>26681.303723303427</v>
      </c>
      <c r="AE74" s="137">
        <f xml:space="preserve"> Equity!AE$16</f>
        <v>28751.602230766115</v>
      </c>
      <c r="AF74" s="137">
        <f xml:space="preserve"> Equity!AF$16</f>
        <v>30351.3783501691</v>
      </c>
      <c r="AG74" s="137">
        <f xml:space="preserve"> Equity!AG$16</f>
        <v>31308.107205890494</v>
      </c>
      <c r="AH74" s="137">
        <f xml:space="preserve"> Equity!AH$16</f>
        <v>31951.154469572088</v>
      </c>
      <c r="AI74" s="137">
        <f xml:space="preserve"> Equity!AI$16</f>
        <v>32501.855721393043</v>
      </c>
      <c r="AJ74" s="137">
        <f xml:space="preserve"> Equity!AJ$16</f>
        <v>33239.007462686575</v>
      </c>
      <c r="AK74" s="137">
        <f xml:space="preserve"> Equity!AK$16</f>
        <v>34054.579601990059</v>
      </c>
      <c r="AL74" s="137">
        <f xml:space="preserve"> Equity!AL$16</f>
        <v>35162.60910621025</v>
      </c>
      <c r="AM74" s="137">
        <f xml:space="preserve"> Equity!AM$16</f>
        <v>36582.759597534721</v>
      </c>
      <c r="AN74" s="137">
        <f xml:space="preserve"> Equity!AN$16</f>
        <v>38174.576631766548</v>
      </c>
      <c r="AO74" s="137">
        <f xml:space="preserve"> Equity!AO$16</f>
        <v>40107.977034647607</v>
      </c>
      <c r="AP74" s="137">
        <f xml:space="preserve"> Equity!AP$16</f>
        <v>42324.036043087995</v>
      </c>
      <c r="AQ74" s="137">
        <f xml:space="preserve"> Equity!AQ$16</f>
        <v>44384.034557976243</v>
      </c>
      <c r="AR74" s="137">
        <f xml:space="preserve"> Equity!AR$16</f>
        <v>45975.85159220807</v>
      </c>
      <c r="AS74" s="137">
        <f xml:space="preserve"> Equity!AS$16</f>
        <v>46927.82060287612</v>
      </c>
      <c r="AT74" s="137">
        <f xml:space="preserve"> Equity!AT$16</f>
        <v>47567.668626439896</v>
      </c>
      <c r="AU74" s="137">
        <f xml:space="preserve"> Equity!AU$16</f>
        <v>48115.630071037864</v>
      </c>
      <c r="AV74" s="137">
        <f xml:space="preserve"> Equity!AV$16</f>
        <v>48849.114390732924</v>
      </c>
      <c r="AW74" s="137">
        <f xml:space="preserve"> Equity!AW$16</f>
        <v>49660.628957204055</v>
      </c>
      <c r="AX74" s="137">
        <f xml:space="preserve"> Equity!AX$16</f>
        <v>50763.145876826136</v>
      </c>
      <c r="AY74" s="137">
        <f xml:space="preserve"> Equity!AY$16</f>
        <v>52176.230942820635</v>
      </c>
      <c r="AZ74" s="137">
        <f xml:space="preserve"> Equity!AZ$16</f>
        <v>53760.128489319963</v>
      </c>
      <c r="BA74" s="137">
        <f xml:space="preserve"> Equity!BA$16</f>
        <v>55683.909984724</v>
      </c>
      <c r="BB74" s="137">
        <f xml:space="preserve"> Equity!BB$16</f>
        <v>57888.943823968162</v>
      </c>
      <c r="BC74" s="137">
        <f xml:space="preserve"> Equity!BC$16</f>
        <v>59938.693590026116</v>
      </c>
      <c r="BD74" s="137">
        <f xml:space="preserve"> Equity!BD$16</f>
        <v>61522.591136525443</v>
      </c>
      <c r="BE74" s="137">
        <f xml:space="preserve"> Equity!BE$16</f>
        <v>62469.823982961316</v>
      </c>
      <c r="BF74" s="137">
        <f xml:space="preserve"> Equity!BF$16</f>
        <v>63106.488683024771</v>
      </c>
      <c r="BG74" s="137">
        <f xml:space="preserve"> Equity!BG$16</f>
        <v>63651.723951281456</v>
      </c>
      <c r="BH74" s="137">
        <f xml:space="preserve"> Equity!BH$16</f>
        <v>64381.559095256634</v>
      </c>
      <c r="BI74" s="137">
        <f xml:space="preserve"> Equity!BI$16</f>
        <v>65189.036275824918</v>
      </c>
      <c r="BJ74" s="137">
        <f xml:space="preserve"> Equity!BJ$16</f>
        <v>66286.068036642915</v>
      </c>
      <c r="BK74" s="137">
        <f xml:space="preserve"> Equity!BK$16</f>
        <v>67692.122828677238</v>
      </c>
      <c r="BL74" s="137">
        <f xml:space="preserve"> Equity!BL$16</f>
        <v>69268.140287880553</v>
      </c>
      <c r="BM74" s="137">
        <f xml:space="preserve"> Equity!BM$16</f>
        <v>71182.350731068655</v>
      </c>
      <c r="BN74" s="137">
        <f xml:space="preserve"> Equity!BN$16</f>
        <v>73376.414252704635</v>
      </c>
      <c r="BO74" s="137">
        <f xml:space="preserve"> Equity!BO$16</f>
        <v>75415.966258732456</v>
      </c>
      <c r="BP74" s="137">
        <f xml:space="preserve"> Equity!BP$16</f>
        <v>76991.983717935771</v>
      </c>
      <c r="BQ74" s="137">
        <f xml:space="preserve"> Equity!BQ$16</f>
        <v>77934.503963145602</v>
      </c>
      <c r="BR74" s="137">
        <f xml:space="preserve"> Equity!BR$16</f>
        <v>78568.001177139085</v>
      </c>
      <c r="BS74" s="137">
        <f xml:space="preserve"> Equity!BS$16</f>
        <v>79110.52383212086</v>
      </c>
      <c r="BT74" s="137">
        <f xml:space="preserve"> Equity!BT$16</f>
        <v>79836.727955479248</v>
      </c>
      <c r="BU74" s="137">
        <f xml:space="preserve"> Equity!BU$16</f>
        <v>80640.187836641722</v>
      </c>
      <c r="BV74" s="137">
        <f xml:space="preserve"> Equity!BV$16</f>
        <v>80640.187836641722</v>
      </c>
      <c r="BW74" s="137">
        <f xml:space="preserve"> Equity!BW$16</f>
        <v>80640.187836641722</v>
      </c>
      <c r="BX74" s="137">
        <f xml:space="preserve"> Equity!BX$16</f>
        <v>80640.187836641722</v>
      </c>
      <c r="BY74" s="137">
        <f xml:space="preserve"> Equity!BY$16</f>
        <v>80640.187836641722</v>
      </c>
      <c r="BZ74" s="137">
        <f xml:space="preserve"> Equity!BZ$16</f>
        <v>80640.187836641722</v>
      </c>
      <c r="CA74" s="137">
        <f xml:space="preserve"> Equity!CA$16</f>
        <v>80640.187836641722</v>
      </c>
      <c r="CB74" s="137">
        <f xml:space="preserve"> Equity!CB$16</f>
        <v>80640.187836641722</v>
      </c>
      <c r="CC74" s="137">
        <f xml:space="preserve"> Equity!CC$16</f>
        <v>80640.187836641722</v>
      </c>
      <c r="CD74" s="137">
        <f xml:space="preserve"> Equity!CD$16</f>
        <v>80640.187836641722</v>
      </c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</row>
    <row r="75" spans="1:131" outlineLevel="1" x14ac:dyDescent="0.35">
      <c r="A75" s="108"/>
      <c r="D75" s="112"/>
      <c r="E75" s="111" t="s">
        <v>59</v>
      </c>
      <c r="F75" s="111"/>
      <c r="G75" s="111" t="str">
        <f>SMU</f>
        <v>$ 000s</v>
      </c>
      <c r="H75" s="111"/>
      <c r="I75" s="111"/>
      <c r="J75" s="111">
        <f t="shared" ref="J75:AO75" si="39" xml:space="preserve"> SUM(J69:J74)</f>
        <v>0</v>
      </c>
      <c r="K75" s="111">
        <f t="shared" si="39"/>
        <v>0</v>
      </c>
      <c r="L75" s="111">
        <f t="shared" si="39"/>
        <v>0</v>
      </c>
      <c r="M75" s="111">
        <f t="shared" si="39"/>
        <v>2608</v>
      </c>
      <c r="N75" s="111">
        <f t="shared" si="39"/>
        <v>3727.1374999999998</v>
      </c>
      <c r="O75" s="111">
        <f t="shared" si="39"/>
        <v>5161.5249999999996</v>
      </c>
      <c r="P75" s="111">
        <f t="shared" si="39"/>
        <v>6769.2999999999993</v>
      </c>
      <c r="Q75" s="111">
        <f t="shared" si="39"/>
        <v>8722.0827419199413</v>
      </c>
      <c r="R75" s="111">
        <f t="shared" si="39"/>
        <v>10960.357741919941</v>
      </c>
      <c r="S75" s="111">
        <f t="shared" si="39"/>
        <v>13041.007741919941</v>
      </c>
      <c r="T75" s="111">
        <f t="shared" si="39"/>
        <v>14648.78274191994</v>
      </c>
      <c r="U75" s="111">
        <f t="shared" si="39"/>
        <v>15610.295241919941</v>
      </c>
      <c r="V75" s="111">
        <f t="shared" si="39"/>
        <v>16256.557741919942</v>
      </c>
      <c r="W75" s="111">
        <f t="shared" si="39"/>
        <v>16810.012500000001</v>
      </c>
      <c r="X75" s="111">
        <f t="shared" si="39"/>
        <v>17550.850000000002</v>
      </c>
      <c r="Y75" s="111">
        <f t="shared" si="39"/>
        <v>18370.500000000004</v>
      </c>
      <c r="Z75" s="111">
        <f t="shared" si="39"/>
        <v>19484.069651741298</v>
      </c>
      <c r="AA75" s="111">
        <f t="shared" si="39"/>
        <v>20911.320895522393</v>
      </c>
      <c r="AB75" s="111">
        <f t="shared" si="39"/>
        <v>22511.097014925377</v>
      </c>
      <c r="AC75" s="111">
        <f t="shared" si="39"/>
        <v>24454.164419820841</v>
      </c>
      <c r="AD75" s="111">
        <f t="shared" si="39"/>
        <v>26681.303723303427</v>
      </c>
      <c r="AE75" s="111">
        <f t="shared" si="39"/>
        <v>28751.602230766115</v>
      </c>
      <c r="AF75" s="111">
        <f t="shared" si="39"/>
        <v>30351.3783501691</v>
      </c>
      <c r="AG75" s="111">
        <f t="shared" si="39"/>
        <v>31308.107205890494</v>
      </c>
      <c r="AH75" s="111">
        <f t="shared" si="39"/>
        <v>31951.154469572088</v>
      </c>
      <c r="AI75" s="111">
        <f t="shared" si="39"/>
        <v>32501.855721393043</v>
      </c>
      <c r="AJ75" s="111">
        <f t="shared" si="39"/>
        <v>33239.007462686575</v>
      </c>
      <c r="AK75" s="111">
        <f t="shared" si="39"/>
        <v>34054.579601990059</v>
      </c>
      <c r="AL75" s="111">
        <f t="shared" si="39"/>
        <v>35162.60910621025</v>
      </c>
      <c r="AM75" s="111">
        <f t="shared" si="39"/>
        <v>36582.759597534721</v>
      </c>
      <c r="AN75" s="111">
        <f t="shared" si="39"/>
        <v>38174.576631766548</v>
      </c>
      <c r="AO75" s="111">
        <f t="shared" si="39"/>
        <v>40107.977034647607</v>
      </c>
      <c r="AP75" s="111">
        <f t="shared" ref="AP75:BU75" si="40" xml:space="preserve"> SUM(AP69:AP74)</f>
        <v>42324.036043087995</v>
      </c>
      <c r="AQ75" s="111">
        <f t="shared" si="40"/>
        <v>44384.034557976243</v>
      </c>
      <c r="AR75" s="111">
        <f t="shared" si="40"/>
        <v>45975.85159220807</v>
      </c>
      <c r="AS75" s="111">
        <f t="shared" si="40"/>
        <v>46927.82060287612</v>
      </c>
      <c r="AT75" s="111">
        <f t="shared" si="40"/>
        <v>47567.668626439896</v>
      </c>
      <c r="AU75" s="111">
        <f t="shared" si="40"/>
        <v>48115.630071037864</v>
      </c>
      <c r="AV75" s="111">
        <f t="shared" si="40"/>
        <v>48849.114390732924</v>
      </c>
      <c r="AW75" s="111">
        <f t="shared" si="40"/>
        <v>49660.628957204055</v>
      </c>
      <c r="AX75" s="111">
        <f t="shared" si="40"/>
        <v>50763.145876826136</v>
      </c>
      <c r="AY75" s="111">
        <f t="shared" si="40"/>
        <v>52176.230942820635</v>
      </c>
      <c r="AZ75" s="111">
        <f t="shared" si="40"/>
        <v>53760.128489319963</v>
      </c>
      <c r="BA75" s="111">
        <f t="shared" si="40"/>
        <v>55683.909984724</v>
      </c>
      <c r="BB75" s="111">
        <f t="shared" si="40"/>
        <v>57888.943823968162</v>
      </c>
      <c r="BC75" s="111">
        <f t="shared" si="40"/>
        <v>59938.693590026116</v>
      </c>
      <c r="BD75" s="111">
        <f t="shared" si="40"/>
        <v>61522.591136525443</v>
      </c>
      <c r="BE75" s="111">
        <f t="shared" si="40"/>
        <v>62469.823982961316</v>
      </c>
      <c r="BF75" s="111">
        <f t="shared" si="40"/>
        <v>63106.488683024771</v>
      </c>
      <c r="BG75" s="111">
        <f t="shared" si="40"/>
        <v>63651.723951281456</v>
      </c>
      <c r="BH75" s="111">
        <f t="shared" si="40"/>
        <v>64381.559095256634</v>
      </c>
      <c r="BI75" s="111">
        <f t="shared" si="40"/>
        <v>65189.036275824918</v>
      </c>
      <c r="BJ75" s="111">
        <f t="shared" si="40"/>
        <v>66286.068036642915</v>
      </c>
      <c r="BK75" s="111">
        <f t="shared" si="40"/>
        <v>67692.122828677238</v>
      </c>
      <c r="BL75" s="111">
        <f t="shared" si="40"/>
        <v>69268.140287880553</v>
      </c>
      <c r="BM75" s="111">
        <f t="shared" si="40"/>
        <v>71182.350731068655</v>
      </c>
      <c r="BN75" s="111">
        <f t="shared" si="40"/>
        <v>73376.414252704635</v>
      </c>
      <c r="BO75" s="111">
        <f t="shared" si="40"/>
        <v>75415.966258732456</v>
      </c>
      <c r="BP75" s="111">
        <f t="shared" si="40"/>
        <v>76991.983717935771</v>
      </c>
      <c r="BQ75" s="111">
        <f t="shared" si="40"/>
        <v>77934.503963145602</v>
      </c>
      <c r="BR75" s="111">
        <f t="shared" si="40"/>
        <v>78568.001177139085</v>
      </c>
      <c r="BS75" s="111">
        <f t="shared" si="40"/>
        <v>79110.52383212086</v>
      </c>
      <c r="BT75" s="111">
        <f t="shared" si="40"/>
        <v>79836.727955479248</v>
      </c>
      <c r="BU75" s="111">
        <f t="shared" si="40"/>
        <v>80640.187836641722</v>
      </c>
      <c r="BV75" s="111">
        <f t="shared" ref="BV75:CD75" si="41" xml:space="preserve"> SUM(BV69:BV74)</f>
        <v>80640.187836641722</v>
      </c>
      <c r="BW75" s="111">
        <f t="shared" si="41"/>
        <v>80640.187836641722</v>
      </c>
      <c r="BX75" s="111">
        <f t="shared" si="41"/>
        <v>80640.187836641722</v>
      </c>
      <c r="BY75" s="111">
        <f t="shared" si="41"/>
        <v>80640.187836641722</v>
      </c>
      <c r="BZ75" s="111">
        <f t="shared" si="41"/>
        <v>80640.187836641722</v>
      </c>
      <c r="CA75" s="111">
        <f t="shared" si="41"/>
        <v>80640.187836641722</v>
      </c>
      <c r="CB75" s="111">
        <f t="shared" si="41"/>
        <v>80640.187836641722</v>
      </c>
      <c r="CC75" s="111">
        <f t="shared" si="41"/>
        <v>80640.187836641722</v>
      </c>
      <c r="CD75" s="111">
        <f t="shared" si="41"/>
        <v>80640.187836641722</v>
      </c>
    </row>
    <row r="76" spans="1:131" outlineLevel="1" x14ac:dyDescent="0.35"/>
    <row r="78" spans="1:131" x14ac:dyDescent="0.35">
      <c r="A78" s="107" t="s">
        <v>64</v>
      </c>
    </row>
    <row r="79" spans="1:131" outlineLevel="1" x14ac:dyDescent="0.35"/>
    <row r="80" spans="1:131" outlineLevel="1" x14ac:dyDescent="0.35">
      <c r="E80" s="136" t="str">
        <f xml:space="preserve"> E$67</f>
        <v>Total assets</v>
      </c>
      <c r="F80" s="136">
        <f t="shared" ref="F80:BQ80" si="42" xml:space="preserve"> F$67</f>
        <v>0</v>
      </c>
      <c r="G80" s="136" t="str">
        <f t="shared" si="42"/>
        <v>$ 000s</v>
      </c>
      <c r="H80" s="136">
        <f t="shared" si="42"/>
        <v>0</v>
      </c>
      <c r="I80" s="136">
        <f t="shared" si="42"/>
        <v>0</v>
      </c>
      <c r="J80" s="136">
        <f t="shared" si="42"/>
        <v>0</v>
      </c>
      <c r="K80" s="136">
        <f t="shared" si="42"/>
        <v>0</v>
      </c>
      <c r="L80" s="136">
        <f t="shared" si="42"/>
        <v>0</v>
      </c>
      <c r="M80" s="136">
        <f t="shared" si="42"/>
        <v>2608</v>
      </c>
      <c r="N80" s="136">
        <f t="shared" si="42"/>
        <v>3727.1374999999998</v>
      </c>
      <c r="O80" s="136">
        <f t="shared" si="42"/>
        <v>5161.5249999999996</v>
      </c>
      <c r="P80" s="136">
        <f t="shared" si="42"/>
        <v>6769.2999999999993</v>
      </c>
      <c r="Q80" s="136">
        <f t="shared" si="42"/>
        <v>8722.0827419199413</v>
      </c>
      <c r="R80" s="136">
        <f t="shared" si="42"/>
        <v>10960.357741919943</v>
      </c>
      <c r="S80" s="136">
        <f t="shared" si="42"/>
        <v>13041.007741919942</v>
      </c>
      <c r="T80" s="136">
        <f t="shared" si="42"/>
        <v>14648.782741919942</v>
      </c>
      <c r="U80" s="136">
        <f t="shared" si="42"/>
        <v>15610.295241919941</v>
      </c>
      <c r="V80" s="136">
        <f t="shared" si="42"/>
        <v>16256.557741919942</v>
      </c>
      <c r="W80" s="136">
        <f t="shared" si="42"/>
        <v>16810.012500000001</v>
      </c>
      <c r="X80" s="136">
        <f t="shared" si="42"/>
        <v>17550.850000000002</v>
      </c>
      <c r="Y80" s="136">
        <f t="shared" si="42"/>
        <v>18370.5</v>
      </c>
      <c r="Z80" s="136">
        <f t="shared" si="42"/>
        <v>19484.069651741298</v>
      </c>
      <c r="AA80" s="136">
        <f t="shared" si="42"/>
        <v>20911.320895522393</v>
      </c>
      <c r="AB80" s="136">
        <f t="shared" si="42"/>
        <v>22511.097014925377</v>
      </c>
      <c r="AC80" s="136">
        <f t="shared" si="42"/>
        <v>24454.164419820845</v>
      </c>
      <c r="AD80" s="136">
        <f t="shared" si="42"/>
        <v>26681.30372330343</v>
      </c>
      <c r="AE80" s="136">
        <f t="shared" si="42"/>
        <v>28751.602230766115</v>
      </c>
      <c r="AF80" s="136">
        <f t="shared" si="42"/>
        <v>30351.3783501691</v>
      </c>
      <c r="AG80" s="136">
        <f t="shared" si="42"/>
        <v>31308.107205890494</v>
      </c>
      <c r="AH80" s="136">
        <f t="shared" si="42"/>
        <v>31951.154469572084</v>
      </c>
      <c r="AI80" s="136">
        <f t="shared" si="42"/>
        <v>32501.85572139304</v>
      </c>
      <c r="AJ80" s="136">
        <f t="shared" si="42"/>
        <v>33239.007462686575</v>
      </c>
      <c r="AK80" s="136">
        <f t="shared" si="42"/>
        <v>34054.579601990059</v>
      </c>
      <c r="AL80" s="136">
        <f t="shared" si="42"/>
        <v>35162.60910621025</v>
      </c>
      <c r="AM80" s="136">
        <f t="shared" si="42"/>
        <v>36582.759597534721</v>
      </c>
      <c r="AN80" s="136">
        <f t="shared" si="42"/>
        <v>38174.576631766548</v>
      </c>
      <c r="AO80" s="136">
        <f t="shared" si="42"/>
        <v>40107.977034647607</v>
      </c>
      <c r="AP80" s="136">
        <f t="shared" si="42"/>
        <v>42324.036043087995</v>
      </c>
      <c r="AQ80" s="136">
        <f t="shared" si="42"/>
        <v>44384.034557976236</v>
      </c>
      <c r="AR80" s="136">
        <f t="shared" si="42"/>
        <v>45975.85159220807</v>
      </c>
      <c r="AS80" s="136">
        <f t="shared" si="42"/>
        <v>46927.82060287612</v>
      </c>
      <c r="AT80" s="136">
        <f t="shared" si="42"/>
        <v>47567.668626439896</v>
      </c>
      <c r="AU80" s="136">
        <f t="shared" si="42"/>
        <v>48115.630071037856</v>
      </c>
      <c r="AV80" s="136">
        <f t="shared" si="42"/>
        <v>48849.114390732917</v>
      </c>
      <c r="AW80" s="136">
        <f t="shared" si="42"/>
        <v>49660.628957204048</v>
      </c>
      <c r="AX80" s="136">
        <f t="shared" si="42"/>
        <v>50763.145876826136</v>
      </c>
      <c r="AY80" s="136">
        <f t="shared" si="42"/>
        <v>52176.230942820635</v>
      </c>
      <c r="AZ80" s="136">
        <f t="shared" si="42"/>
        <v>53760.128489319963</v>
      </c>
      <c r="BA80" s="136">
        <f t="shared" si="42"/>
        <v>55683.909984724007</v>
      </c>
      <c r="BB80" s="136">
        <f t="shared" si="42"/>
        <v>57888.943823968169</v>
      </c>
      <c r="BC80" s="136">
        <f t="shared" si="42"/>
        <v>59938.693590026123</v>
      </c>
      <c r="BD80" s="136">
        <f t="shared" si="42"/>
        <v>61522.591136525451</v>
      </c>
      <c r="BE80" s="136">
        <f t="shared" si="42"/>
        <v>62469.823982961316</v>
      </c>
      <c r="BF80" s="136">
        <f t="shared" si="42"/>
        <v>63106.488683024771</v>
      </c>
      <c r="BG80" s="136">
        <f t="shared" si="42"/>
        <v>63651.723951281456</v>
      </c>
      <c r="BH80" s="136">
        <f t="shared" si="42"/>
        <v>64381.559095256634</v>
      </c>
      <c r="BI80" s="136">
        <f t="shared" si="42"/>
        <v>65189.036275824925</v>
      </c>
      <c r="BJ80" s="136">
        <f t="shared" si="42"/>
        <v>66286.068036642915</v>
      </c>
      <c r="BK80" s="136">
        <f t="shared" si="42"/>
        <v>67692.122828677238</v>
      </c>
      <c r="BL80" s="136">
        <f t="shared" si="42"/>
        <v>69268.140287880553</v>
      </c>
      <c r="BM80" s="136">
        <f t="shared" si="42"/>
        <v>71182.350731068655</v>
      </c>
      <c r="BN80" s="136">
        <f t="shared" si="42"/>
        <v>73376.414252704635</v>
      </c>
      <c r="BO80" s="136">
        <f t="shared" si="42"/>
        <v>75415.966258732456</v>
      </c>
      <c r="BP80" s="136">
        <f t="shared" si="42"/>
        <v>76991.983717935771</v>
      </c>
      <c r="BQ80" s="136">
        <f t="shared" si="42"/>
        <v>77934.503963145602</v>
      </c>
      <c r="BR80" s="136">
        <f t="shared" ref="BR80:CD80" si="43" xml:space="preserve"> BR$67</f>
        <v>78568.001177139085</v>
      </c>
      <c r="BS80" s="136">
        <f t="shared" si="43"/>
        <v>79110.52383212086</v>
      </c>
      <c r="BT80" s="136">
        <f t="shared" si="43"/>
        <v>79836.727955479248</v>
      </c>
      <c r="BU80" s="136">
        <f t="shared" si="43"/>
        <v>80640.187836641722</v>
      </c>
      <c r="BV80" s="136">
        <f t="shared" si="43"/>
        <v>80640.187836641722</v>
      </c>
      <c r="BW80" s="136">
        <f t="shared" si="43"/>
        <v>80640.187836641722</v>
      </c>
      <c r="BX80" s="136">
        <f t="shared" si="43"/>
        <v>80640.187836641722</v>
      </c>
      <c r="BY80" s="136">
        <f t="shared" si="43"/>
        <v>80640.187836641722</v>
      </c>
      <c r="BZ80" s="136">
        <f t="shared" si="43"/>
        <v>80640.187836641722</v>
      </c>
      <c r="CA80" s="136">
        <f t="shared" si="43"/>
        <v>80640.187836641722</v>
      </c>
      <c r="CB80" s="136">
        <f t="shared" si="43"/>
        <v>80640.187836641722</v>
      </c>
      <c r="CC80" s="136">
        <f t="shared" si="43"/>
        <v>80640.187836641722</v>
      </c>
      <c r="CD80" s="136">
        <f t="shared" si="43"/>
        <v>80640.187836641722</v>
      </c>
    </row>
    <row r="81" spans="1:82" outlineLevel="1" x14ac:dyDescent="0.35">
      <c r="E81" s="136" t="str">
        <f xml:space="preserve"> E$75</f>
        <v>Total liabilities</v>
      </c>
      <c r="F81" s="136">
        <f t="shared" ref="F81:M81" si="44" xml:space="preserve"> F$75</f>
        <v>0</v>
      </c>
      <c r="G81" s="136" t="str">
        <f t="shared" si="44"/>
        <v>$ 000s</v>
      </c>
      <c r="H81" s="136">
        <f t="shared" si="44"/>
        <v>0</v>
      </c>
      <c r="I81" s="136">
        <f t="shared" si="44"/>
        <v>0</v>
      </c>
      <c r="J81" s="136">
        <f t="shared" si="44"/>
        <v>0</v>
      </c>
      <c r="K81" s="136">
        <f t="shared" si="44"/>
        <v>0</v>
      </c>
      <c r="L81" s="136">
        <f t="shared" si="44"/>
        <v>0</v>
      </c>
      <c r="M81" s="136">
        <f t="shared" si="44"/>
        <v>2608</v>
      </c>
      <c r="N81" s="136">
        <f t="shared" ref="N81:AS81" si="45" xml:space="preserve"> N$75</f>
        <v>3727.1374999999998</v>
      </c>
      <c r="O81" s="136">
        <f t="shared" si="45"/>
        <v>5161.5249999999996</v>
      </c>
      <c r="P81" s="136">
        <f t="shared" si="45"/>
        <v>6769.2999999999993</v>
      </c>
      <c r="Q81" s="136">
        <f t="shared" si="45"/>
        <v>8722.0827419199413</v>
      </c>
      <c r="R81" s="136">
        <f t="shared" si="45"/>
        <v>10960.357741919941</v>
      </c>
      <c r="S81" s="136">
        <f t="shared" si="45"/>
        <v>13041.007741919941</v>
      </c>
      <c r="T81" s="136">
        <f t="shared" si="45"/>
        <v>14648.78274191994</v>
      </c>
      <c r="U81" s="136">
        <f t="shared" si="45"/>
        <v>15610.295241919941</v>
      </c>
      <c r="V81" s="136">
        <f t="shared" si="45"/>
        <v>16256.557741919942</v>
      </c>
      <c r="W81" s="136">
        <f t="shared" si="45"/>
        <v>16810.012500000001</v>
      </c>
      <c r="X81" s="136">
        <f t="shared" si="45"/>
        <v>17550.850000000002</v>
      </c>
      <c r="Y81" s="136">
        <f t="shared" si="45"/>
        <v>18370.500000000004</v>
      </c>
      <c r="Z81" s="136">
        <f t="shared" si="45"/>
        <v>19484.069651741298</v>
      </c>
      <c r="AA81" s="136">
        <f t="shared" si="45"/>
        <v>20911.320895522393</v>
      </c>
      <c r="AB81" s="136">
        <f t="shared" si="45"/>
        <v>22511.097014925377</v>
      </c>
      <c r="AC81" s="136">
        <f t="shared" si="45"/>
        <v>24454.164419820841</v>
      </c>
      <c r="AD81" s="136">
        <f t="shared" si="45"/>
        <v>26681.303723303427</v>
      </c>
      <c r="AE81" s="136">
        <f t="shared" si="45"/>
        <v>28751.602230766115</v>
      </c>
      <c r="AF81" s="136">
        <f t="shared" si="45"/>
        <v>30351.3783501691</v>
      </c>
      <c r="AG81" s="136">
        <f t="shared" si="45"/>
        <v>31308.107205890494</v>
      </c>
      <c r="AH81" s="136">
        <f t="shared" si="45"/>
        <v>31951.154469572088</v>
      </c>
      <c r="AI81" s="136">
        <f t="shared" si="45"/>
        <v>32501.855721393043</v>
      </c>
      <c r="AJ81" s="136">
        <f t="shared" si="45"/>
        <v>33239.007462686575</v>
      </c>
      <c r="AK81" s="136">
        <f t="shared" si="45"/>
        <v>34054.579601990059</v>
      </c>
      <c r="AL81" s="136">
        <f t="shared" si="45"/>
        <v>35162.60910621025</v>
      </c>
      <c r="AM81" s="136">
        <f t="shared" si="45"/>
        <v>36582.759597534721</v>
      </c>
      <c r="AN81" s="136">
        <f t="shared" si="45"/>
        <v>38174.576631766548</v>
      </c>
      <c r="AO81" s="136">
        <f t="shared" si="45"/>
        <v>40107.977034647607</v>
      </c>
      <c r="AP81" s="136">
        <f t="shared" si="45"/>
        <v>42324.036043087995</v>
      </c>
      <c r="AQ81" s="136">
        <f t="shared" si="45"/>
        <v>44384.034557976243</v>
      </c>
      <c r="AR81" s="136">
        <f t="shared" si="45"/>
        <v>45975.85159220807</v>
      </c>
      <c r="AS81" s="136">
        <f t="shared" si="45"/>
        <v>46927.82060287612</v>
      </c>
      <c r="AT81" s="136">
        <f t="shared" ref="AT81:BY81" si="46" xml:space="preserve"> AT$75</f>
        <v>47567.668626439896</v>
      </c>
      <c r="AU81" s="136">
        <f t="shared" si="46"/>
        <v>48115.630071037864</v>
      </c>
      <c r="AV81" s="136">
        <f t="shared" si="46"/>
        <v>48849.114390732924</v>
      </c>
      <c r="AW81" s="136">
        <f t="shared" si="46"/>
        <v>49660.628957204055</v>
      </c>
      <c r="AX81" s="136">
        <f t="shared" si="46"/>
        <v>50763.145876826136</v>
      </c>
      <c r="AY81" s="136">
        <f t="shared" si="46"/>
        <v>52176.230942820635</v>
      </c>
      <c r="AZ81" s="136">
        <f t="shared" si="46"/>
        <v>53760.128489319963</v>
      </c>
      <c r="BA81" s="136">
        <f t="shared" si="46"/>
        <v>55683.909984724</v>
      </c>
      <c r="BB81" s="136">
        <f t="shared" si="46"/>
        <v>57888.943823968162</v>
      </c>
      <c r="BC81" s="136">
        <f t="shared" si="46"/>
        <v>59938.693590026116</v>
      </c>
      <c r="BD81" s="136">
        <f t="shared" si="46"/>
        <v>61522.591136525443</v>
      </c>
      <c r="BE81" s="136">
        <f t="shared" si="46"/>
        <v>62469.823982961316</v>
      </c>
      <c r="BF81" s="136">
        <f t="shared" si="46"/>
        <v>63106.488683024771</v>
      </c>
      <c r="BG81" s="136">
        <f t="shared" si="46"/>
        <v>63651.723951281456</v>
      </c>
      <c r="BH81" s="136">
        <f t="shared" si="46"/>
        <v>64381.559095256634</v>
      </c>
      <c r="BI81" s="136">
        <f t="shared" si="46"/>
        <v>65189.036275824918</v>
      </c>
      <c r="BJ81" s="136">
        <f t="shared" si="46"/>
        <v>66286.068036642915</v>
      </c>
      <c r="BK81" s="136">
        <f t="shared" si="46"/>
        <v>67692.122828677238</v>
      </c>
      <c r="BL81" s="136">
        <f t="shared" si="46"/>
        <v>69268.140287880553</v>
      </c>
      <c r="BM81" s="136">
        <f t="shared" si="46"/>
        <v>71182.350731068655</v>
      </c>
      <c r="BN81" s="136">
        <f t="shared" si="46"/>
        <v>73376.414252704635</v>
      </c>
      <c r="BO81" s="136">
        <f t="shared" si="46"/>
        <v>75415.966258732456</v>
      </c>
      <c r="BP81" s="136">
        <f t="shared" si="46"/>
        <v>76991.983717935771</v>
      </c>
      <c r="BQ81" s="136">
        <f t="shared" si="46"/>
        <v>77934.503963145602</v>
      </c>
      <c r="BR81" s="136">
        <f t="shared" si="46"/>
        <v>78568.001177139085</v>
      </c>
      <c r="BS81" s="136">
        <f t="shared" si="46"/>
        <v>79110.52383212086</v>
      </c>
      <c r="BT81" s="136">
        <f t="shared" si="46"/>
        <v>79836.727955479248</v>
      </c>
      <c r="BU81" s="136">
        <f t="shared" si="46"/>
        <v>80640.187836641722</v>
      </c>
      <c r="BV81" s="136">
        <f t="shared" si="46"/>
        <v>80640.187836641722</v>
      </c>
      <c r="BW81" s="136">
        <f t="shared" si="46"/>
        <v>80640.187836641722</v>
      </c>
      <c r="BX81" s="136">
        <f t="shared" si="46"/>
        <v>80640.187836641722</v>
      </c>
      <c r="BY81" s="136">
        <f t="shared" si="46"/>
        <v>80640.187836641722</v>
      </c>
      <c r="BZ81" s="136">
        <f t="shared" ref="BZ81:CD81" si="47" xml:space="preserve"> BZ$75</f>
        <v>80640.187836641722</v>
      </c>
      <c r="CA81" s="136">
        <f t="shared" si="47"/>
        <v>80640.187836641722</v>
      </c>
      <c r="CB81" s="136">
        <f t="shared" si="47"/>
        <v>80640.187836641722</v>
      </c>
      <c r="CC81" s="136">
        <f t="shared" si="47"/>
        <v>80640.187836641722</v>
      </c>
      <c r="CD81" s="136">
        <f t="shared" si="47"/>
        <v>80640.187836641722</v>
      </c>
    </row>
    <row r="82" spans="1:82" outlineLevel="1" x14ac:dyDescent="0.35">
      <c r="A82" s="108"/>
      <c r="D82" s="112"/>
      <c r="E82" s="98" t="s">
        <v>65</v>
      </c>
      <c r="F82" s="181">
        <f xml:space="preserve"> IF(SUM(J82:EA82) &lt;&gt; 0, 1, 0)</f>
        <v>0</v>
      </c>
      <c r="G82" s="98" t="s">
        <v>20</v>
      </c>
      <c r="H82" s="98"/>
      <c r="I82" s="98"/>
      <c r="J82" s="181">
        <f t="shared" ref="J82:AO82" si="48" xml:space="preserve"> IF(ABS(J80 - J81) &gt; CHK_TOL, 1, 0)</f>
        <v>0</v>
      </c>
      <c r="K82" s="181">
        <f t="shared" si="48"/>
        <v>0</v>
      </c>
      <c r="L82" s="181">
        <f t="shared" si="48"/>
        <v>0</v>
      </c>
      <c r="M82" s="181">
        <f t="shared" si="48"/>
        <v>0</v>
      </c>
      <c r="N82" s="181">
        <f t="shared" si="48"/>
        <v>0</v>
      </c>
      <c r="O82" s="181">
        <f t="shared" si="48"/>
        <v>0</v>
      </c>
      <c r="P82" s="181">
        <f t="shared" si="48"/>
        <v>0</v>
      </c>
      <c r="Q82" s="181">
        <f t="shared" si="48"/>
        <v>0</v>
      </c>
      <c r="R82" s="181">
        <f t="shared" si="48"/>
        <v>0</v>
      </c>
      <c r="S82" s="181">
        <f t="shared" si="48"/>
        <v>0</v>
      </c>
      <c r="T82" s="181">
        <f t="shared" si="48"/>
        <v>0</v>
      </c>
      <c r="U82" s="181">
        <f t="shared" si="48"/>
        <v>0</v>
      </c>
      <c r="V82" s="181">
        <f t="shared" si="48"/>
        <v>0</v>
      </c>
      <c r="W82" s="181">
        <f t="shared" si="48"/>
        <v>0</v>
      </c>
      <c r="X82" s="181">
        <f t="shared" si="48"/>
        <v>0</v>
      </c>
      <c r="Y82" s="181">
        <f t="shared" si="48"/>
        <v>0</v>
      </c>
      <c r="Z82" s="181">
        <f t="shared" si="48"/>
        <v>0</v>
      </c>
      <c r="AA82" s="181">
        <f t="shared" si="48"/>
        <v>0</v>
      </c>
      <c r="AB82" s="181">
        <f t="shared" si="48"/>
        <v>0</v>
      </c>
      <c r="AC82" s="181">
        <f t="shared" si="48"/>
        <v>0</v>
      </c>
      <c r="AD82" s="181">
        <f t="shared" si="48"/>
        <v>0</v>
      </c>
      <c r="AE82" s="181">
        <f t="shared" si="48"/>
        <v>0</v>
      </c>
      <c r="AF82" s="181">
        <f t="shared" si="48"/>
        <v>0</v>
      </c>
      <c r="AG82" s="181">
        <f t="shared" si="48"/>
        <v>0</v>
      </c>
      <c r="AH82" s="181">
        <f t="shared" si="48"/>
        <v>0</v>
      </c>
      <c r="AI82" s="181">
        <f t="shared" si="48"/>
        <v>0</v>
      </c>
      <c r="AJ82" s="181">
        <f t="shared" si="48"/>
        <v>0</v>
      </c>
      <c r="AK82" s="181">
        <f t="shared" si="48"/>
        <v>0</v>
      </c>
      <c r="AL82" s="181">
        <f t="shared" si="48"/>
        <v>0</v>
      </c>
      <c r="AM82" s="181">
        <f t="shared" si="48"/>
        <v>0</v>
      </c>
      <c r="AN82" s="181">
        <f t="shared" si="48"/>
        <v>0</v>
      </c>
      <c r="AO82" s="181">
        <f t="shared" si="48"/>
        <v>0</v>
      </c>
      <c r="AP82" s="181">
        <f t="shared" ref="AP82:BU82" si="49" xml:space="preserve"> IF(ABS(AP80 - AP81) &gt; CHK_TOL, 1, 0)</f>
        <v>0</v>
      </c>
      <c r="AQ82" s="181">
        <f t="shared" si="49"/>
        <v>0</v>
      </c>
      <c r="AR82" s="181">
        <f t="shared" si="49"/>
        <v>0</v>
      </c>
      <c r="AS82" s="181">
        <f t="shared" si="49"/>
        <v>0</v>
      </c>
      <c r="AT82" s="181">
        <f t="shared" si="49"/>
        <v>0</v>
      </c>
      <c r="AU82" s="181">
        <f t="shared" si="49"/>
        <v>0</v>
      </c>
      <c r="AV82" s="181">
        <f t="shared" si="49"/>
        <v>0</v>
      </c>
      <c r="AW82" s="181">
        <f t="shared" si="49"/>
        <v>0</v>
      </c>
      <c r="AX82" s="181">
        <f t="shared" si="49"/>
        <v>0</v>
      </c>
      <c r="AY82" s="181">
        <f t="shared" si="49"/>
        <v>0</v>
      </c>
      <c r="AZ82" s="181">
        <f t="shared" si="49"/>
        <v>0</v>
      </c>
      <c r="BA82" s="181">
        <f t="shared" si="49"/>
        <v>0</v>
      </c>
      <c r="BB82" s="181">
        <f t="shared" si="49"/>
        <v>0</v>
      </c>
      <c r="BC82" s="181">
        <f t="shared" si="49"/>
        <v>0</v>
      </c>
      <c r="BD82" s="181">
        <f t="shared" si="49"/>
        <v>0</v>
      </c>
      <c r="BE82" s="181">
        <f t="shared" si="49"/>
        <v>0</v>
      </c>
      <c r="BF82" s="181">
        <f t="shared" si="49"/>
        <v>0</v>
      </c>
      <c r="BG82" s="181">
        <f t="shared" si="49"/>
        <v>0</v>
      </c>
      <c r="BH82" s="181">
        <f t="shared" si="49"/>
        <v>0</v>
      </c>
      <c r="BI82" s="181">
        <f t="shared" si="49"/>
        <v>0</v>
      </c>
      <c r="BJ82" s="181">
        <f t="shared" si="49"/>
        <v>0</v>
      </c>
      <c r="BK82" s="181">
        <f t="shared" si="49"/>
        <v>0</v>
      </c>
      <c r="BL82" s="181">
        <f t="shared" si="49"/>
        <v>0</v>
      </c>
      <c r="BM82" s="181">
        <f t="shared" si="49"/>
        <v>0</v>
      </c>
      <c r="BN82" s="181">
        <f t="shared" si="49"/>
        <v>0</v>
      </c>
      <c r="BO82" s="181">
        <f t="shared" si="49"/>
        <v>0</v>
      </c>
      <c r="BP82" s="181">
        <f t="shared" si="49"/>
        <v>0</v>
      </c>
      <c r="BQ82" s="181">
        <f t="shared" si="49"/>
        <v>0</v>
      </c>
      <c r="BR82" s="181">
        <f t="shared" si="49"/>
        <v>0</v>
      </c>
      <c r="BS82" s="181">
        <f t="shared" si="49"/>
        <v>0</v>
      </c>
      <c r="BT82" s="181">
        <f t="shared" si="49"/>
        <v>0</v>
      </c>
      <c r="BU82" s="181">
        <f t="shared" si="49"/>
        <v>0</v>
      </c>
      <c r="BV82" s="181">
        <f t="shared" ref="BV82:CD82" si="50" xml:space="preserve"> IF(ABS(BV80 - BV81) &gt; CHK_TOL, 1, 0)</f>
        <v>0</v>
      </c>
      <c r="BW82" s="181">
        <f t="shared" si="50"/>
        <v>0</v>
      </c>
      <c r="BX82" s="181">
        <f t="shared" si="50"/>
        <v>0</v>
      </c>
      <c r="BY82" s="181">
        <f t="shared" si="50"/>
        <v>0</v>
      </c>
      <c r="BZ82" s="181">
        <f t="shared" si="50"/>
        <v>0</v>
      </c>
      <c r="CA82" s="181">
        <f t="shared" si="50"/>
        <v>0</v>
      </c>
      <c r="CB82" s="181">
        <f t="shared" si="50"/>
        <v>0</v>
      </c>
      <c r="CC82" s="181">
        <f t="shared" si="50"/>
        <v>0</v>
      </c>
      <c r="CD82" s="181">
        <f t="shared" si="50"/>
        <v>0</v>
      </c>
    </row>
    <row r="83" spans="1:82" outlineLevel="1" x14ac:dyDescent="0.35">
      <c r="E83" s="97" t="s">
        <v>66</v>
      </c>
      <c r="F83" s="97"/>
      <c r="G83" s="97"/>
      <c r="H83" s="97">
        <f xml:space="preserve"> SUM(J83:EA83)</f>
        <v>0</v>
      </c>
      <c r="I83" s="97"/>
      <c r="J83" s="97">
        <f xml:space="preserve"> J80 - J81</f>
        <v>0</v>
      </c>
      <c r="K83" s="97">
        <f t="shared" ref="K83:BV83" si="51" xml:space="preserve"> K80 - K81</f>
        <v>0</v>
      </c>
      <c r="L83" s="97">
        <f t="shared" si="51"/>
        <v>0</v>
      </c>
      <c r="M83" s="97">
        <f t="shared" si="51"/>
        <v>0</v>
      </c>
      <c r="N83" s="97">
        <f t="shared" si="51"/>
        <v>0</v>
      </c>
      <c r="O83" s="97">
        <f t="shared" si="51"/>
        <v>0</v>
      </c>
      <c r="P83" s="97">
        <f t="shared" si="51"/>
        <v>0</v>
      </c>
      <c r="Q83" s="97">
        <f t="shared" si="51"/>
        <v>0</v>
      </c>
      <c r="R83" s="97">
        <f t="shared" si="51"/>
        <v>0</v>
      </c>
      <c r="S83" s="97">
        <f t="shared" si="51"/>
        <v>0</v>
      </c>
      <c r="T83" s="97">
        <f t="shared" si="51"/>
        <v>0</v>
      </c>
      <c r="U83" s="97">
        <f t="shared" si="51"/>
        <v>0</v>
      </c>
      <c r="V83" s="97">
        <f t="shared" si="51"/>
        <v>0</v>
      </c>
      <c r="W83" s="97">
        <f t="shared" si="51"/>
        <v>0</v>
      </c>
      <c r="X83" s="97">
        <f t="shared" si="51"/>
        <v>0</v>
      </c>
      <c r="Y83" s="97">
        <f t="shared" si="51"/>
        <v>0</v>
      </c>
      <c r="Z83" s="97">
        <f t="shared" si="51"/>
        <v>0</v>
      </c>
      <c r="AA83" s="97">
        <f t="shared" si="51"/>
        <v>0</v>
      </c>
      <c r="AB83" s="97">
        <f t="shared" si="51"/>
        <v>0</v>
      </c>
      <c r="AC83" s="97">
        <f t="shared" si="51"/>
        <v>0</v>
      </c>
      <c r="AD83" s="97">
        <f t="shared" si="51"/>
        <v>0</v>
      </c>
      <c r="AE83" s="97">
        <f t="shared" si="51"/>
        <v>0</v>
      </c>
      <c r="AF83" s="97">
        <f t="shared" si="51"/>
        <v>0</v>
      </c>
      <c r="AG83" s="97">
        <f t="shared" si="51"/>
        <v>0</v>
      </c>
      <c r="AH83" s="97">
        <f t="shared" si="51"/>
        <v>0</v>
      </c>
      <c r="AI83" s="97">
        <f t="shared" si="51"/>
        <v>0</v>
      </c>
      <c r="AJ83" s="97">
        <f t="shared" si="51"/>
        <v>0</v>
      </c>
      <c r="AK83" s="97">
        <f t="shared" si="51"/>
        <v>0</v>
      </c>
      <c r="AL83" s="97">
        <f t="shared" si="51"/>
        <v>0</v>
      </c>
      <c r="AM83" s="97">
        <f t="shared" si="51"/>
        <v>0</v>
      </c>
      <c r="AN83" s="97">
        <f t="shared" si="51"/>
        <v>0</v>
      </c>
      <c r="AO83" s="97">
        <f t="shared" si="51"/>
        <v>0</v>
      </c>
      <c r="AP83" s="97">
        <f t="shared" si="51"/>
        <v>0</v>
      </c>
      <c r="AQ83" s="97">
        <f t="shared" si="51"/>
        <v>0</v>
      </c>
      <c r="AR83" s="97">
        <f t="shared" si="51"/>
        <v>0</v>
      </c>
      <c r="AS83" s="97">
        <f t="shared" si="51"/>
        <v>0</v>
      </c>
      <c r="AT83" s="97">
        <f t="shared" si="51"/>
        <v>0</v>
      </c>
      <c r="AU83" s="97">
        <f t="shared" si="51"/>
        <v>0</v>
      </c>
      <c r="AV83" s="97">
        <f t="shared" si="51"/>
        <v>0</v>
      </c>
      <c r="AW83" s="97">
        <f t="shared" si="51"/>
        <v>0</v>
      </c>
      <c r="AX83" s="97">
        <f t="shared" si="51"/>
        <v>0</v>
      </c>
      <c r="AY83" s="97">
        <f t="shared" si="51"/>
        <v>0</v>
      </c>
      <c r="AZ83" s="97">
        <f t="shared" si="51"/>
        <v>0</v>
      </c>
      <c r="BA83" s="97">
        <f t="shared" si="51"/>
        <v>0</v>
      </c>
      <c r="BB83" s="97">
        <f t="shared" si="51"/>
        <v>0</v>
      </c>
      <c r="BC83" s="97">
        <f t="shared" si="51"/>
        <v>0</v>
      </c>
      <c r="BD83" s="97">
        <f t="shared" si="51"/>
        <v>0</v>
      </c>
      <c r="BE83" s="97">
        <f t="shared" si="51"/>
        <v>0</v>
      </c>
      <c r="BF83" s="97">
        <f t="shared" si="51"/>
        <v>0</v>
      </c>
      <c r="BG83" s="97">
        <f t="shared" si="51"/>
        <v>0</v>
      </c>
      <c r="BH83" s="97">
        <f t="shared" si="51"/>
        <v>0</v>
      </c>
      <c r="BI83" s="97">
        <f t="shared" si="51"/>
        <v>0</v>
      </c>
      <c r="BJ83" s="97">
        <f t="shared" si="51"/>
        <v>0</v>
      </c>
      <c r="BK83" s="97">
        <f t="shared" si="51"/>
        <v>0</v>
      </c>
      <c r="BL83" s="97">
        <f t="shared" si="51"/>
        <v>0</v>
      </c>
      <c r="BM83" s="97">
        <f t="shared" si="51"/>
        <v>0</v>
      </c>
      <c r="BN83" s="97">
        <f t="shared" si="51"/>
        <v>0</v>
      </c>
      <c r="BO83" s="97">
        <f t="shared" si="51"/>
        <v>0</v>
      </c>
      <c r="BP83" s="97">
        <f t="shared" si="51"/>
        <v>0</v>
      </c>
      <c r="BQ83" s="97">
        <f t="shared" si="51"/>
        <v>0</v>
      </c>
      <c r="BR83" s="97">
        <f t="shared" si="51"/>
        <v>0</v>
      </c>
      <c r="BS83" s="97">
        <f t="shared" si="51"/>
        <v>0</v>
      </c>
      <c r="BT83" s="97">
        <f t="shared" si="51"/>
        <v>0</v>
      </c>
      <c r="BU83" s="97">
        <f t="shared" si="51"/>
        <v>0</v>
      </c>
      <c r="BV83" s="97">
        <f t="shared" si="51"/>
        <v>0</v>
      </c>
      <c r="BW83" s="97">
        <f t="shared" ref="BW83:CD83" si="52" xml:space="preserve"> BW80 - BW81</f>
        <v>0</v>
      </c>
      <c r="BX83" s="97">
        <f t="shared" si="52"/>
        <v>0</v>
      </c>
      <c r="BY83" s="97">
        <f t="shared" si="52"/>
        <v>0</v>
      </c>
      <c r="BZ83" s="97">
        <f t="shared" si="52"/>
        <v>0</v>
      </c>
      <c r="CA83" s="97">
        <f t="shared" si="52"/>
        <v>0</v>
      </c>
      <c r="CB83" s="97">
        <f t="shared" si="52"/>
        <v>0</v>
      </c>
      <c r="CC83" s="97">
        <f t="shared" si="52"/>
        <v>0</v>
      </c>
      <c r="CD83" s="97">
        <f t="shared" si="52"/>
        <v>0</v>
      </c>
    </row>
    <row r="84" spans="1:82" outlineLevel="1" x14ac:dyDescent="0.35"/>
    <row r="85" spans="1:82" outlineLevel="1" x14ac:dyDescent="0.35"/>
    <row r="87" spans="1:82" x14ac:dyDescent="0.35">
      <c r="A87" s="107" t="s">
        <v>62</v>
      </c>
    </row>
  </sheetData>
  <conditionalFormatting sqref="F2:F4">
    <cfRule type="cellIs" dxfId="19" priority="1" stopIfTrue="1" operator="notEqual">
      <formula>0</formula>
    </cfRule>
    <cfRule type="cellIs" dxfId="18" priority="2" stopIfTrue="1" operator="equal">
      <formula>""</formula>
    </cfRule>
  </conditionalFormatting>
  <conditionalFormatting sqref="F82">
    <cfRule type="cellIs" dxfId="17" priority="3" stopIfTrue="1" operator="notEqual">
      <formula>0</formula>
    </cfRule>
    <cfRule type="cellIs" dxfId="16" priority="4" stopIfTrue="1" operator="equal">
      <formula>""</formula>
    </cfRule>
  </conditionalFormatting>
  <conditionalFormatting sqref="J3:CD3">
    <cfRule type="cellIs" dxfId="15" priority="25" operator="equal">
      <formula>"Fin Close"</formula>
    </cfRule>
    <cfRule type="cellIs" dxfId="14" priority="27" stopIfTrue="1" operator="equal">
      <formula>"Operations"</formula>
    </cfRule>
  </conditionalFormatting>
  <conditionalFormatting sqref="J82:CD82">
    <cfRule type="cellIs" dxfId="13" priority="7" stopIfTrue="1" operator="notEqual">
      <formula>0</formula>
    </cfRule>
    <cfRule type="cellIs" dxfId="12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0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E42" sqref="E42"/>
    </sheetView>
  </sheetViews>
  <sheetFormatPr defaultColWidth="0" defaultRowHeight="13.15" x14ac:dyDescent="0.35"/>
  <cols>
    <col min="1" max="1" width="1.19921875" style="44" customWidth="1"/>
    <col min="2" max="2" width="1.19921875" style="22" customWidth="1"/>
    <col min="3" max="3" width="1.19921875" style="19" customWidth="1"/>
    <col min="4" max="4" width="1.19921875" style="43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163">
        <f xml:space="preserve"> Check!$F$9</f>
        <v>0</v>
      </c>
      <c r="G2" s="25" t="s">
        <v>23</v>
      </c>
      <c r="H2" s="14"/>
      <c r="I2" s="14"/>
    </row>
    <row r="3" spans="1:9" x14ac:dyDescent="0.35">
      <c r="F3" s="163" t="e">
        <f>#REF!</f>
        <v>#REF!</v>
      </c>
      <c r="G3" s="45" t="s">
        <v>25</v>
      </c>
    </row>
    <row r="4" spans="1:9" x14ac:dyDescent="0.35">
      <c r="F4" s="163">
        <f xml:space="preserve"> Check!$F$20</f>
        <v>0</v>
      </c>
      <c r="G4" s="45" t="s">
        <v>24</v>
      </c>
    </row>
    <row r="5" spans="1:9" x14ac:dyDescent="0.35">
      <c r="F5" s="27" t="s">
        <v>19</v>
      </c>
      <c r="G5" s="28" t="s">
        <v>17</v>
      </c>
      <c r="H5" s="44"/>
    </row>
    <row r="7" spans="1:9" x14ac:dyDescent="0.35">
      <c r="A7" s="44" t="s">
        <v>32</v>
      </c>
    </row>
    <row r="9" spans="1:9" x14ac:dyDescent="0.35">
      <c r="E9" s="21" t="s">
        <v>33</v>
      </c>
      <c r="F9" s="163">
        <f xml:space="preserve"> SUM(F10:F15)</f>
        <v>0</v>
      </c>
      <c r="G9" s="21" t="s">
        <v>20</v>
      </c>
    </row>
    <row r="10" spans="1:9" s="92" customFormat="1" x14ac:dyDescent="0.35">
      <c r="A10" s="141"/>
      <c r="B10" s="141"/>
      <c r="C10" s="142"/>
      <c r="D10" s="143"/>
      <c r="E10" s="73" t="s">
        <v>34</v>
      </c>
      <c r="F10" s="73" t="s">
        <v>35</v>
      </c>
      <c r="G10" s="73"/>
      <c r="H10" s="73"/>
      <c r="I10" s="73"/>
    </row>
    <row r="12" spans="1:9" x14ac:dyDescent="0.35">
      <c r="E12" s="53" t="str">
        <f xml:space="preserve"> 'FS Qtr'!E$82</f>
        <v>Balance sheet check</v>
      </c>
      <c r="F12" s="163">
        <f xml:space="preserve"> 'FS Qtr'!F$82</f>
        <v>0</v>
      </c>
      <c r="G12" s="53" t="str">
        <f xml:space="preserve"> 'FS Qtr'!G$82</f>
        <v>check</v>
      </c>
    </row>
    <row r="15" spans="1:9" s="92" customFormat="1" x14ac:dyDescent="0.35">
      <c r="A15" s="141"/>
      <c r="B15" s="141"/>
      <c r="C15" s="142"/>
      <c r="D15" s="143"/>
      <c r="E15" s="73" t="s">
        <v>34</v>
      </c>
      <c r="F15" s="73" t="s">
        <v>36</v>
      </c>
      <c r="G15" s="73"/>
      <c r="H15" s="73"/>
      <c r="I15" s="73"/>
    </row>
    <row r="18" spans="1:9" x14ac:dyDescent="0.35">
      <c r="A18" s="44" t="s">
        <v>37</v>
      </c>
    </row>
    <row r="20" spans="1:9" x14ac:dyDescent="0.35">
      <c r="E20" s="21" t="s">
        <v>38</v>
      </c>
      <c r="F20" s="163">
        <f xml:space="preserve"> SUM(F21:F30)</f>
        <v>0</v>
      </c>
      <c r="G20" s="21" t="s">
        <v>39</v>
      </c>
    </row>
    <row r="21" spans="1:9" s="92" customFormat="1" x14ac:dyDescent="0.35">
      <c r="A21" s="141"/>
      <c r="B21" s="141"/>
      <c r="C21" s="142"/>
      <c r="D21" s="143"/>
      <c r="E21" s="73" t="s">
        <v>34</v>
      </c>
      <c r="F21" s="73" t="s">
        <v>35</v>
      </c>
      <c r="G21" s="73"/>
      <c r="H21" s="73"/>
      <c r="I21" s="73"/>
    </row>
    <row r="30" spans="1:9" s="146" customFormat="1" x14ac:dyDescent="0.35">
      <c r="A30" s="144"/>
      <c r="B30" s="144"/>
      <c r="C30" s="145"/>
      <c r="D30" s="91"/>
      <c r="E30" s="91" t="s">
        <v>34</v>
      </c>
      <c r="F30" s="91" t="s">
        <v>36</v>
      </c>
      <c r="G30" s="91"/>
      <c r="H30" s="91"/>
      <c r="I30" s="91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0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CD24"/>
  <sheetViews>
    <sheetView defaultGridColor="0" colorId="8" zoomScale="80" zoomScaleNormal="80" workbookViewId="0">
      <pane xSplit="9" ySplit="5" topLeftCell="CB6" activePane="bottomRight" state="frozen"/>
      <selection activeCell="E45" sqref="E45"/>
      <selection pane="topRight" activeCell="E45" sqref="E45"/>
      <selection pane="bottomLeft" activeCell="E45" sqref="E45"/>
      <selection pane="bottomRight" activeCell="CD9" sqref="CD9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 t="e">
        <f>#REF!</f>
        <v>#REF!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8" spans="1:82" x14ac:dyDescent="0.35">
      <c r="A8" s="119"/>
      <c r="B8" s="119"/>
      <c r="C8" s="120"/>
      <c r="D8" s="121"/>
      <c r="E8" s="122" t="s">
        <v>7</v>
      </c>
      <c r="F8" s="122"/>
      <c r="G8" s="122"/>
      <c r="H8" s="122"/>
      <c r="I8" s="123"/>
      <c r="J8" s="122">
        <f t="shared" ref="J8:AO8" si="0" xml:space="preserve"> I11</f>
        <v>0</v>
      </c>
      <c r="K8" s="122">
        <f t="shared" si="0"/>
        <v>0</v>
      </c>
      <c r="L8" s="122">
        <f t="shared" si="0"/>
        <v>0</v>
      </c>
      <c r="M8" s="122">
        <f t="shared" si="0"/>
        <v>0</v>
      </c>
      <c r="N8" s="122">
        <f t="shared" si="0"/>
        <v>0</v>
      </c>
      <c r="O8" s="122">
        <f t="shared" si="0"/>
        <v>0</v>
      </c>
      <c r="P8" s="122">
        <f t="shared" si="0"/>
        <v>0</v>
      </c>
      <c r="Q8" s="122">
        <f t="shared" si="0"/>
        <v>0</v>
      </c>
      <c r="R8" s="122">
        <f t="shared" si="0"/>
        <v>0</v>
      </c>
      <c r="S8" s="122">
        <f t="shared" si="0"/>
        <v>0</v>
      </c>
      <c r="T8" s="122">
        <f t="shared" si="0"/>
        <v>0</v>
      </c>
      <c r="U8" s="122">
        <f t="shared" si="0"/>
        <v>0</v>
      </c>
      <c r="V8" s="122">
        <f t="shared" si="0"/>
        <v>0</v>
      </c>
      <c r="W8" s="122">
        <f t="shared" si="0"/>
        <v>0</v>
      </c>
      <c r="X8" s="122">
        <f t="shared" si="0"/>
        <v>0</v>
      </c>
      <c r="Y8" s="122">
        <f t="shared" si="0"/>
        <v>0</v>
      </c>
      <c r="Z8" s="122">
        <f t="shared" si="0"/>
        <v>0</v>
      </c>
      <c r="AA8" s="122">
        <f t="shared" si="0"/>
        <v>0</v>
      </c>
      <c r="AB8" s="122">
        <f t="shared" si="0"/>
        <v>0</v>
      </c>
      <c r="AC8" s="122">
        <f t="shared" si="0"/>
        <v>0</v>
      </c>
      <c r="AD8" s="122">
        <f t="shared" si="0"/>
        <v>0</v>
      </c>
      <c r="AE8" s="122">
        <f t="shared" si="0"/>
        <v>0</v>
      </c>
      <c r="AF8" s="122">
        <f t="shared" si="0"/>
        <v>0</v>
      </c>
      <c r="AG8" s="122">
        <f t="shared" si="0"/>
        <v>0</v>
      </c>
      <c r="AH8" s="122">
        <f t="shared" si="0"/>
        <v>0</v>
      </c>
      <c r="AI8" s="122">
        <f t="shared" si="0"/>
        <v>0</v>
      </c>
      <c r="AJ8" s="122">
        <f t="shared" si="0"/>
        <v>0</v>
      </c>
      <c r="AK8" s="122">
        <f t="shared" si="0"/>
        <v>0</v>
      </c>
      <c r="AL8" s="122">
        <f t="shared" si="0"/>
        <v>0</v>
      </c>
      <c r="AM8" s="122">
        <f t="shared" si="0"/>
        <v>0</v>
      </c>
      <c r="AN8" s="122">
        <f t="shared" si="0"/>
        <v>0</v>
      </c>
      <c r="AO8" s="122">
        <f t="shared" si="0"/>
        <v>0</v>
      </c>
      <c r="AP8" s="122">
        <f t="shared" ref="AP8:BU8" si="1" xml:space="preserve"> AO11</f>
        <v>0</v>
      </c>
      <c r="AQ8" s="122">
        <f t="shared" si="1"/>
        <v>0</v>
      </c>
      <c r="AR8" s="122">
        <f t="shared" si="1"/>
        <v>0</v>
      </c>
      <c r="AS8" s="122">
        <f t="shared" si="1"/>
        <v>0</v>
      </c>
      <c r="AT8" s="122">
        <f t="shared" si="1"/>
        <v>0</v>
      </c>
      <c r="AU8" s="122">
        <f t="shared" si="1"/>
        <v>0</v>
      </c>
      <c r="AV8" s="122">
        <f t="shared" si="1"/>
        <v>0</v>
      </c>
      <c r="AW8" s="122">
        <f t="shared" si="1"/>
        <v>0</v>
      </c>
      <c r="AX8" s="122">
        <f t="shared" si="1"/>
        <v>0</v>
      </c>
      <c r="AY8" s="122">
        <f t="shared" si="1"/>
        <v>0</v>
      </c>
      <c r="AZ8" s="122">
        <f t="shared" si="1"/>
        <v>0</v>
      </c>
      <c r="BA8" s="122">
        <f t="shared" si="1"/>
        <v>0</v>
      </c>
      <c r="BB8" s="122">
        <f t="shared" si="1"/>
        <v>0</v>
      </c>
      <c r="BC8" s="122">
        <f t="shared" si="1"/>
        <v>0</v>
      </c>
      <c r="BD8" s="122">
        <f t="shared" si="1"/>
        <v>0</v>
      </c>
      <c r="BE8" s="122">
        <f t="shared" si="1"/>
        <v>0</v>
      </c>
      <c r="BF8" s="122">
        <f t="shared" si="1"/>
        <v>0</v>
      </c>
      <c r="BG8" s="122">
        <f t="shared" si="1"/>
        <v>0</v>
      </c>
      <c r="BH8" s="122">
        <f t="shared" si="1"/>
        <v>0</v>
      </c>
      <c r="BI8" s="122">
        <f t="shared" si="1"/>
        <v>0</v>
      </c>
      <c r="BJ8" s="122">
        <f t="shared" si="1"/>
        <v>0</v>
      </c>
      <c r="BK8" s="122">
        <f t="shared" si="1"/>
        <v>0</v>
      </c>
      <c r="BL8" s="122">
        <f t="shared" si="1"/>
        <v>0</v>
      </c>
      <c r="BM8" s="122">
        <f t="shared" si="1"/>
        <v>0</v>
      </c>
      <c r="BN8" s="122">
        <f t="shared" si="1"/>
        <v>0</v>
      </c>
      <c r="BO8" s="122">
        <f t="shared" si="1"/>
        <v>0</v>
      </c>
      <c r="BP8" s="122">
        <f t="shared" si="1"/>
        <v>0</v>
      </c>
      <c r="BQ8" s="122">
        <f t="shared" si="1"/>
        <v>0</v>
      </c>
      <c r="BR8" s="122">
        <f t="shared" si="1"/>
        <v>0</v>
      </c>
      <c r="BS8" s="122">
        <f t="shared" si="1"/>
        <v>0</v>
      </c>
      <c r="BT8" s="122">
        <f t="shared" si="1"/>
        <v>0</v>
      </c>
      <c r="BU8" s="122">
        <f t="shared" si="1"/>
        <v>0</v>
      </c>
      <c r="BV8" s="122">
        <f t="shared" ref="BV8:CD8" si="2" xml:space="preserve"> BU11</f>
        <v>0</v>
      </c>
      <c r="BW8" s="122">
        <f t="shared" si="2"/>
        <v>0</v>
      </c>
      <c r="BX8" s="122">
        <f t="shared" si="2"/>
        <v>0</v>
      </c>
      <c r="BY8" s="122">
        <f t="shared" si="2"/>
        <v>0</v>
      </c>
      <c r="BZ8" s="122">
        <f t="shared" si="2"/>
        <v>0</v>
      </c>
      <c r="CA8" s="122">
        <f t="shared" si="2"/>
        <v>0</v>
      </c>
      <c r="CB8" s="122">
        <f t="shared" si="2"/>
        <v>0</v>
      </c>
      <c r="CC8" s="122">
        <f t="shared" si="2"/>
        <v>0</v>
      </c>
      <c r="CD8" s="122">
        <f t="shared" si="2"/>
        <v>0</v>
      </c>
    </row>
    <row r="9" spans="1:82" x14ac:dyDescent="0.35">
      <c r="E9" s="118" t="s">
        <v>79</v>
      </c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</row>
    <row r="10" spans="1:82" x14ac:dyDescent="0.35">
      <c r="E10" s="118" t="s">
        <v>80</v>
      </c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</row>
    <row r="11" spans="1:82" x14ac:dyDescent="0.35">
      <c r="A11" s="124"/>
      <c r="B11" s="124"/>
      <c r="C11" s="125"/>
      <c r="D11" s="126"/>
      <c r="E11" s="127" t="s">
        <v>8</v>
      </c>
      <c r="F11" s="127"/>
      <c r="G11" s="127"/>
      <c r="H11" s="127"/>
      <c r="I11" s="128"/>
      <c r="J11" s="127">
        <f t="shared" ref="J11:AO11" si="3" xml:space="preserve"> J8 + J9 - J10</f>
        <v>0</v>
      </c>
      <c r="K11" s="127">
        <f t="shared" si="3"/>
        <v>0</v>
      </c>
      <c r="L11" s="127">
        <f t="shared" si="3"/>
        <v>0</v>
      </c>
      <c r="M11" s="127">
        <f t="shared" si="3"/>
        <v>0</v>
      </c>
      <c r="N11" s="127">
        <f t="shared" si="3"/>
        <v>0</v>
      </c>
      <c r="O11" s="127">
        <f t="shared" si="3"/>
        <v>0</v>
      </c>
      <c r="P11" s="127">
        <f t="shared" si="3"/>
        <v>0</v>
      </c>
      <c r="Q11" s="127">
        <f t="shared" si="3"/>
        <v>0</v>
      </c>
      <c r="R11" s="127">
        <f t="shared" si="3"/>
        <v>0</v>
      </c>
      <c r="S11" s="127">
        <f t="shared" si="3"/>
        <v>0</v>
      </c>
      <c r="T11" s="127">
        <f t="shared" si="3"/>
        <v>0</v>
      </c>
      <c r="U11" s="127">
        <f t="shared" si="3"/>
        <v>0</v>
      </c>
      <c r="V11" s="127">
        <f t="shared" si="3"/>
        <v>0</v>
      </c>
      <c r="W11" s="127">
        <f t="shared" si="3"/>
        <v>0</v>
      </c>
      <c r="X11" s="127">
        <f t="shared" si="3"/>
        <v>0</v>
      </c>
      <c r="Y11" s="127">
        <f t="shared" si="3"/>
        <v>0</v>
      </c>
      <c r="Z11" s="127">
        <f t="shared" si="3"/>
        <v>0</v>
      </c>
      <c r="AA11" s="127">
        <f t="shared" si="3"/>
        <v>0</v>
      </c>
      <c r="AB11" s="127">
        <f t="shared" si="3"/>
        <v>0</v>
      </c>
      <c r="AC11" s="127">
        <f t="shared" si="3"/>
        <v>0</v>
      </c>
      <c r="AD11" s="127">
        <f t="shared" si="3"/>
        <v>0</v>
      </c>
      <c r="AE11" s="127">
        <f t="shared" si="3"/>
        <v>0</v>
      </c>
      <c r="AF11" s="127">
        <f t="shared" si="3"/>
        <v>0</v>
      </c>
      <c r="AG11" s="127">
        <f t="shared" si="3"/>
        <v>0</v>
      </c>
      <c r="AH11" s="127">
        <f t="shared" si="3"/>
        <v>0</v>
      </c>
      <c r="AI11" s="127">
        <f t="shared" si="3"/>
        <v>0</v>
      </c>
      <c r="AJ11" s="127">
        <f t="shared" si="3"/>
        <v>0</v>
      </c>
      <c r="AK11" s="127">
        <f t="shared" si="3"/>
        <v>0</v>
      </c>
      <c r="AL11" s="127">
        <f t="shared" si="3"/>
        <v>0</v>
      </c>
      <c r="AM11" s="127">
        <f t="shared" si="3"/>
        <v>0</v>
      </c>
      <c r="AN11" s="127">
        <f t="shared" si="3"/>
        <v>0</v>
      </c>
      <c r="AO11" s="127">
        <f t="shared" si="3"/>
        <v>0</v>
      </c>
      <c r="AP11" s="127">
        <f t="shared" ref="AP11:BU11" si="4" xml:space="preserve"> AP8 + AP9 - AP10</f>
        <v>0</v>
      </c>
      <c r="AQ11" s="127">
        <f t="shared" si="4"/>
        <v>0</v>
      </c>
      <c r="AR11" s="127">
        <f t="shared" si="4"/>
        <v>0</v>
      </c>
      <c r="AS11" s="127">
        <f t="shared" si="4"/>
        <v>0</v>
      </c>
      <c r="AT11" s="127">
        <f t="shared" si="4"/>
        <v>0</v>
      </c>
      <c r="AU11" s="127">
        <f t="shared" si="4"/>
        <v>0</v>
      </c>
      <c r="AV11" s="127">
        <f t="shared" si="4"/>
        <v>0</v>
      </c>
      <c r="AW11" s="127">
        <f t="shared" si="4"/>
        <v>0</v>
      </c>
      <c r="AX11" s="127">
        <f t="shared" si="4"/>
        <v>0</v>
      </c>
      <c r="AY11" s="127">
        <f t="shared" si="4"/>
        <v>0</v>
      </c>
      <c r="AZ11" s="127">
        <f t="shared" si="4"/>
        <v>0</v>
      </c>
      <c r="BA11" s="127">
        <f t="shared" si="4"/>
        <v>0</v>
      </c>
      <c r="BB11" s="127">
        <f t="shared" si="4"/>
        <v>0</v>
      </c>
      <c r="BC11" s="127">
        <f t="shared" si="4"/>
        <v>0</v>
      </c>
      <c r="BD11" s="127">
        <f t="shared" si="4"/>
        <v>0</v>
      </c>
      <c r="BE11" s="127">
        <f t="shared" si="4"/>
        <v>0</v>
      </c>
      <c r="BF11" s="127">
        <f t="shared" si="4"/>
        <v>0</v>
      </c>
      <c r="BG11" s="127">
        <f t="shared" si="4"/>
        <v>0</v>
      </c>
      <c r="BH11" s="127">
        <f t="shared" si="4"/>
        <v>0</v>
      </c>
      <c r="BI11" s="127">
        <f t="shared" si="4"/>
        <v>0</v>
      </c>
      <c r="BJ11" s="127">
        <f t="shared" si="4"/>
        <v>0</v>
      </c>
      <c r="BK11" s="127">
        <f t="shared" si="4"/>
        <v>0</v>
      </c>
      <c r="BL11" s="127">
        <f t="shared" si="4"/>
        <v>0</v>
      </c>
      <c r="BM11" s="127">
        <f t="shared" si="4"/>
        <v>0</v>
      </c>
      <c r="BN11" s="127">
        <f t="shared" si="4"/>
        <v>0</v>
      </c>
      <c r="BO11" s="127">
        <f t="shared" si="4"/>
        <v>0</v>
      </c>
      <c r="BP11" s="127">
        <f t="shared" si="4"/>
        <v>0</v>
      </c>
      <c r="BQ11" s="127">
        <f t="shared" si="4"/>
        <v>0</v>
      </c>
      <c r="BR11" s="127">
        <f t="shared" si="4"/>
        <v>0</v>
      </c>
      <c r="BS11" s="127">
        <f t="shared" si="4"/>
        <v>0</v>
      </c>
      <c r="BT11" s="127">
        <f t="shared" si="4"/>
        <v>0</v>
      </c>
      <c r="BU11" s="127">
        <f t="shared" si="4"/>
        <v>0</v>
      </c>
      <c r="BV11" s="127">
        <f t="shared" ref="BV11:CD11" si="5" xml:space="preserve"> BV8 + BV9 - BV10</f>
        <v>0</v>
      </c>
      <c r="BW11" s="127">
        <f t="shared" si="5"/>
        <v>0</v>
      </c>
      <c r="BX11" s="127">
        <f t="shared" si="5"/>
        <v>0</v>
      </c>
      <c r="BY11" s="127">
        <f t="shared" si="5"/>
        <v>0</v>
      </c>
      <c r="BZ11" s="127">
        <f t="shared" si="5"/>
        <v>0</v>
      </c>
      <c r="CA11" s="127">
        <f t="shared" si="5"/>
        <v>0</v>
      </c>
      <c r="CB11" s="127">
        <f t="shared" si="5"/>
        <v>0</v>
      </c>
      <c r="CC11" s="127">
        <f t="shared" si="5"/>
        <v>0</v>
      </c>
      <c r="CD11" s="127">
        <f t="shared" si="5"/>
        <v>0</v>
      </c>
    </row>
    <row r="14" spans="1:82" x14ac:dyDescent="0.35">
      <c r="A14" s="119"/>
      <c r="B14" s="119"/>
      <c r="C14" s="120"/>
      <c r="D14" s="121"/>
      <c r="E14" s="122" t="s">
        <v>93</v>
      </c>
      <c r="F14" s="104"/>
      <c r="G14" s="122" t="str">
        <f xml:space="preserve"> SMU</f>
        <v>$ 000s</v>
      </c>
      <c r="H14" s="122"/>
      <c r="I14" s="123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</row>
    <row r="15" spans="1:82" x14ac:dyDescent="0.35">
      <c r="E15" s="130" t="str">
        <f xml:space="preserve"> Time!E$66</f>
        <v>Financial close date flag</v>
      </c>
      <c r="F15" s="130">
        <f xml:space="preserve"> Time!F$66</f>
        <v>0</v>
      </c>
      <c r="G15" s="130" t="str">
        <f xml:space="preserve"> Time!G$66</f>
        <v>flag</v>
      </c>
      <c r="H15" s="130">
        <f xml:space="preserve"> Time!H$66</f>
        <v>1</v>
      </c>
      <c r="I15" s="130">
        <f xml:space="preserve"> Time!I$66</f>
        <v>0</v>
      </c>
      <c r="J15" s="130">
        <f xml:space="preserve"> Time!J$66</f>
        <v>0</v>
      </c>
      <c r="K15" s="130">
        <f xml:space="preserve"> Time!K$66</f>
        <v>0</v>
      </c>
      <c r="L15" s="130">
        <f xml:space="preserve"> Time!L$66</f>
        <v>0</v>
      </c>
      <c r="M15" s="130">
        <f xml:space="preserve"> Time!M$66</f>
        <v>1</v>
      </c>
      <c r="N15" s="130">
        <f xml:space="preserve"> Time!N$66</f>
        <v>0</v>
      </c>
      <c r="O15" s="130">
        <f xml:space="preserve"> Time!O$66</f>
        <v>0</v>
      </c>
      <c r="P15" s="130">
        <f xml:space="preserve"> Time!P$66</f>
        <v>0</v>
      </c>
      <c r="Q15" s="130">
        <f xml:space="preserve"> Time!Q$66</f>
        <v>0</v>
      </c>
      <c r="R15" s="130">
        <f xml:space="preserve"> Time!R$66</f>
        <v>0</v>
      </c>
      <c r="S15" s="130">
        <f xml:space="preserve"> Time!S$66</f>
        <v>0</v>
      </c>
      <c r="T15" s="130">
        <f xml:space="preserve"> Time!T$66</f>
        <v>0</v>
      </c>
      <c r="U15" s="130">
        <f xml:space="preserve"> Time!U$66</f>
        <v>0</v>
      </c>
      <c r="V15" s="130">
        <f xml:space="preserve"> Time!V$66</f>
        <v>0</v>
      </c>
      <c r="W15" s="130">
        <f xml:space="preserve"> Time!W$66</f>
        <v>0</v>
      </c>
      <c r="X15" s="130">
        <f xml:space="preserve"> Time!X$66</f>
        <v>0</v>
      </c>
      <c r="Y15" s="130">
        <f xml:space="preserve"> Time!Y$66</f>
        <v>0</v>
      </c>
      <c r="Z15" s="130">
        <f xml:space="preserve"> Time!Z$66</f>
        <v>0</v>
      </c>
      <c r="AA15" s="130">
        <f xml:space="preserve"> Time!AA$66</f>
        <v>0</v>
      </c>
      <c r="AB15" s="130">
        <f xml:space="preserve"> Time!AB$66</f>
        <v>0</v>
      </c>
      <c r="AC15" s="130">
        <f xml:space="preserve"> Time!AC$66</f>
        <v>0</v>
      </c>
      <c r="AD15" s="130">
        <f xml:space="preserve"> Time!AD$66</f>
        <v>0</v>
      </c>
      <c r="AE15" s="130">
        <f xml:space="preserve"> Time!AE$66</f>
        <v>0</v>
      </c>
      <c r="AF15" s="130">
        <f xml:space="preserve"> Time!AF$66</f>
        <v>0</v>
      </c>
      <c r="AG15" s="130">
        <f xml:space="preserve"> Time!AG$66</f>
        <v>0</v>
      </c>
      <c r="AH15" s="130">
        <f xml:space="preserve"> Time!AH$66</f>
        <v>0</v>
      </c>
      <c r="AI15" s="130">
        <f xml:space="preserve"> Time!AI$66</f>
        <v>0</v>
      </c>
      <c r="AJ15" s="130">
        <f xml:space="preserve"> Time!AJ$66</f>
        <v>0</v>
      </c>
      <c r="AK15" s="130">
        <f xml:space="preserve"> Time!AK$66</f>
        <v>0</v>
      </c>
      <c r="AL15" s="130">
        <f xml:space="preserve"> Time!AL$66</f>
        <v>0</v>
      </c>
      <c r="AM15" s="130">
        <f xml:space="preserve"> Time!AM$66</f>
        <v>0</v>
      </c>
      <c r="AN15" s="130">
        <f xml:space="preserve"> Time!AN$66</f>
        <v>0</v>
      </c>
      <c r="AO15" s="130">
        <f xml:space="preserve"> Time!AO$66</f>
        <v>0</v>
      </c>
      <c r="AP15" s="130">
        <f xml:space="preserve"> Time!AP$66</f>
        <v>0</v>
      </c>
      <c r="AQ15" s="130">
        <f xml:space="preserve"> Time!AQ$66</f>
        <v>0</v>
      </c>
      <c r="AR15" s="130">
        <f xml:space="preserve"> Time!AR$66</f>
        <v>0</v>
      </c>
      <c r="AS15" s="130">
        <f xml:space="preserve"> Time!AS$66</f>
        <v>0</v>
      </c>
      <c r="AT15" s="130">
        <f xml:space="preserve"> Time!AT$66</f>
        <v>0</v>
      </c>
      <c r="AU15" s="130">
        <f xml:space="preserve"> Time!AU$66</f>
        <v>0</v>
      </c>
      <c r="AV15" s="130">
        <f xml:space="preserve"> Time!AV$66</f>
        <v>0</v>
      </c>
      <c r="AW15" s="130">
        <f xml:space="preserve"> Time!AW$66</f>
        <v>0</v>
      </c>
      <c r="AX15" s="130">
        <f xml:space="preserve"> Time!AX$66</f>
        <v>0</v>
      </c>
      <c r="AY15" s="130">
        <f xml:space="preserve"> Time!AY$66</f>
        <v>0</v>
      </c>
      <c r="AZ15" s="130">
        <f xml:space="preserve"> Time!AZ$66</f>
        <v>0</v>
      </c>
      <c r="BA15" s="130">
        <f xml:space="preserve"> Time!BA$66</f>
        <v>0</v>
      </c>
      <c r="BB15" s="130">
        <f xml:space="preserve"> Time!BB$66</f>
        <v>0</v>
      </c>
      <c r="BC15" s="130">
        <f xml:space="preserve"> Time!BC$66</f>
        <v>0</v>
      </c>
      <c r="BD15" s="130">
        <f xml:space="preserve"> Time!BD$66</f>
        <v>0</v>
      </c>
      <c r="BE15" s="130">
        <f xml:space="preserve"> Time!BE$66</f>
        <v>0</v>
      </c>
      <c r="BF15" s="130">
        <f xml:space="preserve"> Time!BF$66</f>
        <v>0</v>
      </c>
      <c r="BG15" s="130">
        <f xml:space="preserve"> Time!BG$66</f>
        <v>0</v>
      </c>
      <c r="BH15" s="130">
        <f xml:space="preserve"> Time!BH$66</f>
        <v>0</v>
      </c>
      <c r="BI15" s="130">
        <f xml:space="preserve"> Time!BI$66</f>
        <v>0</v>
      </c>
      <c r="BJ15" s="130">
        <f xml:space="preserve"> Time!BJ$66</f>
        <v>0</v>
      </c>
      <c r="BK15" s="130">
        <f xml:space="preserve"> Time!BK$66</f>
        <v>0</v>
      </c>
      <c r="BL15" s="130">
        <f xml:space="preserve"> Time!BL$66</f>
        <v>0</v>
      </c>
      <c r="BM15" s="130">
        <f xml:space="preserve"> Time!BM$66</f>
        <v>0</v>
      </c>
      <c r="BN15" s="130">
        <f xml:space="preserve"> Time!BN$66</f>
        <v>0</v>
      </c>
      <c r="BO15" s="130">
        <f xml:space="preserve"> Time!BO$66</f>
        <v>0</v>
      </c>
      <c r="BP15" s="130">
        <f xml:space="preserve"> Time!BP$66</f>
        <v>0</v>
      </c>
      <c r="BQ15" s="130">
        <f xml:space="preserve"> Time!BQ$66</f>
        <v>0</v>
      </c>
      <c r="BR15" s="130">
        <f xml:space="preserve"> Time!BR$66</f>
        <v>0</v>
      </c>
      <c r="BS15" s="130">
        <f xml:space="preserve"> Time!BS$66</f>
        <v>0</v>
      </c>
      <c r="BT15" s="130">
        <f xml:space="preserve"> Time!BT$66</f>
        <v>0</v>
      </c>
      <c r="BU15" s="130">
        <f xml:space="preserve"> Time!BU$66</f>
        <v>0</v>
      </c>
      <c r="BV15" s="130">
        <f xml:space="preserve"> Time!BV$66</f>
        <v>0</v>
      </c>
      <c r="BW15" s="130">
        <f xml:space="preserve"> Time!BW$66</f>
        <v>0</v>
      </c>
      <c r="BX15" s="130">
        <f xml:space="preserve"> Time!BX$66</f>
        <v>0</v>
      </c>
      <c r="BY15" s="130">
        <f xml:space="preserve"> Time!BY$66</f>
        <v>0</v>
      </c>
      <c r="BZ15" s="130">
        <f xml:space="preserve"> Time!BZ$66</f>
        <v>0</v>
      </c>
      <c r="CA15" s="130">
        <f xml:space="preserve"> Time!CA$66</f>
        <v>0</v>
      </c>
      <c r="CB15" s="130">
        <f xml:space="preserve"> Time!CB$66</f>
        <v>0</v>
      </c>
      <c r="CC15" s="130">
        <f xml:space="preserve"> Time!CC$66</f>
        <v>0</v>
      </c>
      <c r="CD15" s="130">
        <f xml:space="preserve"> Time!CD$66</f>
        <v>0</v>
      </c>
    </row>
    <row r="16" spans="1:82" x14ac:dyDescent="0.35">
      <c r="E16" s="117"/>
      <c r="F16" s="117"/>
      <c r="G16" s="117"/>
      <c r="H16" s="117"/>
      <c r="I16" s="26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C16" s="117"/>
      <c r="CD16" s="117"/>
    </row>
    <row r="17" spans="1:82" x14ac:dyDescent="0.35">
      <c r="E17" s="117" t="s">
        <v>7</v>
      </c>
      <c r="F17" s="117"/>
      <c r="G17" s="117" t="str">
        <f xml:space="preserve"> SMU</f>
        <v>$ 000s</v>
      </c>
      <c r="H17" s="117"/>
      <c r="I17" s="26"/>
      <c r="J17" s="117">
        <f t="shared" ref="J17:AO17" si="6">I20</f>
        <v>0</v>
      </c>
      <c r="K17" s="117">
        <f t="shared" si="6"/>
        <v>0</v>
      </c>
      <c r="L17" s="117">
        <f t="shared" si="6"/>
        <v>0</v>
      </c>
      <c r="M17" s="117">
        <f t="shared" si="6"/>
        <v>0</v>
      </c>
      <c r="N17" s="117">
        <f t="shared" si="6"/>
        <v>0</v>
      </c>
      <c r="O17" s="117">
        <f t="shared" si="6"/>
        <v>0</v>
      </c>
      <c r="P17" s="117">
        <f t="shared" si="6"/>
        <v>0</v>
      </c>
      <c r="Q17" s="117">
        <f t="shared" si="6"/>
        <v>0</v>
      </c>
      <c r="R17" s="117">
        <f t="shared" si="6"/>
        <v>0</v>
      </c>
      <c r="S17" s="117">
        <f t="shared" si="6"/>
        <v>0</v>
      </c>
      <c r="T17" s="117">
        <f t="shared" si="6"/>
        <v>0</v>
      </c>
      <c r="U17" s="117">
        <f t="shared" si="6"/>
        <v>0</v>
      </c>
      <c r="V17" s="117">
        <f t="shared" si="6"/>
        <v>0</v>
      </c>
      <c r="W17" s="117">
        <f t="shared" si="6"/>
        <v>0</v>
      </c>
      <c r="X17" s="117">
        <f t="shared" si="6"/>
        <v>0</v>
      </c>
      <c r="Y17" s="117">
        <f t="shared" si="6"/>
        <v>0</v>
      </c>
      <c r="Z17" s="117">
        <f t="shared" si="6"/>
        <v>0</v>
      </c>
      <c r="AA17" s="117">
        <f t="shared" si="6"/>
        <v>0</v>
      </c>
      <c r="AB17" s="117">
        <f t="shared" si="6"/>
        <v>0</v>
      </c>
      <c r="AC17" s="117">
        <f t="shared" si="6"/>
        <v>0</v>
      </c>
      <c r="AD17" s="117">
        <f t="shared" si="6"/>
        <v>0</v>
      </c>
      <c r="AE17" s="117">
        <f t="shared" si="6"/>
        <v>0</v>
      </c>
      <c r="AF17" s="117">
        <f t="shared" si="6"/>
        <v>0</v>
      </c>
      <c r="AG17" s="117">
        <f t="shared" si="6"/>
        <v>0</v>
      </c>
      <c r="AH17" s="117">
        <f t="shared" si="6"/>
        <v>0</v>
      </c>
      <c r="AI17" s="117">
        <f t="shared" si="6"/>
        <v>0</v>
      </c>
      <c r="AJ17" s="117">
        <f t="shared" si="6"/>
        <v>0</v>
      </c>
      <c r="AK17" s="117">
        <f t="shared" si="6"/>
        <v>0</v>
      </c>
      <c r="AL17" s="117">
        <f t="shared" si="6"/>
        <v>0</v>
      </c>
      <c r="AM17" s="117">
        <f t="shared" si="6"/>
        <v>0</v>
      </c>
      <c r="AN17" s="117">
        <f t="shared" si="6"/>
        <v>0</v>
      </c>
      <c r="AO17" s="117">
        <f t="shared" si="6"/>
        <v>0</v>
      </c>
      <c r="AP17" s="117">
        <f t="shared" ref="AP17:BU17" si="7">AO20</f>
        <v>0</v>
      </c>
      <c r="AQ17" s="117">
        <f t="shared" si="7"/>
        <v>0</v>
      </c>
      <c r="AR17" s="117">
        <f t="shared" si="7"/>
        <v>0</v>
      </c>
      <c r="AS17" s="117">
        <f t="shared" si="7"/>
        <v>0</v>
      </c>
      <c r="AT17" s="117">
        <f t="shared" si="7"/>
        <v>0</v>
      </c>
      <c r="AU17" s="117">
        <f t="shared" si="7"/>
        <v>0</v>
      </c>
      <c r="AV17" s="117">
        <f t="shared" si="7"/>
        <v>0</v>
      </c>
      <c r="AW17" s="117">
        <f t="shared" si="7"/>
        <v>0</v>
      </c>
      <c r="AX17" s="117">
        <f t="shared" si="7"/>
        <v>0</v>
      </c>
      <c r="AY17" s="117">
        <f t="shared" si="7"/>
        <v>0</v>
      </c>
      <c r="AZ17" s="117">
        <f t="shared" si="7"/>
        <v>0</v>
      </c>
      <c r="BA17" s="117">
        <f t="shared" si="7"/>
        <v>0</v>
      </c>
      <c r="BB17" s="117">
        <f t="shared" si="7"/>
        <v>0</v>
      </c>
      <c r="BC17" s="117">
        <f t="shared" si="7"/>
        <v>0</v>
      </c>
      <c r="BD17" s="117">
        <f t="shared" si="7"/>
        <v>0</v>
      </c>
      <c r="BE17" s="117">
        <f t="shared" si="7"/>
        <v>0</v>
      </c>
      <c r="BF17" s="117">
        <f t="shared" si="7"/>
        <v>0</v>
      </c>
      <c r="BG17" s="117">
        <f t="shared" si="7"/>
        <v>0</v>
      </c>
      <c r="BH17" s="117">
        <f t="shared" si="7"/>
        <v>0</v>
      </c>
      <c r="BI17" s="117">
        <f t="shared" si="7"/>
        <v>0</v>
      </c>
      <c r="BJ17" s="117">
        <f t="shared" si="7"/>
        <v>0</v>
      </c>
      <c r="BK17" s="117">
        <f t="shared" si="7"/>
        <v>0</v>
      </c>
      <c r="BL17" s="117">
        <f t="shared" si="7"/>
        <v>0</v>
      </c>
      <c r="BM17" s="117">
        <f t="shared" si="7"/>
        <v>0</v>
      </c>
      <c r="BN17" s="117">
        <f t="shared" si="7"/>
        <v>0</v>
      </c>
      <c r="BO17" s="117">
        <f t="shared" si="7"/>
        <v>0</v>
      </c>
      <c r="BP17" s="117">
        <f t="shared" si="7"/>
        <v>0</v>
      </c>
      <c r="BQ17" s="117">
        <f t="shared" si="7"/>
        <v>0</v>
      </c>
      <c r="BR17" s="117">
        <f t="shared" si="7"/>
        <v>0</v>
      </c>
      <c r="BS17" s="117">
        <f t="shared" si="7"/>
        <v>0</v>
      </c>
      <c r="BT17" s="117">
        <f t="shared" si="7"/>
        <v>0</v>
      </c>
      <c r="BU17" s="117">
        <f t="shared" si="7"/>
        <v>0</v>
      </c>
      <c r="BV17" s="117">
        <f t="shared" ref="BV17:CD17" si="8">BU20</f>
        <v>0</v>
      </c>
      <c r="BW17" s="117">
        <f t="shared" si="8"/>
        <v>0</v>
      </c>
      <c r="BX17" s="117">
        <f t="shared" si="8"/>
        <v>0</v>
      </c>
      <c r="BY17" s="117">
        <f t="shared" si="8"/>
        <v>0</v>
      </c>
      <c r="BZ17" s="117">
        <f t="shared" si="8"/>
        <v>0</v>
      </c>
      <c r="CA17" s="117">
        <f t="shared" si="8"/>
        <v>0</v>
      </c>
      <c r="CB17" s="117">
        <f t="shared" si="8"/>
        <v>0</v>
      </c>
      <c r="CC17" s="117">
        <f t="shared" si="8"/>
        <v>0</v>
      </c>
      <c r="CD17" s="117">
        <f t="shared" si="8"/>
        <v>0</v>
      </c>
    </row>
    <row r="18" spans="1:82" x14ac:dyDescent="0.35">
      <c r="E18" s="118" t="s">
        <v>79</v>
      </c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</row>
    <row r="19" spans="1:82" x14ac:dyDescent="0.35">
      <c r="E19" s="118" t="s">
        <v>80</v>
      </c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</row>
    <row r="20" spans="1:82" x14ac:dyDescent="0.35">
      <c r="A20" s="124"/>
      <c r="B20" s="124"/>
      <c r="C20" s="125"/>
      <c r="D20" s="126"/>
      <c r="E20" s="127" t="s">
        <v>8</v>
      </c>
      <c r="F20" s="127"/>
      <c r="G20" s="127" t="str">
        <f xml:space="preserve"> SMU</f>
        <v>$ 000s</v>
      </c>
      <c r="H20" s="127"/>
      <c r="I20" s="128"/>
      <c r="J20" s="127">
        <f t="shared" ref="J20:AO20" si="9" xml:space="preserve"> IF( J15 = 1, $F14, J17 + J18 - J19)</f>
        <v>0</v>
      </c>
      <c r="K20" s="127">
        <f t="shared" si="9"/>
        <v>0</v>
      </c>
      <c r="L20" s="127">
        <f t="shared" si="9"/>
        <v>0</v>
      </c>
      <c r="M20" s="127">
        <f t="shared" si="9"/>
        <v>0</v>
      </c>
      <c r="N20" s="127">
        <f t="shared" si="9"/>
        <v>0</v>
      </c>
      <c r="O20" s="127">
        <f t="shared" si="9"/>
        <v>0</v>
      </c>
      <c r="P20" s="127">
        <f t="shared" si="9"/>
        <v>0</v>
      </c>
      <c r="Q20" s="127">
        <f t="shared" si="9"/>
        <v>0</v>
      </c>
      <c r="R20" s="127">
        <f t="shared" si="9"/>
        <v>0</v>
      </c>
      <c r="S20" s="127">
        <f t="shared" si="9"/>
        <v>0</v>
      </c>
      <c r="T20" s="127">
        <f t="shared" si="9"/>
        <v>0</v>
      </c>
      <c r="U20" s="127">
        <f t="shared" si="9"/>
        <v>0</v>
      </c>
      <c r="V20" s="127">
        <f t="shared" si="9"/>
        <v>0</v>
      </c>
      <c r="W20" s="127">
        <f t="shared" si="9"/>
        <v>0</v>
      </c>
      <c r="X20" s="127">
        <f t="shared" si="9"/>
        <v>0</v>
      </c>
      <c r="Y20" s="127">
        <f t="shared" si="9"/>
        <v>0</v>
      </c>
      <c r="Z20" s="127">
        <f t="shared" si="9"/>
        <v>0</v>
      </c>
      <c r="AA20" s="127">
        <f t="shared" si="9"/>
        <v>0</v>
      </c>
      <c r="AB20" s="127">
        <f t="shared" si="9"/>
        <v>0</v>
      </c>
      <c r="AC20" s="127">
        <f t="shared" si="9"/>
        <v>0</v>
      </c>
      <c r="AD20" s="127">
        <f t="shared" si="9"/>
        <v>0</v>
      </c>
      <c r="AE20" s="127">
        <f t="shared" si="9"/>
        <v>0</v>
      </c>
      <c r="AF20" s="127">
        <f t="shared" si="9"/>
        <v>0</v>
      </c>
      <c r="AG20" s="127">
        <f t="shared" si="9"/>
        <v>0</v>
      </c>
      <c r="AH20" s="127">
        <f t="shared" si="9"/>
        <v>0</v>
      </c>
      <c r="AI20" s="127">
        <f t="shared" si="9"/>
        <v>0</v>
      </c>
      <c r="AJ20" s="127">
        <f t="shared" si="9"/>
        <v>0</v>
      </c>
      <c r="AK20" s="127">
        <f t="shared" si="9"/>
        <v>0</v>
      </c>
      <c r="AL20" s="127">
        <f t="shared" si="9"/>
        <v>0</v>
      </c>
      <c r="AM20" s="127">
        <f t="shared" si="9"/>
        <v>0</v>
      </c>
      <c r="AN20" s="127">
        <f t="shared" si="9"/>
        <v>0</v>
      </c>
      <c r="AO20" s="127">
        <f t="shared" si="9"/>
        <v>0</v>
      </c>
      <c r="AP20" s="127">
        <f t="shared" ref="AP20:BU20" si="10" xml:space="preserve"> IF( AP15 = 1, $F14, AP17 + AP18 - AP19)</f>
        <v>0</v>
      </c>
      <c r="AQ20" s="127">
        <f t="shared" si="10"/>
        <v>0</v>
      </c>
      <c r="AR20" s="127">
        <f t="shared" si="10"/>
        <v>0</v>
      </c>
      <c r="AS20" s="127">
        <f t="shared" si="10"/>
        <v>0</v>
      </c>
      <c r="AT20" s="127">
        <f t="shared" si="10"/>
        <v>0</v>
      </c>
      <c r="AU20" s="127">
        <f t="shared" si="10"/>
        <v>0</v>
      </c>
      <c r="AV20" s="127">
        <f t="shared" si="10"/>
        <v>0</v>
      </c>
      <c r="AW20" s="127">
        <f t="shared" si="10"/>
        <v>0</v>
      </c>
      <c r="AX20" s="127">
        <f t="shared" si="10"/>
        <v>0</v>
      </c>
      <c r="AY20" s="127">
        <f t="shared" si="10"/>
        <v>0</v>
      </c>
      <c r="AZ20" s="127">
        <f t="shared" si="10"/>
        <v>0</v>
      </c>
      <c r="BA20" s="127">
        <f t="shared" si="10"/>
        <v>0</v>
      </c>
      <c r="BB20" s="127">
        <f t="shared" si="10"/>
        <v>0</v>
      </c>
      <c r="BC20" s="127">
        <f t="shared" si="10"/>
        <v>0</v>
      </c>
      <c r="BD20" s="127">
        <f t="shared" si="10"/>
        <v>0</v>
      </c>
      <c r="BE20" s="127">
        <f t="shared" si="10"/>
        <v>0</v>
      </c>
      <c r="BF20" s="127">
        <f t="shared" si="10"/>
        <v>0</v>
      </c>
      <c r="BG20" s="127">
        <f t="shared" si="10"/>
        <v>0</v>
      </c>
      <c r="BH20" s="127">
        <f t="shared" si="10"/>
        <v>0</v>
      </c>
      <c r="BI20" s="127">
        <f t="shared" si="10"/>
        <v>0</v>
      </c>
      <c r="BJ20" s="127">
        <f t="shared" si="10"/>
        <v>0</v>
      </c>
      <c r="BK20" s="127">
        <f t="shared" si="10"/>
        <v>0</v>
      </c>
      <c r="BL20" s="127">
        <f t="shared" si="10"/>
        <v>0</v>
      </c>
      <c r="BM20" s="127">
        <f t="shared" si="10"/>
        <v>0</v>
      </c>
      <c r="BN20" s="127">
        <f t="shared" si="10"/>
        <v>0</v>
      </c>
      <c r="BO20" s="127">
        <f t="shared" si="10"/>
        <v>0</v>
      </c>
      <c r="BP20" s="127">
        <f t="shared" si="10"/>
        <v>0</v>
      </c>
      <c r="BQ20" s="127">
        <f t="shared" si="10"/>
        <v>0</v>
      </c>
      <c r="BR20" s="127">
        <f t="shared" si="10"/>
        <v>0</v>
      </c>
      <c r="BS20" s="127">
        <f t="shared" si="10"/>
        <v>0</v>
      </c>
      <c r="BT20" s="127">
        <f t="shared" si="10"/>
        <v>0</v>
      </c>
      <c r="BU20" s="127">
        <f t="shared" si="10"/>
        <v>0</v>
      </c>
      <c r="BV20" s="127">
        <f t="shared" ref="BV20:CD20" si="11" xml:space="preserve"> IF( BV15 = 1, $F14, BV17 + BV18 - BV19)</f>
        <v>0</v>
      </c>
      <c r="BW20" s="127">
        <f t="shared" si="11"/>
        <v>0</v>
      </c>
      <c r="BX20" s="127">
        <f t="shared" si="11"/>
        <v>0</v>
      </c>
      <c r="BY20" s="127">
        <f t="shared" si="11"/>
        <v>0</v>
      </c>
      <c r="BZ20" s="127">
        <f t="shared" si="11"/>
        <v>0</v>
      </c>
      <c r="CA20" s="127">
        <f t="shared" si="11"/>
        <v>0</v>
      </c>
      <c r="CB20" s="127">
        <f t="shared" si="11"/>
        <v>0</v>
      </c>
      <c r="CC20" s="127">
        <f t="shared" si="11"/>
        <v>0</v>
      </c>
      <c r="CD20" s="127">
        <f t="shared" si="11"/>
        <v>0</v>
      </c>
    </row>
    <row r="23" spans="1:82" x14ac:dyDescent="0.35">
      <c r="E23" s="7" t="s">
        <v>9</v>
      </c>
      <c r="G23" s="7" t="str">
        <f xml:space="preserve"> SMU</f>
        <v>$ 000s</v>
      </c>
      <c r="H23" s="7">
        <f xml:space="preserve"> SUM(J23:CD23)</f>
        <v>7300</v>
      </c>
      <c r="J23" s="104">
        <v>100</v>
      </c>
      <c r="K23" s="104">
        <v>100</v>
      </c>
      <c r="L23" s="104">
        <v>100</v>
      </c>
      <c r="M23" s="104">
        <v>100</v>
      </c>
      <c r="N23" s="104">
        <v>100</v>
      </c>
      <c r="O23" s="104">
        <v>100</v>
      </c>
      <c r="P23" s="104">
        <v>100</v>
      </c>
      <c r="Q23" s="104">
        <v>100</v>
      </c>
      <c r="R23" s="104">
        <v>100</v>
      </c>
      <c r="S23" s="104">
        <v>100</v>
      </c>
      <c r="T23" s="104">
        <v>100</v>
      </c>
      <c r="U23" s="104">
        <v>100</v>
      </c>
      <c r="V23" s="104">
        <v>100</v>
      </c>
      <c r="W23" s="104">
        <v>100</v>
      </c>
      <c r="X23" s="104">
        <v>100</v>
      </c>
      <c r="Y23" s="104">
        <v>100</v>
      </c>
      <c r="Z23" s="104">
        <v>100</v>
      </c>
      <c r="AA23" s="104">
        <v>100</v>
      </c>
      <c r="AB23" s="104">
        <v>100</v>
      </c>
      <c r="AC23" s="104">
        <v>100</v>
      </c>
      <c r="AD23" s="104">
        <v>100</v>
      </c>
      <c r="AE23" s="104">
        <v>100</v>
      </c>
      <c r="AF23" s="104">
        <v>100</v>
      </c>
      <c r="AG23" s="104">
        <v>100</v>
      </c>
      <c r="AH23" s="104">
        <v>100</v>
      </c>
      <c r="AI23" s="104">
        <v>100</v>
      </c>
      <c r="AJ23" s="104">
        <v>100</v>
      </c>
      <c r="AK23" s="104">
        <v>100</v>
      </c>
      <c r="AL23" s="104">
        <v>100</v>
      </c>
      <c r="AM23" s="104">
        <v>100</v>
      </c>
      <c r="AN23" s="104">
        <v>100</v>
      </c>
      <c r="AO23" s="104">
        <v>100</v>
      </c>
      <c r="AP23" s="104">
        <v>100</v>
      </c>
      <c r="AQ23" s="104">
        <v>100</v>
      </c>
      <c r="AR23" s="104">
        <v>100</v>
      </c>
      <c r="AS23" s="104">
        <v>100</v>
      </c>
      <c r="AT23" s="104">
        <v>100</v>
      </c>
      <c r="AU23" s="104">
        <v>100</v>
      </c>
      <c r="AV23" s="104">
        <v>100</v>
      </c>
      <c r="AW23" s="104">
        <v>100</v>
      </c>
      <c r="AX23" s="104">
        <v>100</v>
      </c>
      <c r="AY23" s="104">
        <v>100</v>
      </c>
      <c r="AZ23" s="104">
        <v>100</v>
      </c>
      <c r="BA23" s="104">
        <v>100</v>
      </c>
      <c r="BB23" s="104">
        <v>100</v>
      </c>
      <c r="BC23" s="104">
        <v>100</v>
      </c>
      <c r="BD23" s="104">
        <v>100</v>
      </c>
      <c r="BE23" s="104">
        <v>100</v>
      </c>
      <c r="BF23" s="104">
        <v>100</v>
      </c>
      <c r="BG23" s="104">
        <v>100</v>
      </c>
      <c r="BH23" s="104">
        <v>100</v>
      </c>
      <c r="BI23" s="104">
        <v>100</v>
      </c>
      <c r="BJ23" s="104">
        <v>100</v>
      </c>
      <c r="BK23" s="104">
        <v>100</v>
      </c>
      <c r="BL23" s="104">
        <v>100</v>
      </c>
      <c r="BM23" s="104">
        <v>100</v>
      </c>
      <c r="BN23" s="104">
        <v>100</v>
      </c>
      <c r="BO23" s="104">
        <v>100</v>
      </c>
      <c r="BP23" s="104">
        <v>100</v>
      </c>
      <c r="BQ23" s="104">
        <v>100</v>
      </c>
      <c r="BR23" s="104">
        <v>100</v>
      </c>
      <c r="BS23" s="104">
        <v>100</v>
      </c>
      <c r="BT23" s="104">
        <v>100</v>
      </c>
      <c r="BU23" s="104">
        <v>100</v>
      </c>
      <c r="BV23" s="104">
        <v>100</v>
      </c>
      <c r="BW23" s="104">
        <v>100</v>
      </c>
      <c r="BX23" s="104">
        <v>100</v>
      </c>
      <c r="BY23" s="104">
        <v>100</v>
      </c>
      <c r="BZ23" s="104">
        <v>100</v>
      </c>
      <c r="CA23" s="104">
        <v>100</v>
      </c>
      <c r="CB23" s="104">
        <v>100</v>
      </c>
      <c r="CC23" s="104">
        <v>100</v>
      </c>
      <c r="CD23" s="104">
        <v>100</v>
      </c>
    </row>
    <row r="24" spans="1:82" x14ac:dyDescent="0.35">
      <c r="A24" s="58"/>
      <c r="B24" s="58"/>
      <c r="C24" s="59"/>
      <c r="D24" s="60"/>
      <c r="E24" s="94" t="str">
        <f xml:space="preserve"> LEFT(E23, LEN(E23) - 4)</f>
        <v>Sign switch line item</v>
      </c>
      <c r="F24" s="94"/>
      <c r="G24" s="94" t="str">
        <f xml:space="preserve"> SMU</f>
        <v>$ 000s</v>
      </c>
      <c r="H24" s="94">
        <f xml:space="preserve"> SUM(J24:CD24)</f>
        <v>-7300</v>
      </c>
      <c r="I24" s="61"/>
      <c r="J24" s="94">
        <f t="shared" ref="J24:AO24" si="12" xml:space="preserve"> -1 * J23</f>
        <v>-100</v>
      </c>
      <c r="K24" s="94">
        <f t="shared" si="12"/>
        <v>-100</v>
      </c>
      <c r="L24" s="94">
        <f t="shared" si="12"/>
        <v>-100</v>
      </c>
      <c r="M24" s="94">
        <f t="shared" si="12"/>
        <v>-100</v>
      </c>
      <c r="N24" s="94">
        <f t="shared" si="12"/>
        <v>-100</v>
      </c>
      <c r="O24" s="94">
        <f t="shared" si="12"/>
        <v>-100</v>
      </c>
      <c r="P24" s="94">
        <f t="shared" si="12"/>
        <v>-100</v>
      </c>
      <c r="Q24" s="94">
        <f t="shared" si="12"/>
        <v>-100</v>
      </c>
      <c r="R24" s="94">
        <f t="shared" si="12"/>
        <v>-100</v>
      </c>
      <c r="S24" s="94">
        <f t="shared" si="12"/>
        <v>-100</v>
      </c>
      <c r="T24" s="94">
        <f t="shared" si="12"/>
        <v>-100</v>
      </c>
      <c r="U24" s="94">
        <f t="shared" si="12"/>
        <v>-100</v>
      </c>
      <c r="V24" s="94">
        <f t="shared" si="12"/>
        <v>-100</v>
      </c>
      <c r="W24" s="94">
        <f t="shared" si="12"/>
        <v>-100</v>
      </c>
      <c r="X24" s="94">
        <f t="shared" si="12"/>
        <v>-100</v>
      </c>
      <c r="Y24" s="94">
        <f t="shared" si="12"/>
        <v>-100</v>
      </c>
      <c r="Z24" s="94">
        <f t="shared" si="12"/>
        <v>-100</v>
      </c>
      <c r="AA24" s="94">
        <f t="shared" si="12"/>
        <v>-100</v>
      </c>
      <c r="AB24" s="94">
        <f t="shared" si="12"/>
        <v>-100</v>
      </c>
      <c r="AC24" s="94">
        <f t="shared" si="12"/>
        <v>-100</v>
      </c>
      <c r="AD24" s="94">
        <f t="shared" si="12"/>
        <v>-100</v>
      </c>
      <c r="AE24" s="94">
        <f t="shared" si="12"/>
        <v>-100</v>
      </c>
      <c r="AF24" s="94">
        <f t="shared" si="12"/>
        <v>-100</v>
      </c>
      <c r="AG24" s="94">
        <f t="shared" si="12"/>
        <v>-100</v>
      </c>
      <c r="AH24" s="94">
        <f t="shared" si="12"/>
        <v>-100</v>
      </c>
      <c r="AI24" s="94">
        <f t="shared" si="12"/>
        <v>-100</v>
      </c>
      <c r="AJ24" s="94">
        <f t="shared" si="12"/>
        <v>-100</v>
      </c>
      <c r="AK24" s="94">
        <f t="shared" si="12"/>
        <v>-100</v>
      </c>
      <c r="AL24" s="94">
        <f t="shared" si="12"/>
        <v>-100</v>
      </c>
      <c r="AM24" s="94">
        <f t="shared" si="12"/>
        <v>-100</v>
      </c>
      <c r="AN24" s="94">
        <f t="shared" si="12"/>
        <v>-100</v>
      </c>
      <c r="AO24" s="94">
        <f t="shared" si="12"/>
        <v>-100</v>
      </c>
      <c r="AP24" s="94">
        <f t="shared" ref="AP24:BU24" si="13" xml:space="preserve"> -1 * AP23</f>
        <v>-100</v>
      </c>
      <c r="AQ24" s="94">
        <f t="shared" si="13"/>
        <v>-100</v>
      </c>
      <c r="AR24" s="94">
        <f t="shared" si="13"/>
        <v>-100</v>
      </c>
      <c r="AS24" s="94">
        <f t="shared" si="13"/>
        <v>-100</v>
      </c>
      <c r="AT24" s="94">
        <f t="shared" si="13"/>
        <v>-100</v>
      </c>
      <c r="AU24" s="94">
        <f t="shared" si="13"/>
        <v>-100</v>
      </c>
      <c r="AV24" s="94">
        <f t="shared" si="13"/>
        <v>-100</v>
      </c>
      <c r="AW24" s="94">
        <f t="shared" si="13"/>
        <v>-100</v>
      </c>
      <c r="AX24" s="94">
        <f t="shared" si="13"/>
        <v>-100</v>
      </c>
      <c r="AY24" s="94">
        <f t="shared" si="13"/>
        <v>-100</v>
      </c>
      <c r="AZ24" s="94">
        <f t="shared" si="13"/>
        <v>-100</v>
      </c>
      <c r="BA24" s="94">
        <f t="shared" si="13"/>
        <v>-100</v>
      </c>
      <c r="BB24" s="94">
        <f t="shared" si="13"/>
        <v>-100</v>
      </c>
      <c r="BC24" s="94">
        <f t="shared" si="13"/>
        <v>-100</v>
      </c>
      <c r="BD24" s="94">
        <f t="shared" si="13"/>
        <v>-100</v>
      </c>
      <c r="BE24" s="94">
        <f t="shared" si="13"/>
        <v>-100</v>
      </c>
      <c r="BF24" s="94">
        <f t="shared" si="13"/>
        <v>-100</v>
      </c>
      <c r="BG24" s="94">
        <f t="shared" si="13"/>
        <v>-100</v>
      </c>
      <c r="BH24" s="94">
        <f t="shared" si="13"/>
        <v>-100</v>
      </c>
      <c r="BI24" s="94">
        <f t="shared" si="13"/>
        <v>-100</v>
      </c>
      <c r="BJ24" s="94">
        <f t="shared" si="13"/>
        <v>-100</v>
      </c>
      <c r="BK24" s="94">
        <f t="shared" si="13"/>
        <v>-100</v>
      </c>
      <c r="BL24" s="94">
        <f t="shared" si="13"/>
        <v>-100</v>
      </c>
      <c r="BM24" s="94">
        <f t="shared" si="13"/>
        <v>-100</v>
      </c>
      <c r="BN24" s="94">
        <f t="shared" si="13"/>
        <v>-100</v>
      </c>
      <c r="BO24" s="94">
        <f t="shared" si="13"/>
        <v>-100</v>
      </c>
      <c r="BP24" s="94">
        <f t="shared" si="13"/>
        <v>-100</v>
      </c>
      <c r="BQ24" s="94">
        <f t="shared" si="13"/>
        <v>-100</v>
      </c>
      <c r="BR24" s="94">
        <f t="shared" si="13"/>
        <v>-100</v>
      </c>
      <c r="BS24" s="94">
        <f t="shared" si="13"/>
        <v>-100</v>
      </c>
      <c r="BT24" s="94">
        <f t="shared" si="13"/>
        <v>-100</v>
      </c>
      <c r="BU24" s="94">
        <f t="shared" si="13"/>
        <v>-100</v>
      </c>
      <c r="BV24" s="94">
        <f t="shared" ref="BV24:CD24" si="14" xml:space="preserve"> -1 * BV23</f>
        <v>-100</v>
      </c>
      <c r="BW24" s="94">
        <f t="shared" si="14"/>
        <v>-100</v>
      </c>
      <c r="BX24" s="94">
        <f t="shared" si="14"/>
        <v>-100</v>
      </c>
      <c r="BY24" s="94">
        <f t="shared" si="14"/>
        <v>-100</v>
      </c>
      <c r="BZ24" s="94">
        <f t="shared" si="14"/>
        <v>-100</v>
      </c>
      <c r="CA24" s="94">
        <f t="shared" si="14"/>
        <v>-100</v>
      </c>
      <c r="CB24" s="94">
        <f t="shared" si="14"/>
        <v>-100</v>
      </c>
      <c r="CC24" s="94">
        <f t="shared" si="14"/>
        <v>-100</v>
      </c>
      <c r="CD24" s="94">
        <f t="shared" si="14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CD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InpC</vt:lpstr>
      <vt:lpstr>Time</vt:lpstr>
      <vt:lpstr>Ops</vt:lpstr>
      <vt:lpstr>Equity</vt:lpstr>
      <vt:lpstr>FS Qtr</vt:lpstr>
      <vt:lpstr>Check</vt:lpstr>
      <vt:lpstr>Tmp</vt:lpstr>
      <vt:lpstr>BaseCaseIndicator</vt:lpstr>
      <vt:lpstr>CHK_TOL</vt:lpstr>
      <vt:lpstr>InputRowTemplate</vt:lpstr>
      <vt:lpstr>InputStored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2023-09-21T11:06:28Z</dcterms:modified>
</cp:coreProperties>
</file>