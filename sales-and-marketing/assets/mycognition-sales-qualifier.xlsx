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timothylages\Documents\Thrive\SFAS Round 2\2. SFAS Round 2 Support\MyCognition\"/>
    </mc:Choice>
  </mc:AlternateContent>
  <xr:revisionPtr revIDLastSave="0" documentId="13_ncr:1_{8F3F7F04-A6C7-4971-A0CF-D8138B0CFA90}" xr6:coauthVersionLast="45" xr6:coauthVersionMax="45" xr10:uidLastSave="{00000000-0000-0000-0000-000000000000}"/>
  <bookViews>
    <workbookView xWindow="-120" yWindow="-120" windowWidth="20730" windowHeight="11310" xr2:uid="{AD030AA0-C628-4B66-9860-74A48455256E}"/>
  </bookViews>
  <sheets>
    <sheet name="Lead Qualifyer" sheetId="1" r:id="rId1"/>
    <sheet name="BANT Qualification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 i="1" l="1"/>
  <c r="F13" i="1"/>
  <c r="F14" i="1"/>
  <c r="F15" i="1"/>
  <c r="G12" i="1" s="1"/>
  <c r="F16" i="1"/>
  <c r="F17" i="1"/>
  <c r="F18" i="1"/>
  <c r="F19" i="1"/>
  <c r="F20" i="1"/>
  <c r="F21" i="1"/>
  <c r="F22" i="1"/>
  <c r="F23" i="1"/>
  <c r="G20" i="1" s="1"/>
  <c r="F24" i="1"/>
  <c r="F25" i="1"/>
  <c r="F26" i="1"/>
  <c r="F27" i="1"/>
  <c r="F28" i="1"/>
  <c r="F29" i="1"/>
  <c r="F30" i="1"/>
  <c r="F31" i="1"/>
  <c r="G28" i="1" s="1"/>
  <c r="F32" i="1"/>
  <c r="F33" i="1"/>
  <c r="F34" i="1"/>
  <c r="F35" i="1"/>
  <c r="F36" i="1"/>
  <c r="F37" i="1"/>
  <c r="F38" i="1"/>
  <c r="F39" i="1"/>
  <c r="F40" i="1"/>
  <c r="F41" i="1"/>
  <c r="F42" i="1"/>
  <c r="F43" i="1"/>
  <c r="F44" i="1"/>
  <c r="F45" i="1"/>
  <c r="F46" i="1"/>
  <c r="F47" i="1"/>
  <c r="G44" i="1" s="1"/>
  <c r="F48" i="1"/>
  <c r="F49" i="1"/>
  <c r="F50" i="1"/>
  <c r="F51" i="1"/>
  <c r="F52" i="1"/>
  <c r="F53" i="1"/>
  <c r="F54" i="1"/>
  <c r="F55" i="1"/>
  <c r="G52" i="1" s="1"/>
  <c r="F56" i="1"/>
  <c r="F57" i="1"/>
  <c r="F58" i="1"/>
  <c r="F59" i="1"/>
  <c r="F60" i="1"/>
  <c r="F61" i="1"/>
  <c r="F62" i="1"/>
  <c r="F63" i="1"/>
  <c r="G60" i="1" s="1"/>
  <c r="F64" i="1"/>
  <c r="F65" i="1"/>
  <c r="F66" i="1"/>
  <c r="F67" i="1"/>
  <c r="F68" i="1"/>
  <c r="F69" i="1"/>
  <c r="F70" i="1"/>
  <c r="F71" i="1"/>
  <c r="F72" i="1"/>
  <c r="F73" i="1"/>
  <c r="F74" i="1"/>
  <c r="F75" i="1"/>
  <c r="F76" i="1"/>
  <c r="F77" i="1"/>
  <c r="F78" i="1"/>
  <c r="F79" i="1"/>
  <c r="G76" i="1" s="1"/>
  <c r="F80" i="1"/>
  <c r="F81" i="1"/>
  <c r="F82" i="1"/>
  <c r="F83" i="1"/>
  <c r="F84" i="1"/>
  <c r="F85" i="1"/>
  <c r="F86" i="1"/>
  <c r="F87" i="1"/>
  <c r="G84" i="1" s="1"/>
  <c r="F88" i="1"/>
  <c r="F89" i="1"/>
  <c r="F90" i="1"/>
  <c r="F91" i="1"/>
  <c r="F92" i="1"/>
  <c r="F93" i="1"/>
  <c r="F94" i="1"/>
  <c r="F95" i="1"/>
  <c r="G92" i="1" s="1"/>
  <c r="F96" i="1"/>
  <c r="F97" i="1"/>
  <c r="F98" i="1"/>
  <c r="F99" i="1"/>
  <c r="F100" i="1"/>
  <c r="F101" i="1"/>
  <c r="F102" i="1"/>
  <c r="F103" i="1"/>
  <c r="F104" i="1"/>
  <c r="F105" i="1"/>
  <c r="F106" i="1"/>
  <c r="F107" i="1"/>
  <c r="F108" i="1"/>
  <c r="F109" i="1"/>
  <c r="F110" i="1"/>
  <c r="F111" i="1"/>
  <c r="G108" i="1" s="1"/>
  <c r="F112" i="1"/>
  <c r="F113" i="1"/>
  <c r="F114" i="1"/>
  <c r="F115" i="1"/>
  <c r="F116" i="1"/>
  <c r="F117" i="1"/>
  <c r="F118" i="1"/>
  <c r="F119" i="1"/>
  <c r="G116" i="1" s="1"/>
  <c r="F120" i="1"/>
  <c r="F121" i="1"/>
  <c r="F122" i="1"/>
  <c r="F123" i="1"/>
  <c r="F124" i="1"/>
  <c r="F125" i="1"/>
  <c r="F126" i="1"/>
  <c r="F127" i="1"/>
  <c r="G124" i="1" s="1"/>
  <c r="F128" i="1"/>
  <c r="F129" i="1"/>
  <c r="F130" i="1"/>
  <c r="F131" i="1"/>
  <c r="F132" i="1"/>
  <c r="F133" i="1"/>
  <c r="F134" i="1"/>
  <c r="F135" i="1"/>
  <c r="F136" i="1"/>
  <c r="F137" i="1"/>
  <c r="F138" i="1"/>
  <c r="F139" i="1"/>
  <c r="F140" i="1"/>
  <c r="F141" i="1"/>
  <c r="F142" i="1"/>
  <c r="F143" i="1"/>
  <c r="G140" i="1" s="1"/>
  <c r="F144" i="1"/>
  <c r="F145" i="1"/>
  <c r="F146" i="1"/>
  <c r="F147" i="1"/>
  <c r="F148" i="1"/>
  <c r="F149" i="1"/>
  <c r="F150" i="1"/>
  <c r="F151" i="1"/>
  <c r="G148" i="1" s="1"/>
  <c r="F152" i="1"/>
  <c r="F153" i="1"/>
  <c r="F154" i="1"/>
  <c r="F155" i="1"/>
  <c r="F156" i="1"/>
  <c r="F157" i="1"/>
  <c r="F158" i="1"/>
  <c r="F159" i="1"/>
  <c r="G156" i="1" s="1"/>
  <c r="F160" i="1"/>
  <c r="F161" i="1"/>
  <c r="F162" i="1"/>
  <c r="F163" i="1"/>
  <c r="F164" i="1"/>
  <c r="F165" i="1"/>
  <c r="F166" i="1"/>
  <c r="F167" i="1"/>
  <c r="F168" i="1"/>
  <c r="F169" i="1"/>
  <c r="F170" i="1"/>
  <c r="F171" i="1"/>
  <c r="F172" i="1"/>
  <c r="F173" i="1"/>
  <c r="F174" i="1"/>
  <c r="F175" i="1"/>
  <c r="G172" i="1" s="1"/>
  <c r="F176" i="1"/>
  <c r="F177" i="1"/>
  <c r="F178" i="1"/>
  <c r="F179" i="1"/>
  <c r="F180" i="1"/>
  <c r="F181" i="1"/>
  <c r="F182" i="1"/>
  <c r="F183" i="1"/>
  <c r="G180" i="1" s="1"/>
  <c r="F184" i="1"/>
  <c r="F185" i="1"/>
  <c r="F186" i="1"/>
  <c r="F187" i="1"/>
  <c r="F188" i="1"/>
  <c r="F189" i="1"/>
  <c r="F190" i="1"/>
  <c r="F191" i="1"/>
  <c r="G188" i="1" s="1"/>
  <c r="F192" i="1"/>
  <c r="F193" i="1"/>
  <c r="F194" i="1"/>
  <c r="F195" i="1"/>
  <c r="F5" i="1"/>
  <c r="F6" i="1"/>
  <c r="F7" i="1"/>
  <c r="F8" i="1"/>
  <c r="F9" i="1"/>
  <c r="F10" i="1"/>
  <c r="F11" i="1"/>
  <c r="F4" i="1"/>
  <c r="G36" i="1"/>
  <c r="G68" i="1"/>
  <c r="G100" i="1"/>
  <c r="G132" i="1"/>
  <c r="G164" i="1"/>
  <c r="D13" i="1"/>
  <c r="D21" i="1" s="1"/>
  <c r="D29" i="1" s="1"/>
  <c r="D37" i="1" s="1"/>
  <c r="D45" i="1" s="1"/>
  <c r="D53" i="1" s="1"/>
  <c r="D61" i="1" s="1"/>
  <c r="D69" i="1" s="1"/>
  <c r="D77" i="1" s="1"/>
  <c r="D85" i="1" s="1"/>
  <c r="D93" i="1" s="1"/>
  <c r="D101" i="1" s="1"/>
  <c r="D109" i="1" s="1"/>
  <c r="D117" i="1" s="1"/>
  <c r="D125" i="1" s="1"/>
  <c r="D133" i="1" s="1"/>
  <c r="D141" i="1" s="1"/>
  <c r="D149" i="1" s="1"/>
  <c r="D157" i="1" s="1"/>
  <c r="D165" i="1" s="1"/>
  <c r="D173" i="1" s="1"/>
  <c r="D181" i="1" s="1"/>
  <c r="D189" i="1" s="1"/>
  <c r="D14" i="1"/>
  <c r="D15" i="1"/>
  <c r="D23" i="1" s="1"/>
  <c r="D16" i="1"/>
  <c r="D24" i="1" s="1"/>
  <c r="D32" i="1" s="1"/>
  <c r="D40" i="1" s="1"/>
  <c r="D48" i="1" s="1"/>
  <c r="D56" i="1" s="1"/>
  <c r="D64" i="1" s="1"/>
  <c r="D72" i="1" s="1"/>
  <c r="D80" i="1" s="1"/>
  <c r="D88" i="1" s="1"/>
  <c r="D96" i="1" s="1"/>
  <c r="D104" i="1" s="1"/>
  <c r="D112" i="1" s="1"/>
  <c r="D120" i="1" s="1"/>
  <c r="D128" i="1" s="1"/>
  <c r="D136" i="1" s="1"/>
  <c r="D144" i="1" s="1"/>
  <c r="D152" i="1" s="1"/>
  <c r="D160" i="1" s="1"/>
  <c r="D168" i="1" s="1"/>
  <c r="D176" i="1" s="1"/>
  <c r="D184" i="1" s="1"/>
  <c r="D192" i="1" s="1"/>
  <c r="D17" i="1"/>
  <c r="D25" i="1" s="1"/>
  <c r="D33" i="1" s="1"/>
  <c r="D41" i="1" s="1"/>
  <c r="D49" i="1" s="1"/>
  <c r="D57" i="1" s="1"/>
  <c r="D65" i="1" s="1"/>
  <c r="D73" i="1" s="1"/>
  <c r="D81" i="1" s="1"/>
  <c r="D89" i="1" s="1"/>
  <c r="D97" i="1" s="1"/>
  <c r="D105" i="1" s="1"/>
  <c r="D113" i="1" s="1"/>
  <c r="D121" i="1" s="1"/>
  <c r="D129" i="1" s="1"/>
  <c r="D137" i="1" s="1"/>
  <c r="D145" i="1" s="1"/>
  <c r="D153" i="1" s="1"/>
  <c r="D161" i="1" s="1"/>
  <c r="D169" i="1" s="1"/>
  <c r="D177" i="1" s="1"/>
  <c r="D185" i="1" s="1"/>
  <c r="D193" i="1" s="1"/>
  <c r="D18" i="1"/>
  <c r="D26" i="1" s="1"/>
  <c r="D34" i="1" s="1"/>
  <c r="D42" i="1" s="1"/>
  <c r="D50" i="1" s="1"/>
  <c r="D58" i="1" s="1"/>
  <c r="D66" i="1" s="1"/>
  <c r="D74" i="1" s="1"/>
  <c r="D82" i="1" s="1"/>
  <c r="D90" i="1" s="1"/>
  <c r="D98" i="1" s="1"/>
  <c r="D106" i="1" s="1"/>
  <c r="D114" i="1" s="1"/>
  <c r="D122" i="1" s="1"/>
  <c r="D130" i="1" s="1"/>
  <c r="D138" i="1" s="1"/>
  <c r="D146" i="1" s="1"/>
  <c r="D154" i="1" s="1"/>
  <c r="D162" i="1" s="1"/>
  <c r="D170" i="1" s="1"/>
  <c r="D178" i="1" s="1"/>
  <c r="D186" i="1" s="1"/>
  <c r="D194" i="1" s="1"/>
  <c r="D19" i="1"/>
  <c r="D27" i="1" s="1"/>
  <c r="D35" i="1" s="1"/>
  <c r="D43" i="1" s="1"/>
  <c r="D51" i="1" s="1"/>
  <c r="D59" i="1" s="1"/>
  <c r="D67" i="1" s="1"/>
  <c r="D75" i="1" s="1"/>
  <c r="D83" i="1" s="1"/>
  <c r="D91" i="1" s="1"/>
  <c r="D99" i="1" s="1"/>
  <c r="D107" i="1" s="1"/>
  <c r="D115" i="1" s="1"/>
  <c r="D123" i="1" s="1"/>
  <c r="D131" i="1" s="1"/>
  <c r="D139" i="1" s="1"/>
  <c r="D147" i="1" s="1"/>
  <c r="D155" i="1" s="1"/>
  <c r="D163" i="1" s="1"/>
  <c r="D171" i="1" s="1"/>
  <c r="D179" i="1" s="1"/>
  <c r="D187" i="1" s="1"/>
  <c r="D195" i="1" s="1"/>
  <c r="D22" i="1"/>
  <c r="D30" i="1" s="1"/>
  <c r="D38" i="1" s="1"/>
  <c r="D46" i="1" s="1"/>
  <c r="D54" i="1" s="1"/>
  <c r="D62" i="1" s="1"/>
  <c r="D70" i="1" s="1"/>
  <c r="D78" i="1" s="1"/>
  <c r="D86" i="1" s="1"/>
  <c r="D94" i="1" s="1"/>
  <c r="D102" i="1" s="1"/>
  <c r="D110" i="1" s="1"/>
  <c r="D118" i="1" s="1"/>
  <c r="D126" i="1" s="1"/>
  <c r="D134" i="1" s="1"/>
  <c r="D142" i="1" s="1"/>
  <c r="D150" i="1" s="1"/>
  <c r="D158" i="1" s="1"/>
  <c r="D166" i="1" s="1"/>
  <c r="D174" i="1" s="1"/>
  <c r="D182" i="1" s="1"/>
  <c r="D190" i="1" s="1"/>
  <c r="D31" i="1"/>
  <c r="D39" i="1" s="1"/>
  <c r="D47" i="1" s="1"/>
  <c r="D55" i="1" s="1"/>
  <c r="D63" i="1" s="1"/>
  <c r="D71" i="1" s="1"/>
  <c r="D79" i="1" s="1"/>
  <c r="D87" i="1" s="1"/>
  <c r="D95" i="1" s="1"/>
  <c r="D103" i="1" s="1"/>
  <c r="D111" i="1" s="1"/>
  <c r="D119" i="1" s="1"/>
  <c r="D127" i="1" s="1"/>
  <c r="D135" i="1" s="1"/>
  <c r="D143" i="1" s="1"/>
  <c r="D151" i="1" s="1"/>
  <c r="D159" i="1" s="1"/>
  <c r="D167" i="1" s="1"/>
  <c r="D175" i="1" s="1"/>
  <c r="D183" i="1" s="1"/>
  <c r="D191" i="1" s="1"/>
  <c r="D12" i="1"/>
  <c r="D20" i="1" s="1"/>
  <c r="D28" i="1" s="1"/>
  <c r="D36" i="1" s="1"/>
  <c r="D44" i="1" s="1"/>
  <c r="D52" i="1" s="1"/>
  <c r="D60" i="1" s="1"/>
  <c r="D68" i="1" s="1"/>
  <c r="D76" i="1" s="1"/>
  <c r="D84" i="1" s="1"/>
  <c r="D92" i="1" s="1"/>
  <c r="D100" i="1" s="1"/>
  <c r="D108" i="1" s="1"/>
  <c r="D116" i="1" s="1"/>
  <c r="D124" i="1" s="1"/>
  <c r="D132" i="1" s="1"/>
  <c r="D140" i="1" s="1"/>
  <c r="D148" i="1" s="1"/>
  <c r="D156" i="1" s="1"/>
  <c r="D164" i="1" s="1"/>
  <c r="D172" i="1" s="1"/>
  <c r="D180" i="1" s="1"/>
  <c r="D188" i="1" s="1"/>
  <c r="G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tc={61E89597-265E-46C1-92AD-7D7C4B6D7F5B}</author>
  </authors>
  <commentList>
    <comment ref="E3" authorId="0" shapeId="0" xr:uid="{61E89597-265E-46C1-92AD-7D7C4B6D7F5B}">
      <text>
        <t>[Threaded comment]
Your version of Excel allows you to read this threaded comment; however, any edits to it will get removed if the file is opened in a newer version of Excel. Learn more: https://go.microsoft.com/fwlink/?linkid=870924
Comment:
    If you are unsure or wanting to put maybe put "no"</t>
      </text>
    </comment>
  </commentList>
</comments>
</file>

<file path=xl/sharedStrings.xml><?xml version="1.0" encoding="utf-8"?>
<sst xmlns="http://schemas.openxmlformats.org/spreadsheetml/2006/main" count="53" uniqueCount="36">
  <si>
    <t>Qualifying Sales Leads</t>
  </si>
  <si>
    <t>Client</t>
  </si>
  <si>
    <t xml:space="preserve">Qualifying Questions </t>
  </si>
  <si>
    <t>Yes / No</t>
  </si>
  <si>
    <t>Score</t>
  </si>
  <si>
    <t>Deal Size</t>
  </si>
  <si>
    <t>Do they have a clinical or social need for our product?</t>
  </si>
  <si>
    <t>Are you speaking to the budget holder?</t>
  </si>
  <si>
    <t>Will this deal happen within the next 3 months?</t>
  </si>
  <si>
    <t>Is the client engaged with MyCognition? E.g. responsive to emails</t>
  </si>
  <si>
    <t>Does the client have a clear rationale to buy? E.g. ROI</t>
  </si>
  <si>
    <t>Yes</t>
  </si>
  <si>
    <t>No</t>
  </si>
  <si>
    <t>Telford Project</t>
  </si>
  <si>
    <t>Academies S Korea</t>
  </si>
  <si>
    <t>IQVIA</t>
  </si>
  <si>
    <t>Guardian Caregivers</t>
  </si>
  <si>
    <t>Cheshunt CCGs/ AHSN</t>
  </si>
  <si>
    <t>Gendus Diabetes</t>
  </si>
  <si>
    <t>East Mid Health</t>
  </si>
  <si>
    <t>NHS Test Bed Diabetes</t>
  </si>
  <si>
    <t>Evolve</t>
  </si>
  <si>
    <t>Inspiring Talents</t>
  </si>
  <si>
    <t>Addiction AMC</t>
  </si>
  <si>
    <t>Share the Warmth Canada</t>
  </si>
  <si>
    <t>5 Commercial Projects</t>
  </si>
  <si>
    <t>Evergreen</t>
  </si>
  <si>
    <t>Rutherford Group</t>
  </si>
  <si>
    <t>Intermedi</t>
  </si>
  <si>
    <t>Lapt (EM)</t>
  </si>
  <si>
    <t>Lapt (Suffolk)</t>
  </si>
  <si>
    <t>Candesic</t>
  </si>
  <si>
    <t>Do they have the budget?</t>
  </si>
  <si>
    <t>Notes</t>
  </si>
  <si>
    <t xml:space="preserve"> </t>
  </si>
  <si>
    <t>Likelihood (out of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</si>
</sst>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2" borderId="0" xfId="0" applyFill="1"/>
    <xf numFmtId="0" fontId="0" fillId="2" borderId="0" xfId="0" applyFill="1" applyBorder="1"/>
    <xf numFmtId="0" fontId="0" fillId="2" borderId="1" xfId="0" applyFill="1" applyBorder="1" applyAlignment="1">
      <alignment horizontal="center" vertical="center" wrapText="1"/>
    </xf>
    <xf numFmtId="6" fontId="0" fillId="2" borderId="1" xfId="0" applyNumberFormat="1" applyFill="1" applyBorder="1" applyAlignment="1">
      <alignment horizontal="center" vertical="center"/>
    </xf>
    <xf numFmtId="0" fontId="0" fillId="2" borderId="1" xfId="0" applyFill="1" applyBorder="1"/>
    <xf numFmtId="0" fontId="0" fillId="2" borderId="1" xfId="0" applyFill="1" applyBorder="1" applyAlignment="1">
      <alignment horizontal="center" vertical="center"/>
    </xf>
    <xf numFmtId="0" fontId="0" fillId="2" borderId="0" xfId="0" applyFill="1" applyAlignment="1">
      <alignment wrapText="1"/>
    </xf>
    <xf numFmtId="0" fontId="2" fillId="3" borderId="1" xfId="0" applyFont="1" applyFill="1" applyBorder="1" applyAlignment="1">
      <alignment horizontal="center"/>
    </xf>
    <xf numFmtId="1" fontId="0" fillId="2" borderId="1" xfId="1" applyNumberFormat="1" applyFont="1" applyFill="1" applyBorder="1" applyAlignment="1">
      <alignment horizontal="center" vertical="center"/>
    </xf>
    <xf numFmtId="0" fontId="2" fillId="3" borderId="1" xfId="0" applyFont="1" applyFill="1" applyBorder="1" applyAlignment="1">
      <alignment horizontal="center" vertical="center" wrapText="1"/>
    </xf>
  </cellXfs>
  <cellStyles count="2">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123825</xdr:colOff>
      <xdr:row>1</xdr:row>
      <xdr:rowOff>57150</xdr:rowOff>
    </xdr:from>
    <xdr:to>
      <xdr:col>14</xdr:col>
      <xdr:colOff>19050</xdr:colOff>
      <xdr:row>24</xdr:row>
      <xdr:rowOff>161925</xdr:rowOff>
    </xdr:to>
    <xdr:sp macro="" textlink="">
      <xdr:nvSpPr>
        <xdr:cNvPr id="2" name="TextBox 1">
          <a:extLst>
            <a:ext uri="{FF2B5EF4-FFF2-40B4-BE49-F238E27FC236}">
              <a16:creationId xmlns:a16="http://schemas.microsoft.com/office/drawing/2014/main" id="{1D561247-2C50-4854-BEDE-E1AF26AE3348}"/>
            </a:ext>
          </a:extLst>
        </xdr:cNvPr>
        <xdr:cNvSpPr txBox="1"/>
      </xdr:nvSpPr>
      <xdr:spPr>
        <a:xfrm>
          <a:off x="733425" y="247650"/>
          <a:ext cx="7820025" cy="448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GB" sz="1100" b="1" i="0" u="sng">
              <a:solidFill>
                <a:schemeClr val="dk1"/>
              </a:solidFill>
              <a:effectLst/>
              <a:latin typeface="+mn-lt"/>
              <a:ea typeface="+mn-ea"/>
              <a:cs typeface="+mn-cs"/>
            </a:rPr>
            <a:t>The BANT Qualification Framework</a:t>
          </a:r>
        </a:p>
        <a:p>
          <a:pPr fontAlgn="base"/>
          <a:r>
            <a:rPr lang="en-GB" sz="1100" b="0" i="0">
              <a:solidFill>
                <a:schemeClr val="dk1"/>
              </a:solidFill>
              <a:effectLst/>
              <a:latin typeface="+mn-lt"/>
              <a:ea typeface="+mn-ea"/>
              <a:cs typeface="+mn-cs"/>
            </a:rPr>
            <a:t>The Old Faithful of sales qualification frameworks, BANT (Budget, Authority, Need, Timeline) is used at a variety of companies and in a variety of markets.</a:t>
          </a:r>
        </a:p>
        <a:p>
          <a:pPr fontAlgn="base"/>
          <a:r>
            <a:rPr lang="en-GB" sz="1100" b="0" i="0">
              <a:solidFill>
                <a:schemeClr val="dk1"/>
              </a:solidFill>
              <a:effectLst/>
              <a:latin typeface="+mn-lt"/>
              <a:ea typeface="+mn-ea"/>
              <a:cs typeface="+mn-cs"/>
            </a:rPr>
            <a:t>Originally developed by IBM, BANT covers all the broad strokes of opportunity and stakeholder-level qualification.</a:t>
          </a:r>
        </a:p>
        <a:p>
          <a:pPr fontAlgn="base"/>
          <a:r>
            <a:rPr lang="en-GB" sz="1100" b="0" i="0">
              <a:solidFill>
                <a:schemeClr val="dk1"/>
              </a:solidFill>
              <a:effectLst/>
              <a:latin typeface="+mn-lt"/>
              <a:ea typeface="+mn-ea"/>
              <a:cs typeface="+mn-cs"/>
            </a:rPr>
            <a:t>BANT seeks to uncover the following four pieces of information:</a:t>
          </a:r>
        </a:p>
        <a:p>
          <a:pPr fontAlgn="base"/>
          <a:r>
            <a:rPr lang="en-GB" sz="1100" b="1" i="0">
              <a:solidFill>
                <a:schemeClr val="dk1"/>
              </a:solidFill>
              <a:effectLst/>
              <a:latin typeface="+mn-lt"/>
              <a:ea typeface="+mn-ea"/>
              <a:cs typeface="+mn-cs"/>
            </a:rPr>
            <a:t>Budget:</a:t>
          </a:r>
          <a:r>
            <a:rPr lang="en-GB" sz="1100" b="0" i="0">
              <a:solidFill>
                <a:schemeClr val="dk1"/>
              </a:solidFill>
              <a:effectLst/>
              <a:latin typeface="+mn-lt"/>
              <a:ea typeface="+mn-ea"/>
              <a:cs typeface="+mn-cs"/>
            </a:rPr>
            <a:t> Is the prospect capable of buying?</a:t>
          </a:r>
        </a:p>
        <a:p>
          <a:pPr fontAlgn="base"/>
          <a:r>
            <a:rPr lang="en-GB" sz="1100" b="1" i="0">
              <a:solidFill>
                <a:schemeClr val="dk1"/>
              </a:solidFill>
              <a:effectLst/>
              <a:latin typeface="+mn-lt"/>
              <a:ea typeface="+mn-ea"/>
              <a:cs typeface="+mn-cs"/>
            </a:rPr>
            <a:t>Authority:</a:t>
          </a:r>
          <a:r>
            <a:rPr lang="en-GB" sz="1100" b="0" i="0">
              <a:solidFill>
                <a:schemeClr val="dk1"/>
              </a:solidFill>
              <a:effectLst/>
              <a:latin typeface="+mn-lt"/>
              <a:ea typeface="+mn-ea"/>
              <a:cs typeface="+mn-cs"/>
            </a:rPr>
            <a:t> Does your contact have adequate authority to sign off on a purchase?</a:t>
          </a:r>
        </a:p>
        <a:p>
          <a:pPr fontAlgn="base"/>
          <a:r>
            <a:rPr lang="en-GB" sz="1100" b="1" i="0">
              <a:solidFill>
                <a:schemeClr val="dk1"/>
              </a:solidFill>
              <a:effectLst/>
              <a:latin typeface="+mn-lt"/>
              <a:ea typeface="+mn-ea"/>
              <a:cs typeface="+mn-cs"/>
            </a:rPr>
            <a:t>Need:</a:t>
          </a:r>
          <a:r>
            <a:rPr lang="en-GB" sz="1100" b="0" i="0">
              <a:solidFill>
                <a:schemeClr val="dk1"/>
              </a:solidFill>
              <a:effectLst/>
              <a:latin typeface="+mn-lt"/>
              <a:ea typeface="+mn-ea"/>
              <a:cs typeface="+mn-cs"/>
            </a:rPr>
            <a:t> Does the prospect have a business pain you can solve?</a:t>
          </a:r>
        </a:p>
        <a:p>
          <a:pPr fontAlgn="base"/>
          <a:r>
            <a:rPr lang="en-GB" sz="1100" b="1" i="0">
              <a:solidFill>
                <a:schemeClr val="dk1"/>
              </a:solidFill>
              <a:effectLst/>
              <a:latin typeface="+mn-lt"/>
              <a:ea typeface="+mn-ea"/>
              <a:cs typeface="+mn-cs"/>
            </a:rPr>
            <a:t>Timeline:</a:t>
          </a:r>
          <a:r>
            <a:rPr lang="en-GB" sz="1100" b="0" i="0">
              <a:solidFill>
                <a:schemeClr val="dk1"/>
              </a:solidFill>
              <a:effectLst/>
              <a:latin typeface="+mn-lt"/>
              <a:ea typeface="+mn-ea"/>
              <a:cs typeface="+mn-cs"/>
            </a:rPr>
            <a:t> When is the prospect planning to buy?</a:t>
          </a:r>
        </a:p>
        <a:p>
          <a:pPr fontAlgn="base"/>
          <a:r>
            <a:rPr lang="en-GB" sz="1100" b="0" i="0">
              <a:solidFill>
                <a:schemeClr val="dk1"/>
              </a:solidFill>
              <a:effectLst/>
              <a:latin typeface="+mn-lt"/>
              <a:ea typeface="+mn-ea"/>
              <a:cs typeface="+mn-cs"/>
            </a:rPr>
            <a:t>Here are a few examples of BANT questions in the context of a prospect conversation:</a:t>
          </a:r>
        </a:p>
        <a:p>
          <a:pPr fontAlgn="base"/>
          <a:r>
            <a:rPr lang="en-GB" sz="1100" b="1" i="0">
              <a:solidFill>
                <a:schemeClr val="dk1"/>
              </a:solidFill>
              <a:effectLst/>
              <a:latin typeface="+mn-lt"/>
              <a:ea typeface="+mn-ea"/>
              <a:cs typeface="+mn-cs"/>
            </a:rPr>
            <a:t>Budget</a:t>
          </a:r>
        </a:p>
        <a:p>
          <a:pPr fontAlgn="base"/>
          <a:r>
            <a:rPr lang="en-GB" sz="1100" b="0" i="0">
              <a:solidFill>
                <a:schemeClr val="dk1"/>
              </a:solidFill>
              <a:effectLst/>
              <a:latin typeface="+mn-lt"/>
              <a:ea typeface="+mn-ea"/>
              <a:cs typeface="+mn-cs"/>
            </a:rPr>
            <a:t>Do you have a budget set aside for this purchase? What is it?</a:t>
          </a:r>
        </a:p>
        <a:p>
          <a:pPr fontAlgn="base"/>
          <a:r>
            <a:rPr lang="en-GB" sz="1100" b="0" i="0">
              <a:solidFill>
                <a:schemeClr val="dk1"/>
              </a:solidFill>
              <a:effectLst/>
              <a:latin typeface="+mn-lt"/>
              <a:ea typeface="+mn-ea"/>
              <a:cs typeface="+mn-cs"/>
            </a:rPr>
            <a:t>Is this an important enough priority to allocate funds toward?</a:t>
          </a:r>
        </a:p>
        <a:p>
          <a:pPr fontAlgn="base"/>
          <a:r>
            <a:rPr lang="en-GB" sz="1100" b="0" i="0">
              <a:solidFill>
                <a:schemeClr val="dk1"/>
              </a:solidFill>
              <a:effectLst/>
              <a:latin typeface="+mn-lt"/>
              <a:ea typeface="+mn-ea"/>
              <a:cs typeface="+mn-cs"/>
            </a:rPr>
            <a:t>What other initiatives are you spending money on?</a:t>
          </a:r>
        </a:p>
        <a:p>
          <a:pPr fontAlgn="base"/>
          <a:r>
            <a:rPr lang="en-GB" sz="1100" b="0" i="0">
              <a:solidFill>
                <a:schemeClr val="dk1"/>
              </a:solidFill>
              <a:effectLst/>
              <a:latin typeface="+mn-lt"/>
              <a:ea typeface="+mn-ea"/>
              <a:cs typeface="+mn-cs"/>
            </a:rPr>
            <a:t>Does seasonality affect your funding?</a:t>
          </a:r>
        </a:p>
        <a:p>
          <a:pPr fontAlgn="base"/>
          <a:r>
            <a:rPr lang="en-GB" sz="1100" b="1" i="0">
              <a:solidFill>
                <a:schemeClr val="dk1"/>
              </a:solidFill>
              <a:effectLst/>
              <a:latin typeface="+mn-lt"/>
              <a:ea typeface="+mn-ea"/>
              <a:cs typeface="+mn-cs"/>
            </a:rPr>
            <a:t>Authority</a:t>
          </a:r>
        </a:p>
        <a:p>
          <a:pPr fontAlgn="base"/>
          <a:r>
            <a:rPr lang="en-GB" sz="1100" b="0" i="0">
              <a:solidFill>
                <a:schemeClr val="dk1"/>
              </a:solidFill>
              <a:effectLst/>
              <a:latin typeface="+mn-lt"/>
              <a:ea typeface="+mn-ea"/>
              <a:cs typeface="+mn-cs"/>
            </a:rPr>
            <a:t>Whose budget does this purchase come out of?</a:t>
          </a:r>
        </a:p>
        <a:p>
          <a:pPr fontAlgn="base"/>
          <a:r>
            <a:rPr lang="en-GB" sz="1100" b="0" i="0">
              <a:solidFill>
                <a:schemeClr val="dk1"/>
              </a:solidFill>
              <a:effectLst/>
              <a:latin typeface="+mn-lt"/>
              <a:ea typeface="+mn-ea"/>
              <a:cs typeface="+mn-cs"/>
            </a:rPr>
            <a:t>Who else will be involved in the purchasing decision?</a:t>
          </a:r>
        </a:p>
        <a:p>
          <a:pPr fontAlgn="base"/>
          <a:r>
            <a:rPr lang="en-GB" sz="1100" b="0" i="0">
              <a:solidFill>
                <a:schemeClr val="dk1"/>
              </a:solidFill>
              <a:effectLst/>
              <a:latin typeface="+mn-lt"/>
              <a:ea typeface="+mn-ea"/>
              <a:cs typeface="+mn-cs"/>
            </a:rPr>
            <a:t>How have you made purchasing decisions for products similar to ours in the past?</a:t>
          </a:r>
        </a:p>
        <a:p>
          <a:pPr fontAlgn="base"/>
          <a:r>
            <a:rPr lang="en-GB" sz="1100" b="0" i="0">
              <a:solidFill>
                <a:schemeClr val="dk1"/>
              </a:solidFill>
              <a:effectLst/>
              <a:latin typeface="+mn-lt"/>
              <a:ea typeface="+mn-ea"/>
              <a:cs typeface="+mn-cs"/>
            </a:rPr>
            <a:t>What objections to this purchase do you anticipate encountering? How do you think we can best handle them?</a:t>
          </a:r>
        </a:p>
        <a:p>
          <a:pPr fontAlgn="base"/>
          <a:r>
            <a:rPr lang="en-GB" sz="1100" b="1" i="0">
              <a:solidFill>
                <a:schemeClr val="dk1"/>
              </a:solidFill>
              <a:effectLst/>
              <a:latin typeface="+mn-lt"/>
              <a:ea typeface="+mn-ea"/>
              <a:cs typeface="+mn-cs"/>
            </a:rPr>
            <a:t>Need</a:t>
          </a:r>
        </a:p>
        <a:p>
          <a:pPr fontAlgn="base"/>
          <a:r>
            <a:rPr lang="en-GB" sz="1100" b="0" i="0">
              <a:solidFill>
                <a:schemeClr val="dk1"/>
              </a:solidFill>
              <a:effectLst/>
              <a:latin typeface="+mn-lt"/>
              <a:ea typeface="+mn-ea"/>
              <a:cs typeface="+mn-cs"/>
            </a:rPr>
            <a:t>What challenges are you struggling with?</a:t>
          </a:r>
        </a:p>
        <a:p>
          <a:pPr fontAlgn="base"/>
          <a:r>
            <a:rPr lang="en-GB" sz="1100" b="0" i="0">
              <a:solidFill>
                <a:schemeClr val="dk1"/>
              </a:solidFill>
              <a:effectLst/>
              <a:latin typeface="+mn-lt"/>
              <a:ea typeface="+mn-ea"/>
              <a:cs typeface="+mn-cs"/>
            </a:rPr>
            <a:t>What’s the source of that pain, and why do you feel it’s worth spending time on?</a:t>
          </a:r>
        </a:p>
        <a:p>
          <a:pPr fontAlgn="base"/>
          <a:r>
            <a:rPr lang="en-GB" sz="1100" b="0" i="0">
              <a:solidFill>
                <a:schemeClr val="dk1"/>
              </a:solidFill>
              <a:effectLst/>
              <a:latin typeface="+mn-lt"/>
              <a:ea typeface="+mn-ea"/>
              <a:cs typeface="+mn-cs"/>
            </a:rPr>
            <a:t>Why hasn’t it been addressed before?</a:t>
          </a:r>
        </a:p>
        <a:p>
          <a:pPr fontAlgn="base"/>
          <a:r>
            <a:rPr lang="en-GB" sz="1100" b="0" i="0">
              <a:solidFill>
                <a:schemeClr val="dk1"/>
              </a:solidFill>
              <a:effectLst/>
              <a:latin typeface="+mn-lt"/>
              <a:ea typeface="+mn-ea"/>
              <a:cs typeface="+mn-cs"/>
            </a:rPr>
            <a:t>What do you think could solve this problem? Why?</a:t>
          </a:r>
        </a:p>
        <a:p>
          <a:pPr fontAlgn="base"/>
          <a:r>
            <a:rPr lang="en-GB" sz="1100" b="1" i="0">
              <a:solidFill>
                <a:schemeClr val="dk1"/>
              </a:solidFill>
              <a:effectLst/>
              <a:latin typeface="+mn-lt"/>
              <a:ea typeface="+mn-ea"/>
              <a:cs typeface="+mn-cs"/>
            </a:rPr>
            <a:t>Timeline</a:t>
          </a:r>
        </a:p>
        <a:p>
          <a:pPr fontAlgn="base"/>
          <a:r>
            <a:rPr lang="en-GB" sz="1100" b="0" i="0">
              <a:solidFill>
                <a:schemeClr val="dk1"/>
              </a:solidFill>
              <a:effectLst/>
              <a:latin typeface="+mn-lt"/>
              <a:ea typeface="+mn-ea"/>
              <a:cs typeface="+mn-cs"/>
            </a:rPr>
            <a:t>How quickly do you need to solve your problem?</a:t>
          </a:r>
        </a:p>
        <a:p>
          <a:pPr fontAlgn="base"/>
          <a:r>
            <a:rPr lang="en-GB" sz="1100" b="0" i="0">
              <a:solidFill>
                <a:schemeClr val="dk1"/>
              </a:solidFill>
              <a:effectLst/>
              <a:latin typeface="+mn-lt"/>
              <a:ea typeface="+mn-ea"/>
              <a:cs typeface="+mn-cs"/>
            </a:rPr>
            <a:t>What else is a priority for you?</a:t>
          </a:r>
        </a:p>
        <a:p>
          <a:pPr fontAlgn="base"/>
          <a:r>
            <a:rPr lang="en-GB" sz="1100" b="0" i="0">
              <a:solidFill>
                <a:schemeClr val="dk1"/>
              </a:solidFill>
              <a:effectLst/>
              <a:latin typeface="+mn-lt"/>
              <a:ea typeface="+mn-ea"/>
              <a:cs typeface="+mn-cs"/>
            </a:rPr>
            <a:t>Are you evaluating any other similar products or services?</a:t>
          </a:r>
        </a:p>
        <a:p>
          <a:pPr fontAlgn="base"/>
          <a:r>
            <a:rPr lang="en-GB" sz="1100" b="0" i="0">
              <a:solidFill>
                <a:schemeClr val="dk1"/>
              </a:solidFill>
              <a:effectLst/>
              <a:latin typeface="+mn-lt"/>
              <a:ea typeface="+mn-ea"/>
              <a:cs typeface="+mn-cs"/>
            </a:rPr>
            <a:t>Do you have the capacity to implement this product right now?</a:t>
          </a:r>
        </a:p>
        <a:p>
          <a:pPr fontAlgn="base"/>
          <a:r>
            <a:rPr lang="en-GB" sz="1100" b="0" i="0">
              <a:solidFill>
                <a:schemeClr val="dk1"/>
              </a:solidFill>
              <a:effectLst/>
              <a:latin typeface="+mn-lt"/>
              <a:ea typeface="+mn-ea"/>
              <a:cs typeface="+mn-cs"/>
            </a:rPr>
            <a:t>While BANT addresses many opportunity-level requirements, it misses the mark on others. According to research from CEB, it now takes an </a:t>
          </a:r>
          <a:r>
            <a:rPr lang="en-GB" sz="1100" b="1" i="0" u="none" strike="noStrike">
              <a:solidFill>
                <a:schemeClr val="dk1"/>
              </a:solidFill>
              <a:effectLst/>
              <a:latin typeface="+mn-lt"/>
              <a:ea typeface="+mn-ea"/>
              <a:cs typeface="+mn-cs"/>
              <a:hlinkClick xmlns:r="http://schemas.openxmlformats.org/officeDocument/2006/relationships" r:id=""/>
            </a:rPr>
            <a:t>average of 5.4 people to make a buying decision</a:t>
          </a:r>
          <a:r>
            <a:rPr lang="en-GB" sz="1100" b="0" i="0">
              <a:solidFill>
                <a:schemeClr val="dk1"/>
              </a:solidFill>
              <a:effectLst/>
              <a:latin typeface="+mn-lt"/>
              <a:ea typeface="+mn-ea"/>
              <a:cs typeface="+mn-cs"/>
            </a:rPr>
            <a:t>, so the “ultimate” buying authority could be more than one person. Make sure you engage all relevant stakeholders early on in the process and secure each individual’s buy-in.</a:t>
          </a:r>
        </a:p>
        <a:p>
          <a:pPr fontAlgn="base"/>
          <a:r>
            <a:rPr lang="en-GB" sz="1100" b="0" i="0">
              <a:solidFill>
                <a:schemeClr val="dk1"/>
              </a:solidFill>
              <a:effectLst/>
              <a:latin typeface="+mn-lt"/>
              <a:ea typeface="+mn-ea"/>
              <a:cs typeface="+mn-cs"/>
            </a:rPr>
            <a:t>“Timeline” is another area where BANT falls short today. A strict BANT qualification might tell you to cycle a lead who won’t be ready to buy until next year into a closed-lost queue. But you might be acting prematurely -- send over educational resources and offer to help until they’re ready to buy, if you can.</a:t>
          </a:r>
        </a:p>
        <a:p>
          <a:pPr fontAlgn="base"/>
          <a:r>
            <a:rPr lang="en-GB" sz="1100" b="1" i="0">
              <a:solidFill>
                <a:schemeClr val="dk1"/>
              </a:solidFill>
              <a:effectLst/>
              <a:latin typeface="+mn-lt"/>
              <a:ea typeface="+mn-ea"/>
              <a:cs typeface="+mn-cs"/>
            </a:rPr>
            <a:t>MEDDIC, CHAMP Sales, &amp; 3 More Qualification Frameworks</a:t>
          </a:r>
        </a:p>
        <a:p>
          <a:pPr fontAlgn="base"/>
          <a:r>
            <a:rPr lang="en-GB" sz="1100" b="1" i="1" u="none" strike="noStrike">
              <a:solidFill>
                <a:schemeClr val="dk1"/>
              </a:solidFill>
              <a:effectLst/>
              <a:latin typeface="+mn-lt"/>
              <a:ea typeface="+mn-ea"/>
              <a:cs typeface="+mn-cs"/>
              <a:hlinkClick xmlns:r="http://schemas.openxmlformats.org/officeDocument/2006/relationships" r:id=""/>
            </a:rPr>
            <a:t>(back to top)</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BANT might be the most popular, but it’s far from the only sales qualification framework out there. Here are five alternate frameworks that sales reps can use if BANT just doesn’t cut it.</a:t>
          </a: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Tim Lages" id="{7FD6C00B-3572-4CF0-9D2E-8857D9C5C577}" userId="S::TimothyLages@unltd.org.uk::12853082-9597-4291-8662-70945ac8e2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0-06-02T13:02:23.49" personId="{7FD6C00B-3572-4CF0-9D2E-8857D9C5C577}" id="{61E89597-265E-46C1-92AD-7D7C4B6D7F5B}">
    <text>If you are unsure or wanting to put maybe put "no"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F7B4-BD0B-47D5-8EA8-412D91C1553F}">
  <dimension ref="A1:H211"/>
  <sheetViews>
    <sheetView tabSelected="1" workbookViewId="0">
      <selection activeCell="H12" sqref="H12"/>
    </sheetView>
  </sheetViews>
  <sheetFormatPr defaultRowHeight="15" x14ac:dyDescent="0.25"/>
  <cols>
    <col min="1" max="1" width="2.42578125" style="1" customWidth="1"/>
    <col min="2" max="2" width="24.28515625" style="7" bestFit="1" customWidth="1"/>
    <col min="3" max="3" width="19" style="1" customWidth="1"/>
    <col min="4" max="4" width="60.42578125" style="1" bestFit="1" customWidth="1"/>
    <col min="5" max="6" width="9.140625" style="1"/>
    <col min="7" max="7" width="10.28515625" style="1" bestFit="1" customWidth="1"/>
    <col min="8" max="8" width="51" style="1" customWidth="1"/>
    <col min="9" max="16384" width="9.140625" style="1"/>
  </cols>
  <sheetData>
    <row r="1" spans="1:8" x14ac:dyDescent="0.25">
      <c r="B1" s="8" t="s">
        <v>0</v>
      </c>
    </row>
    <row r="2" spans="1:8" ht="4.5" customHeight="1" x14ac:dyDescent="0.25"/>
    <row r="3" spans="1:8" ht="30" x14ac:dyDescent="0.25">
      <c r="B3" s="10" t="s">
        <v>1</v>
      </c>
      <c r="C3" s="10" t="s">
        <v>5</v>
      </c>
      <c r="D3" s="10" t="s">
        <v>2</v>
      </c>
      <c r="E3" s="10" t="s">
        <v>3</v>
      </c>
      <c r="F3" s="10" t="s">
        <v>4</v>
      </c>
      <c r="G3" s="10" t="s">
        <v>35</v>
      </c>
      <c r="H3" s="10" t="s">
        <v>33</v>
      </c>
    </row>
    <row r="4" spans="1:8" x14ac:dyDescent="0.25">
      <c r="A4" s="2"/>
      <c r="B4" s="3" t="s">
        <v>13</v>
      </c>
      <c r="C4" s="4">
        <v>35000</v>
      </c>
      <c r="D4" s="5" t="s">
        <v>32</v>
      </c>
      <c r="E4" s="6" t="s">
        <v>11</v>
      </c>
      <c r="F4" s="6">
        <f>IF(E4="Yes",1,IF(D4=" ","",0))</f>
        <v>1</v>
      </c>
      <c r="G4" s="9">
        <f>SUM(F4:F9)</f>
        <v>3</v>
      </c>
      <c r="H4" s="5"/>
    </row>
    <row r="5" spans="1:8" x14ac:dyDescent="0.25">
      <c r="A5" s="2"/>
      <c r="B5" s="3"/>
      <c r="C5" s="4"/>
      <c r="D5" s="5" t="s">
        <v>7</v>
      </c>
      <c r="E5" s="6" t="s">
        <v>12</v>
      </c>
      <c r="F5" s="6">
        <f t="shared" ref="F5:F68" si="0">IF(E5="Yes",1,IF(D5=" ","",0))</f>
        <v>0</v>
      </c>
      <c r="G5" s="9"/>
      <c r="H5" s="5"/>
    </row>
    <row r="6" spans="1:8" x14ac:dyDescent="0.25">
      <c r="A6" s="2"/>
      <c r="B6" s="3"/>
      <c r="C6" s="4"/>
      <c r="D6" s="5" t="s">
        <v>6</v>
      </c>
      <c r="E6" s="6" t="s">
        <v>11</v>
      </c>
      <c r="F6" s="6">
        <f t="shared" si="0"/>
        <v>1</v>
      </c>
      <c r="G6" s="9"/>
      <c r="H6" s="5"/>
    </row>
    <row r="7" spans="1:8" x14ac:dyDescent="0.25">
      <c r="A7" s="2"/>
      <c r="B7" s="3"/>
      <c r="C7" s="4"/>
      <c r="D7" s="5" t="s">
        <v>9</v>
      </c>
      <c r="E7" s="6" t="s">
        <v>12</v>
      </c>
      <c r="F7" s="6">
        <f t="shared" si="0"/>
        <v>0</v>
      </c>
      <c r="G7" s="9"/>
      <c r="H7" s="5"/>
    </row>
    <row r="8" spans="1:8" x14ac:dyDescent="0.25">
      <c r="A8" s="2"/>
      <c r="B8" s="3"/>
      <c r="C8" s="4"/>
      <c r="D8" s="5" t="s">
        <v>8</v>
      </c>
      <c r="E8" s="6" t="s">
        <v>12</v>
      </c>
      <c r="F8" s="6">
        <f t="shared" si="0"/>
        <v>0</v>
      </c>
      <c r="G8" s="9"/>
      <c r="H8" s="5"/>
    </row>
    <row r="9" spans="1:8" x14ac:dyDescent="0.25">
      <c r="A9" s="2"/>
      <c r="B9" s="3"/>
      <c r="C9" s="4"/>
      <c r="D9" s="5" t="s">
        <v>10</v>
      </c>
      <c r="E9" s="6" t="s">
        <v>11</v>
      </c>
      <c r="F9" s="6">
        <f t="shared" si="0"/>
        <v>1</v>
      </c>
      <c r="G9" s="9"/>
      <c r="H9" s="5"/>
    </row>
    <row r="10" spans="1:8" x14ac:dyDescent="0.25">
      <c r="A10" s="2"/>
      <c r="B10" s="3"/>
      <c r="C10" s="4"/>
      <c r="D10" s="5" t="s">
        <v>34</v>
      </c>
      <c r="E10" s="6"/>
      <c r="F10" s="6" t="str">
        <f t="shared" si="0"/>
        <v/>
      </c>
      <c r="G10" s="9"/>
      <c r="H10" s="5"/>
    </row>
    <row r="11" spans="1:8" x14ac:dyDescent="0.25">
      <c r="A11" s="2"/>
      <c r="B11" s="3"/>
      <c r="C11" s="4"/>
      <c r="D11" s="5" t="s">
        <v>34</v>
      </c>
      <c r="E11" s="6"/>
      <c r="F11" s="6" t="str">
        <f t="shared" si="0"/>
        <v/>
      </c>
      <c r="G11" s="9"/>
      <c r="H11" s="5"/>
    </row>
    <row r="12" spans="1:8" x14ac:dyDescent="0.25">
      <c r="A12" s="2"/>
      <c r="B12" s="3" t="s">
        <v>14</v>
      </c>
      <c r="C12" s="4">
        <v>15000</v>
      </c>
      <c r="D12" s="5" t="str">
        <f>D4</f>
        <v>Do they have the budget?</v>
      </c>
      <c r="E12" s="6" t="s">
        <v>12</v>
      </c>
      <c r="F12" s="6">
        <f t="shared" si="0"/>
        <v>0</v>
      </c>
      <c r="G12" s="9">
        <f t="shared" ref="G12" si="1">SUM(F12:F17)</f>
        <v>3</v>
      </c>
      <c r="H12" s="5"/>
    </row>
    <row r="13" spans="1:8" x14ac:dyDescent="0.25">
      <c r="A13" s="2"/>
      <c r="B13" s="3"/>
      <c r="C13" s="4"/>
      <c r="D13" s="5" t="str">
        <f t="shared" ref="D13:D76" si="2">D5</f>
        <v>Are you speaking to the budget holder?</v>
      </c>
      <c r="E13" s="6" t="s">
        <v>12</v>
      </c>
      <c r="F13" s="6">
        <f t="shared" si="0"/>
        <v>0</v>
      </c>
      <c r="G13" s="9"/>
      <c r="H13" s="5"/>
    </row>
    <row r="14" spans="1:8" x14ac:dyDescent="0.25">
      <c r="A14" s="2"/>
      <c r="B14" s="3"/>
      <c r="C14" s="4"/>
      <c r="D14" s="5" t="str">
        <f t="shared" si="2"/>
        <v>Do they have a clinical or social need for our product?</v>
      </c>
      <c r="E14" s="6" t="s">
        <v>11</v>
      </c>
      <c r="F14" s="6">
        <f t="shared" si="0"/>
        <v>1</v>
      </c>
      <c r="G14" s="9"/>
      <c r="H14" s="5"/>
    </row>
    <row r="15" spans="1:8" x14ac:dyDescent="0.25">
      <c r="A15" s="2"/>
      <c r="B15" s="3"/>
      <c r="C15" s="4"/>
      <c r="D15" s="5" t="str">
        <f t="shared" si="2"/>
        <v>Is the client engaged with MyCognition? E.g. responsive to emails</v>
      </c>
      <c r="E15" s="6" t="s">
        <v>11</v>
      </c>
      <c r="F15" s="6">
        <f t="shared" si="0"/>
        <v>1</v>
      </c>
      <c r="G15" s="9"/>
      <c r="H15" s="5"/>
    </row>
    <row r="16" spans="1:8" x14ac:dyDescent="0.25">
      <c r="A16" s="2"/>
      <c r="B16" s="3"/>
      <c r="C16" s="4"/>
      <c r="D16" s="5" t="str">
        <f t="shared" si="2"/>
        <v>Will this deal happen within the next 3 months?</v>
      </c>
      <c r="E16" s="6" t="s">
        <v>12</v>
      </c>
      <c r="F16" s="6">
        <f t="shared" si="0"/>
        <v>0</v>
      </c>
      <c r="G16" s="9"/>
      <c r="H16" s="5"/>
    </row>
    <row r="17" spans="1:8" x14ac:dyDescent="0.25">
      <c r="A17" s="2"/>
      <c r="B17" s="3"/>
      <c r="C17" s="4"/>
      <c r="D17" s="5" t="str">
        <f t="shared" si="2"/>
        <v>Does the client have a clear rationale to buy? E.g. ROI</v>
      </c>
      <c r="E17" s="6" t="s">
        <v>11</v>
      </c>
      <c r="F17" s="6">
        <f t="shared" si="0"/>
        <v>1</v>
      </c>
      <c r="G17" s="9"/>
      <c r="H17" s="5"/>
    </row>
    <row r="18" spans="1:8" x14ac:dyDescent="0.25">
      <c r="A18" s="2"/>
      <c r="B18" s="3"/>
      <c r="C18" s="4"/>
      <c r="D18" s="5" t="str">
        <f t="shared" si="2"/>
        <v xml:space="preserve"> </v>
      </c>
      <c r="E18" s="6"/>
      <c r="F18" s="6" t="str">
        <f t="shared" si="0"/>
        <v/>
      </c>
      <c r="G18" s="9"/>
      <c r="H18" s="5"/>
    </row>
    <row r="19" spans="1:8" x14ac:dyDescent="0.25">
      <c r="A19" s="2"/>
      <c r="B19" s="3"/>
      <c r="C19" s="4"/>
      <c r="D19" s="5" t="str">
        <f t="shared" si="2"/>
        <v xml:space="preserve"> </v>
      </c>
      <c r="E19" s="6"/>
      <c r="F19" s="6" t="str">
        <f t="shared" si="0"/>
        <v/>
      </c>
      <c r="G19" s="9"/>
      <c r="H19" s="5"/>
    </row>
    <row r="20" spans="1:8" x14ac:dyDescent="0.25">
      <c r="A20" s="2"/>
      <c r="B20" s="3" t="s">
        <v>15</v>
      </c>
      <c r="C20" s="4">
        <v>20000</v>
      </c>
      <c r="D20" s="5" t="str">
        <f t="shared" si="2"/>
        <v>Do they have the budget?</v>
      </c>
      <c r="E20" s="6" t="s">
        <v>12</v>
      </c>
      <c r="F20" s="6">
        <f t="shared" si="0"/>
        <v>0</v>
      </c>
      <c r="G20" s="9">
        <f t="shared" ref="G20" si="3">SUM(F20:F25)</f>
        <v>1</v>
      </c>
      <c r="H20" s="5"/>
    </row>
    <row r="21" spans="1:8" x14ac:dyDescent="0.25">
      <c r="A21" s="2"/>
      <c r="B21" s="3"/>
      <c r="C21" s="4"/>
      <c r="D21" s="5" t="str">
        <f t="shared" si="2"/>
        <v>Are you speaking to the budget holder?</v>
      </c>
      <c r="E21" s="6" t="s">
        <v>12</v>
      </c>
      <c r="F21" s="6">
        <f t="shared" si="0"/>
        <v>0</v>
      </c>
      <c r="G21" s="9"/>
      <c r="H21" s="5"/>
    </row>
    <row r="22" spans="1:8" x14ac:dyDescent="0.25">
      <c r="A22" s="2"/>
      <c r="B22" s="3"/>
      <c r="C22" s="4"/>
      <c r="D22" s="5" t="str">
        <f t="shared" si="2"/>
        <v>Do they have a clinical or social need for our product?</v>
      </c>
      <c r="E22" s="6" t="s">
        <v>11</v>
      </c>
      <c r="F22" s="6">
        <f t="shared" si="0"/>
        <v>1</v>
      </c>
      <c r="G22" s="9"/>
      <c r="H22" s="5"/>
    </row>
    <row r="23" spans="1:8" x14ac:dyDescent="0.25">
      <c r="A23" s="2"/>
      <c r="B23" s="3"/>
      <c r="C23" s="4"/>
      <c r="D23" s="5" t="str">
        <f t="shared" si="2"/>
        <v>Is the client engaged with MyCognition? E.g. responsive to emails</v>
      </c>
      <c r="E23" s="6" t="s">
        <v>12</v>
      </c>
      <c r="F23" s="6">
        <f t="shared" si="0"/>
        <v>0</v>
      </c>
      <c r="G23" s="9"/>
      <c r="H23" s="5"/>
    </row>
    <row r="24" spans="1:8" x14ac:dyDescent="0.25">
      <c r="A24" s="2"/>
      <c r="B24" s="3"/>
      <c r="C24" s="4"/>
      <c r="D24" s="5" t="str">
        <f t="shared" si="2"/>
        <v>Will this deal happen within the next 3 months?</v>
      </c>
      <c r="E24" s="6" t="s">
        <v>12</v>
      </c>
      <c r="F24" s="6">
        <f t="shared" si="0"/>
        <v>0</v>
      </c>
      <c r="G24" s="9"/>
      <c r="H24" s="5"/>
    </row>
    <row r="25" spans="1:8" x14ac:dyDescent="0.25">
      <c r="B25" s="3"/>
      <c r="C25" s="4"/>
      <c r="D25" s="5" t="str">
        <f t="shared" si="2"/>
        <v>Does the client have a clear rationale to buy? E.g. ROI</v>
      </c>
      <c r="E25" s="6" t="s">
        <v>12</v>
      </c>
      <c r="F25" s="6">
        <f t="shared" si="0"/>
        <v>0</v>
      </c>
      <c r="G25" s="9"/>
      <c r="H25" s="5"/>
    </row>
    <row r="26" spans="1:8" x14ac:dyDescent="0.25">
      <c r="B26" s="3"/>
      <c r="C26" s="4"/>
      <c r="D26" s="5" t="str">
        <f t="shared" si="2"/>
        <v xml:space="preserve"> </v>
      </c>
      <c r="E26" s="6"/>
      <c r="F26" s="6" t="str">
        <f t="shared" si="0"/>
        <v/>
      </c>
      <c r="G26" s="9"/>
      <c r="H26" s="5"/>
    </row>
    <row r="27" spans="1:8" x14ac:dyDescent="0.25">
      <c r="B27" s="3"/>
      <c r="C27" s="4"/>
      <c r="D27" s="5" t="str">
        <f t="shared" si="2"/>
        <v xml:space="preserve"> </v>
      </c>
      <c r="E27" s="6"/>
      <c r="F27" s="6" t="str">
        <f t="shared" si="0"/>
        <v/>
      </c>
      <c r="G27" s="9"/>
      <c r="H27" s="5"/>
    </row>
    <row r="28" spans="1:8" x14ac:dyDescent="0.25">
      <c r="B28" s="3" t="s">
        <v>16</v>
      </c>
      <c r="C28" s="4">
        <v>32500</v>
      </c>
      <c r="D28" s="5" t="str">
        <f t="shared" si="2"/>
        <v>Do they have the budget?</v>
      </c>
      <c r="E28" s="6"/>
      <c r="F28" s="6">
        <f t="shared" si="0"/>
        <v>0</v>
      </c>
      <c r="G28" s="9">
        <f t="shared" ref="G28" si="4">SUM(F28:F33)</f>
        <v>0</v>
      </c>
      <c r="H28" s="5"/>
    </row>
    <row r="29" spans="1:8" x14ac:dyDescent="0.25">
      <c r="B29" s="3"/>
      <c r="C29" s="4"/>
      <c r="D29" s="5" t="str">
        <f t="shared" si="2"/>
        <v>Are you speaking to the budget holder?</v>
      </c>
      <c r="E29" s="6"/>
      <c r="F29" s="6">
        <f t="shared" si="0"/>
        <v>0</v>
      </c>
      <c r="G29" s="9"/>
      <c r="H29" s="5"/>
    </row>
    <row r="30" spans="1:8" x14ac:dyDescent="0.25">
      <c r="B30" s="3"/>
      <c r="C30" s="4"/>
      <c r="D30" s="5" t="str">
        <f t="shared" si="2"/>
        <v>Do they have a clinical or social need for our product?</v>
      </c>
      <c r="E30" s="6"/>
      <c r="F30" s="6">
        <f t="shared" si="0"/>
        <v>0</v>
      </c>
      <c r="G30" s="9"/>
      <c r="H30" s="5"/>
    </row>
    <row r="31" spans="1:8" x14ac:dyDescent="0.25">
      <c r="B31" s="3"/>
      <c r="C31" s="4"/>
      <c r="D31" s="5" t="str">
        <f t="shared" si="2"/>
        <v>Is the client engaged with MyCognition? E.g. responsive to emails</v>
      </c>
      <c r="E31" s="6"/>
      <c r="F31" s="6">
        <f t="shared" si="0"/>
        <v>0</v>
      </c>
      <c r="G31" s="9"/>
      <c r="H31" s="5"/>
    </row>
    <row r="32" spans="1:8" x14ac:dyDescent="0.25">
      <c r="B32" s="3"/>
      <c r="C32" s="4"/>
      <c r="D32" s="5" t="str">
        <f t="shared" si="2"/>
        <v>Will this deal happen within the next 3 months?</v>
      </c>
      <c r="E32" s="6"/>
      <c r="F32" s="6">
        <f t="shared" si="0"/>
        <v>0</v>
      </c>
      <c r="G32" s="9"/>
      <c r="H32" s="5"/>
    </row>
    <row r="33" spans="2:8" x14ac:dyDescent="0.25">
      <c r="B33" s="3"/>
      <c r="C33" s="4"/>
      <c r="D33" s="5" t="str">
        <f t="shared" si="2"/>
        <v>Does the client have a clear rationale to buy? E.g. ROI</v>
      </c>
      <c r="E33" s="6"/>
      <c r="F33" s="6">
        <f t="shared" si="0"/>
        <v>0</v>
      </c>
      <c r="G33" s="9"/>
      <c r="H33" s="5"/>
    </row>
    <row r="34" spans="2:8" x14ac:dyDescent="0.25">
      <c r="B34" s="3"/>
      <c r="C34" s="4"/>
      <c r="D34" s="5" t="str">
        <f t="shared" si="2"/>
        <v xml:space="preserve"> </v>
      </c>
      <c r="E34" s="6"/>
      <c r="F34" s="6" t="str">
        <f t="shared" si="0"/>
        <v/>
      </c>
      <c r="G34" s="9"/>
      <c r="H34" s="5"/>
    </row>
    <row r="35" spans="2:8" x14ac:dyDescent="0.25">
      <c r="B35" s="3"/>
      <c r="C35" s="4"/>
      <c r="D35" s="5" t="str">
        <f t="shared" si="2"/>
        <v xml:space="preserve"> </v>
      </c>
      <c r="E35" s="6"/>
      <c r="F35" s="6" t="str">
        <f t="shared" si="0"/>
        <v/>
      </c>
      <c r="G35" s="9"/>
      <c r="H35" s="5"/>
    </row>
    <row r="36" spans="2:8" x14ac:dyDescent="0.25">
      <c r="B36" s="3" t="s">
        <v>17</v>
      </c>
      <c r="C36" s="4">
        <v>150000</v>
      </c>
      <c r="D36" s="5" t="str">
        <f t="shared" si="2"/>
        <v>Do they have the budget?</v>
      </c>
      <c r="E36" s="6"/>
      <c r="F36" s="6">
        <f t="shared" si="0"/>
        <v>0</v>
      </c>
      <c r="G36" s="9">
        <f t="shared" ref="G36" si="5">SUM(F36:F41)</f>
        <v>0</v>
      </c>
      <c r="H36" s="5"/>
    </row>
    <row r="37" spans="2:8" x14ac:dyDescent="0.25">
      <c r="B37" s="3"/>
      <c r="C37" s="4"/>
      <c r="D37" s="5" t="str">
        <f t="shared" si="2"/>
        <v>Are you speaking to the budget holder?</v>
      </c>
      <c r="E37" s="6"/>
      <c r="F37" s="6">
        <f t="shared" si="0"/>
        <v>0</v>
      </c>
      <c r="G37" s="9"/>
      <c r="H37" s="5"/>
    </row>
    <row r="38" spans="2:8" x14ac:dyDescent="0.25">
      <c r="B38" s="3"/>
      <c r="C38" s="4"/>
      <c r="D38" s="5" t="str">
        <f t="shared" si="2"/>
        <v>Do they have a clinical or social need for our product?</v>
      </c>
      <c r="E38" s="6"/>
      <c r="F38" s="6">
        <f t="shared" si="0"/>
        <v>0</v>
      </c>
      <c r="G38" s="9"/>
      <c r="H38" s="5"/>
    </row>
    <row r="39" spans="2:8" x14ac:dyDescent="0.25">
      <c r="B39" s="3"/>
      <c r="C39" s="4"/>
      <c r="D39" s="5" t="str">
        <f t="shared" si="2"/>
        <v>Is the client engaged with MyCognition? E.g. responsive to emails</v>
      </c>
      <c r="E39" s="6"/>
      <c r="F39" s="6">
        <f t="shared" si="0"/>
        <v>0</v>
      </c>
      <c r="G39" s="9"/>
      <c r="H39" s="5"/>
    </row>
    <row r="40" spans="2:8" x14ac:dyDescent="0.25">
      <c r="B40" s="3"/>
      <c r="C40" s="4"/>
      <c r="D40" s="5" t="str">
        <f t="shared" si="2"/>
        <v>Will this deal happen within the next 3 months?</v>
      </c>
      <c r="E40" s="6"/>
      <c r="F40" s="6">
        <f t="shared" si="0"/>
        <v>0</v>
      </c>
      <c r="G40" s="9"/>
      <c r="H40" s="5"/>
    </row>
    <row r="41" spans="2:8" x14ac:dyDescent="0.25">
      <c r="B41" s="3"/>
      <c r="C41" s="4"/>
      <c r="D41" s="5" t="str">
        <f t="shared" si="2"/>
        <v>Does the client have a clear rationale to buy? E.g. ROI</v>
      </c>
      <c r="E41" s="6"/>
      <c r="F41" s="6">
        <f t="shared" si="0"/>
        <v>0</v>
      </c>
      <c r="G41" s="9"/>
      <c r="H41" s="5"/>
    </row>
    <row r="42" spans="2:8" x14ac:dyDescent="0.25">
      <c r="B42" s="3"/>
      <c r="C42" s="4"/>
      <c r="D42" s="5" t="str">
        <f t="shared" si="2"/>
        <v xml:space="preserve"> </v>
      </c>
      <c r="E42" s="6"/>
      <c r="F42" s="6" t="str">
        <f t="shared" si="0"/>
        <v/>
      </c>
      <c r="G42" s="9"/>
      <c r="H42" s="5"/>
    </row>
    <row r="43" spans="2:8" x14ac:dyDescent="0.25">
      <c r="B43" s="3"/>
      <c r="C43" s="4"/>
      <c r="D43" s="5" t="str">
        <f t="shared" si="2"/>
        <v xml:space="preserve"> </v>
      </c>
      <c r="E43" s="6"/>
      <c r="F43" s="6" t="str">
        <f t="shared" si="0"/>
        <v/>
      </c>
      <c r="G43" s="9"/>
      <c r="H43" s="5"/>
    </row>
    <row r="44" spans="2:8" x14ac:dyDescent="0.25">
      <c r="B44" s="3" t="s">
        <v>18</v>
      </c>
      <c r="C44" s="4">
        <v>15000</v>
      </c>
      <c r="D44" s="5" t="str">
        <f t="shared" si="2"/>
        <v>Do they have the budget?</v>
      </c>
      <c r="E44" s="6"/>
      <c r="F44" s="6">
        <f t="shared" si="0"/>
        <v>0</v>
      </c>
      <c r="G44" s="9">
        <f t="shared" ref="G44" si="6">SUM(F44:F49)</f>
        <v>0</v>
      </c>
      <c r="H44" s="5"/>
    </row>
    <row r="45" spans="2:8" x14ac:dyDescent="0.25">
      <c r="B45" s="3"/>
      <c r="C45" s="4"/>
      <c r="D45" s="5" t="str">
        <f t="shared" si="2"/>
        <v>Are you speaking to the budget holder?</v>
      </c>
      <c r="E45" s="6"/>
      <c r="F45" s="6">
        <f t="shared" si="0"/>
        <v>0</v>
      </c>
      <c r="G45" s="9"/>
      <c r="H45" s="5"/>
    </row>
    <row r="46" spans="2:8" x14ac:dyDescent="0.25">
      <c r="B46" s="3"/>
      <c r="C46" s="4"/>
      <c r="D46" s="5" t="str">
        <f t="shared" si="2"/>
        <v>Do they have a clinical or social need for our product?</v>
      </c>
      <c r="E46" s="6"/>
      <c r="F46" s="6">
        <f t="shared" si="0"/>
        <v>0</v>
      </c>
      <c r="G46" s="9"/>
      <c r="H46" s="5"/>
    </row>
    <row r="47" spans="2:8" x14ac:dyDescent="0.25">
      <c r="B47" s="3"/>
      <c r="C47" s="4"/>
      <c r="D47" s="5" t="str">
        <f t="shared" si="2"/>
        <v>Is the client engaged with MyCognition? E.g. responsive to emails</v>
      </c>
      <c r="E47" s="6"/>
      <c r="F47" s="6">
        <f t="shared" si="0"/>
        <v>0</v>
      </c>
      <c r="G47" s="9"/>
      <c r="H47" s="5"/>
    </row>
    <row r="48" spans="2:8" x14ac:dyDescent="0.25">
      <c r="B48" s="3"/>
      <c r="C48" s="4"/>
      <c r="D48" s="5" t="str">
        <f t="shared" si="2"/>
        <v>Will this deal happen within the next 3 months?</v>
      </c>
      <c r="E48" s="6"/>
      <c r="F48" s="6">
        <f t="shared" si="0"/>
        <v>0</v>
      </c>
      <c r="G48" s="9"/>
      <c r="H48" s="5"/>
    </row>
    <row r="49" spans="2:8" x14ac:dyDescent="0.25">
      <c r="B49" s="3"/>
      <c r="C49" s="4"/>
      <c r="D49" s="5" t="str">
        <f t="shared" si="2"/>
        <v>Does the client have a clear rationale to buy? E.g. ROI</v>
      </c>
      <c r="E49" s="6"/>
      <c r="F49" s="6">
        <f t="shared" si="0"/>
        <v>0</v>
      </c>
      <c r="G49" s="9"/>
      <c r="H49" s="5"/>
    </row>
    <row r="50" spans="2:8" x14ac:dyDescent="0.25">
      <c r="B50" s="3"/>
      <c r="C50" s="4"/>
      <c r="D50" s="5" t="str">
        <f t="shared" si="2"/>
        <v xml:space="preserve"> </v>
      </c>
      <c r="E50" s="6"/>
      <c r="F50" s="6" t="str">
        <f t="shared" si="0"/>
        <v/>
      </c>
      <c r="G50" s="9"/>
      <c r="H50" s="5"/>
    </row>
    <row r="51" spans="2:8" x14ac:dyDescent="0.25">
      <c r="B51" s="3"/>
      <c r="C51" s="4"/>
      <c r="D51" s="5" t="str">
        <f t="shared" si="2"/>
        <v xml:space="preserve"> </v>
      </c>
      <c r="E51" s="6"/>
      <c r="F51" s="6" t="str">
        <f t="shared" si="0"/>
        <v/>
      </c>
      <c r="G51" s="9"/>
      <c r="H51" s="5"/>
    </row>
    <row r="52" spans="2:8" x14ac:dyDescent="0.25">
      <c r="B52" s="3" t="s">
        <v>28</v>
      </c>
      <c r="C52" s="4">
        <v>12000</v>
      </c>
      <c r="D52" s="5" t="str">
        <f t="shared" si="2"/>
        <v>Do they have the budget?</v>
      </c>
      <c r="E52" s="6"/>
      <c r="F52" s="6">
        <f t="shared" si="0"/>
        <v>0</v>
      </c>
      <c r="G52" s="9">
        <f t="shared" ref="G52" si="7">SUM(F52:F57)</f>
        <v>0</v>
      </c>
      <c r="H52" s="5"/>
    </row>
    <row r="53" spans="2:8" x14ac:dyDescent="0.25">
      <c r="B53" s="3"/>
      <c r="C53" s="4"/>
      <c r="D53" s="5" t="str">
        <f t="shared" si="2"/>
        <v>Are you speaking to the budget holder?</v>
      </c>
      <c r="E53" s="6"/>
      <c r="F53" s="6">
        <f t="shared" si="0"/>
        <v>0</v>
      </c>
      <c r="G53" s="9"/>
      <c r="H53" s="5"/>
    </row>
    <row r="54" spans="2:8" x14ac:dyDescent="0.25">
      <c r="B54" s="3"/>
      <c r="C54" s="4"/>
      <c r="D54" s="5" t="str">
        <f t="shared" si="2"/>
        <v>Do they have a clinical or social need for our product?</v>
      </c>
      <c r="E54" s="6"/>
      <c r="F54" s="6">
        <f t="shared" si="0"/>
        <v>0</v>
      </c>
      <c r="G54" s="9"/>
      <c r="H54" s="5"/>
    </row>
    <row r="55" spans="2:8" x14ac:dyDescent="0.25">
      <c r="B55" s="3"/>
      <c r="C55" s="4"/>
      <c r="D55" s="5" t="str">
        <f t="shared" si="2"/>
        <v>Is the client engaged with MyCognition? E.g. responsive to emails</v>
      </c>
      <c r="E55" s="6"/>
      <c r="F55" s="6">
        <f t="shared" si="0"/>
        <v>0</v>
      </c>
      <c r="G55" s="9"/>
      <c r="H55" s="5"/>
    </row>
    <row r="56" spans="2:8" x14ac:dyDescent="0.25">
      <c r="B56" s="3"/>
      <c r="C56" s="4"/>
      <c r="D56" s="5" t="str">
        <f t="shared" si="2"/>
        <v>Will this deal happen within the next 3 months?</v>
      </c>
      <c r="E56" s="6"/>
      <c r="F56" s="6">
        <f t="shared" si="0"/>
        <v>0</v>
      </c>
      <c r="G56" s="9"/>
      <c r="H56" s="5"/>
    </row>
    <row r="57" spans="2:8" x14ac:dyDescent="0.25">
      <c r="B57" s="3"/>
      <c r="C57" s="4"/>
      <c r="D57" s="5" t="str">
        <f t="shared" si="2"/>
        <v>Does the client have a clear rationale to buy? E.g. ROI</v>
      </c>
      <c r="E57" s="6"/>
      <c r="F57" s="6">
        <f t="shared" si="0"/>
        <v>0</v>
      </c>
      <c r="G57" s="9"/>
      <c r="H57" s="5"/>
    </row>
    <row r="58" spans="2:8" x14ac:dyDescent="0.25">
      <c r="B58" s="3"/>
      <c r="C58" s="4"/>
      <c r="D58" s="5" t="str">
        <f t="shared" si="2"/>
        <v xml:space="preserve"> </v>
      </c>
      <c r="E58" s="6"/>
      <c r="F58" s="6" t="str">
        <f t="shared" si="0"/>
        <v/>
      </c>
      <c r="G58" s="9"/>
      <c r="H58" s="5"/>
    </row>
    <row r="59" spans="2:8" x14ac:dyDescent="0.25">
      <c r="B59" s="3"/>
      <c r="C59" s="4"/>
      <c r="D59" s="5" t="str">
        <f t="shared" si="2"/>
        <v xml:space="preserve"> </v>
      </c>
      <c r="E59" s="6"/>
      <c r="F59" s="6" t="str">
        <f t="shared" si="0"/>
        <v/>
      </c>
      <c r="G59" s="9"/>
      <c r="H59" s="5"/>
    </row>
    <row r="60" spans="2:8" x14ac:dyDescent="0.25">
      <c r="B60" s="3" t="s">
        <v>19</v>
      </c>
      <c r="C60" s="4">
        <v>150000</v>
      </c>
      <c r="D60" s="5" t="str">
        <f t="shared" si="2"/>
        <v>Do they have the budget?</v>
      </c>
      <c r="E60" s="6"/>
      <c r="F60" s="6">
        <f t="shared" si="0"/>
        <v>0</v>
      </c>
      <c r="G60" s="9">
        <f t="shared" ref="G60" si="8">SUM(F60:F65)</f>
        <v>0</v>
      </c>
      <c r="H60" s="5"/>
    </row>
    <row r="61" spans="2:8" x14ac:dyDescent="0.25">
      <c r="B61" s="3"/>
      <c r="C61" s="4"/>
      <c r="D61" s="5" t="str">
        <f t="shared" si="2"/>
        <v>Are you speaking to the budget holder?</v>
      </c>
      <c r="E61" s="6"/>
      <c r="F61" s="6">
        <f t="shared" si="0"/>
        <v>0</v>
      </c>
      <c r="G61" s="9"/>
      <c r="H61" s="5"/>
    </row>
    <row r="62" spans="2:8" x14ac:dyDescent="0.25">
      <c r="B62" s="3"/>
      <c r="C62" s="4"/>
      <c r="D62" s="5" t="str">
        <f t="shared" si="2"/>
        <v>Do they have a clinical or social need for our product?</v>
      </c>
      <c r="E62" s="6"/>
      <c r="F62" s="6">
        <f t="shared" si="0"/>
        <v>0</v>
      </c>
      <c r="G62" s="9"/>
      <c r="H62" s="5"/>
    </row>
    <row r="63" spans="2:8" x14ac:dyDescent="0.25">
      <c r="B63" s="3"/>
      <c r="C63" s="4"/>
      <c r="D63" s="5" t="str">
        <f t="shared" si="2"/>
        <v>Is the client engaged with MyCognition? E.g. responsive to emails</v>
      </c>
      <c r="E63" s="6"/>
      <c r="F63" s="6">
        <f t="shared" si="0"/>
        <v>0</v>
      </c>
      <c r="G63" s="9"/>
      <c r="H63" s="5"/>
    </row>
    <row r="64" spans="2:8" x14ac:dyDescent="0.25">
      <c r="B64" s="3"/>
      <c r="C64" s="4"/>
      <c r="D64" s="5" t="str">
        <f t="shared" si="2"/>
        <v>Will this deal happen within the next 3 months?</v>
      </c>
      <c r="E64" s="6"/>
      <c r="F64" s="6">
        <f t="shared" si="0"/>
        <v>0</v>
      </c>
      <c r="G64" s="9"/>
      <c r="H64" s="5"/>
    </row>
    <row r="65" spans="2:8" x14ac:dyDescent="0.25">
      <c r="B65" s="3"/>
      <c r="C65" s="4"/>
      <c r="D65" s="5" t="str">
        <f t="shared" si="2"/>
        <v>Does the client have a clear rationale to buy? E.g. ROI</v>
      </c>
      <c r="E65" s="6"/>
      <c r="F65" s="6">
        <f t="shared" si="0"/>
        <v>0</v>
      </c>
      <c r="G65" s="9"/>
      <c r="H65" s="5"/>
    </row>
    <row r="66" spans="2:8" x14ac:dyDescent="0.25">
      <c r="B66" s="3"/>
      <c r="C66" s="4"/>
      <c r="D66" s="5" t="str">
        <f t="shared" si="2"/>
        <v xml:space="preserve"> </v>
      </c>
      <c r="E66" s="6"/>
      <c r="F66" s="6" t="str">
        <f t="shared" si="0"/>
        <v/>
      </c>
      <c r="G66" s="9"/>
      <c r="H66" s="5"/>
    </row>
    <row r="67" spans="2:8" x14ac:dyDescent="0.25">
      <c r="B67" s="3"/>
      <c r="C67" s="4"/>
      <c r="D67" s="5" t="str">
        <f t="shared" si="2"/>
        <v xml:space="preserve"> </v>
      </c>
      <c r="E67" s="6"/>
      <c r="F67" s="6" t="str">
        <f t="shared" si="0"/>
        <v/>
      </c>
      <c r="G67" s="9"/>
      <c r="H67" s="5"/>
    </row>
    <row r="68" spans="2:8" x14ac:dyDescent="0.25">
      <c r="B68" s="3" t="s">
        <v>29</v>
      </c>
      <c r="C68" s="4">
        <v>20000</v>
      </c>
      <c r="D68" s="5" t="str">
        <f t="shared" si="2"/>
        <v>Do they have the budget?</v>
      </c>
      <c r="E68" s="6"/>
      <c r="F68" s="6">
        <f t="shared" si="0"/>
        <v>0</v>
      </c>
      <c r="G68" s="9">
        <f t="shared" ref="G68" si="9">SUM(F68:F73)</f>
        <v>0</v>
      </c>
      <c r="H68" s="5"/>
    </row>
    <row r="69" spans="2:8" x14ac:dyDescent="0.25">
      <c r="B69" s="3"/>
      <c r="C69" s="4"/>
      <c r="D69" s="5" t="str">
        <f t="shared" si="2"/>
        <v>Are you speaking to the budget holder?</v>
      </c>
      <c r="E69" s="6"/>
      <c r="F69" s="6">
        <f t="shared" ref="F69:F132" si="10">IF(E69="Yes",1,IF(D69=" ","",0))</f>
        <v>0</v>
      </c>
      <c r="G69" s="9"/>
      <c r="H69" s="5"/>
    </row>
    <row r="70" spans="2:8" x14ac:dyDescent="0.25">
      <c r="B70" s="3"/>
      <c r="C70" s="4"/>
      <c r="D70" s="5" t="str">
        <f t="shared" si="2"/>
        <v>Do they have a clinical or social need for our product?</v>
      </c>
      <c r="E70" s="6"/>
      <c r="F70" s="6">
        <f t="shared" si="10"/>
        <v>0</v>
      </c>
      <c r="G70" s="9"/>
      <c r="H70" s="5"/>
    </row>
    <row r="71" spans="2:8" x14ac:dyDescent="0.25">
      <c r="B71" s="3"/>
      <c r="C71" s="4"/>
      <c r="D71" s="5" t="str">
        <f t="shared" si="2"/>
        <v>Is the client engaged with MyCognition? E.g. responsive to emails</v>
      </c>
      <c r="E71" s="6"/>
      <c r="F71" s="6">
        <f t="shared" si="10"/>
        <v>0</v>
      </c>
      <c r="G71" s="9"/>
      <c r="H71" s="5"/>
    </row>
    <row r="72" spans="2:8" x14ac:dyDescent="0.25">
      <c r="B72" s="3"/>
      <c r="C72" s="4"/>
      <c r="D72" s="5" t="str">
        <f t="shared" si="2"/>
        <v>Will this deal happen within the next 3 months?</v>
      </c>
      <c r="E72" s="6"/>
      <c r="F72" s="6">
        <f t="shared" si="10"/>
        <v>0</v>
      </c>
      <c r="G72" s="9"/>
      <c r="H72" s="5"/>
    </row>
    <row r="73" spans="2:8" x14ac:dyDescent="0.25">
      <c r="B73" s="3"/>
      <c r="C73" s="4"/>
      <c r="D73" s="5" t="str">
        <f t="shared" si="2"/>
        <v>Does the client have a clear rationale to buy? E.g. ROI</v>
      </c>
      <c r="E73" s="6"/>
      <c r="F73" s="6">
        <f t="shared" si="10"/>
        <v>0</v>
      </c>
      <c r="G73" s="9"/>
      <c r="H73" s="5"/>
    </row>
    <row r="74" spans="2:8" x14ac:dyDescent="0.25">
      <c r="B74" s="3"/>
      <c r="C74" s="4"/>
      <c r="D74" s="5" t="str">
        <f t="shared" si="2"/>
        <v xml:space="preserve"> </v>
      </c>
      <c r="E74" s="6"/>
      <c r="F74" s="6" t="str">
        <f t="shared" si="10"/>
        <v/>
      </c>
      <c r="G74" s="9"/>
      <c r="H74" s="5"/>
    </row>
    <row r="75" spans="2:8" x14ac:dyDescent="0.25">
      <c r="B75" s="3"/>
      <c r="C75" s="4"/>
      <c r="D75" s="5" t="str">
        <f t="shared" si="2"/>
        <v xml:space="preserve"> </v>
      </c>
      <c r="E75" s="6"/>
      <c r="F75" s="6" t="str">
        <f t="shared" si="10"/>
        <v/>
      </c>
      <c r="G75" s="9"/>
      <c r="H75" s="5"/>
    </row>
    <row r="76" spans="2:8" x14ac:dyDescent="0.25">
      <c r="B76" s="3" t="s">
        <v>30</v>
      </c>
      <c r="C76" s="4">
        <v>20000</v>
      </c>
      <c r="D76" s="5" t="str">
        <f t="shared" si="2"/>
        <v>Do they have the budget?</v>
      </c>
      <c r="E76" s="6"/>
      <c r="F76" s="6">
        <f t="shared" si="10"/>
        <v>0</v>
      </c>
      <c r="G76" s="9">
        <f t="shared" ref="G76" si="11">SUM(F76:F81)</f>
        <v>0</v>
      </c>
      <c r="H76" s="5"/>
    </row>
    <row r="77" spans="2:8" x14ac:dyDescent="0.25">
      <c r="B77" s="3"/>
      <c r="C77" s="4"/>
      <c r="D77" s="5" t="str">
        <f t="shared" ref="D77:D120" si="12">D69</f>
        <v>Are you speaking to the budget holder?</v>
      </c>
      <c r="E77" s="6"/>
      <c r="F77" s="6">
        <f t="shared" si="10"/>
        <v>0</v>
      </c>
      <c r="G77" s="9"/>
      <c r="H77" s="5"/>
    </row>
    <row r="78" spans="2:8" x14ac:dyDescent="0.25">
      <c r="B78" s="3"/>
      <c r="C78" s="4"/>
      <c r="D78" s="5" t="str">
        <f t="shared" si="12"/>
        <v>Do they have a clinical or social need for our product?</v>
      </c>
      <c r="E78" s="6"/>
      <c r="F78" s="6">
        <f t="shared" si="10"/>
        <v>0</v>
      </c>
      <c r="G78" s="9"/>
      <c r="H78" s="5"/>
    </row>
    <row r="79" spans="2:8" x14ac:dyDescent="0.25">
      <c r="B79" s="3"/>
      <c r="C79" s="4"/>
      <c r="D79" s="5" t="str">
        <f t="shared" si="12"/>
        <v>Is the client engaged with MyCognition? E.g. responsive to emails</v>
      </c>
      <c r="E79" s="6"/>
      <c r="F79" s="6">
        <f t="shared" si="10"/>
        <v>0</v>
      </c>
      <c r="G79" s="9"/>
      <c r="H79" s="5"/>
    </row>
    <row r="80" spans="2:8" x14ac:dyDescent="0.25">
      <c r="B80" s="3"/>
      <c r="C80" s="4"/>
      <c r="D80" s="5" t="str">
        <f t="shared" si="12"/>
        <v>Will this deal happen within the next 3 months?</v>
      </c>
      <c r="E80" s="6"/>
      <c r="F80" s="6">
        <f t="shared" si="10"/>
        <v>0</v>
      </c>
      <c r="G80" s="9"/>
      <c r="H80" s="5"/>
    </row>
    <row r="81" spans="2:8" x14ac:dyDescent="0.25">
      <c r="B81" s="3"/>
      <c r="C81" s="4"/>
      <c r="D81" s="5" t="str">
        <f t="shared" si="12"/>
        <v>Does the client have a clear rationale to buy? E.g. ROI</v>
      </c>
      <c r="E81" s="6"/>
      <c r="F81" s="6">
        <f t="shared" si="10"/>
        <v>0</v>
      </c>
      <c r="G81" s="9"/>
      <c r="H81" s="5"/>
    </row>
    <row r="82" spans="2:8" x14ac:dyDescent="0.25">
      <c r="B82" s="3"/>
      <c r="C82" s="4"/>
      <c r="D82" s="5" t="str">
        <f t="shared" si="12"/>
        <v xml:space="preserve"> </v>
      </c>
      <c r="E82" s="6"/>
      <c r="F82" s="6" t="str">
        <f t="shared" si="10"/>
        <v/>
      </c>
      <c r="G82" s="9"/>
      <c r="H82" s="5"/>
    </row>
    <row r="83" spans="2:8" x14ac:dyDescent="0.25">
      <c r="B83" s="3"/>
      <c r="C83" s="4"/>
      <c r="D83" s="5" t="str">
        <f t="shared" si="12"/>
        <v xml:space="preserve"> </v>
      </c>
      <c r="E83" s="6"/>
      <c r="F83" s="6" t="str">
        <f t="shared" si="10"/>
        <v/>
      </c>
      <c r="G83" s="9"/>
      <c r="H83" s="5"/>
    </row>
    <row r="84" spans="2:8" x14ac:dyDescent="0.25">
      <c r="B84" s="3" t="s">
        <v>20</v>
      </c>
      <c r="C84" s="4">
        <v>150000</v>
      </c>
      <c r="D84" s="5" t="str">
        <f t="shared" si="12"/>
        <v>Do they have the budget?</v>
      </c>
      <c r="E84" s="6"/>
      <c r="F84" s="6">
        <f t="shared" si="10"/>
        <v>0</v>
      </c>
      <c r="G84" s="9">
        <f t="shared" ref="G84" si="13">SUM(F84:F89)</f>
        <v>0</v>
      </c>
      <c r="H84" s="5"/>
    </row>
    <row r="85" spans="2:8" x14ac:dyDescent="0.25">
      <c r="B85" s="3"/>
      <c r="C85" s="4"/>
      <c r="D85" s="5" t="str">
        <f t="shared" si="12"/>
        <v>Are you speaking to the budget holder?</v>
      </c>
      <c r="E85" s="6"/>
      <c r="F85" s="6">
        <f t="shared" si="10"/>
        <v>0</v>
      </c>
      <c r="G85" s="9"/>
      <c r="H85" s="5"/>
    </row>
    <row r="86" spans="2:8" x14ac:dyDescent="0.25">
      <c r="B86" s="3"/>
      <c r="C86" s="4"/>
      <c r="D86" s="5" t="str">
        <f t="shared" si="12"/>
        <v>Do they have a clinical or social need for our product?</v>
      </c>
      <c r="E86" s="6"/>
      <c r="F86" s="6">
        <f t="shared" si="10"/>
        <v>0</v>
      </c>
      <c r="G86" s="9"/>
      <c r="H86" s="5"/>
    </row>
    <row r="87" spans="2:8" x14ac:dyDescent="0.25">
      <c r="B87" s="3"/>
      <c r="C87" s="4"/>
      <c r="D87" s="5" t="str">
        <f t="shared" si="12"/>
        <v>Is the client engaged with MyCognition? E.g. responsive to emails</v>
      </c>
      <c r="E87" s="6"/>
      <c r="F87" s="6">
        <f t="shared" si="10"/>
        <v>0</v>
      </c>
      <c r="G87" s="9"/>
      <c r="H87" s="5"/>
    </row>
    <row r="88" spans="2:8" x14ac:dyDescent="0.25">
      <c r="B88" s="3"/>
      <c r="C88" s="4"/>
      <c r="D88" s="5" t="str">
        <f t="shared" si="12"/>
        <v>Will this deal happen within the next 3 months?</v>
      </c>
      <c r="E88" s="6"/>
      <c r="F88" s="6">
        <f t="shared" si="10"/>
        <v>0</v>
      </c>
      <c r="G88" s="9"/>
      <c r="H88" s="5"/>
    </row>
    <row r="89" spans="2:8" x14ac:dyDescent="0.25">
      <c r="B89" s="3"/>
      <c r="C89" s="4"/>
      <c r="D89" s="5" t="str">
        <f t="shared" si="12"/>
        <v>Does the client have a clear rationale to buy? E.g. ROI</v>
      </c>
      <c r="E89" s="6"/>
      <c r="F89" s="6">
        <f t="shared" si="10"/>
        <v>0</v>
      </c>
      <c r="G89" s="9"/>
      <c r="H89" s="5"/>
    </row>
    <row r="90" spans="2:8" x14ac:dyDescent="0.25">
      <c r="B90" s="3"/>
      <c r="C90" s="4"/>
      <c r="D90" s="5" t="str">
        <f t="shared" si="12"/>
        <v xml:space="preserve"> </v>
      </c>
      <c r="E90" s="6"/>
      <c r="F90" s="6" t="str">
        <f t="shared" si="10"/>
        <v/>
      </c>
      <c r="G90" s="9"/>
      <c r="H90" s="5"/>
    </row>
    <row r="91" spans="2:8" x14ac:dyDescent="0.25">
      <c r="B91" s="3"/>
      <c r="C91" s="4"/>
      <c r="D91" s="5" t="str">
        <f t="shared" si="12"/>
        <v xml:space="preserve"> </v>
      </c>
      <c r="E91" s="6"/>
      <c r="F91" s="6" t="str">
        <f t="shared" si="10"/>
        <v/>
      </c>
      <c r="G91" s="9"/>
      <c r="H91" s="5"/>
    </row>
    <row r="92" spans="2:8" x14ac:dyDescent="0.25">
      <c r="B92" s="3" t="s">
        <v>21</v>
      </c>
      <c r="C92" s="4">
        <v>6000</v>
      </c>
      <c r="D92" s="5" t="str">
        <f t="shared" si="12"/>
        <v>Do they have the budget?</v>
      </c>
      <c r="E92" s="6"/>
      <c r="F92" s="6">
        <f t="shared" si="10"/>
        <v>0</v>
      </c>
      <c r="G92" s="9">
        <f t="shared" ref="G92" si="14">SUM(F92:F97)</f>
        <v>0</v>
      </c>
      <c r="H92" s="5"/>
    </row>
    <row r="93" spans="2:8" x14ac:dyDescent="0.25">
      <c r="B93" s="3"/>
      <c r="C93" s="4"/>
      <c r="D93" s="5" t="str">
        <f t="shared" si="12"/>
        <v>Are you speaking to the budget holder?</v>
      </c>
      <c r="E93" s="6"/>
      <c r="F93" s="6">
        <f t="shared" si="10"/>
        <v>0</v>
      </c>
      <c r="G93" s="9"/>
      <c r="H93" s="5"/>
    </row>
    <row r="94" spans="2:8" x14ac:dyDescent="0.25">
      <c r="B94" s="3"/>
      <c r="C94" s="4"/>
      <c r="D94" s="5" t="str">
        <f t="shared" si="12"/>
        <v>Do they have a clinical or social need for our product?</v>
      </c>
      <c r="E94" s="6"/>
      <c r="F94" s="6">
        <f t="shared" si="10"/>
        <v>0</v>
      </c>
      <c r="G94" s="9"/>
      <c r="H94" s="5"/>
    </row>
    <row r="95" spans="2:8" x14ac:dyDescent="0.25">
      <c r="B95" s="3"/>
      <c r="C95" s="4"/>
      <c r="D95" s="5" t="str">
        <f t="shared" si="12"/>
        <v>Is the client engaged with MyCognition? E.g. responsive to emails</v>
      </c>
      <c r="E95" s="6"/>
      <c r="F95" s="6">
        <f t="shared" si="10"/>
        <v>0</v>
      </c>
      <c r="G95" s="9"/>
      <c r="H95" s="5"/>
    </row>
    <row r="96" spans="2:8" x14ac:dyDescent="0.25">
      <c r="B96" s="3"/>
      <c r="C96" s="4"/>
      <c r="D96" s="5" t="str">
        <f t="shared" si="12"/>
        <v>Will this deal happen within the next 3 months?</v>
      </c>
      <c r="E96" s="6"/>
      <c r="F96" s="6">
        <f t="shared" si="10"/>
        <v>0</v>
      </c>
      <c r="G96" s="9"/>
      <c r="H96" s="5"/>
    </row>
    <row r="97" spans="2:8" x14ac:dyDescent="0.25">
      <c r="B97" s="3"/>
      <c r="C97" s="4"/>
      <c r="D97" s="5" t="str">
        <f t="shared" si="12"/>
        <v>Does the client have a clear rationale to buy? E.g. ROI</v>
      </c>
      <c r="E97" s="6"/>
      <c r="F97" s="6">
        <f t="shared" si="10"/>
        <v>0</v>
      </c>
      <c r="G97" s="9"/>
      <c r="H97" s="5"/>
    </row>
    <row r="98" spans="2:8" x14ac:dyDescent="0.25">
      <c r="B98" s="3"/>
      <c r="C98" s="4"/>
      <c r="D98" s="5" t="str">
        <f t="shared" si="12"/>
        <v xml:space="preserve"> </v>
      </c>
      <c r="E98" s="6"/>
      <c r="F98" s="6" t="str">
        <f t="shared" si="10"/>
        <v/>
      </c>
      <c r="G98" s="9"/>
      <c r="H98" s="5"/>
    </row>
    <row r="99" spans="2:8" x14ac:dyDescent="0.25">
      <c r="B99" s="3"/>
      <c r="C99" s="4"/>
      <c r="D99" s="5" t="str">
        <f t="shared" si="12"/>
        <v xml:space="preserve"> </v>
      </c>
      <c r="E99" s="6"/>
      <c r="F99" s="6" t="str">
        <f t="shared" si="10"/>
        <v/>
      </c>
      <c r="G99" s="9"/>
      <c r="H99" s="5"/>
    </row>
    <row r="100" spans="2:8" x14ac:dyDescent="0.25">
      <c r="B100" s="3" t="s">
        <v>22</v>
      </c>
      <c r="C100" s="4">
        <v>2500</v>
      </c>
      <c r="D100" s="5" t="str">
        <f t="shared" si="12"/>
        <v>Do they have the budget?</v>
      </c>
      <c r="E100" s="6"/>
      <c r="F100" s="6">
        <f t="shared" si="10"/>
        <v>0</v>
      </c>
      <c r="G100" s="9">
        <f t="shared" ref="G100" si="15">SUM(F100:F105)</f>
        <v>0</v>
      </c>
      <c r="H100" s="5"/>
    </row>
    <row r="101" spans="2:8" x14ac:dyDescent="0.25">
      <c r="B101" s="3"/>
      <c r="C101" s="4"/>
      <c r="D101" s="5" t="str">
        <f t="shared" si="12"/>
        <v>Are you speaking to the budget holder?</v>
      </c>
      <c r="E101" s="6"/>
      <c r="F101" s="6">
        <f t="shared" si="10"/>
        <v>0</v>
      </c>
      <c r="G101" s="9"/>
      <c r="H101" s="5"/>
    </row>
    <row r="102" spans="2:8" x14ac:dyDescent="0.25">
      <c r="B102" s="3"/>
      <c r="C102" s="4"/>
      <c r="D102" s="5" t="str">
        <f t="shared" si="12"/>
        <v>Do they have a clinical or social need for our product?</v>
      </c>
      <c r="E102" s="6"/>
      <c r="F102" s="6">
        <f t="shared" si="10"/>
        <v>0</v>
      </c>
      <c r="G102" s="9"/>
      <c r="H102" s="5"/>
    </row>
    <row r="103" spans="2:8" x14ac:dyDescent="0.25">
      <c r="B103" s="3"/>
      <c r="C103" s="4"/>
      <c r="D103" s="5" t="str">
        <f t="shared" si="12"/>
        <v>Is the client engaged with MyCognition? E.g. responsive to emails</v>
      </c>
      <c r="E103" s="6"/>
      <c r="F103" s="6">
        <f t="shared" si="10"/>
        <v>0</v>
      </c>
      <c r="G103" s="9"/>
      <c r="H103" s="5"/>
    </row>
    <row r="104" spans="2:8" x14ac:dyDescent="0.25">
      <c r="B104" s="3"/>
      <c r="C104" s="4"/>
      <c r="D104" s="5" t="str">
        <f t="shared" si="12"/>
        <v>Will this deal happen within the next 3 months?</v>
      </c>
      <c r="E104" s="6"/>
      <c r="F104" s="6">
        <f t="shared" si="10"/>
        <v>0</v>
      </c>
      <c r="G104" s="9"/>
      <c r="H104" s="5"/>
    </row>
    <row r="105" spans="2:8" x14ac:dyDescent="0.25">
      <c r="B105" s="3"/>
      <c r="C105" s="4"/>
      <c r="D105" s="5" t="str">
        <f t="shared" si="12"/>
        <v>Does the client have a clear rationale to buy? E.g. ROI</v>
      </c>
      <c r="E105" s="6"/>
      <c r="F105" s="6">
        <f t="shared" si="10"/>
        <v>0</v>
      </c>
      <c r="G105" s="9"/>
      <c r="H105" s="5"/>
    </row>
    <row r="106" spans="2:8" x14ac:dyDescent="0.25">
      <c r="B106" s="3"/>
      <c r="C106" s="4"/>
      <c r="D106" s="5" t="str">
        <f t="shared" si="12"/>
        <v xml:space="preserve"> </v>
      </c>
      <c r="E106" s="6"/>
      <c r="F106" s="6" t="str">
        <f t="shared" si="10"/>
        <v/>
      </c>
      <c r="G106" s="9"/>
      <c r="H106" s="5"/>
    </row>
    <row r="107" spans="2:8" x14ac:dyDescent="0.25">
      <c r="B107" s="3"/>
      <c r="C107" s="4"/>
      <c r="D107" s="5" t="str">
        <f t="shared" si="12"/>
        <v xml:space="preserve"> </v>
      </c>
      <c r="E107" s="6"/>
      <c r="F107" s="6" t="str">
        <f t="shared" si="10"/>
        <v/>
      </c>
      <c r="G107" s="9"/>
      <c r="H107" s="5"/>
    </row>
    <row r="108" spans="2:8" x14ac:dyDescent="0.25">
      <c r="B108" s="3" t="s">
        <v>23</v>
      </c>
      <c r="C108" s="4">
        <v>25000</v>
      </c>
      <c r="D108" s="5" t="str">
        <f t="shared" si="12"/>
        <v>Do they have the budget?</v>
      </c>
      <c r="E108" s="6"/>
      <c r="F108" s="6">
        <f t="shared" si="10"/>
        <v>0</v>
      </c>
      <c r="G108" s="9">
        <f t="shared" ref="G108" si="16">SUM(F108:F113)</f>
        <v>0</v>
      </c>
      <c r="H108" s="5"/>
    </row>
    <row r="109" spans="2:8" x14ac:dyDescent="0.25">
      <c r="B109" s="3"/>
      <c r="C109" s="4"/>
      <c r="D109" s="5" t="str">
        <f t="shared" si="12"/>
        <v>Are you speaking to the budget holder?</v>
      </c>
      <c r="E109" s="6"/>
      <c r="F109" s="6">
        <f t="shared" si="10"/>
        <v>0</v>
      </c>
      <c r="G109" s="9"/>
      <c r="H109" s="5"/>
    </row>
    <row r="110" spans="2:8" x14ac:dyDescent="0.25">
      <c r="B110" s="3"/>
      <c r="C110" s="4"/>
      <c r="D110" s="5" t="str">
        <f t="shared" si="12"/>
        <v>Do they have a clinical or social need for our product?</v>
      </c>
      <c r="E110" s="6"/>
      <c r="F110" s="6">
        <f t="shared" si="10"/>
        <v>0</v>
      </c>
      <c r="G110" s="9"/>
      <c r="H110" s="5"/>
    </row>
    <row r="111" spans="2:8" x14ac:dyDescent="0.25">
      <c r="B111" s="3"/>
      <c r="C111" s="4"/>
      <c r="D111" s="5" t="str">
        <f t="shared" si="12"/>
        <v>Is the client engaged with MyCognition? E.g. responsive to emails</v>
      </c>
      <c r="E111" s="6"/>
      <c r="F111" s="6">
        <f t="shared" si="10"/>
        <v>0</v>
      </c>
      <c r="G111" s="9"/>
      <c r="H111" s="5"/>
    </row>
    <row r="112" spans="2:8" x14ac:dyDescent="0.25">
      <c r="B112" s="3"/>
      <c r="C112" s="4"/>
      <c r="D112" s="5" t="str">
        <f t="shared" si="12"/>
        <v>Will this deal happen within the next 3 months?</v>
      </c>
      <c r="E112" s="6"/>
      <c r="F112" s="6">
        <f t="shared" si="10"/>
        <v>0</v>
      </c>
      <c r="G112" s="9"/>
      <c r="H112" s="5"/>
    </row>
    <row r="113" spans="2:8" x14ac:dyDescent="0.25">
      <c r="B113" s="3"/>
      <c r="C113" s="4"/>
      <c r="D113" s="5" t="str">
        <f t="shared" si="12"/>
        <v>Does the client have a clear rationale to buy? E.g. ROI</v>
      </c>
      <c r="E113" s="6"/>
      <c r="F113" s="6">
        <f t="shared" si="10"/>
        <v>0</v>
      </c>
      <c r="G113" s="9"/>
      <c r="H113" s="5"/>
    </row>
    <row r="114" spans="2:8" x14ac:dyDescent="0.25">
      <c r="B114" s="3"/>
      <c r="C114" s="4"/>
      <c r="D114" s="5" t="str">
        <f t="shared" si="12"/>
        <v xml:space="preserve"> </v>
      </c>
      <c r="E114" s="6"/>
      <c r="F114" s="6" t="str">
        <f t="shared" si="10"/>
        <v/>
      </c>
      <c r="G114" s="9"/>
      <c r="H114" s="5"/>
    </row>
    <row r="115" spans="2:8" x14ac:dyDescent="0.25">
      <c r="B115" s="3"/>
      <c r="C115" s="4"/>
      <c r="D115" s="5" t="str">
        <f t="shared" si="12"/>
        <v xml:space="preserve"> </v>
      </c>
      <c r="E115" s="6"/>
      <c r="F115" s="6" t="str">
        <f t="shared" si="10"/>
        <v/>
      </c>
      <c r="G115" s="9"/>
      <c r="H115" s="5"/>
    </row>
    <row r="116" spans="2:8" x14ac:dyDescent="0.25">
      <c r="B116" s="3" t="s">
        <v>24</v>
      </c>
      <c r="C116" s="4">
        <v>5000</v>
      </c>
      <c r="D116" s="5" t="str">
        <f t="shared" si="12"/>
        <v>Do they have the budget?</v>
      </c>
      <c r="E116" s="6"/>
      <c r="F116" s="6">
        <f t="shared" si="10"/>
        <v>0</v>
      </c>
      <c r="G116" s="9">
        <f t="shared" ref="G116" si="17">SUM(F116:F121)</f>
        <v>0</v>
      </c>
      <c r="H116" s="5"/>
    </row>
    <row r="117" spans="2:8" x14ac:dyDescent="0.25">
      <c r="B117" s="3"/>
      <c r="C117" s="4"/>
      <c r="D117" s="5" t="str">
        <f t="shared" si="12"/>
        <v>Are you speaking to the budget holder?</v>
      </c>
      <c r="E117" s="6"/>
      <c r="F117" s="6">
        <f t="shared" si="10"/>
        <v>0</v>
      </c>
      <c r="G117" s="9"/>
      <c r="H117" s="5"/>
    </row>
    <row r="118" spans="2:8" x14ac:dyDescent="0.25">
      <c r="B118" s="3"/>
      <c r="C118" s="4"/>
      <c r="D118" s="5" t="str">
        <f t="shared" si="12"/>
        <v>Do they have a clinical or social need for our product?</v>
      </c>
      <c r="E118" s="6"/>
      <c r="F118" s="6">
        <f t="shared" si="10"/>
        <v>0</v>
      </c>
      <c r="G118" s="9"/>
      <c r="H118" s="5"/>
    </row>
    <row r="119" spans="2:8" x14ac:dyDescent="0.25">
      <c r="B119" s="3"/>
      <c r="C119" s="4"/>
      <c r="D119" s="5" t="str">
        <f t="shared" si="12"/>
        <v>Is the client engaged with MyCognition? E.g. responsive to emails</v>
      </c>
      <c r="E119" s="6"/>
      <c r="F119" s="6">
        <f t="shared" si="10"/>
        <v>0</v>
      </c>
      <c r="G119" s="9"/>
      <c r="H119" s="5"/>
    </row>
    <row r="120" spans="2:8" x14ac:dyDescent="0.25">
      <c r="B120" s="3"/>
      <c r="C120" s="4"/>
      <c r="D120" s="5" t="str">
        <f t="shared" si="12"/>
        <v>Will this deal happen within the next 3 months?</v>
      </c>
      <c r="E120" s="6"/>
      <c r="F120" s="6">
        <f t="shared" si="10"/>
        <v>0</v>
      </c>
      <c r="G120" s="9"/>
      <c r="H120" s="5"/>
    </row>
    <row r="121" spans="2:8" x14ac:dyDescent="0.25">
      <c r="B121" s="3"/>
      <c r="C121" s="4"/>
      <c r="D121" s="5" t="str">
        <f>D113</f>
        <v>Does the client have a clear rationale to buy? E.g. ROI</v>
      </c>
      <c r="E121" s="6"/>
      <c r="F121" s="6">
        <f t="shared" si="10"/>
        <v>0</v>
      </c>
      <c r="G121" s="9"/>
      <c r="H121" s="5"/>
    </row>
    <row r="122" spans="2:8" x14ac:dyDescent="0.25">
      <c r="B122" s="3"/>
      <c r="C122" s="4"/>
      <c r="D122" s="5" t="str">
        <f t="shared" ref="D122:D185" si="18">D114</f>
        <v xml:space="preserve"> </v>
      </c>
      <c r="E122" s="6"/>
      <c r="F122" s="6" t="str">
        <f t="shared" si="10"/>
        <v/>
      </c>
      <c r="G122" s="9"/>
      <c r="H122" s="5"/>
    </row>
    <row r="123" spans="2:8" x14ac:dyDescent="0.25">
      <c r="B123" s="3"/>
      <c r="C123" s="4"/>
      <c r="D123" s="5" t="str">
        <f t="shared" si="18"/>
        <v xml:space="preserve"> </v>
      </c>
      <c r="E123" s="6"/>
      <c r="F123" s="6" t="str">
        <f t="shared" si="10"/>
        <v/>
      </c>
      <c r="G123" s="9"/>
      <c r="H123" s="5"/>
    </row>
    <row r="124" spans="2:8" x14ac:dyDescent="0.25">
      <c r="B124" s="3" t="s">
        <v>31</v>
      </c>
      <c r="C124" s="4">
        <v>2000</v>
      </c>
      <c r="D124" s="5" t="str">
        <f t="shared" si="18"/>
        <v>Do they have the budget?</v>
      </c>
      <c r="E124" s="6"/>
      <c r="F124" s="6">
        <f t="shared" si="10"/>
        <v>0</v>
      </c>
      <c r="G124" s="9">
        <f t="shared" ref="G124" si="19">SUM(F124:F129)</f>
        <v>0</v>
      </c>
      <c r="H124" s="5"/>
    </row>
    <row r="125" spans="2:8" x14ac:dyDescent="0.25">
      <c r="B125" s="3"/>
      <c r="C125" s="4"/>
      <c r="D125" s="5" t="str">
        <f t="shared" si="18"/>
        <v>Are you speaking to the budget holder?</v>
      </c>
      <c r="E125" s="6"/>
      <c r="F125" s="6">
        <f t="shared" si="10"/>
        <v>0</v>
      </c>
      <c r="G125" s="9"/>
      <c r="H125" s="5"/>
    </row>
    <row r="126" spans="2:8" x14ac:dyDescent="0.25">
      <c r="B126" s="3"/>
      <c r="C126" s="4"/>
      <c r="D126" s="5" t="str">
        <f t="shared" si="18"/>
        <v>Do they have a clinical or social need for our product?</v>
      </c>
      <c r="E126" s="6"/>
      <c r="F126" s="6">
        <f t="shared" si="10"/>
        <v>0</v>
      </c>
      <c r="G126" s="9"/>
      <c r="H126" s="5"/>
    </row>
    <row r="127" spans="2:8" x14ac:dyDescent="0.25">
      <c r="B127" s="3"/>
      <c r="C127" s="4"/>
      <c r="D127" s="5" t="str">
        <f t="shared" si="18"/>
        <v>Is the client engaged with MyCognition? E.g. responsive to emails</v>
      </c>
      <c r="E127" s="6"/>
      <c r="F127" s="6">
        <f t="shared" si="10"/>
        <v>0</v>
      </c>
      <c r="G127" s="9"/>
      <c r="H127" s="5"/>
    </row>
    <row r="128" spans="2:8" x14ac:dyDescent="0.25">
      <c r="B128" s="3"/>
      <c r="C128" s="4"/>
      <c r="D128" s="5" t="str">
        <f t="shared" si="18"/>
        <v>Will this deal happen within the next 3 months?</v>
      </c>
      <c r="E128" s="6"/>
      <c r="F128" s="6">
        <f t="shared" si="10"/>
        <v>0</v>
      </c>
      <c r="G128" s="9"/>
      <c r="H128" s="5"/>
    </row>
    <row r="129" spans="2:8" x14ac:dyDescent="0.25">
      <c r="B129" s="3"/>
      <c r="C129" s="4"/>
      <c r="D129" s="5" t="str">
        <f t="shared" si="18"/>
        <v>Does the client have a clear rationale to buy? E.g. ROI</v>
      </c>
      <c r="E129" s="6"/>
      <c r="F129" s="6">
        <f t="shared" si="10"/>
        <v>0</v>
      </c>
      <c r="G129" s="9"/>
      <c r="H129" s="5"/>
    </row>
    <row r="130" spans="2:8" x14ac:dyDescent="0.25">
      <c r="B130" s="3"/>
      <c r="C130" s="4"/>
      <c r="D130" s="5" t="str">
        <f t="shared" si="18"/>
        <v xml:space="preserve"> </v>
      </c>
      <c r="E130" s="6"/>
      <c r="F130" s="6" t="str">
        <f t="shared" si="10"/>
        <v/>
      </c>
      <c r="G130" s="9"/>
      <c r="H130" s="5"/>
    </row>
    <row r="131" spans="2:8" x14ac:dyDescent="0.25">
      <c r="B131" s="3"/>
      <c r="C131" s="4"/>
      <c r="D131" s="5" t="str">
        <f t="shared" si="18"/>
        <v xml:space="preserve"> </v>
      </c>
      <c r="E131" s="6"/>
      <c r="F131" s="6" t="str">
        <f t="shared" si="10"/>
        <v/>
      </c>
      <c r="G131" s="9"/>
      <c r="H131" s="5"/>
    </row>
    <row r="132" spans="2:8" x14ac:dyDescent="0.25">
      <c r="B132" s="3" t="s">
        <v>25</v>
      </c>
      <c r="C132" s="4">
        <v>48000</v>
      </c>
      <c r="D132" s="5" t="str">
        <f t="shared" si="18"/>
        <v>Do they have the budget?</v>
      </c>
      <c r="E132" s="6"/>
      <c r="F132" s="6">
        <f t="shared" si="10"/>
        <v>0</v>
      </c>
      <c r="G132" s="9">
        <f t="shared" ref="G132" si="20">SUM(F132:F137)</f>
        <v>0</v>
      </c>
      <c r="H132" s="5"/>
    </row>
    <row r="133" spans="2:8" x14ac:dyDescent="0.25">
      <c r="B133" s="3"/>
      <c r="C133" s="4"/>
      <c r="D133" s="5" t="str">
        <f t="shared" si="18"/>
        <v>Are you speaking to the budget holder?</v>
      </c>
      <c r="E133" s="6"/>
      <c r="F133" s="6">
        <f t="shared" ref="F133:F195" si="21">IF(E133="Yes",1,IF(D133=" ","",0))</f>
        <v>0</v>
      </c>
      <c r="G133" s="9"/>
      <c r="H133" s="5"/>
    </row>
    <row r="134" spans="2:8" x14ac:dyDescent="0.25">
      <c r="B134" s="3"/>
      <c r="C134" s="4"/>
      <c r="D134" s="5" t="str">
        <f t="shared" si="18"/>
        <v>Do they have a clinical or social need for our product?</v>
      </c>
      <c r="E134" s="6"/>
      <c r="F134" s="6">
        <f t="shared" si="21"/>
        <v>0</v>
      </c>
      <c r="G134" s="9"/>
      <c r="H134" s="5"/>
    </row>
    <row r="135" spans="2:8" x14ac:dyDescent="0.25">
      <c r="B135" s="3"/>
      <c r="C135" s="4"/>
      <c r="D135" s="5" t="str">
        <f t="shared" si="18"/>
        <v>Is the client engaged with MyCognition? E.g. responsive to emails</v>
      </c>
      <c r="E135" s="6"/>
      <c r="F135" s="6">
        <f t="shared" si="21"/>
        <v>0</v>
      </c>
      <c r="G135" s="9"/>
      <c r="H135" s="5"/>
    </row>
    <row r="136" spans="2:8" x14ac:dyDescent="0.25">
      <c r="B136" s="3"/>
      <c r="C136" s="4"/>
      <c r="D136" s="5" t="str">
        <f t="shared" si="18"/>
        <v>Will this deal happen within the next 3 months?</v>
      </c>
      <c r="E136" s="6"/>
      <c r="F136" s="6">
        <f t="shared" si="21"/>
        <v>0</v>
      </c>
      <c r="G136" s="9"/>
      <c r="H136" s="5"/>
    </row>
    <row r="137" spans="2:8" x14ac:dyDescent="0.25">
      <c r="B137" s="3"/>
      <c r="C137" s="4"/>
      <c r="D137" s="5" t="str">
        <f t="shared" si="18"/>
        <v>Does the client have a clear rationale to buy? E.g. ROI</v>
      </c>
      <c r="E137" s="6"/>
      <c r="F137" s="6">
        <f t="shared" si="21"/>
        <v>0</v>
      </c>
      <c r="G137" s="9"/>
      <c r="H137" s="5"/>
    </row>
    <row r="138" spans="2:8" x14ac:dyDescent="0.25">
      <c r="B138" s="3"/>
      <c r="C138" s="4"/>
      <c r="D138" s="5" t="str">
        <f t="shared" si="18"/>
        <v xml:space="preserve"> </v>
      </c>
      <c r="E138" s="6"/>
      <c r="F138" s="6" t="str">
        <f t="shared" si="21"/>
        <v/>
      </c>
      <c r="G138" s="9"/>
      <c r="H138" s="5"/>
    </row>
    <row r="139" spans="2:8" x14ac:dyDescent="0.25">
      <c r="B139" s="3"/>
      <c r="C139" s="4"/>
      <c r="D139" s="5" t="str">
        <f t="shared" si="18"/>
        <v xml:space="preserve"> </v>
      </c>
      <c r="E139" s="6"/>
      <c r="F139" s="6" t="str">
        <f t="shared" si="21"/>
        <v/>
      </c>
      <c r="G139" s="9"/>
      <c r="H139" s="5"/>
    </row>
    <row r="140" spans="2:8" x14ac:dyDescent="0.25">
      <c r="B140" s="3" t="s">
        <v>26</v>
      </c>
      <c r="C140" s="4">
        <v>18000</v>
      </c>
      <c r="D140" s="5" t="str">
        <f t="shared" si="18"/>
        <v>Do they have the budget?</v>
      </c>
      <c r="E140" s="6"/>
      <c r="F140" s="6">
        <f t="shared" si="21"/>
        <v>0</v>
      </c>
      <c r="G140" s="9">
        <f t="shared" ref="G140" si="22">SUM(F140:F145)</f>
        <v>0</v>
      </c>
      <c r="H140" s="5"/>
    </row>
    <row r="141" spans="2:8" x14ac:dyDescent="0.25">
      <c r="B141" s="3"/>
      <c r="C141" s="4"/>
      <c r="D141" s="5" t="str">
        <f t="shared" si="18"/>
        <v>Are you speaking to the budget holder?</v>
      </c>
      <c r="E141" s="6"/>
      <c r="F141" s="6">
        <f t="shared" si="21"/>
        <v>0</v>
      </c>
      <c r="G141" s="9"/>
      <c r="H141" s="5"/>
    </row>
    <row r="142" spans="2:8" x14ac:dyDescent="0.25">
      <c r="B142" s="3"/>
      <c r="C142" s="4"/>
      <c r="D142" s="5" t="str">
        <f t="shared" si="18"/>
        <v>Do they have a clinical or social need for our product?</v>
      </c>
      <c r="E142" s="6"/>
      <c r="F142" s="6">
        <f t="shared" si="21"/>
        <v>0</v>
      </c>
      <c r="G142" s="9"/>
      <c r="H142" s="5"/>
    </row>
    <row r="143" spans="2:8" x14ac:dyDescent="0.25">
      <c r="B143" s="3"/>
      <c r="C143" s="4"/>
      <c r="D143" s="5" t="str">
        <f t="shared" si="18"/>
        <v>Is the client engaged with MyCognition? E.g. responsive to emails</v>
      </c>
      <c r="E143" s="6"/>
      <c r="F143" s="6">
        <f t="shared" si="21"/>
        <v>0</v>
      </c>
      <c r="G143" s="9"/>
      <c r="H143" s="5"/>
    </row>
    <row r="144" spans="2:8" x14ac:dyDescent="0.25">
      <c r="B144" s="3"/>
      <c r="C144" s="4"/>
      <c r="D144" s="5" t="str">
        <f t="shared" si="18"/>
        <v>Will this deal happen within the next 3 months?</v>
      </c>
      <c r="E144" s="6"/>
      <c r="F144" s="6">
        <f t="shared" si="21"/>
        <v>0</v>
      </c>
      <c r="G144" s="9"/>
      <c r="H144" s="5"/>
    </row>
    <row r="145" spans="2:8" x14ac:dyDescent="0.25">
      <c r="B145" s="3"/>
      <c r="C145" s="4"/>
      <c r="D145" s="5" t="str">
        <f t="shared" si="18"/>
        <v>Does the client have a clear rationale to buy? E.g. ROI</v>
      </c>
      <c r="E145" s="6"/>
      <c r="F145" s="6">
        <f t="shared" si="21"/>
        <v>0</v>
      </c>
      <c r="G145" s="9"/>
      <c r="H145" s="5"/>
    </row>
    <row r="146" spans="2:8" x14ac:dyDescent="0.25">
      <c r="B146" s="3"/>
      <c r="C146" s="4"/>
      <c r="D146" s="5" t="str">
        <f t="shared" si="18"/>
        <v xml:space="preserve"> </v>
      </c>
      <c r="E146" s="6"/>
      <c r="F146" s="6" t="str">
        <f t="shared" si="21"/>
        <v/>
      </c>
      <c r="G146" s="9"/>
      <c r="H146" s="5"/>
    </row>
    <row r="147" spans="2:8" x14ac:dyDescent="0.25">
      <c r="B147" s="3"/>
      <c r="C147" s="4"/>
      <c r="D147" s="5" t="str">
        <f t="shared" si="18"/>
        <v xml:space="preserve"> </v>
      </c>
      <c r="E147" s="6"/>
      <c r="F147" s="6" t="str">
        <f t="shared" si="21"/>
        <v/>
      </c>
      <c r="G147" s="9"/>
      <c r="H147" s="5"/>
    </row>
    <row r="148" spans="2:8" x14ac:dyDescent="0.25">
      <c r="B148" s="3" t="s">
        <v>27</v>
      </c>
      <c r="C148" s="4">
        <v>30000</v>
      </c>
      <c r="D148" s="5" t="str">
        <f t="shared" si="18"/>
        <v>Do they have the budget?</v>
      </c>
      <c r="E148" s="6"/>
      <c r="F148" s="6">
        <f t="shared" si="21"/>
        <v>0</v>
      </c>
      <c r="G148" s="9">
        <f t="shared" ref="G148" si="23">SUM(F148:F153)</f>
        <v>0</v>
      </c>
      <c r="H148" s="5"/>
    </row>
    <row r="149" spans="2:8" x14ac:dyDescent="0.25">
      <c r="B149" s="3"/>
      <c r="C149" s="4"/>
      <c r="D149" s="5" t="str">
        <f t="shared" si="18"/>
        <v>Are you speaking to the budget holder?</v>
      </c>
      <c r="E149" s="6"/>
      <c r="F149" s="6">
        <f t="shared" si="21"/>
        <v>0</v>
      </c>
      <c r="G149" s="9"/>
      <c r="H149" s="5"/>
    </row>
    <row r="150" spans="2:8" x14ac:dyDescent="0.25">
      <c r="B150" s="3"/>
      <c r="C150" s="4"/>
      <c r="D150" s="5" t="str">
        <f t="shared" si="18"/>
        <v>Do they have a clinical or social need for our product?</v>
      </c>
      <c r="E150" s="6"/>
      <c r="F150" s="6">
        <f t="shared" si="21"/>
        <v>0</v>
      </c>
      <c r="G150" s="9"/>
      <c r="H150" s="5"/>
    </row>
    <row r="151" spans="2:8" x14ac:dyDescent="0.25">
      <c r="B151" s="3"/>
      <c r="C151" s="4"/>
      <c r="D151" s="5" t="str">
        <f t="shared" si="18"/>
        <v>Is the client engaged with MyCognition? E.g. responsive to emails</v>
      </c>
      <c r="E151" s="6"/>
      <c r="F151" s="6">
        <f t="shared" si="21"/>
        <v>0</v>
      </c>
      <c r="G151" s="9"/>
      <c r="H151" s="5"/>
    </row>
    <row r="152" spans="2:8" x14ac:dyDescent="0.25">
      <c r="B152" s="3"/>
      <c r="C152" s="4"/>
      <c r="D152" s="5" t="str">
        <f t="shared" si="18"/>
        <v>Will this deal happen within the next 3 months?</v>
      </c>
      <c r="E152" s="6"/>
      <c r="F152" s="6">
        <f t="shared" si="21"/>
        <v>0</v>
      </c>
      <c r="G152" s="9"/>
      <c r="H152" s="5"/>
    </row>
    <row r="153" spans="2:8" x14ac:dyDescent="0.25">
      <c r="B153" s="3"/>
      <c r="C153" s="4"/>
      <c r="D153" s="5" t="str">
        <f t="shared" si="18"/>
        <v>Does the client have a clear rationale to buy? E.g. ROI</v>
      </c>
      <c r="E153" s="6"/>
      <c r="F153" s="6">
        <f t="shared" si="21"/>
        <v>0</v>
      </c>
      <c r="G153" s="9"/>
      <c r="H153" s="5"/>
    </row>
    <row r="154" spans="2:8" x14ac:dyDescent="0.25">
      <c r="B154" s="3"/>
      <c r="C154" s="4"/>
      <c r="D154" s="5" t="str">
        <f t="shared" si="18"/>
        <v xml:space="preserve"> </v>
      </c>
      <c r="E154" s="6"/>
      <c r="F154" s="6" t="str">
        <f t="shared" si="21"/>
        <v/>
      </c>
      <c r="G154" s="9"/>
      <c r="H154" s="5"/>
    </row>
    <row r="155" spans="2:8" x14ac:dyDescent="0.25">
      <c r="B155" s="3"/>
      <c r="C155" s="4"/>
      <c r="D155" s="5" t="str">
        <f t="shared" si="18"/>
        <v xml:space="preserve"> </v>
      </c>
      <c r="E155" s="6"/>
      <c r="F155" s="6" t="str">
        <f t="shared" si="21"/>
        <v/>
      </c>
      <c r="G155" s="9"/>
      <c r="H155" s="5"/>
    </row>
    <row r="156" spans="2:8" x14ac:dyDescent="0.25">
      <c r="B156" s="3"/>
      <c r="C156" s="4"/>
      <c r="D156" s="5" t="str">
        <f t="shared" si="18"/>
        <v>Do they have the budget?</v>
      </c>
      <c r="E156" s="6"/>
      <c r="F156" s="6">
        <f t="shared" si="21"/>
        <v>0</v>
      </c>
      <c r="G156" s="9">
        <f t="shared" ref="G156" si="24">SUM(F156:F161)</f>
        <v>0</v>
      </c>
      <c r="H156" s="5"/>
    </row>
    <row r="157" spans="2:8" x14ac:dyDescent="0.25">
      <c r="B157" s="3"/>
      <c r="C157" s="4"/>
      <c r="D157" s="5" t="str">
        <f t="shared" si="18"/>
        <v>Are you speaking to the budget holder?</v>
      </c>
      <c r="E157" s="6"/>
      <c r="F157" s="6">
        <f t="shared" si="21"/>
        <v>0</v>
      </c>
      <c r="G157" s="9"/>
      <c r="H157" s="5"/>
    </row>
    <row r="158" spans="2:8" x14ac:dyDescent="0.25">
      <c r="B158" s="3"/>
      <c r="C158" s="4"/>
      <c r="D158" s="5" t="str">
        <f t="shared" si="18"/>
        <v>Do they have a clinical or social need for our product?</v>
      </c>
      <c r="E158" s="6"/>
      <c r="F158" s="6">
        <f t="shared" si="21"/>
        <v>0</v>
      </c>
      <c r="G158" s="9"/>
      <c r="H158" s="5"/>
    </row>
    <row r="159" spans="2:8" x14ac:dyDescent="0.25">
      <c r="B159" s="3"/>
      <c r="C159" s="4"/>
      <c r="D159" s="5" t="str">
        <f t="shared" si="18"/>
        <v>Is the client engaged with MyCognition? E.g. responsive to emails</v>
      </c>
      <c r="E159" s="6"/>
      <c r="F159" s="6">
        <f t="shared" si="21"/>
        <v>0</v>
      </c>
      <c r="G159" s="9"/>
      <c r="H159" s="5"/>
    </row>
    <row r="160" spans="2:8" x14ac:dyDescent="0.25">
      <c r="B160" s="3"/>
      <c r="C160" s="4"/>
      <c r="D160" s="5" t="str">
        <f t="shared" si="18"/>
        <v>Will this deal happen within the next 3 months?</v>
      </c>
      <c r="E160" s="6"/>
      <c r="F160" s="6">
        <f t="shared" si="21"/>
        <v>0</v>
      </c>
      <c r="G160" s="9"/>
      <c r="H160" s="5"/>
    </row>
    <row r="161" spans="2:8" x14ac:dyDescent="0.25">
      <c r="B161" s="3"/>
      <c r="C161" s="4"/>
      <c r="D161" s="5" t="str">
        <f t="shared" si="18"/>
        <v>Does the client have a clear rationale to buy? E.g. ROI</v>
      </c>
      <c r="E161" s="6"/>
      <c r="F161" s="6">
        <f t="shared" si="21"/>
        <v>0</v>
      </c>
      <c r="G161" s="9"/>
      <c r="H161" s="5"/>
    </row>
    <row r="162" spans="2:8" x14ac:dyDescent="0.25">
      <c r="B162" s="3"/>
      <c r="C162" s="4"/>
      <c r="D162" s="5" t="str">
        <f t="shared" si="18"/>
        <v xml:space="preserve"> </v>
      </c>
      <c r="E162" s="6"/>
      <c r="F162" s="6" t="str">
        <f t="shared" si="21"/>
        <v/>
      </c>
      <c r="G162" s="9"/>
      <c r="H162" s="5"/>
    </row>
    <row r="163" spans="2:8" x14ac:dyDescent="0.25">
      <c r="B163" s="3"/>
      <c r="C163" s="4"/>
      <c r="D163" s="5" t="str">
        <f t="shared" si="18"/>
        <v xml:space="preserve"> </v>
      </c>
      <c r="E163" s="6"/>
      <c r="F163" s="6" t="str">
        <f t="shared" si="21"/>
        <v/>
      </c>
      <c r="G163" s="9"/>
      <c r="H163" s="5"/>
    </row>
    <row r="164" spans="2:8" x14ac:dyDescent="0.25">
      <c r="B164" s="3"/>
      <c r="C164" s="4"/>
      <c r="D164" s="5" t="str">
        <f t="shared" si="18"/>
        <v>Do they have the budget?</v>
      </c>
      <c r="E164" s="6"/>
      <c r="F164" s="6">
        <f t="shared" si="21"/>
        <v>0</v>
      </c>
      <c r="G164" s="9">
        <f t="shared" ref="G164" si="25">SUM(F164:F169)</f>
        <v>0</v>
      </c>
      <c r="H164" s="5"/>
    </row>
    <row r="165" spans="2:8" x14ac:dyDescent="0.25">
      <c r="B165" s="3"/>
      <c r="C165" s="4"/>
      <c r="D165" s="5" t="str">
        <f t="shared" si="18"/>
        <v>Are you speaking to the budget holder?</v>
      </c>
      <c r="E165" s="6"/>
      <c r="F165" s="6">
        <f t="shared" si="21"/>
        <v>0</v>
      </c>
      <c r="G165" s="9"/>
      <c r="H165" s="5"/>
    </row>
    <row r="166" spans="2:8" x14ac:dyDescent="0.25">
      <c r="B166" s="3"/>
      <c r="C166" s="4"/>
      <c r="D166" s="5" t="str">
        <f t="shared" si="18"/>
        <v>Do they have a clinical or social need for our product?</v>
      </c>
      <c r="E166" s="6"/>
      <c r="F166" s="6">
        <f t="shared" si="21"/>
        <v>0</v>
      </c>
      <c r="G166" s="9"/>
      <c r="H166" s="5"/>
    </row>
    <row r="167" spans="2:8" x14ac:dyDescent="0.25">
      <c r="B167" s="3"/>
      <c r="C167" s="4"/>
      <c r="D167" s="5" t="str">
        <f t="shared" si="18"/>
        <v>Is the client engaged with MyCognition? E.g. responsive to emails</v>
      </c>
      <c r="E167" s="6"/>
      <c r="F167" s="6">
        <f t="shared" si="21"/>
        <v>0</v>
      </c>
      <c r="G167" s="9"/>
      <c r="H167" s="5"/>
    </row>
    <row r="168" spans="2:8" x14ac:dyDescent="0.25">
      <c r="B168" s="3"/>
      <c r="C168" s="4"/>
      <c r="D168" s="5" t="str">
        <f t="shared" si="18"/>
        <v>Will this deal happen within the next 3 months?</v>
      </c>
      <c r="E168" s="6"/>
      <c r="F168" s="6">
        <f t="shared" si="21"/>
        <v>0</v>
      </c>
      <c r="G168" s="9"/>
      <c r="H168" s="5"/>
    </row>
    <row r="169" spans="2:8" x14ac:dyDescent="0.25">
      <c r="B169" s="3"/>
      <c r="C169" s="4"/>
      <c r="D169" s="5" t="str">
        <f t="shared" si="18"/>
        <v>Does the client have a clear rationale to buy? E.g. ROI</v>
      </c>
      <c r="E169" s="6"/>
      <c r="F169" s="6">
        <f t="shared" si="21"/>
        <v>0</v>
      </c>
      <c r="G169" s="9"/>
      <c r="H169" s="5"/>
    </row>
    <row r="170" spans="2:8" x14ac:dyDescent="0.25">
      <c r="B170" s="3"/>
      <c r="C170" s="4"/>
      <c r="D170" s="5" t="str">
        <f t="shared" si="18"/>
        <v xml:space="preserve"> </v>
      </c>
      <c r="E170" s="6"/>
      <c r="F170" s="6" t="str">
        <f t="shared" si="21"/>
        <v/>
      </c>
      <c r="G170" s="9"/>
      <c r="H170" s="5"/>
    </row>
    <row r="171" spans="2:8" x14ac:dyDescent="0.25">
      <c r="B171" s="3"/>
      <c r="C171" s="4"/>
      <c r="D171" s="5" t="str">
        <f t="shared" si="18"/>
        <v xml:space="preserve"> </v>
      </c>
      <c r="E171" s="6"/>
      <c r="F171" s="6" t="str">
        <f t="shared" si="21"/>
        <v/>
      </c>
      <c r="G171" s="9"/>
      <c r="H171" s="5"/>
    </row>
    <row r="172" spans="2:8" x14ac:dyDescent="0.25">
      <c r="B172" s="3"/>
      <c r="C172" s="4"/>
      <c r="D172" s="5" t="str">
        <f t="shared" si="18"/>
        <v>Do they have the budget?</v>
      </c>
      <c r="E172" s="6"/>
      <c r="F172" s="6">
        <f t="shared" si="21"/>
        <v>0</v>
      </c>
      <c r="G172" s="9">
        <f t="shared" ref="G172" si="26">SUM(F172:F177)</f>
        <v>0</v>
      </c>
      <c r="H172" s="5"/>
    </row>
    <row r="173" spans="2:8" x14ac:dyDescent="0.25">
      <c r="B173" s="3"/>
      <c r="C173" s="4"/>
      <c r="D173" s="5" t="str">
        <f t="shared" si="18"/>
        <v>Are you speaking to the budget holder?</v>
      </c>
      <c r="E173" s="6"/>
      <c r="F173" s="6">
        <f t="shared" si="21"/>
        <v>0</v>
      </c>
      <c r="G173" s="9"/>
      <c r="H173" s="5"/>
    </row>
    <row r="174" spans="2:8" x14ac:dyDescent="0.25">
      <c r="B174" s="3"/>
      <c r="C174" s="4"/>
      <c r="D174" s="5" t="str">
        <f t="shared" si="18"/>
        <v>Do they have a clinical or social need for our product?</v>
      </c>
      <c r="E174" s="6"/>
      <c r="F174" s="6">
        <f t="shared" si="21"/>
        <v>0</v>
      </c>
      <c r="G174" s="9"/>
      <c r="H174" s="5"/>
    </row>
    <row r="175" spans="2:8" x14ac:dyDescent="0.25">
      <c r="B175" s="3"/>
      <c r="C175" s="4"/>
      <c r="D175" s="5" t="str">
        <f t="shared" si="18"/>
        <v>Is the client engaged with MyCognition? E.g. responsive to emails</v>
      </c>
      <c r="E175" s="6"/>
      <c r="F175" s="6">
        <f t="shared" si="21"/>
        <v>0</v>
      </c>
      <c r="G175" s="9"/>
      <c r="H175" s="5"/>
    </row>
    <row r="176" spans="2:8" x14ac:dyDescent="0.25">
      <c r="B176" s="3"/>
      <c r="C176" s="4"/>
      <c r="D176" s="5" t="str">
        <f t="shared" si="18"/>
        <v>Will this deal happen within the next 3 months?</v>
      </c>
      <c r="E176" s="6"/>
      <c r="F176" s="6">
        <f t="shared" si="21"/>
        <v>0</v>
      </c>
      <c r="G176" s="9"/>
      <c r="H176" s="5"/>
    </row>
    <row r="177" spans="2:8" x14ac:dyDescent="0.25">
      <c r="B177" s="3"/>
      <c r="C177" s="4"/>
      <c r="D177" s="5" t="str">
        <f t="shared" si="18"/>
        <v>Does the client have a clear rationale to buy? E.g. ROI</v>
      </c>
      <c r="E177" s="6"/>
      <c r="F177" s="6">
        <f t="shared" si="21"/>
        <v>0</v>
      </c>
      <c r="G177" s="9"/>
      <c r="H177" s="5"/>
    </row>
    <row r="178" spans="2:8" x14ac:dyDescent="0.25">
      <c r="B178" s="3"/>
      <c r="C178" s="4"/>
      <c r="D178" s="5" t="str">
        <f t="shared" si="18"/>
        <v xml:space="preserve"> </v>
      </c>
      <c r="E178" s="6"/>
      <c r="F178" s="6" t="str">
        <f t="shared" si="21"/>
        <v/>
      </c>
      <c r="G178" s="9"/>
      <c r="H178" s="5"/>
    </row>
    <row r="179" spans="2:8" x14ac:dyDescent="0.25">
      <c r="B179" s="3"/>
      <c r="C179" s="4"/>
      <c r="D179" s="5" t="str">
        <f t="shared" si="18"/>
        <v xml:space="preserve"> </v>
      </c>
      <c r="E179" s="6"/>
      <c r="F179" s="6" t="str">
        <f t="shared" si="21"/>
        <v/>
      </c>
      <c r="G179" s="9"/>
      <c r="H179" s="5"/>
    </row>
    <row r="180" spans="2:8" x14ac:dyDescent="0.25">
      <c r="B180" s="3"/>
      <c r="C180" s="4"/>
      <c r="D180" s="5" t="str">
        <f t="shared" si="18"/>
        <v>Do they have the budget?</v>
      </c>
      <c r="E180" s="6"/>
      <c r="F180" s="6">
        <f t="shared" si="21"/>
        <v>0</v>
      </c>
      <c r="G180" s="9">
        <f t="shared" ref="G180" si="27">SUM(F180:F185)</f>
        <v>0</v>
      </c>
      <c r="H180" s="5"/>
    </row>
    <row r="181" spans="2:8" x14ac:dyDescent="0.25">
      <c r="B181" s="3"/>
      <c r="C181" s="4"/>
      <c r="D181" s="5" t="str">
        <f t="shared" si="18"/>
        <v>Are you speaking to the budget holder?</v>
      </c>
      <c r="E181" s="6"/>
      <c r="F181" s="6">
        <f t="shared" si="21"/>
        <v>0</v>
      </c>
      <c r="G181" s="9"/>
      <c r="H181" s="5"/>
    </row>
    <row r="182" spans="2:8" x14ac:dyDescent="0.25">
      <c r="B182" s="3"/>
      <c r="C182" s="4"/>
      <c r="D182" s="5" t="str">
        <f t="shared" si="18"/>
        <v>Do they have a clinical or social need for our product?</v>
      </c>
      <c r="E182" s="6"/>
      <c r="F182" s="6">
        <f t="shared" si="21"/>
        <v>0</v>
      </c>
      <c r="G182" s="9"/>
      <c r="H182" s="5"/>
    </row>
    <row r="183" spans="2:8" x14ac:dyDescent="0.25">
      <c r="B183" s="3"/>
      <c r="C183" s="4"/>
      <c r="D183" s="5" t="str">
        <f t="shared" si="18"/>
        <v>Is the client engaged with MyCognition? E.g. responsive to emails</v>
      </c>
      <c r="E183" s="6"/>
      <c r="F183" s="6">
        <f t="shared" si="21"/>
        <v>0</v>
      </c>
      <c r="G183" s="9"/>
      <c r="H183" s="5"/>
    </row>
    <row r="184" spans="2:8" x14ac:dyDescent="0.25">
      <c r="B184" s="3"/>
      <c r="C184" s="4"/>
      <c r="D184" s="5" t="str">
        <f t="shared" si="18"/>
        <v>Will this deal happen within the next 3 months?</v>
      </c>
      <c r="E184" s="6"/>
      <c r="F184" s="6">
        <f t="shared" si="21"/>
        <v>0</v>
      </c>
      <c r="G184" s="9"/>
      <c r="H184" s="5"/>
    </row>
    <row r="185" spans="2:8" x14ac:dyDescent="0.25">
      <c r="B185" s="3"/>
      <c r="C185" s="4"/>
      <c r="D185" s="5" t="str">
        <f t="shared" si="18"/>
        <v>Does the client have a clear rationale to buy? E.g. ROI</v>
      </c>
      <c r="E185" s="6"/>
      <c r="F185" s="6">
        <f t="shared" si="21"/>
        <v>0</v>
      </c>
      <c r="G185" s="9"/>
      <c r="H185" s="5"/>
    </row>
    <row r="186" spans="2:8" x14ac:dyDescent="0.25">
      <c r="B186" s="3"/>
      <c r="C186" s="4"/>
      <c r="D186" s="5" t="str">
        <f t="shared" ref="D186:D195" si="28">D178</f>
        <v xml:space="preserve"> </v>
      </c>
      <c r="E186" s="6"/>
      <c r="F186" s="6" t="str">
        <f t="shared" si="21"/>
        <v/>
      </c>
      <c r="G186" s="9"/>
      <c r="H186" s="5"/>
    </row>
    <row r="187" spans="2:8" x14ac:dyDescent="0.25">
      <c r="B187" s="3"/>
      <c r="C187" s="4"/>
      <c r="D187" s="5" t="str">
        <f t="shared" si="28"/>
        <v xml:space="preserve"> </v>
      </c>
      <c r="E187" s="6"/>
      <c r="F187" s="6" t="str">
        <f t="shared" si="21"/>
        <v/>
      </c>
      <c r="G187" s="9"/>
      <c r="H187" s="5"/>
    </row>
    <row r="188" spans="2:8" x14ac:dyDescent="0.25">
      <c r="B188" s="3"/>
      <c r="C188" s="4"/>
      <c r="D188" s="5" t="str">
        <f t="shared" si="28"/>
        <v>Do they have the budget?</v>
      </c>
      <c r="E188" s="6"/>
      <c r="F188" s="6">
        <f t="shared" si="21"/>
        <v>0</v>
      </c>
      <c r="G188" s="9">
        <f t="shared" ref="G188" si="29">SUM(F188:F193)</f>
        <v>0</v>
      </c>
      <c r="H188" s="5"/>
    </row>
    <row r="189" spans="2:8" x14ac:dyDescent="0.25">
      <c r="B189" s="3"/>
      <c r="C189" s="4"/>
      <c r="D189" s="5" t="str">
        <f t="shared" si="28"/>
        <v>Are you speaking to the budget holder?</v>
      </c>
      <c r="E189" s="6"/>
      <c r="F189" s="6">
        <f t="shared" si="21"/>
        <v>0</v>
      </c>
      <c r="G189" s="9"/>
      <c r="H189" s="5"/>
    </row>
    <row r="190" spans="2:8" x14ac:dyDescent="0.25">
      <c r="B190" s="3"/>
      <c r="C190" s="4"/>
      <c r="D190" s="5" t="str">
        <f t="shared" si="28"/>
        <v>Do they have a clinical or social need for our product?</v>
      </c>
      <c r="E190" s="6"/>
      <c r="F190" s="6">
        <f t="shared" si="21"/>
        <v>0</v>
      </c>
      <c r="G190" s="9"/>
      <c r="H190" s="5"/>
    </row>
    <row r="191" spans="2:8" x14ac:dyDescent="0.25">
      <c r="B191" s="3"/>
      <c r="C191" s="4"/>
      <c r="D191" s="5" t="str">
        <f t="shared" si="28"/>
        <v>Is the client engaged with MyCognition? E.g. responsive to emails</v>
      </c>
      <c r="E191" s="6"/>
      <c r="F191" s="6">
        <f t="shared" si="21"/>
        <v>0</v>
      </c>
      <c r="G191" s="9"/>
      <c r="H191" s="5"/>
    </row>
    <row r="192" spans="2:8" x14ac:dyDescent="0.25">
      <c r="B192" s="3"/>
      <c r="C192" s="4"/>
      <c r="D192" s="5" t="str">
        <f t="shared" si="28"/>
        <v>Will this deal happen within the next 3 months?</v>
      </c>
      <c r="E192" s="6"/>
      <c r="F192" s="6">
        <f t="shared" si="21"/>
        <v>0</v>
      </c>
      <c r="G192" s="9"/>
      <c r="H192" s="5"/>
    </row>
    <row r="193" spans="2:8" x14ac:dyDescent="0.25">
      <c r="B193" s="3"/>
      <c r="C193" s="4"/>
      <c r="D193" s="5" t="str">
        <f t="shared" si="28"/>
        <v>Does the client have a clear rationale to buy? E.g. ROI</v>
      </c>
      <c r="E193" s="6"/>
      <c r="F193" s="6">
        <f t="shared" si="21"/>
        <v>0</v>
      </c>
      <c r="G193" s="9"/>
      <c r="H193" s="5"/>
    </row>
    <row r="194" spans="2:8" x14ac:dyDescent="0.25">
      <c r="B194" s="3"/>
      <c r="C194" s="4"/>
      <c r="D194" s="5" t="str">
        <f t="shared" si="28"/>
        <v xml:space="preserve"> </v>
      </c>
      <c r="E194" s="6"/>
      <c r="F194" s="6" t="str">
        <f t="shared" si="21"/>
        <v/>
      </c>
      <c r="G194" s="9"/>
      <c r="H194" s="5"/>
    </row>
    <row r="195" spans="2:8" x14ac:dyDescent="0.25">
      <c r="B195" s="3"/>
      <c r="C195" s="4"/>
      <c r="D195" s="5" t="str">
        <f t="shared" si="28"/>
        <v xml:space="preserve"> </v>
      </c>
      <c r="E195" s="6"/>
      <c r="F195" s="6" t="str">
        <f t="shared" si="21"/>
        <v/>
      </c>
      <c r="G195" s="9"/>
      <c r="H195" s="5"/>
    </row>
    <row r="196" spans="2:8" x14ac:dyDescent="0.25">
      <c r="G196" s="9"/>
    </row>
    <row r="197" spans="2:8" x14ac:dyDescent="0.25">
      <c r="G197" s="9"/>
    </row>
    <row r="198" spans="2:8" x14ac:dyDescent="0.25">
      <c r="G198" s="9"/>
    </row>
    <row r="199" spans="2:8" x14ac:dyDescent="0.25">
      <c r="G199" s="9"/>
    </row>
    <row r="200" spans="2:8" x14ac:dyDescent="0.25">
      <c r="G200" s="9"/>
    </row>
    <row r="201" spans="2:8" x14ac:dyDescent="0.25">
      <c r="G201" s="9"/>
    </row>
    <row r="202" spans="2:8" x14ac:dyDescent="0.25">
      <c r="G202" s="9"/>
    </row>
    <row r="203" spans="2:8" x14ac:dyDescent="0.25">
      <c r="G203" s="9"/>
    </row>
    <row r="204" spans="2:8" x14ac:dyDescent="0.25">
      <c r="G204" s="9"/>
    </row>
    <row r="205" spans="2:8" x14ac:dyDescent="0.25">
      <c r="G205" s="9"/>
    </row>
    <row r="206" spans="2:8" x14ac:dyDescent="0.25">
      <c r="G206" s="9"/>
    </row>
    <row r="207" spans="2:8" x14ac:dyDescent="0.25">
      <c r="G207" s="9"/>
    </row>
    <row r="208" spans="2:8" x14ac:dyDescent="0.25">
      <c r="G208" s="9"/>
    </row>
    <row r="209" spans="7:7" x14ac:dyDescent="0.25">
      <c r="G209" s="9"/>
    </row>
    <row r="210" spans="7:7" x14ac:dyDescent="0.25">
      <c r="G210" s="9"/>
    </row>
    <row r="211" spans="7:7" x14ac:dyDescent="0.25">
      <c r="G211" s="9"/>
    </row>
  </sheetData>
  <mergeCells count="74">
    <mergeCell ref="G180:G187"/>
    <mergeCell ref="G188:G195"/>
    <mergeCell ref="G196:G203"/>
    <mergeCell ref="G204:G211"/>
    <mergeCell ref="G132:G139"/>
    <mergeCell ref="G140:G147"/>
    <mergeCell ref="G148:G155"/>
    <mergeCell ref="G156:G163"/>
    <mergeCell ref="G164:G171"/>
    <mergeCell ref="G172:G179"/>
    <mergeCell ref="B172:B179"/>
    <mergeCell ref="C172:C179"/>
    <mergeCell ref="B180:B187"/>
    <mergeCell ref="C180:C187"/>
    <mergeCell ref="B188:B195"/>
    <mergeCell ref="C188:C195"/>
    <mergeCell ref="B148:B155"/>
    <mergeCell ref="C148:C155"/>
    <mergeCell ref="B156:B163"/>
    <mergeCell ref="C156:C163"/>
    <mergeCell ref="B164:B171"/>
    <mergeCell ref="C164:C171"/>
    <mergeCell ref="B124:B131"/>
    <mergeCell ref="C124:C131"/>
    <mergeCell ref="B132:B139"/>
    <mergeCell ref="C132:C139"/>
    <mergeCell ref="B140:B147"/>
    <mergeCell ref="C140:C147"/>
    <mergeCell ref="B100:B107"/>
    <mergeCell ref="C100:C107"/>
    <mergeCell ref="B108:B115"/>
    <mergeCell ref="C108:C115"/>
    <mergeCell ref="B116:B123"/>
    <mergeCell ref="C116:C123"/>
    <mergeCell ref="B76:B83"/>
    <mergeCell ref="C76:C83"/>
    <mergeCell ref="B84:B91"/>
    <mergeCell ref="C84:C91"/>
    <mergeCell ref="B92:B99"/>
    <mergeCell ref="C92:C99"/>
    <mergeCell ref="B52:B59"/>
    <mergeCell ref="C52:C59"/>
    <mergeCell ref="B60:B67"/>
    <mergeCell ref="C60:C67"/>
    <mergeCell ref="B68:B75"/>
    <mergeCell ref="C68:C75"/>
    <mergeCell ref="B28:B35"/>
    <mergeCell ref="C28:C35"/>
    <mergeCell ref="B36:B43"/>
    <mergeCell ref="C36:C43"/>
    <mergeCell ref="B44:B51"/>
    <mergeCell ref="C44:C51"/>
    <mergeCell ref="G100:G107"/>
    <mergeCell ref="G108:G115"/>
    <mergeCell ref="G116:G123"/>
    <mergeCell ref="G124:G131"/>
    <mergeCell ref="B4:B11"/>
    <mergeCell ref="C4:C11"/>
    <mergeCell ref="B12:B19"/>
    <mergeCell ref="C12:C19"/>
    <mergeCell ref="B20:B27"/>
    <mergeCell ref="C20:C27"/>
    <mergeCell ref="G52:G59"/>
    <mergeCell ref="G60:G67"/>
    <mergeCell ref="G68:G75"/>
    <mergeCell ref="G76:G83"/>
    <mergeCell ref="G84:G91"/>
    <mergeCell ref="G92:G99"/>
    <mergeCell ref="G4:G11"/>
    <mergeCell ref="G12:G19"/>
    <mergeCell ref="G20:G27"/>
    <mergeCell ref="G28:G35"/>
    <mergeCell ref="G36:G43"/>
    <mergeCell ref="G44:G51"/>
  </mergeCells>
  <conditionalFormatting sqref="A4:A24">
    <cfRule type="duplicateValues" dxfId="0" priority="4"/>
  </conditionalFormatting>
  <conditionalFormatting sqref="G4:G211">
    <cfRule type="colorScale" priority="2">
      <colorScale>
        <cfvo type="min"/>
        <cfvo type="percentile" val="50"/>
        <cfvo type="max"/>
        <color rgb="FFF8696B"/>
        <color rgb="FFFFEB84"/>
        <color rgb="FF63BE7B"/>
      </colorScale>
    </cfRule>
  </conditionalFormatting>
  <conditionalFormatting sqref="C4:C195">
    <cfRule type="colorScale" priority="5">
      <colorScale>
        <cfvo type="min"/>
        <cfvo type="percentile" val="50"/>
        <cfvo type="max"/>
        <color rgb="FFF8696B"/>
        <color rgb="FFFFEB84"/>
        <color rgb="FF63BE7B"/>
      </colorScale>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D3AA-1D65-4CCB-8400-D10F1400A7CC}">
  <dimension ref="A1"/>
  <sheetViews>
    <sheetView workbookViewId="0">
      <selection activeCell="Q7" sqref="Q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Lead Qualifyer</vt:lpstr>
      <vt:lpstr>BANT Qualification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Lages</dc:creator>
  <cp:lastModifiedBy>Tim Lages</cp:lastModifiedBy>
  <dcterms:created xsi:type="dcterms:W3CDTF">2020-06-02T11:11:54Z</dcterms:created>
  <dcterms:modified xsi:type="dcterms:W3CDTF">2020-06-02T13:29:48Z</dcterms:modified>
</cp:coreProperties>
</file>