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ylages\Documents\Info and Misc Materials\Growth and Growth Models\"/>
    </mc:Choice>
  </mc:AlternateContent>
  <xr:revisionPtr revIDLastSave="0" documentId="13_ncr:1_{3A640E6F-AD71-4626-861D-90C85A1DDA08}" xr6:coauthVersionLast="46" xr6:coauthVersionMax="46" xr10:uidLastSave="{00000000-0000-0000-0000-000000000000}"/>
  <bookViews>
    <workbookView xWindow="-120" yWindow="-120" windowWidth="29040" windowHeight="17790" xr2:uid="{42018557-2247-47C1-ADD3-F9BB5087238A}"/>
  </bookViews>
  <sheets>
    <sheet name="Growth Rate" sheetId="1" r:id="rId1"/>
    <sheet name="Sales Plan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2" l="1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D6" i="2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D4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D10" i="2"/>
  <c r="E9" i="2"/>
  <c r="F9" i="2"/>
  <c r="G9" i="2"/>
  <c r="H9" i="2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D9" i="2"/>
  <c r="D8" i="1"/>
  <c r="E9" i="1"/>
  <c r="G11" i="2"/>
  <c r="H11" i="2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F11" i="2"/>
  <c r="I5" i="2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F5" i="2"/>
  <c r="G5" i="2"/>
  <c r="H5" i="2" s="1"/>
  <c r="E5" i="2"/>
  <c r="C6" i="1"/>
  <c r="D9" i="1"/>
  <c r="D6" i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E8" i="1" l="1"/>
  <c r="N6" i="1"/>
  <c r="O4" i="1"/>
  <c r="J6" i="1"/>
  <c r="M6" i="1"/>
  <c r="I6" i="1"/>
  <c r="F6" i="1"/>
  <c r="E6" i="1"/>
  <c r="L6" i="1"/>
  <c r="H6" i="1"/>
  <c r="K6" i="1"/>
  <c r="G6" i="1"/>
  <c r="F8" i="1" l="1"/>
  <c r="O6" i="1"/>
  <c r="P4" i="1"/>
  <c r="G8" i="1" l="1"/>
  <c r="F9" i="1"/>
  <c r="Q4" i="1"/>
  <c r="P6" i="1"/>
  <c r="H8" i="1" l="1"/>
  <c r="G9" i="1"/>
  <c r="R4" i="1"/>
  <c r="Q6" i="1"/>
  <c r="I8" i="1" l="1"/>
  <c r="H9" i="1"/>
  <c r="S4" i="1"/>
  <c r="R6" i="1"/>
  <c r="J8" i="1" l="1"/>
  <c r="I9" i="1"/>
  <c r="T4" i="1"/>
  <c r="S6" i="1"/>
  <c r="K8" i="1" l="1"/>
  <c r="J9" i="1"/>
  <c r="U4" i="1"/>
  <c r="T6" i="1"/>
  <c r="L8" i="1" l="1"/>
  <c r="K9" i="1"/>
  <c r="V4" i="1"/>
  <c r="U6" i="1"/>
  <c r="M8" i="1" l="1"/>
  <c r="L9" i="1"/>
  <c r="W4" i="1"/>
  <c r="V6" i="1"/>
  <c r="N8" i="1" l="1"/>
  <c r="M9" i="1"/>
  <c r="X4" i="1"/>
  <c r="W6" i="1"/>
  <c r="O8" i="1" l="1"/>
  <c r="N9" i="1"/>
  <c r="Y4" i="1"/>
  <c r="X6" i="1"/>
  <c r="P8" i="1" l="1"/>
  <c r="O9" i="1"/>
  <c r="Z4" i="1"/>
  <c r="Y6" i="1"/>
  <c r="Q8" i="1" l="1"/>
  <c r="P9" i="1"/>
  <c r="AA4" i="1"/>
  <c r="Z6" i="1"/>
  <c r="Q9" i="1" l="1"/>
  <c r="R8" i="1"/>
  <c r="AB4" i="1"/>
  <c r="AA6" i="1"/>
  <c r="S8" i="1" l="1"/>
  <c r="R9" i="1"/>
  <c r="AC4" i="1"/>
  <c r="AB6" i="1"/>
  <c r="S9" i="1" l="1"/>
  <c r="T8" i="1"/>
  <c r="AD4" i="1"/>
  <c r="AC6" i="1"/>
  <c r="T9" i="1" l="1"/>
  <c r="U8" i="1"/>
  <c r="AE4" i="1"/>
  <c r="AD6" i="1"/>
  <c r="U9" i="1" l="1"/>
  <c r="V8" i="1"/>
  <c r="AF4" i="1"/>
  <c r="AE6" i="1"/>
  <c r="W8" i="1" l="1"/>
  <c r="V9" i="1"/>
  <c r="AG4" i="1"/>
  <c r="AF6" i="1"/>
  <c r="X8" i="1" l="1"/>
  <c r="W9" i="1"/>
  <c r="AH4" i="1"/>
  <c r="AG6" i="1"/>
  <c r="X9" i="1" l="1"/>
  <c r="Y8" i="1"/>
  <c r="AI4" i="1"/>
  <c r="AH6" i="1"/>
  <c r="Y9" i="1" l="1"/>
  <c r="Z8" i="1"/>
  <c r="AJ4" i="1"/>
  <c r="AI6" i="1"/>
  <c r="AA8" i="1" l="1"/>
  <c r="Z9" i="1"/>
  <c r="AK4" i="1"/>
  <c r="AJ6" i="1"/>
  <c r="AB8" i="1" l="1"/>
  <c r="AA9" i="1"/>
  <c r="AL4" i="1"/>
  <c r="AL6" i="1" s="1"/>
  <c r="AK6" i="1"/>
  <c r="AB9" i="1" l="1"/>
  <c r="AC8" i="1"/>
  <c r="AC9" i="1" l="1"/>
  <c r="AD8" i="1"/>
  <c r="AE8" i="1" l="1"/>
  <c r="AD9" i="1"/>
  <c r="AE9" i="1" l="1"/>
  <c r="AF8" i="1"/>
  <c r="AF9" i="1" l="1"/>
  <c r="AG8" i="1"/>
  <c r="AG9" i="1" l="1"/>
  <c r="AH8" i="1"/>
  <c r="AI8" i="1" l="1"/>
  <c r="AH9" i="1"/>
  <c r="AI9" i="1" l="1"/>
  <c r="AJ8" i="1"/>
  <c r="AJ9" i="1" l="1"/>
  <c r="AK8" i="1"/>
  <c r="AL8" i="1" l="1"/>
  <c r="AL9" i="1" s="1"/>
  <c r="AK9" i="1"/>
</calcChain>
</file>

<file path=xl/sharedStrings.xml><?xml version="1.0" encoding="utf-8"?>
<sst xmlns="http://schemas.openxmlformats.org/spreadsheetml/2006/main" count="18" uniqueCount="9">
  <si>
    <t>New</t>
  </si>
  <si>
    <t>%</t>
  </si>
  <si>
    <t>Month</t>
  </si>
  <si>
    <t>Total (%)</t>
  </si>
  <si>
    <t>Total (G)</t>
  </si>
  <si>
    <t>Growth predicted a consistent rate of new users</t>
  </si>
  <si>
    <t>Growth predicted at a consisten growth rate</t>
  </si>
  <si>
    <t>Users</t>
  </si>
  <si>
    <t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</si>
</sst>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4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9" fontId="0" fillId="2" borderId="7" xfId="1" applyFont="1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9" fontId="0" fillId="5" borderId="7" xfId="1" applyFont="1" applyFill="1" applyBorder="1" applyAlignment="1">
      <alignment horizontal="center"/>
    </xf>
    <xf numFmtId="9" fontId="0" fillId="5" borderId="8" xfId="1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" fontId="0" fillId="5" borderId="2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9" fontId="0" fillId="5" borderId="0" xfId="0" applyNumberFormat="1" applyFill="1" applyBorder="1" applyAlignment="1">
      <alignment horizontal="center" vertical="center"/>
    </xf>
    <xf numFmtId="9" fontId="0" fillId="5" borderId="0" xfId="1" applyFont="1" applyFill="1" applyBorder="1" applyAlignment="1">
      <alignment horizontal="center" vertical="center"/>
    </xf>
    <xf numFmtId="9" fontId="0" fillId="5" borderId="5" xfId="1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" fontId="0" fillId="5" borderId="0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9" fontId="0" fillId="4" borderId="4" xfId="1" applyFont="1" applyFill="1" applyBorder="1" applyAlignment="1">
      <alignment horizontal="center" vertical="center"/>
    </xf>
    <xf numFmtId="9" fontId="0" fillId="5" borderId="0" xfId="1" applyFont="1" applyFill="1" applyAlignment="1">
      <alignment horizontal="center" vertical="center"/>
    </xf>
    <xf numFmtId="9" fontId="0" fillId="6" borderId="6" xfId="1" applyFont="1" applyFill="1" applyBorder="1" applyAlignment="1">
      <alignment horizontal="center" vertical="center"/>
    </xf>
    <xf numFmtId="9" fontId="0" fillId="5" borderId="7" xfId="1" applyFont="1" applyFill="1" applyBorder="1" applyAlignment="1">
      <alignment horizontal="center" vertical="center"/>
    </xf>
    <xf numFmtId="9" fontId="0" fillId="5" borderId="8" xfId="1" applyFont="1" applyFill="1" applyBorder="1" applyAlignment="1">
      <alignment horizontal="center" vertical="center"/>
    </xf>
    <xf numFmtId="1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" fontId="0" fillId="2" borderId="0" xfId="0" applyNumberFormat="1" applyFill="1" applyBorder="1" applyAlignment="1">
      <alignment horizontal="center" vertical="center"/>
    </xf>
    <xf numFmtId="9" fontId="0" fillId="2" borderId="0" xfId="1" applyFont="1" applyFill="1" applyBorder="1" applyAlignment="1">
      <alignment horizontal="center" vertical="center"/>
    </xf>
    <xf numFmtId="9" fontId="0" fillId="3" borderId="0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Growth</a:t>
            </a:r>
            <a:r>
              <a:rPr lang="en-GB" baseline="0"/>
              <a:t> Rate vs Consistent New Users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Rate'!$B$4</c:f>
              <c:strCache>
                <c:ptCount val="1"/>
                <c:pt idx="0">
                  <c:v>Total (G)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'Growth Rate'!$C$4:$AL$4</c:f>
              <c:numCache>
                <c:formatCode>General</c:formatCode>
                <c:ptCount val="36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275</c:v>
                </c:pt>
                <c:pt idx="8">
                  <c:v>300</c:v>
                </c:pt>
                <c:pt idx="9">
                  <c:v>325</c:v>
                </c:pt>
                <c:pt idx="10">
                  <c:v>350</c:v>
                </c:pt>
                <c:pt idx="11">
                  <c:v>375</c:v>
                </c:pt>
                <c:pt idx="12">
                  <c:v>400</c:v>
                </c:pt>
                <c:pt idx="13">
                  <c:v>425</c:v>
                </c:pt>
                <c:pt idx="14">
                  <c:v>450</c:v>
                </c:pt>
                <c:pt idx="15">
                  <c:v>475</c:v>
                </c:pt>
                <c:pt idx="16">
                  <c:v>500</c:v>
                </c:pt>
                <c:pt idx="17">
                  <c:v>525</c:v>
                </c:pt>
                <c:pt idx="18">
                  <c:v>550</c:v>
                </c:pt>
                <c:pt idx="19">
                  <c:v>575</c:v>
                </c:pt>
                <c:pt idx="20">
                  <c:v>600</c:v>
                </c:pt>
                <c:pt idx="21">
                  <c:v>625</c:v>
                </c:pt>
                <c:pt idx="22">
                  <c:v>650</c:v>
                </c:pt>
                <c:pt idx="23">
                  <c:v>675</c:v>
                </c:pt>
                <c:pt idx="24">
                  <c:v>700</c:v>
                </c:pt>
                <c:pt idx="25">
                  <c:v>725</c:v>
                </c:pt>
                <c:pt idx="26">
                  <c:v>750</c:v>
                </c:pt>
                <c:pt idx="27">
                  <c:v>775</c:v>
                </c:pt>
                <c:pt idx="28">
                  <c:v>800</c:v>
                </c:pt>
                <c:pt idx="29">
                  <c:v>825</c:v>
                </c:pt>
                <c:pt idx="30">
                  <c:v>850</c:v>
                </c:pt>
                <c:pt idx="31">
                  <c:v>875</c:v>
                </c:pt>
                <c:pt idx="32">
                  <c:v>900</c:v>
                </c:pt>
                <c:pt idx="33">
                  <c:v>925</c:v>
                </c:pt>
                <c:pt idx="34">
                  <c:v>950</c:v>
                </c:pt>
                <c:pt idx="35">
                  <c:v>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7-4228-8BC5-853CEFFBEA5C}"/>
            </c:ext>
          </c:extLst>
        </c:ser>
        <c:ser>
          <c:idx val="1"/>
          <c:order val="1"/>
          <c:tx>
            <c:strRef>
              <c:f>'Growth Rate'!$B$8</c:f>
              <c:strCache>
                <c:ptCount val="1"/>
                <c:pt idx="0">
                  <c:v>Total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'Growth Rate'!$C$8:$AL$8</c:f>
              <c:numCache>
                <c:formatCode>0</c:formatCode>
                <c:ptCount val="36"/>
                <c:pt idx="0">
                  <c:v>100</c:v>
                </c:pt>
                <c:pt idx="1">
                  <c:v>108</c:v>
                </c:pt>
                <c:pt idx="2">
                  <c:v>116.64000000000001</c:v>
                </c:pt>
                <c:pt idx="3">
                  <c:v>125.97120000000002</c:v>
                </c:pt>
                <c:pt idx="4">
                  <c:v>136.04889600000004</c:v>
                </c:pt>
                <c:pt idx="5">
                  <c:v>146.93280768000005</c:v>
                </c:pt>
                <c:pt idx="6">
                  <c:v>158.68743229440005</c:v>
                </c:pt>
                <c:pt idx="7">
                  <c:v>171.38242687795207</c:v>
                </c:pt>
                <c:pt idx="8">
                  <c:v>185.09302102818825</c:v>
                </c:pt>
                <c:pt idx="9">
                  <c:v>199.90046271044332</c:v>
                </c:pt>
                <c:pt idx="10">
                  <c:v>215.89249972727879</c:v>
                </c:pt>
                <c:pt idx="11">
                  <c:v>233.16389970546112</c:v>
                </c:pt>
                <c:pt idx="12">
                  <c:v>251.81701168189804</c:v>
                </c:pt>
                <c:pt idx="13">
                  <c:v>271.9623726164499</c:v>
                </c:pt>
                <c:pt idx="14">
                  <c:v>293.71936242576589</c:v>
                </c:pt>
                <c:pt idx="15">
                  <c:v>317.21691141982717</c:v>
                </c:pt>
                <c:pt idx="16">
                  <c:v>342.59426433341338</c:v>
                </c:pt>
                <c:pt idx="17">
                  <c:v>370.00180548008649</c:v>
                </c:pt>
                <c:pt idx="18">
                  <c:v>399.60194991849346</c:v>
                </c:pt>
                <c:pt idx="19">
                  <c:v>431.57010591197297</c:v>
                </c:pt>
                <c:pt idx="20">
                  <c:v>466.09571438493083</c:v>
                </c:pt>
                <c:pt idx="21">
                  <c:v>503.3833715357253</c:v>
                </c:pt>
                <c:pt idx="22">
                  <c:v>543.65404125858333</c:v>
                </c:pt>
                <c:pt idx="23">
                  <c:v>587.14636455927007</c:v>
                </c:pt>
                <c:pt idx="24">
                  <c:v>634.11807372401177</c:v>
                </c:pt>
                <c:pt idx="25">
                  <c:v>684.84751962193275</c:v>
                </c:pt>
                <c:pt idx="26">
                  <c:v>739.63532119168747</c:v>
                </c:pt>
                <c:pt idx="27">
                  <c:v>798.80614688702246</c:v>
                </c:pt>
                <c:pt idx="28">
                  <c:v>862.71063863798429</c:v>
                </c:pt>
                <c:pt idx="29">
                  <c:v>931.72748972902309</c:v>
                </c:pt>
                <c:pt idx="30">
                  <c:v>1006.265688907345</c:v>
                </c:pt>
                <c:pt idx="31">
                  <c:v>1086.7669440199327</c:v>
                </c:pt>
                <c:pt idx="32">
                  <c:v>1173.7082995415274</c:v>
                </c:pt>
                <c:pt idx="33">
                  <c:v>1267.6049635048496</c:v>
                </c:pt>
                <c:pt idx="34">
                  <c:v>1369.0133605852377</c:v>
                </c:pt>
                <c:pt idx="35">
                  <c:v>1478.5344294320569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7-4228-8BC5-853CEFFBE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512352"/>
        <c:axId val="1505048464"/>
      </c:lineChart>
      <c:catAx>
        <c:axId val="1164512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0484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5050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1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 Growth Rate for each organisatoin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Rate'!$B$6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'Growth Rate'!$C$6:$AL$6</c:f>
              <c:numCache>
                <c:formatCode>0%</c:formatCode>
                <c:ptCount val="36"/>
                <c:pt idx="0">
                  <c:v>0.25</c:v>
                </c:pt>
                <c:pt idx="1">
                  <c:v>0.2</c:v>
                </c:pt>
                <c:pt idx="2">
                  <c:v>0.16666666666666666</c:v>
                </c:pt>
                <c:pt idx="3">
                  <c:v>0.14285714285714285</c:v>
                </c:pt>
                <c:pt idx="4">
                  <c:v>0.125</c:v>
                </c:pt>
                <c:pt idx="5">
                  <c:v>0.1111111111111111</c:v>
                </c:pt>
                <c:pt idx="6">
                  <c:v>0.1</c:v>
                </c:pt>
                <c:pt idx="7">
                  <c:v>9.0909090909090912E-2</c:v>
                </c:pt>
                <c:pt idx="8">
                  <c:v>8.3333333333333329E-2</c:v>
                </c:pt>
                <c:pt idx="9">
                  <c:v>7.6923076923076927E-2</c:v>
                </c:pt>
                <c:pt idx="10">
                  <c:v>7.1428571428571425E-2</c:v>
                </c:pt>
                <c:pt idx="11">
                  <c:v>6.6666666666666666E-2</c:v>
                </c:pt>
                <c:pt idx="12">
                  <c:v>6.25E-2</c:v>
                </c:pt>
                <c:pt idx="13">
                  <c:v>5.8823529411764705E-2</c:v>
                </c:pt>
                <c:pt idx="14">
                  <c:v>5.5555555555555552E-2</c:v>
                </c:pt>
                <c:pt idx="15">
                  <c:v>5.2631578947368418E-2</c:v>
                </c:pt>
                <c:pt idx="16">
                  <c:v>0.05</c:v>
                </c:pt>
                <c:pt idx="17">
                  <c:v>4.7619047619047616E-2</c:v>
                </c:pt>
                <c:pt idx="18">
                  <c:v>4.5454545454545456E-2</c:v>
                </c:pt>
                <c:pt idx="19">
                  <c:v>4.3478260869565216E-2</c:v>
                </c:pt>
                <c:pt idx="20">
                  <c:v>4.1666666666666664E-2</c:v>
                </c:pt>
                <c:pt idx="21">
                  <c:v>0.04</c:v>
                </c:pt>
                <c:pt idx="22">
                  <c:v>3.8461538461538464E-2</c:v>
                </c:pt>
                <c:pt idx="23">
                  <c:v>3.7037037037037035E-2</c:v>
                </c:pt>
                <c:pt idx="24">
                  <c:v>3.5714285714285712E-2</c:v>
                </c:pt>
                <c:pt idx="25">
                  <c:v>3.4482758620689655E-2</c:v>
                </c:pt>
                <c:pt idx="26">
                  <c:v>3.3333333333333333E-2</c:v>
                </c:pt>
                <c:pt idx="27">
                  <c:v>3.2258064516129031E-2</c:v>
                </c:pt>
                <c:pt idx="28">
                  <c:v>3.125E-2</c:v>
                </c:pt>
                <c:pt idx="29">
                  <c:v>3.0303030303030304E-2</c:v>
                </c:pt>
                <c:pt idx="30">
                  <c:v>2.9411764705882353E-2</c:v>
                </c:pt>
                <c:pt idx="31">
                  <c:v>2.8571428571428571E-2</c:v>
                </c:pt>
                <c:pt idx="32">
                  <c:v>2.7777777777777776E-2</c:v>
                </c:pt>
                <c:pt idx="33">
                  <c:v>2.7027027027027029E-2</c:v>
                </c:pt>
                <c:pt idx="34">
                  <c:v>2.6315789473684209E-2</c:v>
                </c:pt>
                <c:pt idx="35">
                  <c:v>2.564102564102564E-2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A-44E5-BB9B-8A43CEAA8F53}"/>
            </c:ext>
          </c:extLst>
        </c:ser>
        <c:ser>
          <c:idx val="1"/>
          <c:order val="1"/>
          <c:tx>
            <c:strRef>
              <c:f>'Growth Rate'!$B$10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'Growth Rate'!$C$10:$AL$10</c:f>
              <c:numCache>
                <c:formatCode>0%</c:formatCode>
                <c:ptCount val="36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0.08</c:v>
                </c:pt>
                <c:pt idx="19">
                  <c:v>0.08</c:v>
                </c:pt>
                <c:pt idx="20">
                  <c:v>0.08</c:v>
                </c:pt>
                <c:pt idx="21">
                  <c:v>0.08</c:v>
                </c:pt>
                <c:pt idx="22">
                  <c:v>0.08</c:v>
                </c:pt>
                <c:pt idx="23">
                  <c:v>0.08</c:v>
                </c:pt>
                <c:pt idx="24">
                  <c:v>0.08</c:v>
                </c:pt>
                <c:pt idx="25">
                  <c:v>0.08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A-44E5-BB9B-8A43CEAA8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153904"/>
        <c:axId val="1152674032"/>
      </c:lineChart>
      <c:catAx>
        <c:axId val="1237153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674032"/>
        <c:crosses val="autoZero"/>
        <c:auto val="1"/>
        <c:lblAlgn val="ctr"/>
        <c:lblOffset val="100"/>
        <c:noMultiLvlLbl val="0"/>
      </c:catAx>
      <c:valAx>
        <c:axId val="115267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5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User</a:t>
            </a:r>
            <a:r>
              <a:rPr lang="en-GB" baseline="0"/>
              <a:t> Count Comparison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Planning'!$B$4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'Sales Planning'!$C$4:$AL$4</c:f>
              <c:numCache>
                <c:formatCode>General</c:formatCode>
                <c:ptCount val="36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180</c:v>
                </c:pt>
                <c:pt idx="4">
                  <c:v>210</c:v>
                </c:pt>
                <c:pt idx="5">
                  <c:v>240</c:v>
                </c:pt>
                <c:pt idx="6">
                  <c:v>275</c:v>
                </c:pt>
                <c:pt idx="7">
                  <c:v>310</c:v>
                </c:pt>
                <c:pt idx="8">
                  <c:v>345</c:v>
                </c:pt>
                <c:pt idx="9">
                  <c:v>385</c:v>
                </c:pt>
                <c:pt idx="10">
                  <c:v>425</c:v>
                </c:pt>
                <c:pt idx="11">
                  <c:v>465</c:v>
                </c:pt>
                <c:pt idx="12">
                  <c:v>510</c:v>
                </c:pt>
                <c:pt idx="13">
                  <c:v>555</c:v>
                </c:pt>
                <c:pt idx="14">
                  <c:v>600</c:v>
                </c:pt>
                <c:pt idx="15">
                  <c:v>650</c:v>
                </c:pt>
                <c:pt idx="16">
                  <c:v>700</c:v>
                </c:pt>
                <c:pt idx="17">
                  <c:v>750</c:v>
                </c:pt>
                <c:pt idx="18">
                  <c:v>805</c:v>
                </c:pt>
                <c:pt idx="19">
                  <c:v>860</c:v>
                </c:pt>
                <c:pt idx="20">
                  <c:v>915</c:v>
                </c:pt>
                <c:pt idx="21">
                  <c:v>975</c:v>
                </c:pt>
                <c:pt idx="22">
                  <c:v>1035</c:v>
                </c:pt>
                <c:pt idx="23">
                  <c:v>1095</c:v>
                </c:pt>
                <c:pt idx="24">
                  <c:v>1160</c:v>
                </c:pt>
                <c:pt idx="25">
                  <c:v>1225</c:v>
                </c:pt>
                <c:pt idx="26">
                  <c:v>1290</c:v>
                </c:pt>
                <c:pt idx="27">
                  <c:v>1360</c:v>
                </c:pt>
                <c:pt idx="28">
                  <c:v>1430</c:v>
                </c:pt>
                <c:pt idx="29">
                  <c:v>1500</c:v>
                </c:pt>
                <c:pt idx="30">
                  <c:v>1575</c:v>
                </c:pt>
                <c:pt idx="31">
                  <c:v>1650</c:v>
                </c:pt>
                <c:pt idx="32">
                  <c:v>1725</c:v>
                </c:pt>
                <c:pt idx="33">
                  <c:v>1805</c:v>
                </c:pt>
                <c:pt idx="34">
                  <c:v>1885</c:v>
                </c:pt>
                <c:pt idx="35">
                  <c:v>1965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8-4613-9AFE-51FF330A8E29}"/>
            </c:ext>
          </c:extLst>
        </c:ser>
        <c:ser>
          <c:idx val="1"/>
          <c:order val="1"/>
          <c:tx>
            <c:strRef>
              <c:f>'Sales Planning'!$B$9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'Sales Planning'!$C$9:$AL$9</c:f>
              <c:numCache>
                <c:formatCode>0</c:formatCode>
                <c:ptCount val="36"/>
                <c:pt idx="0">
                  <c:v>100</c:v>
                </c:pt>
                <c:pt idx="1">
                  <c:v>108</c:v>
                </c:pt>
                <c:pt idx="2">
                  <c:v>116.64000000000001</c:v>
                </c:pt>
                <c:pt idx="3">
                  <c:v>127.13760000000002</c:v>
                </c:pt>
                <c:pt idx="4">
                  <c:v>138.57998400000002</c:v>
                </c:pt>
                <c:pt idx="5">
                  <c:v>151.05218256000003</c:v>
                </c:pt>
                <c:pt idx="6">
                  <c:v>166.15740081600006</c:v>
                </c:pt>
                <c:pt idx="7">
                  <c:v>182.77314089760009</c:v>
                </c:pt>
                <c:pt idx="8">
                  <c:v>201.0504549873601</c:v>
                </c:pt>
                <c:pt idx="9">
                  <c:v>223.16600503596968</c:v>
                </c:pt>
                <c:pt idx="10">
                  <c:v>247.7142655899263</c:v>
                </c:pt>
                <c:pt idx="11">
                  <c:v>274.96283480481816</c:v>
                </c:pt>
                <c:pt idx="12">
                  <c:v>307.95837498139633</c:v>
                </c:pt>
                <c:pt idx="13">
                  <c:v>344.91337997916384</c:v>
                </c:pt>
                <c:pt idx="14">
                  <c:v>386.30298557666345</c:v>
                </c:pt>
                <c:pt idx="15">
                  <c:v>436.52237370162965</c:v>
                </c:pt>
                <c:pt idx="16">
                  <c:v>493.27028228284144</c:v>
                </c:pt>
                <c:pt idx="17">
                  <c:v>557.39541897961078</c:v>
                </c:pt>
                <c:pt idx="18">
                  <c:v>635.43077763675626</c:v>
                </c:pt>
                <c:pt idx="19">
                  <c:v>724.39108650590208</c:v>
                </c:pt>
                <c:pt idx="20">
                  <c:v>825.80583861672835</c:v>
                </c:pt>
                <c:pt idx="21">
                  <c:v>949.67671440923755</c:v>
                </c:pt>
                <c:pt idx="22">
                  <c:v>1092.1282215706231</c:v>
                </c:pt>
                <c:pt idx="23">
                  <c:v>1255.9474548062165</c:v>
                </c:pt>
                <c:pt idx="24">
                  <c:v>1456.8990475752109</c:v>
                </c:pt>
                <c:pt idx="25">
                  <c:v>1690.0028951872446</c:v>
                </c:pt>
                <c:pt idx="26">
                  <c:v>1960.4033584172037</c:v>
                </c:pt>
                <c:pt idx="27">
                  <c:v>2293.6719293481283</c:v>
                </c:pt>
                <c:pt idx="28">
                  <c:v>2683.5961573373102</c:v>
                </c:pt>
                <c:pt idx="29">
                  <c:v>3139.8075040846529</c:v>
                </c:pt>
                <c:pt idx="30">
                  <c:v>3704.9728548198905</c:v>
                </c:pt>
                <c:pt idx="31">
                  <c:v>4371.8679686874702</c:v>
                </c:pt>
                <c:pt idx="32">
                  <c:v>5158.8042030512142</c:v>
                </c:pt>
                <c:pt idx="33">
                  <c:v>6138.9770016309449</c:v>
                </c:pt>
                <c:pt idx="34">
                  <c:v>7305.3826319408245</c:v>
                </c:pt>
                <c:pt idx="35">
                  <c:v>8693.4053320095809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8-4613-9AFE-51FF330A8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4825744"/>
        <c:axId val="1506126656"/>
      </c:lineChart>
      <c:catAx>
        <c:axId val="1504825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26656"/>
        <c:crosses val="autoZero"/>
        <c:auto val="1"/>
        <c:lblAlgn val="ctr"/>
        <c:lblOffset val="100"/>
        <c:noMultiLvlLbl val="0"/>
      </c:catAx>
      <c:valAx>
        <c:axId val="150612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82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 Growth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Planning'!$B$6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'Sales Planning'!$C$6:$AL$6</c:f>
              <c:numCache>
                <c:formatCode>0%</c:formatCode>
                <c:ptCount val="36"/>
                <c:pt idx="0">
                  <c:v>0.25</c:v>
                </c:pt>
                <c:pt idx="1">
                  <c:v>0.25</c:v>
                </c:pt>
                <c:pt idx="2">
                  <c:v>0.2</c:v>
                </c:pt>
                <c:pt idx="3">
                  <c:v>0.2</c:v>
                </c:pt>
                <c:pt idx="4">
                  <c:v>0.16666666666666666</c:v>
                </c:pt>
                <c:pt idx="5">
                  <c:v>0.14285714285714285</c:v>
                </c:pt>
                <c:pt idx="6">
                  <c:v>0.14583333333333334</c:v>
                </c:pt>
                <c:pt idx="7">
                  <c:v>0.12727272727272726</c:v>
                </c:pt>
                <c:pt idx="8">
                  <c:v>0.11290322580645161</c:v>
                </c:pt>
                <c:pt idx="9">
                  <c:v>0.11594202898550725</c:v>
                </c:pt>
                <c:pt idx="10">
                  <c:v>0.1038961038961039</c:v>
                </c:pt>
                <c:pt idx="11">
                  <c:v>9.4117647058823528E-2</c:v>
                </c:pt>
                <c:pt idx="12">
                  <c:v>9.6774193548387094E-2</c:v>
                </c:pt>
                <c:pt idx="13">
                  <c:v>8.8235294117647065E-2</c:v>
                </c:pt>
                <c:pt idx="14">
                  <c:v>8.1081081081081086E-2</c:v>
                </c:pt>
                <c:pt idx="15">
                  <c:v>8.3333333333333329E-2</c:v>
                </c:pt>
                <c:pt idx="16">
                  <c:v>7.6923076923076927E-2</c:v>
                </c:pt>
                <c:pt idx="17">
                  <c:v>7.1428571428571425E-2</c:v>
                </c:pt>
                <c:pt idx="18">
                  <c:v>7.3333333333333334E-2</c:v>
                </c:pt>
                <c:pt idx="19">
                  <c:v>6.8322981366459631E-2</c:v>
                </c:pt>
                <c:pt idx="20">
                  <c:v>6.3953488372093026E-2</c:v>
                </c:pt>
                <c:pt idx="21">
                  <c:v>6.5573770491803282E-2</c:v>
                </c:pt>
                <c:pt idx="22">
                  <c:v>6.1538461538461542E-2</c:v>
                </c:pt>
                <c:pt idx="23">
                  <c:v>5.7971014492753624E-2</c:v>
                </c:pt>
                <c:pt idx="24">
                  <c:v>5.9360730593607303E-2</c:v>
                </c:pt>
                <c:pt idx="25">
                  <c:v>5.6034482758620691E-2</c:v>
                </c:pt>
                <c:pt idx="26">
                  <c:v>5.3061224489795916E-2</c:v>
                </c:pt>
                <c:pt idx="27">
                  <c:v>5.4263565891472867E-2</c:v>
                </c:pt>
                <c:pt idx="28">
                  <c:v>5.1470588235294115E-2</c:v>
                </c:pt>
                <c:pt idx="29">
                  <c:v>4.8951048951048952E-2</c:v>
                </c:pt>
                <c:pt idx="30">
                  <c:v>0.05</c:v>
                </c:pt>
                <c:pt idx="31">
                  <c:v>4.7619047619047616E-2</c:v>
                </c:pt>
                <c:pt idx="32">
                  <c:v>4.5454545454545456E-2</c:v>
                </c:pt>
                <c:pt idx="33">
                  <c:v>4.6376811594202899E-2</c:v>
                </c:pt>
                <c:pt idx="34">
                  <c:v>4.4321329639889197E-2</c:v>
                </c:pt>
                <c:pt idx="35">
                  <c:v>4.2440318302387266E-2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3-46AE-B54F-08AC37771313}"/>
            </c:ext>
          </c:extLst>
        </c:ser>
        <c:ser>
          <c:idx val="1"/>
          <c:order val="1"/>
          <c:tx>
            <c:strRef>
              <c:f>'Sales Planning'!$B$11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'Sales Planning'!$C$11:$AL$11</c:f>
              <c:numCache>
                <c:formatCode>0%</c:formatCode>
                <c:ptCount val="36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9.9999999999999992E-2</c:v>
                </c:pt>
                <c:pt idx="7">
                  <c:v>9.9999999999999992E-2</c:v>
                </c:pt>
                <c:pt idx="8">
                  <c:v>9.9999999999999992E-2</c:v>
                </c:pt>
                <c:pt idx="9">
                  <c:v>0.10999999999999999</c:v>
                </c:pt>
                <c:pt idx="10">
                  <c:v>0.10999999999999999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0.11999999999999998</c:v>
                </c:pt>
                <c:pt idx="14">
                  <c:v>0.11999999999999998</c:v>
                </c:pt>
                <c:pt idx="15">
                  <c:v>0.12999999999999998</c:v>
                </c:pt>
                <c:pt idx="16">
                  <c:v>0.12999999999999998</c:v>
                </c:pt>
                <c:pt idx="17">
                  <c:v>0.12999999999999998</c:v>
                </c:pt>
                <c:pt idx="18">
                  <c:v>0.13999999999999999</c:v>
                </c:pt>
                <c:pt idx="19">
                  <c:v>0.13999999999999999</c:v>
                </c:pt>
                <c:pt idx="20">
                  <c:v>0.13999999999999999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0.16</c:v>
                </c:pt>
                <c:pt idx="25">
                  <c:v>0.16</c:v>
                </c:pt>
                <c:pt idx="26">
                  <c:v>0.16</c:v>
                </c:pt>
                <c:pt idx="27">
                  <c:v>0.17</c:v>
                </c:pt>
                <c:pt idx="28">
                  <c:v>0.17</c:v>
                </c:pt>
                <c:pt idx="29">
                  <c:v>0.17</c:v>
                </c:pt>
                <c:pt idx="30">
                  <c:v>0.18000000000000002</c:v>
                </c:pt>
                <c:pt idx="31">
                  <c:v>0.18000000000000002</c:v>
                </c:pt>
                <c:pt idx="32">
                  <c:v>0.18000000000000002</c:v>
                </c:pt>
                <c:pt idx="33">
                  <c:v>0.19000000000000003</c:v>
                </c:pt>
                <c:pt idx="34">
                  <c:v>0.19000000000000003</c:v>
                </c:pt>
                <c:pt idx="35">
                  <c:v>0.19000000000000003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3-46AE-B54F-08AC37771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549120"/>
        <c:axId val="1505050544"/>
      </c:lineChart>
      <c:catAx>
        <c:axId val="1163549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050544"/>
        <c:crosses val="autoZero"/>
        <c:auto val="1"/>
        <c:lblAlgn val="ctr"/>
        <c:lblOffset val="100"/>
        <c:noMultiLvlLbl val="0"/>
      </c:catAx>
      <c:valAx>
        <c:axId val="15050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54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10</xdr:row>
      <xdr:rowOff>147637</xdr:rowOff>
    </xdr:from>
    <xdr:to>
      <xdr:col>8</xdr:col>
      <xdr:colOff>466725</xdr:colOff>
      <xdr:row>25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65E3F7-5CC1-4DE4-A514-F209A23E5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10</xdr:row>
      <xdr:rowOff>138112</xdr:rowOff>
    </xdr:from>
    <xdr:to>
      <xdr:col>16</xdr:col>
      <xdr:colOff>342900</xdr:colOff>
      <xdr:row>25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42E8D1-72CD-4E2C-A1E4-0109DDC6B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12</xdr:row>
      <xdr:rowOff>128587</xdr:rowOff>
    </xdr:from>
    <xdr:to>
      <xdr:col>8</xdr:col>
      <xdr:colOff>323850</xdr:colOff>
      <xdr:row>27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9A654C-DF4E-4B7A-B902-B2D49C189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400050</xdr:colOff>
      <xdr:row>12</xdr:row>
      <xdr:rowOff>138112</xdr:rowOff>
    </xdr:from>
    <xdr:to>
      <xdr:col>16</xdr:col>
      <xdr:colOff>95250</xdr:colOff>
      <xdr:row>27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23305A-084A-4536-925A-C26C170F1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6F28-DB48-4C25-A486-7B098B5C5CC1}">
  <dimension ref="A2:AL10"/>
  <sheetViews>
    <sheetView tabSelected="1" zoomScaleNormal="100" workbookViewId="0">
      <selection activeCell="A13" sqref="A13"/>
    </sheetView>
  </sheetViews>
  <sheetFormatPr defaultRowHeight="15" x14ac:dyDescent="0.25"/>
  <cols>
    <col min="1" max="1" width="21.7109375" style="13" customWidth="1"/>
    <col min="2" max="16384" width="9.140625" style="13"/>
  </cols>
  <sheetData>
    <row r="2" spans="1:38" s="6" customFormat="1" x14ac:dyDescent="0.25">
      <c r="B2" s="7" t="s">
        <v>2</v>
      </c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8">
        <v>32</v>
      </c>
      <c r="AI2" s="8">
        <v>33</v>
      </c>
      <c r="AJ2" s="8">
        <v>34</v>
      </c>
      <c r="AK2" s="8">
        <v>35</v>
      </c>
      <c r="AL2" s="9">
        <v>36</v>
      </c>
    </row>
    <row r="3" spans="1:38" s="6" customFormat="1" x14ac:dyDescent="0.25"/>
    <row r="4" spans="1:38" x14ac:dyDescent="0.25">
      <c r="A4" s="53" t="s">
        <v>5</v>
      </c>
      <c r="B4" s="10" t="s">
        <v>4</v>
      </c>
      <c r="C4" s="11">
        <v>100</v>
      </c>
      <c r="D4" s="11">
        <f>D5+C4</f>
        <v>125</v>
      </c>
      <c r="E4" s="11">
        <f t="shared" ref="E4:N4" si="0">E5+D4</f>
        <v>150</v>
      </c>
      <c r="F4" s="11">
        <f t="shared" si="0"/>
        <v>175</v>
      </c>
      <c r="G4" s="11">
        <f t="shared" si="0"/>
        <v>200</v>
      </c>
      <c r="H4" s="11">
        <f t="shared" si="0"/>
        <v>225</v>
      </c>
      <c r="I4" s="11">
        <f t="shared" si="0"/>
        <v>250</v>
      </c>
      <c r="J4" s="11">
        <f t="shared" si="0"/>
        <v>275</v>
      </c>
      <c r="K4" s="11">
        <f t="shared" si="0"/>
        <v>300</v>
      </c>
      <c r="L4" s="11">
        <f t="shared" si="0"/>
        <v>325</v>
      </c>
      <c r="M4" s="11">
        <f t="shared" si="0"/>
        <v>350</v>
      </c>
      <c r="N4" s="11">
        <f t="shared" si="0"/>
        <v>375</v>
      </c>
      <c r="O4" s="11">
        <f t="shared" ref="O4" si="1">O5+N4</f>
        <v>400</v>
      </c>
      <c r="P4" s="11">
        <f t="shared" ref="P4" si="2">P5+O4</f>
        <v>425</v>
      </c>
      <c r="Q4" s="11">
        <f t="shared" ref="Q4" si="3">Q5+P4</f>
        <v>450</v>
      </c>
      <c r="R4" s="11">
        <f t="shared" ref="R4" si="4">R5+Q4</f>
        <v>475</v>
      </c>
      <c r="S4" s="11">
        <f t="shared" ref="S4" si="5">S5+R4</f>
        <v>500</v>
      </c>
      <c r="T4" s="11">
        <f t="shared" ref="T4" si="6">T5+S4</f>
        <v>525</v>
      </c>
      <c r="U4" s="11">
        <f t="shared" ref="U4" si="7">U5+T4</f>
        <v>550</v>
      </c>
      <c r="V4" s="11">
        <f t="shared" ref="V4" si="8">V5+U4</f>
        <v>575</v>
      </c>
      <c r="W4" s="11">
        <f t="shared" ref="W4" si="9">W5+V4</f>
        <v>600</v>
      </c>
      <c r="X4" s="11">
        <f t="shared" ref="X4" si="10">X5+W4</f>
        <v>625</v>
      </c>
      <c r="Y4" s="11">
        <f t="shared" ref="Y4" si="11">Y5+X4</f>
        <v>650</v>
      </c>
      <c r="Z4" s="11">
        <f t="shared" ref="Z4" si="12">Z5+Y4</f>
        <v>675</v>
      </c>
      <c r="AA4" s="11">
        <f t="shared" ref="AA4" si="13">AA5+Z4</f>
        <v>700</v>
      </c>
      <c r="AB4" s="11">
        <f t="shared" ref="AB4" si="14">AB5+AA4</f>
        <v>725</v>
      </c>
      <c r="AC4" s="11">
        <f t="shared" ref="AC4" si="15">AC5+AB4</f>
        <v>750</v>
      </c>
      <c r="AD4" s="1">
        <f t="shared" ref="AD4" si="16">AD5+AC4</f>
        <v>775</v>
      </c>
      <c r="AE4" s="11">
        <f t="shared" ref="AE4" si="17">AE5+AD4</f>
        <v>800</v>
      </c>
      <c r="AF4" s="11">
        <f t="shared" ref="AF4" si="18">AF5+AE4</f>
        <v>825</v>
      </c>
      <c r="AG4" s="11">
        <f t="shared" ref="AG4" si="19">AG5+AF4</f>
        <v>850</v>
      </c>
      <c r="AH4" s="11">
        <f t="shared" ref="AH4" si="20">AH5+AG4</f>
        <v>875</v>
      </c>
      <c r="AI4" s="11">
        <f t="shared" ref="AI4" si="21">AI5+AH4</f>
        <v>900</v>
      </c>
      <c r="AJ4" s="11">
        <f t="shared" ref="AJ4" si="22">AJ5+AI4</f>
        <v>925</v>
      </c>
      <c r="AK4" s="11">
        <f t="shared" ref="AK4" si="23">AK5+AJ4</f>
        <v>950</v>
      </c>
      <c r="AL4" s="12">
        <f t="shared" ref="AL4" si="24">AL5+AK4</f>
        <v>975</v>
      </c>
    </row>
    <row r="5" spans="1:38" x14ac:dyDescent="0.25">
      <c r="A5" s="54"/>
      <c r="B5" s="14" t="s">
        <v>0</v>
      </c>
      <c r="C5" s="15">
        <v>25</v>
      </c>
      <c r="D5" s="15">
        <v>25</v>
      </c>
      <c r="E5" s="15">
        <v>25</v>
      </c>
      <c r="F5" s="15">
        <v>25</v>
      </c>
      <c r="G5" s="15">
        <v>25</v>
      </c>
      <c r="H5" s="15">
        <v>25</v>
      </c>
      <c r="I5" s="15">
        <v>25</v>
      </c>
      <c r="J5" s="15">
        <v>25</v>
      </c>
      <c r="K5" s="15">
        <v>25</v>
      </c>
      <c r="L5" s="15">
        <v>25</v>
      </c>
      <c r="M5" s="15">
        <v>25</v>
      </c>
      <c r="N5" s="15">
        <v>25</v>
      </c>
      <c r="O5" s="15">
        <v>25</v>
      </c>
      <c r="P5" s="15">
        <v>25</v>
      </c>
      <c r="Q5" s="15">
        <v>25</v>
      </c>
      <c r="R5" s="15">
        <v>25</v>
      </c>
      <c r="S5" s="2">
        <v>25</v>
      </c>
      <c r="T5" s="15">
        <v>25</v>
      </c>
      <c r="U5" s="15">
        <v>25</v>
      </c>
      <c r="V5" s="15">
        <v>25</v>
      </c>
      <c r="W5" s="15">
        <v>25</v>
      </c>
      <c r="X5" s="15">
        <v>25</v>
      </c>
      <c r="Y5" s="15">
        <v>25</v>
      </c>
      <c r="Z5" s="15">
        <v>25</v>
      </c>
      <c r="AA5" s="15">
        <v>25</v>
      </c>
      <c r="AB5" s="15">
        <v>25</v>
      </c>
      <c r="AC5" s="15">
        <v>25</v>
      </c>
      <c r="AD5" s="15">
        <v>25</v>
      </c>
      <c r="AE5" s="15">
        <v>25</v>
      </c>
      <c r="AF5" s="15">
        <v>25</v>
      </c>
      <c r="AG5" s="15">
        <v>25</v>
      </c>
      <c r="AH5" s="15">
        <v>25</v>
      </c>
      <c r="AI5" s="15">
        <v>25</v>
      </c>
      <c r="AJ5" s="15">
        <v>25</v>
      </c>
      <c r="AK5" s="15">
        <v>25</v>
      </c>
      <c r="AL5" s="16">
        <v>25</v>
      </c>
    </row>
    <row r="6" spans="1:38" x14ac:dyDescent="0.25">
      <c r="A6" s="55"/>
      <c r="B6" s="17" t="s">
        <v>1</v>
      </c>
      <c r="C6" s="18">
        <f>(C4-75)/C4</f>
        <v>0.25</v>
      </c>
      <c r="D6" s="18">
        <f>(D4-C4)/D4</f>
        <v>0.2</v>
      </c>
      <c r="E6" s="18">
        <f>(E4-D4)/E4</f>
        <v>0.16666666666666666</v>
      </c>
      <c r="F6" s="18">
        <f t="shared" ref="F6:AL6" si="25">(F4-E4)/F4</f>
        <v>0.14285714285714285</v>
      </c>
      <c r="G6" s="18">
        <f t="shared" si="25"/>
        <v>0.125</v>
      </c>
      <c r="H6" s="18">
        <f t="shared" si="25"/>
        <v>0.1111111111111111</v>
      </c>
      <c r="I6" s="18">
        <f t="shared" si="25"/>
        <v>0.1</v>
      </c>
      <c r="J6" s="18">
        <f t="shared" si="25"/>
        <v>9.0909090909090912E-2</v>
      </c>
      <c r="K6" s="3">
        <f t="shared" si="25"/>
        <v>8.3333333333333329E-2</v>
      </c>
      <c r="L6" s="18">
        <f t="shared" si="25"/>
        <v>7.6923076923076927E-2</v>
      </c>
      <c r="M6" s="18">
        <f t="shared" si="25"/>
        <v>7.1428571428571425E-2</v>
      </c>
      <c r="N6" s="18">
        <f t="shared" si="25"/>
        <v>6.6666666666666666E-2</v>
      </c>
      <c r="O6" s="18">
        <f t="shared" si="25"/>
        <v>6.25E-2</v>
      </c>
      <c r="P6" s="18">
        <f t="shared" si="25"/>
        <v>5.8823529411764705E-2</v>
      </c>
      <c r="Q6" s="18">
        <f t="shared" si="25"/>
        <v>5.5555555555555552E-2</v>
      </c>
      <c r="R6" s="18">
        <f t="shared" si="25"/>
        <v>5.2631578947368418E-2</v>
      </c>
      <c r="S6" s="18">
        <f t="shared" si="25"/>
        <v>0.05</v>
      </c>
      <c r="T6" s="18">
        <f t="shared" si="25"/>
        <v>4.7619047619047616E-2</v>
      </c>
      <c r="U6" s="18">
        <f t="shared" si="25"/>
        <v>4.5454545454545456E-2</v>
      </c>
      <c r="V6" s="18">
        <f t="shared" si="25"/>
        <v>4.3478260869565216E-2</v>
      </c>
      <c r="W6" s="18">
        <f t="shared" si="25"/>
        <v>4.1666666666666664E-2</v>
      </c>
      <c r="X6" s="18">
        <f t="shared" si="25"/>
        <v>0.04</v>
      </c>
      <c r="Y6" s="18">
        <f t="shared" si="25"/>
        <v>3.8461538461538464E-2</v>
      </c>
      <c r="Z6" s="18">
        <f t="shared" si="25"/>
        <v>3.7037037037037035E-2</v>
      </c>
      <c r="AA6" s="18">
        <f t="shared" si="25"/>
        <v>3.5714285714285712E-2</v>
      </c>
      <c r="AB6" s="18">
        <f t="shared" si="25"/>
        <v>3.4482758620689655E-2</v>
      </c>
      <c r="AC6" s="18">
        <f t="shared" si="25"/>
        <v>3.3333333333333333E-2</v>
      </c>
      <c r="AD6" s="18">
        <f t="shared" si="25"/>
        <v>3.2258064516129031E-2</v>
      </c>
      <c r="AE6" s="18">
        <f t="shared" si="25"/>
        <v>3.125E-2</v>
      </c>
      <c r="AF6" s="18">
        <f t="shared" si="25"/>
        <v>3.0303030303030304E-2</v>
      </c>
      <c r="AG6" s="18">
        <f t="shared" si="25"/>
        <v>2.9411764705882353E-2</v>
      </c>
      <c r="AH6" s="18">
        <f t="shared" si="25"/>
        <v>2.8571428571428571E-2</v>
      </c>
      <c r="AI6" s="18">
        <f t="shared" si="25"/>
        <v>2.7777777777777776E-2</v>
      </c>
      <c r="AJ6" s="18">
        <f t="shared" si="25"/>
        <v>2.7027027027027029E-2</v>
      </c>
      <c r="AK6" s="18">
        <f t="shared" si="25"/>
        <v>2.6315789473684209E-2</v>
      </c>
      <c r="AL6" s="19">
        <f t="shared" si="25"/>
        <v>2.564102564102564E-2</v>
      </c>
    </row>
    <row r="7" spans="1:38" x14ac:dyDescent="0.25">
      <c r="A7" s="20"/>
      <c r="B7" s="20"/>
    </row>
    <row r="8" spans="1:38" x14ac:dyDescent="0.25">
      <c r="A8" s="56" t="s">
        <v>6</v>
      </c>
      <c r="B8" s="10" t="s">
        <v>3</v>
      </c>
      <c r="C8" s="21">
        <v>100</v>
      </c>
      <c r="D8" s="21">
        <f>C8*(1+C10)</f>
        <v>108</v>
      </c>
      <c r="E8" s="21">
        <f t="shared" ref="E8:N8" si="26">D8*(1+D10)</f>
        <v>116.64000000000001</v>
      </c>
      <c r="F8" s="21">
        <f t="shared" si="26"/>
        <v>125.97120000000002</v>
      </c>
      <c r="G8" s="21">
        <f t="shared" si="26"/>
        <v>136.04889600000004</v>
      </c>
      <c r="H8" s="21">
        <f t="shared" si="26"/>
        <v>146.93280768000005</v>
      </c>
      <c r="I8" s="21">
        <f t="shared" si="26"/>
        <v>158.68743229440005</v>
      </c>
      <c r="J8" s="21">
        <f t="shared" si="26"/>
        <v>171.38242687795207</v>
      </c>
      <c r="K8" s="21">
        <f t="shared" si="26"/>
        <v>185.09302102818825</v>
      </c>
      <c r="L8" s="21">
        <f t="shared" si="26"/>
        <v>199.90046271044332</v>
      </c>
      <c r="M8" s="21">
        <f t="shared" si="26"/>
        <v>215.89249972727879</v>
      </c>
      <c r="N8" s="21">
        <f t="shared" si="26"/>
        <v>233.16389970546112</v>
      </c>
      <c r="O8" s="21">
        <f t="shared" ref="O8:AL8" si="27">N8*(1+N10)</f>
        <v>251.81701168189804</v>
      </c>
      <c r="P8" s="21">
        <f t="shared" si="27"/>
        <v>271.9623726164499</v>
      </c>
      <c r="Q8" s="21">
        <f t="shared" si="27"/>
        <v>293.71936242576589</v>
      </c>
      <c r="R8" s="21">
        <f t="shared" si="27"/>
        <v>317.21691141982717</v>
      </c>
      <c r="S8" s="21">
        <f t="shared" si="27"/>
        <v>342.59426433341338</v>
      </c>
      <c r="T8" s="21">
        <f t="shared" si="27"/>
        <v>370.00180548008649</v>
      </c>
      <c r="U8" s="21">
        <f t="shared" si="27"/>
        <v>399.60194991849346</v>
      </c>
      <c r="V8" s="21">
        <f t="shared" si="27"/>
        <v>431.57010591197297</v>
      </c>
      <c r="W8" s="21">
        <f t="shared" si="27"/>
        <v>466.09571438493083</v>
      </c>
      <c r="X8" s="21">
        <f t="shared" si="27"/>
        <v>503.3833715357253</v>
      </c>
      <c r="Y8" s="21">
        <f t="shared" si="27"/>
        <v>543.65404125858333</v>
      </c>
      <c r="Z8" s="21">
        <f t="shared" si="27"/>
        <v>587.14636455927007</v>
      </c>
      <c r="AA8" s="21">
        <f t="shared" si="27"/>
        <v>634.11807372401177</v>
      </c>
      <c r="AB8" s="21">
        <f t="shared" si="27"/>
        <v>684.84751962193275</v>
      </c>
      <c r="AC8" s="21">
        <f t="shared" si="27"/>
        <v>739.63532119168747</v>
      </c>
      <c r="AD8" s="4">
        <f t="shared" si="27"/>
        <v>798.80614688702246</v>
      </c>
      <c r="AE8" s="21">
        <f t="shared" si="27"/>
        <v>862.71063863798429</v>
      </c>
      <c r="AF8" s="21">
        <f t="shared" si="27"/>
        <v>931.72748972902309</v>
      </c>
      <c r="AG8" s="21">
        <f t="shared" si="27"/>
        <v>1006.265688907345</v>
      </c>
      <c r="AH8" s="21">
        <f t="shared" si="27"/>
        <v>1086.7669440199327</v>
      </c>
      <c r="AI8" s="21">
        <f t="shared" si="27"/>
        <v>1173.7082995415274</v>
      </c>
      <c r="AJ8" s="21">
        <f t="shared" si="27"/>
        <v>1267.6049635048496</v>
      </c>
      <c r="AK8" s="21">
        <f t="shared" si="27"/>
        <v>1369.0133605852377</v>
      </c>
      <c r="AL8" s="22">
        <f t="shared" si="27"/>
        <v>1478.5344294320569</v>
      </c>
    </row>
    <row r="9" spans="1:38" x14ac:dyDescent="0.25">
      <c r="A9" s="57"/>
      <c r="B9" s="14" t="s">
        <v>0</v>
      </c>
      <c r="C9" s="23"/>
      <c r="D9" s="23">
        <f>D8-C8</f>
        <v>8</v>
      </c>
      <c r="E9" s="23">
        <f>E8-D8</f>
        <v>8.6400000000000148</v>
      </c>
      <c r="F9" s="23">
        <f t="shared" ref="F9:N9" si="28">F8-E8</f>
        <v>9.3312000000000097</v>
      </c>
      <c r="G9" s="23">
        <f t="shared" si="28"/>
        <v>10.077696000000017</v>
      </c>
      <c r="H9" s="23">
        <f t="shared" si="28"/>
        <v>10.883911680000011</v>
      </c>
      <c r="I9" s="23">
        <f t="shared" si="28"/>
        <v>11.754624614400001</v>
      </c>
      <c r="J9" s="23">
        <f t="shared" si="28"/>
        <v>12.694994583552017</v>
      </c>
      <c r="K9" s="23">
        <f t="shared" si="28"/>
        <v>13.710594150236176</v>
      </c>
      <c r="L9" s="23">
        <f t="shared" si="28"/>
        <v>14.807441682255075</v>
      </c>
      <c r="M9" s="23">
        <f t="shared" si="28"/>
        <v>15.992037016835468</v>
      </c>
      <c r="N9" s="23">
        <f t="shared" si="28"/>
        <v>17.27139997818233</v>
      </c>
      <c r="O9" s="23">
        <f t="shared" ref="O9" si="29">O8-N8</f>
        <v>18.653111976436918</v>
      </c>
      <c r="P9" s="23">
        <f t="shared" ref="P9" si="30">P8-O8</f>
        <v>20.14536093455186</v>
      </c>
      <c r="Q9" s="23">
        <f t="shared" ref="Q9" si="31">Q8-P8</f>
        <v>21.756989809315996</v>
      </c>
      <c r="R9" s="23">
        <f t="shared" ref="R9" si="32">R8-Q8</f>
        <v>23.497548994061276</v>
      </c>
      <c r="S9" s="5">
        <f t="shared" ref="S9" si="33">S8-R8</f>
        <v>25.377352913586208</v>
      </c>
      <c r="T9" s="23">
        <f t="shared" ref="T9" si="34">T8-S8</f>
        <v>27.407541146673111</v>
      </c>
      <c r="U9" s="23">
        <f t="shared" ref="U9" si="35">U8-T8</f>
        <v>29.600144438406971</v>
      </c>
      <c r="V9" s="23">
        <f t="shared" ref="V9" si="36">V8-U8</f>
        <v>31.968155993479513</v>
      </c>
      <c r="W9" s="23">
        <f t="shared" ref="W9" si="37">W8-V8</f>
        <v>34.525608472957856</v>
      </c>
      <c r="X9" s="23">
        <f t="shared" ref="X9" si="38">X8-W8</f>
        <v>37.287657150794473</v>
      </c>
      <c r="Y9" s="23">
        <f t="shared" ref="Y9" si="39">Y8-X8</f>
        <v>40.270669722858031</v>
      </c>
      <c r="Z9" s="23">
        <f t="shared" ref="Z9" si="40">Z8-Y8</f>
        <v>43.492323300686735</v>
      </c>
      <c r="AA9" s="23">
        <f t="shared" ref="AA9" si="41">AA8-Z8</f>
        <v>46.971709164741696</v>
      </c>
      <c r="AB9" s="23">
        <f t="shared" ref="AB9" si="42">AB8-AA8</f>
        <v>50.729445897920982</v>
      </c>
      <c r="AC9" s="23">
        <f t="shared" ref="AC9" si="43">AC8-AB8</f>
        <v>54.78780156975472</v>
      </c>
      <c r="AD9" s="23">
        <f t="shared" ref="AD9" si="44">AD8-AC8</f>
        <v>59.170825695334997</v>
      </c>
      <c r="AE9" s="23">
        <f t="shared" ref="AE9" si="45">AE8-AD8</f>
        <v>63.904491750961824</v>
      </c>
      <c r="AF9" s="23">
        <f t="shared" ref="AF9" si="46">AF8-AE8</f>
        <v>69.016851091038802</v>
      </c>
      <c r="AG9" s="23">
        <f t="shared" ref="AG9" si="47">AG8-AF8</f>
        <v>74.538199178321861</v>
      </c>
      <c r="AH9" s="23">
        <f t="shared" ref="AH9" si="48">AH8-AG8</f>
        <v>80.501255112587728</v>
      </c>
      <c r="AI9" s="23">
        <f t="shared" ref="AI9" si="49">AI8-AH8</f>
        <v>86.941355521594687</v>
      </c>
      <c r="AJ9" s="23">
        <f t="shared" ref="AJ9" si="50">AJ8-AI8</f>
        <v>93.896663963322226</v>
      </c>
      <c r="AK9" s="23">
        <f t="shared" ref="AK9" si="51">AK8-AJ8</f>
        <v>101.40839708038811</v>
      </c>
      <c r="AL9" s="24">
        <f t="shared" ref="AL9" si="52">AL8-AK8</f>
        <v>109.52106884681916</v>
      </c>
    </row>
    <row r="10" spans="1:38" x14ac:dyDescent="0.25">
      <c r="A10" s="58"/>
      <c r="B10" s="17" t="s">
        <v>1</v>
      </c>
      <c r="C10" s="18">
        <v>0.08</v>
      </c>
      <c r="D10" s="18">
        <v>0.08</v>
      </c>
      <c r="E10" s="18">
        <v>0.08</v>
      </c>
      <c r="F10" s="18">
        <v>0.08</v>
      </c>
      <c r="G10" s="18">
        <v>0.08</v>
      </c>
      <c r="H10" s="18">
        <v>0.08</v>
      </c>
      <c r="I10" s="18">
        <v>0.08</v>
      </c>
      <c r="J10" s="18">
        <v>0.08</v>
      </c>
      <c r="K10" s="3">
        <v>0.08</v>
      </c>
      <c r="L10" s="18">
        <v>0.08</v>
      </c>
      <c r="M10" s="18">
        <v>0.08</v>
      </c>
      <c r="N10" s="18">
        <v>0.08</v>
      </c>
      <c r="O10" s="18">
        <v>0.08</v>
      </c>
      <c r="P10" s="18">
        <v>0.08</v>
      </c>
      <c r="Q10" s="18">
        <v>0.08</v>
      </c>
      <c r="R10" s="18">
        <v>0.08</v>
      </c>
      <c r="S10" s="18">
        <v>0.08</v>
      </c>
      <c r="T10" s="18">
        <v>0.08</v>
      </c>
      <c r="U10" s="18">
        <v>0.08</v>
      </c>
      <c r="V10" s="18">
        <v>0.08</v>
      </c>
      <c r="W10" s="18">
        <v>0.08</v>
      </c>
      <c r="X10" s="18">
        <v>0.08</v>
      </c>
      <c r="Y10" s="18">
        <v>0.08</v>
      </c>
      <c r="Z10" s="18">
        <v>0.08</v>
      </c>
      <c r="AA10" s="18">
        <v>0.08</v>
      </c>
      <c r="AB10" s="18">
        <v>0.08</v>
      </c>
      <c r="AC10" s="18">
        <v>0.08</v>
      </c>
      <c r="AD10" s="18">
        <v>0.08</v>
      </c>
      <c r="AE10" s="18">
        <v>0.08</v>
      </c>
      <c r="AF10" s="18">
        <v>0.08</v>
      </c>
      <c r="AG10" s="18">
        <v>0.08</v>
      </c>
      <c r="AH10" s="18">
        <v>0.08</v>
      </c>
      <c r="AI10" s="18">
        <v>0.08</v>
      </c>
      <c r="AJ10" s="18">
        <v>0.08</v>
      </c>
      <c r="AK10" s="18">
        <v>0.08</v>
      </c>
      <c r="AL10" s="19">
        <v>0.08</v>
      </c>
    </row>
  </sheetData>
  <mergeCells count="2">
    <mergeCell ref="A4:A6"/>
    <mergeCell ref="A8:A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1B6E-C115-4D8A-9256-971FCF7F7231}">
  <dimension ref="B2:AL12"/>
  <sheetViews>
    <sheetView zoomScale="130" zoomScaleNormal="130" workbookViewId="0">
      <selection activeCell="A14" sqref="A14"/>
    </sheetView>
  </sheetViews>
  <sheetFormatPr defaultRowHeight="15" x14ac:dyDescent="0.25"/>
  <cols>
    <col min="1" max="16384" width="9.140625" style="25"/>
  </cols>
  <sheetData>
    <row r="2" spans="2:38" x14ac:dyDescent="0.25">
      <c r="B2" s="7" t="s">
        <v>2</v>
      </c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8">
        <v>32</v>
      </c>
      <c r="AI2" s="8">
        <v>33</v>
      </c>
      <c r="AJ2" s="8">
        <v>34</v>
      </c>
      <c r="AK2" s="8">
        <v>35</v>
      </c>
      <c r="AL2" s="9">
        <v>36</v>
      </c>
    </row>
    <row r="4" spans="2:38" x14ac:dyDescent="0.25">
      <c r="B4" s="26" t="s">
        <v>7</v>
      </c>
      <c r="C4" s="27">
        <v>100</v>
      </c>
      <c r="D4" s="27">
        <f>C4+C5</f>
        <v>125</v>
      </c>
      <c r="E4" s="27">
        <f t="shared" ref="E4:AL4" si="0">D4+D5</f>
        <v>150</v>
      </c>
      <c r="F4" s="27">
        <f t="shared" si="0"/>
        <v>180</v>
      </c>
      <c r="G4" s="27">
        <f t="shared" si="0"/>
        <v>210</v>
      </c>
      <c r="H4" s="27">
        <f t="shared" si="0"/>
        <v>240</v>
      </c>
      <c r="I4" s="27">
        <f t="shared" si="0"/>
        <v>275</v>
      </c>
      <c r="J4" s="27">
        <f t="shared" si="0"/>
        <v>310</v>
      </c>
      <c r="K4" s="27">
        <f t="shared" si="0"/>
        <v>345</v>
      </c>
      <c r="L4" s="27">
        <f t="shared" si="0"/>
        <v>385</v>
      </c>
      <c r="M4" s="27">
        <f t="shared" si="0"/>
        <v>425</v>
      </c>
      <c r="N4" s="27">
        <f t="shared" si="0"/>
        <v>465</v>
      </c>
      <c r="O4" s="27">
        <f t="shared" si="0"/>
        <v>510</v>
      </c>
      <c r="P4" s="27">
        <f t="shared" si="0"/>
        <v>555</v>
      </c>
      <c r="Q4" s="27">
        <f t="shared" si="0"/>
        <v>600</v>
      </c>
      <c r="R4" s="27">
        <f t="shared" si="0"/>
        <v>650</v>
      </c>
      <c r="S4" s="27">
        <f t="shared" si="0"/>
        <v>700</v>
      </c>
      <c r="T4" s="27">
        <f t="shared" si="0"/>
        <v>750</v>
      </c>
      <c r="U4" s="27">
        <f t="shared" si="0"/>
        <v>805</v>
      </c>
      <c r="V4" s="27">
        <f t="shared" si="0"/>
        <v>860</v>
      </c>
      <c r="W4" s="27">
        <f t="shared" si="0"/>
        <v>915</v>
      </c>
      <c r="X4" s="27">
        <f t="shared" si="0"/>
        <v>975</v>
      </c>
      <c r="Y4" s="49">
        <f t="shared" si="0"/>
        <v>1035</v>
      </c>
      <c r="Z4" s="27">
        <f t="shared" si="0"/>
        <v>1095</v>
      </c>
      <c r="AA4" s="27">
        <f t="shared" si="0"/>
        <v>1160</v>
      </c>
      <c r="AB4" s="27">
        <f t="shared" si="0"/>
        <v>1225</v>
      </c>
      <c r="AC4" s="27">
        <f t="shared" si="0"/>
        <v>1290</v>
      </c>
      <c r="AD4" s="27">
        <f t="shared" si="0"/>
        <v>1360</v>
      </c>
      <c r="AE4" s="27">
        <f t="shared" si="0"/>
        <v>1430</v>
      </c>
      <c r="AF4" s="27">
        <f t="shared" si="0"/>
        <v>1500</v>
      </c>
      <c r="AG4" s="27">
        <f t="shared" si="0"/>
        <v>1575</v>
      </c>
      <c r="AH4" s="27">
        <f t="shared" si="0"/>
        <v>1650</v>
      </c>
      <c r="AI4" s="27">
        <f t="shared" si="0"/>
        <v>1725</v>
      </c>
      <c r="AJ4" s="27">
        <f t="shared" si="0"/>
        <v>1805</v>
      </c>
      <c r="AK4" s="27">
        <f t="shared" si="0"/>
        <v>1885</v>
      </c>
      <c r="AL4" s="28">
        <f t="shared" si="0"/>
        <v>1965</v>
      </c>
    </row>
    <row r="5" spans="2:38" x14ac:dyDescent="0.25">
      <c r="B5" s="29" t="s">
        <v>0</v>
      </c>
      <c r="C5" s="30">
        <v>25</v>
      </c>
      <c r="D5" s="30">
        <v>25</v>
      </c>
      <c r="E5" s="30">
        <f>D5+E7</f>
        <v>30</v>
      </c>
      <c r="F5" s="30">
        <f t="shared" ref="F5:AL5" si="1">E5+F7</f>
        <v>30</v>
      </c>
      <c r="G5" s="30">
        <f t="shared" si="1"/>
        <v>30</v>
      </c>
      <c r="H5" s="30">
        <f t="shared" si="1"/>
        <v>35</v>
      </c>
      <c r="I5" s="30">
        <f t="shared" si="1"/>
        <v>35</v>
      </c>
      <c r="J5" s="30">
        <f t="shared" si="1"/>
        <v>35</v>
      </c>
      <c r="K5" s="30">
        <f t="shared" si="1"/>
        <v>40</v>
      </c>
      <c r="L5" s="30">
        <f t="shared" si="1"/>
        <v>40</v>
      </c>
      <c r="M5" s="30">
        <f t="shared" si="1"/>
        <v>40</v>
      </c>
      <c r="N5" s="30">
        <f t="shared" si="1"/>
        <v>45</v>
      </c>
      <c r="O5" s="30">
        <f t="shared" si="1"/>
        <v>45</v>
      </c>
      <c r="P5" s="30">
        <f t="shared" si="1"/>
        <v>45</v>
      </c>
      <c r="Q5" s="30">
        <f t="shared" si="1"/>
        <v>50</v>
      </c>
      <c r="R5" s="30">
        <f t="shared" si="1"/>
        <v>50</v>
      </c>
      <c r="S5" s="30">
        <f t="shared" si="1"/>
        <v>50</v>
      </c>
      <c r="T5" s="30">
        <f t="shared" si="1"/>
        <v>55</v>
      </c>
      <c r="U5" s="30">
        <f t="shared" si="1"/>
        <v>55</v>
      </c>
      <c r="V5" s="30">
        <f t="shared" si="1"/>
        <v>55</v>
      </c>
      <c r="W5" s="30">
        <f t="shared" si="1"/>
        <v>60</v>
      </c>
      <c r="X5" s="30">
        <f t="shared" si="1"/>
        <v>60</v>
      </c>
      <c r="Y5" s="30">
        <f t="shared" si="1"/>
        <v>60</v>
      </c>
      <c r="Z5" s="30">
        <f t="shared" si="1"/>
        <v>65</v>
      </c>
      <c r="AA5" s="30">
        <f t="shared" si="1"/>
        <v>65</v>
      </c>
      <c r="AB5" s="30">
        <f t="shared" si="1"/>
        <v>65</v>
      </c>
      <c r="AC5" s="30">
        <f t="shared" si="1"/>
        <v>70</v>
      </c>
      <c r="AD5" s="30">
        <f t="shared" si="1"/>
        <v>70</v>
      </c>
      <c r="AE5" s="30">
        <f t="shared" si="1"/>
        <v>70</v>
      </c>
      <c r="AF5" s="30">
        <f t="shared" si="1"/>
        <v>75</v>
      </c>
      <c r="AG5" s="30">
        <f t="shared" si="1"/>
        <v>75</v>
      </c>
      <c r="AH5" s="30">
        <f t="shared" si="1"/>
        <v>75</v>
      </c>
      <c r="AI5" s="30">
        <f t="shared" si="1"/>
        <v>80</v>
      </c>
      <c r="AJ5" s="30">
        <f t="shared" si="1"/>
        <v>80</v>
      </c>
      <c r="AK5" s="30">
        <f t="shared" si="1"/>
        <v>80</v>
      </c>
      <c r="AL5" s="31">
        <f t="shared" si="1"/>
        <v>85</v>
      </c>
    </row>
    <row r="6" spans="2:38" x14ac:dyDescent="0.25">
      <c r="B6" s="32" t="s">
        <v>1</v>
      </c>
      <c r="C6" s="33">
        <v>0.25</v>
      </c>
      <c r="D6" s="34">
        <f>(D4-C4)/C4</f>
        <v>0.25</v>
      </c>
      <c r="E6" s="34">
        <f t="shared" ref="E6:AL6" si="2">(E4-D4)/D4</f>
        <v>0.2</v>
      </c>
      <c r="F6" s="34">
        <f t="shared" si="2"/>
        <v>0.2</v>
      </c>
      <c r="G6" s="34">
        <f t="shared" si="2"/>
        <v>0.16666666666666666</v>
      </c>
      <c r="H6" s="34">
        <f t="shared" si="2"/>
        <v>0.14285714285714285</v>
      </c>
      <c r="I6" s="34">
        <f t="shared" si="2"/>
        <v>0.14583333333333334</v>
      </c>
      <c r="J6" s="34">
        <f t="shared" si="2"/>
        <v>0.12727272727272726</v>
      </c>
      <c r="K6" s="34">
        <f t="shared" si="2"/>
        <v>0.11290322580645161</v>
      </c>
      <c r="L6" s="34">
        <f t="shared" si="2"/>
        <v>0.11594202898550725</v>
      </c>
      <c r="M6" s="52">
        <f t="shared" si="2"/>
        <v>0.1038961038961039</v>
      </c>
      <c r="N6" s="34">
        <f t="shared" si="2"/>
        <v>9.4117647058823528E-2</v>
      </c>
      <c r="O6" s="34">
        <f t="shared" si="2"/>
        <v>9.6774193548387094E-2</v>
      </c>
      <c r="P6" s="34">
        <f t="shared" si="2"/>
        <v>8.8235294117647065E-2</v>
      </c>
      <c r="Q6" s="34">
        <f t="shared" si="2"/>
        <v>8.1081081081081086E-2</v>
      </c>
      <c r="R6" s="51">
        <f t="shared" si="2"/>
        <v>8.3333333333333329E-2</v>
      </c>
      <c r="S6" s="34">
        <f t="shared" si="2"/>
        <v>7.6923076923076927E-2</v>
      </c>
      <c r="T6" s="34">
        <f t="shared" si="2"/>
        <v>7.1428571428571425E-2</v>
      </c>
      <c r="U6" s="34">
        <f t="shared" si="2"/>
        <v>7.3333333333333334E-2</v>
      </c>
      <c r="V6" s="34">
        <f t="shared" si="2"/>
        <v>6.8322981366459631E-2</v>
      </c>
      <c r="W6" s="34">
        <f t="shared" si="2"/>
        <v>6.3953488372093026E-2</v>
      </c>
      <c r="X6" s="34">
        <f t="shared" si="2"/>
        <v>6.5573770491803282E-2</v>
      </c>
      <c r="Y6" s="34">
        <f t="shared" si="2"/>
        <v>6.1538461538461542E-2</v>
      </c>
      <c r="Z6" s="34">
        <f t="shared" si="2"/>
        <v>5.7971014492753624E-2</v>
      </c>
      <c r="AA6" s="34">
        <f t="shared" si="2"/>
        <v>5.9360730593607303E-2</v>
      </c>
      <c r="AB6" s="34">
        <f t="shared" si="2"/>
        <v>5.6034482758620691E-2</v>
      </c>
      <c r="AC6" s="34">
        <f t="shared" si="2"/>
        <v>5.3061224489795916E-2</v>
      </c>
      <c r="AD6" s="34">
        <f t="shared" si="2"/>
        <v>5.4263565891472867E-2</v>
      </c>
      <c r="AE6" s="34">
        <f t="shared" si="2"/>
        <v>5.1470588235294115E-2</v>
      </c>
      <c r="AF6" s="34">
        <f t="shared" si="2"/>
        <v>4.8951048951048952E-2</v>
      </c>
      <c r="AG6" s="34">
        <f t="shared" si="2"/>
        <v>0.05</v>
      </c>
      <c r="AH6" s="34">
        <f t="shared" si="2"/>
        <v>4.7619047619047616E-2</v>
      </c>
      <c r="AI6" s="34">
        <f t="shared" si="2"/>
        <v>4.5454545454545456E-2</v>
      </c>
      <c r="AJ6" s="34">
        <f t="shared" si="2"/>
        <v>4.6376811594202899E-2</v>
      </c>
      <c r="AK6" s="34">
        <f t="shared" si="2"/>
        <v>4.4321329639889197E-2</v>
      </c>
      <c r="AL6" s="35">
        <f t="shared" si="2"/>
        <v>4.2440318302387266E-2</v>
      </c>
    </row>
    <row r="7" spans="2:38" x14ac:dyDescent="0.25">
      <c r="B7" s="36" t="s">
        <v>8</v>
      </c>
      <c r="C7" s="37"/>
      <c r="D7" s="37"/>
      <c r="E7" s="37">
        <v>5</v>
      </c>
      <c r="F7" s="37"/>
      <c r="G7" s="37"/>
      <c r="H7" s="37">
        <v>5</v>
      </c>
      <c r="I7" s="37"/>
      <c r="J7" s="37"/>
      <c r="K7" s="37">
        <v>5</v>
      </c>
      <c r="L7" s="37"/>
      <c r="M7" s="37"/>
      <c r="N7" s="37">
        <v>5</v>
      </c>
      <c r="O7" s="37"/>
      <c r="P7" s="37"/>
      <c r="Q7" s="37">
        <v>5</v>
      </c>
      <c r="R7" s="37"/>
      <c r="S7" s="37"/>
      <c r="T7" s="37">
        <v>5</v>
      </c>
      <c r="U7" s="37"/>
      <c r="V7" s="37"/>
      <c r="W7" s="37">
        <v>5</v>
      </c>
      <c r="X7" s="37"/>
      <c r="Y7" s="37"/>
      <c r="Z7" s="37">
        <v>5</v>
      </c>
      <c r="AA7" s="37"/>
      <c r="AB7" s="37"/>
      <c r="AC7" s="37">
        <v>5</v>
      </c>
      <c r="AD7" s="37"/>
      <c r="AE7" s="37"/>
      <c r="AF7" s="37">
        <v>5</v>
      </c>
      <c r="AG7" s="37"/>
      <c r="AH7" s="37"/>
      <c r="AI7" s="37">
        <v>5</v>
      </c>
      <c r="AJ7" s="37"/>
      <c r="AK7" s="37"/>
      <c r="AL7" s="38">
        <v>5</v>
      </c>
    </row>
    <row r="9" spans="2:38" x14ac:dyDescent="0.25">
      <c r="B9" s="26" t="s">
        <v>7</v>
      </c>
      <c r="C9" s="39">
        <v>100</v>
      </c>
      <c r="D9" s="39">
        <f>C9*(1+D11)</f>
        <v>108</v>
      </c>
      <c r="E9" s="39">
        <f t="shared" ref="E9:AL9" si="3">D9*(1+E11)</f>
        <v>116.64000000000001</v>
      </c>
      <c r="F9" s="39">
        <f t="shared" si="3"/>
        <v>127.13760000000002</v>
      </c>
      <c r="G9" s="39">
        <f t="shared" si="3"/>
        <v>138.57998400000002</v>
      </c>
      <c r="H9" s="39">
        <f t="shared" si="3"/>
        <v>151.05218256000003</v>
      </c>
      <c r="I9" s="39">
        <f t="shared" si="3"/>
        <v>166.15740081600006</v>
      </c>
      <c r="J9" s="39">
        <f t="shared" si="3"/>
        <v>182.77314089760009</v>
      </c>
      <c r="K9" s="39">
        <f t="shared" si="3"/>
        <v>201.0504549873601</v>
      </c>
      <c r="L9" s="39">
        <f t="shared" si="3"/>
        <v>223.16600503596968</v>
      </c>
      <c r="M9" s="39">
        <f t="shared" si="3"/>
        <v>247.7142655899263</v>
      </c>
      <c r="N9" s="39">
        <f t="shared" si="3"/>
        <v>274.96283480481816</v>
      </c>
      <c r="O9" s="39">
        <f t="shared" si="3"/>
        <v>307.95837498139633</v>
      </c>
      <c r="P9" s="39">
        <f t="shared" si="3"/>
        <v>344.91337997916384</v>
      </c>
      <c r="Q9" s="39">
        <f t="shared" si="3"/>
        <v>386.30298557666345</v>
      </c>
      <c r="R9" s="39">
        <f t="shared" si="3"/>
        <v>436.52237370162965</v>
      </c>
      <c r="S9" s="39">
        <f t="shared" si="3"/>
        <v>493.27028228284144</v>
      </c>
      <c r="T9" s="39">
        <f t="shared" si="3"/>
        <v>557.39541897961078</v>
      </c>
      <c r="U9" s="39">
        <f t="shared" si="3"/>
        <v>635.43077763675626</v>
      </c>
      <c r="V9" s="39">
        <f t="shared" si="3"/>
        <v>724.39108650590208</v>
      </c>
      <c r="W9" s="39">
        <f t="shared" si="3"/>
        <v>825.80583861672835</v>
      </c>
      <c r="X9" s="39">
        <f t="shared" si="3"/>
        <v>949.67671440923755</v>
      </c>
      <c r="Y9" s="48">
        <f t="shared" si="3"/>
        <v>1092.1282215706231</v>
      </c>
      <c r="Z9" s="39">
        <f t="shared" si="3"/>
        <v>1255.9474548062165</v>
      </c>
      <c r="AA9" s="39">
        <f t="shared" si="3"/>
        <v>1456.8990475752109</v>
      </c>
      <c r="AB9" s="39">
        <f t="shared" si="3"/>
        <v>1690.0028951872446</v>
      </c>
      <c r="AC9" s="39">
        <f t="shared" si="3"/>
        <v>1960.4033584172037</v>
      </c>
      <c r="AD9" s="39">
        <f t="shared" si="3"/>
        <v>2293.6719293481283</v>
      </c>
      <c r="AE9" s="39">
        <f t="shared" si="3"/>
        <v>2683.5961573373102</v>
      </c>
      <c r="AF9" s="39">
        <f t="shared" si="3"/>
        <v>3139.8075040846529</v>
      </c>
      <c r="AG9" s="39">
        <f t="shared" si="3"/>
        <v>3704.9728548198905</v>
      </c>
      <c r="AH9" s="39">
        <f t="shared" si="3"/>
        <v>4371.8679686874702</v>
      </c>
      <c r="AI9" s="39">
        <f t="shared" si="3"/>
        <v>5158.8042030512142</v>
      </c>
      <c r="AJ9" s="39">
        <f t="shared" si="3"/>
        <v>6138.9770016309449</v>
      </c>
      <c r="AK9" s="39">
        <f t="shared" si="3"/>
        <v>7305.3826319408245</v>
      </c>
      <c r="AL9" s="40">
        <f t="shared" si="3"/>
        <v>8693.4053320095809</v>
      </c>
    </row>
    <row r="10" spans="2:38" x14ac:dyDescent="0.25">
      <c r="B10" s="32" t="s">
        <v>0</v>
      </c>
      <c r="C10" s="41"/>
      <c r="D10" s="41">
        <f>D9-C9</f>
        <v>8</v>
      </c>
      <c r="E10" s="41">
        <f t="shared" ref="E10:AL10" si="4">E9-D9</f>
        <v>8.6400000000000148</v>
      </c>
      <c r="F10" s="41">
        <f t="shared" si="4"/>
        <v>10.497600000000006</v>
      </c>
      <c r="G10" s="41">
        <f t="shared" si="4"/>
        <v>11.442384000000004</v>
      </c>
      <c r="H10" s="41">
        <f t="shared" si="4"/>
        <v>12.47219856000001</v>
      </c>
      <c r="I10" s="41">
        <f t="shared" si="4"/>
        <v>15.105218256000029</v>
      </c>
      <c r="J10" s="41">
        <f t="shared" si="4"/>
        <v>16.615740081600023</v>
      </c>
      <c r="K10" s="41">
        <f t="shared" si="4"/>
        <v>18.277314089760011</v>
      </c>
      <c r="L10" s="41">
        <f t="shared" si="4"/>
        <v>22.115550048609578</v>
      </c>
      <c r="M10" s="41">
        <f t="shared" si="4"/>
        <v>24.548260553956624</v>
      </c>
      <c r="N10" s="41">
        <f t="shared" si="4"/>
        <v>27.248569214891859</v>
      </c>
      <c r="O10" s="41">
        <f t="shared" si="4"/>
        <v>32.995540176578174</v>
      </c>
      <c r="P10" s="41">
        <f t="shared" si="4"/>
        <v>36.955004997767503</v>
      </c>
      <c r="Q10" s="41">
        <f t="shared" si="4"/>
        <v>41.38960559749961</v>
      </c>
      <c r="R10" s="50">
        <f t="shared" si="4"/>
        <v>50.219388124966201</v>
      </c>
      <c r="S10" s="41">
        <f t="shared" si="4"/>
        <v>56.747908581211789</v>
      </c>
      <c r="T10" s="41">
        <f t="shared" si="4"/>
        <v>64.125136696769346</v>
      </c>
      <c r="U10" s="41">
        <f t="shared" si="4"/>
        <v>78.03535865714548</v>
      </c>
      <c r="V10" s="41">
        <f t="shared" si="4"/>
        <v>88.96030886914582</v>
      </c>
      <c r="W10" s="41">
        <f t="shared" si="4"/>
        <v>101.41475211082627</v>
      </c>
      <c r="X10" s="41">
        <f t="shared" si="4"/>
        <v>123.8708757925092</v>
      </c>
      <c r="Y10" s="41">
        <f t="shared" si="4"/>
        <v>142.45150716138551</v>
      </c>
      <c r="Z10" s="41">
        <f t="shared" si="4"/>
        <v>163.8192332355934</v>
      </c>
      <c r="AA10" s="41">
        <f t="shared" si="4"/>
        <v>200.95159276899449</v>
      </c>
      <c r="AB10" s="41">
        <f t="shared" si="4"/>
        <v>233.10384761203363</v>
      </c>
      <c r="AC10" s="41">
        <f t="shared" si="4"/>
        <v>270.40046322995909</v>
      </c>
      <c r="AD10" s="41">
        <f t="shared" si="4"/>
        <v>333.26857093092462</v>
      </c>
      <c r="AE10" s="41">
        <f t="shared" si="4"/>
        <v>389.92422798918187</v>
      </c>
      <c r="AF10" s="41">
        <f t="shared" si="4"/>
        <v>456.21134674734276</v>
      </c>
      <c r="AG10" s="41">
        <f t="shared" si="4"/>
        <v>565.16535073523755</v>
      </c>
      <c r="AH10" s="41">
        <f t="shared" si="4"/>
        <v>666.89511386757977</v>
      </c>
      <c r="AI10" s="41">
        <f t="shared" si="4"/>
        <v>786.93623436374401</v>
      </c>
      <c r="AJ10" s="41">
        <f t="shared" si="4"/>
        <v>980.17279857973062</v>
      </c>
      <c r="AK10" s="41">
        <f t="shared" si="4"/>
        <v>1166.4056303098796</v>
      </c>
      <c r="AL10" s="42">
        <f t="shared" si="4"/>
        <v>1388.0227000687564</v>
      </c>
    </row>
    <row r="11" spans="2:38" s="44" customFormat="1" x14ac:dyDescent="0.25">
      <c r="B11" s="43" t="s">
        <v>1</v>
      </c>
      <c r="C11" s="34">
        <v>0.08</v>
      </c>
      <c r="D11" s="34">
        <v>0.08</v>
      </c>
      <c r="E11" s="34">
        <v>0.08</v>
      </c>
      <c r="F11" s="34">
        <f>E12+E11</f>
        <v>0.09</v>
      </c>
      <c r="G11" s="34">
        <f t="shared" ref="G11:AL11" si="5">F12+F11</f>
        <v>0.09</v>
      </c>
      <c r="H11" s="34">
        <f t="shared" si="5"/>
        <v>0.09</v>
      </c>
      <c r="I11" s="34">
        <f t="shared" si="5"/>
        <v>9.9999999999999992E-2</v>
      </c>
      <c r="J11" s="34">
        <f t="shared" si="5"/>
        <v>9.9999999999999992E-2</v>
      </c>
      <c r="K11" s="34">
        <f t="shared" si="5"/>
        <v>9.9999999999999992E-2</v>
      </c>
      <c r="L11" s="34">
        <f t="shared" si="5"/>
        <v>0.10999999999999999</v>
      </c>
      <c r="M11" s="52">
        <f t="shared" si="5"/>
        <v>0.10999999999999999</v>
      </c>
      <c r="N11" s="34">
        <f t="shared" si="5"/>
        <v>0.10999999999999999</v>
      </c>
      <c r="O11" s="34">
        <f t="shared" si="5"/>
        <v>0.11999999999999998</v>
      </c>
      <c r="P11" s="34">
        <f t="shared" si="5"/>
        <v>0.11999999999999998</v>
      </c>
      <c r="Q11" s="34">
        <f t="shared" si="5"/>
        <v>0.11999999999999998</v>
      </c>
      <c r="R11" s="34">
        <f t="shared" si="5"/>
        <v>0.12999999999999998</v>
      </c>
      <c r="S11" s="34">
        <f t="shared" si="5"/>
        <v>0.12999999999999998</v>
      </c>
      <c r="T11" s="34">
        <f t="shared" si="5"/>
        <v>0.12999999999999998</v>
      </c>
      <c r="U11" s="34">
        <f t="shared" si="5"/>
        <v>0.13999999999999999</v>
      </c>
      <c r="V11" s="34">
        <f t="shared" si="5"/>
        <v>0.13999999999999999</v>
      </c>
      <c r="W11" s="34">
        <f t="shared" si="5"/>
        <v>0.13999999999999999</v>
      </c>
      <c r="X11" s="34">
        <f t="shared" si="5"/>
        <v>0.15</v>
      </c>
      <c r="Y11" s="34">
        <f t="shared" si="5"/>
        <v>0.15</v>
      </c>
      <c r="Z11" s="34">
        <f t="shared" si="5"/>
        <v>0.15</v>
      </c>
      <c r="AA11" s="34">
        <f t="shared" si="5"/>
        <v>0.16</v>
      </c>
      <c r="AB11" s="34">
        <f t="shared" si="5"/>
        <v>0.16</v>
      </c>
      <c r="AC11" s="34">
        <f t="shared" si="5"/>
        <v>0.16</v>
      </c>
      <c r="AD11" s="34">
        <f t="shared" si="5"/>
        <v>0.17</v>
      </c>
      <c r="AE11" s="34">
        <f t="shared" si="5"/>
        <v>0.17</v>
      </c>
      <c r="AF11" s="34">
        <f t="shared" si="5"/>
        <v>0.17</v>
      </c>
      <c r="AG11" s="34">
        <f t="shared" si="5"/>
        <v>0.18000000000000002</v>
      </c>
      <c r="AH11" s="34">
        <f t="shared" si="5"/>
        <v>0.18000000000000002</v>
      </c>
      <c r="AI11" s="34">
        <f t="shared" si="5"/>
        <v>0.18000000000000002</v>
      </c>
      <c r="AJ11" s="34">
        <f t="shared" si="5"/>
        <v>0.19000000000000003</v>
      </c>
      <c r="AK11" s="34">
        <f t="shared" si="5"/>
        <v>0.19000000000000003</v>
      </c>
      <c r="AL11" s="35">
        <f t="shared" si="5"/>
        <v>0.19000000000000003</v>
      </c>
    </row>
    <row r="12" spans="2:38" s="44" customFormat="1" x14ac:dyDescent="0.25">
      <c r="B12" s="45" t="s">
        <v>8</v>
      </c>
      <c r="C12" s="46"/>
      <c r="D12" s="46"/>
      <c r="E12" s="46">
        <v>0.01</v>
      </c>
      <c r="F12" s="46"/>
      <c r="G12" s="46"/>
      <c r="H12" s="46">
        <v>0.01</v>
      </c>
      <c r="I12" s="46"/>
      <c r="J12" s="46"/>
      <c r="K12" s="46">
        <v>0.01</v>
      </c>
      <c r="L12" s="46"/>
      <c r="M12" s="46"/>
      <c r="N12" s="46">
        <v>0.01</v>
      </c>
      <c r="O12" s="46"/>
      <c r="P12" s="46"/>
      <c r="Q12" s="46">
        <v>0.01</v>
      </c>
      <c r="R12" s="46"/>
      <c r="S12" s="46"/>
      <c r="T12" s="46">
        <v>0.01</v>
      </c>
      <c r="U12" s="46"/>
      <c r="V12" s="46"/>
      <c r="W12" s="46">
        <v>0.01</v>
      </c>
      <c r="X12" s="46"/>
      <c r="Y12" s="46"/>
      <c r="Z12" s="46">
        <v>0.01</v>
      </c>
      <c r="AA12" s="46"/>
      <c r="AB12" s="46"/>
      <c r="AC12" s="46">
        <v>0.01</v>
      </c>
      <c r="AD12" s="46"/>
      <c r="AE12" s="46"/>
      <c r="AF12" s="46">
        <v>0.01</v>
      </c>
      <c r="AG12" s="46"/>
      <c r="AH12" s="46"/>
      <c r="AI12" s="46">
        <v>0.01</v>
      </c>
      <c r="AJ12" s="46"/>
      <c r="AK12" s="46"/>
      <c r="AL12" s="47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Rate</vt:lpstr>
      <vt:lpstr>Sales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Lages</dc:creator>
  <cp:lastModifiedBy>Tim Lages</cp:lastModifiedBy>
  <dcterms:created xsi:type="dcterms:W3CDTF">2019-08-21T11:00:15Z</dcterms:created>
  <dcterms:modified xsi:type="dcterms:W3CDTF">2021-01-19T15:31:25Z</dcterms:modified>
</cp:coreProperties>
</file>