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codeName="ThisWorkbook"/>
  <mc:AlternateContent xmlns:mc="http://schemas.openxmlformats.org/markup-compatibility/2006">
    <mc:Choice Requires="x15">
      <x15ac:absPath xmlns:x15ac="http://schemas.microsoft.com/office/spreadsheetml/2010/11/ac" url="https://ukunltd-my.sharepoint.com/personal/timothylages_unltd_org_uk/Documents/41 - Info, Learnings &amp; Resources/"/>
    </mc:Choice>
  </mc:AlternateContent>
  <xr:revisionPtr revIDLastSave="0" documentId="8_{894648E8-2B68-44A6-957C-13FF1A1294A8}" xr6:coauthVersionLast="47" xr6:coauthVersionMax="47" xr10:uidLastSave="{00000000-0000-0000-0000-000000000000}"/>
  <bookViews>
    <workbookView xWindow="-28920" yWindow="-120" windowWidth="29040" windowHeight="15990" tabRatio="785" activeTab="2" xr2:uid="{00000000-000D-0000-FFFF-FFFF00000000}"/>
  </bookViews>
  <sheets>
    <sheet name="Overview of Framework" sheetId="2" r:id="rId1"/>
    <sheet name="Section 1" sheetId="9" r:id="rId2"/>
    <sheet name="Section 2" sheetId="10" r:id="rId3"/>
    <sheet name="Section 3" sheetId="11" r:id="rId4"/>
    <sheet name="Section 4" sheetId="12" r:id="rId5"/>
    <sheet name="Section 5" sheetId="15" r:id="rId6"/>
    <sheet name="Section 6" sheetId="16" r:id="rId7"/>
    <sheet name="Section 7" sheetId="17" r:id="rId8"/>
    <sheet name="Section 8" sheetId="18" r:id="rId9"/>
    <sheet name="Section 9" sheetId="19" r:id="rId10"/>
    <sheet name="Section 10" sheetId="20" r:id="rId11"/>
    <sheet name="EDI Framework Criteria" sheetId="1" state="hidden" r:id="rId12"/>
    <sheet name="EDI score outcomes" sheetId="23" r:id="rId13"/>
    <sheet name="Glossary" sheetId="6" r:id="rId14"/>
    <sheet name="Full Score Matrix" sheetId="24" state="hidden" r:id="rId15"/>
    <sheet name="Part ref table" sheetId="25" state="hidden" r:id="rId16"/>
  </sheets>
  <definedNames>
    <definedName name="_ftn1" localSheetId="13">Glossary!$B$9</definedName>
    <definedName name="_ftnref3" localSheetId="13">Glossary!$C$6</definedName>
    <definedName name="_xlnm.Print_Area" localSheetId="11">'EDI Framework Criteria'!$A$1:$H$30</definedName>
  </definedNames>
  <calcPr calcId="191028"/>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36" i="23" l="1"/>
  <c r="F36" i="23"/>
  <c r="G36" i="23"/>
  <c r="H36" i="23"/>
  <c r="I36" i="23"/>
  <c r="J36" i="23"/>
  <c r="K36" i="23"/>
  <c r="L36" i="23"/>
  <c r="M36" i="23"/>
  <c r="N36" i="23"/>
  <c r="F23" i="23" l="1"/>
  <c r="N23" i="23"/>
  <c r="D83" i="20"/>
  <c r="D20" i="9" l="1"/>
  <c r="D22" i="9"/>
  <c r="D108" i="20" l="1"/>
  <c r="D98" i="20"/>
  <c r="D86" i="20"/>
  <c r="D76" i="20"/>
  <c r="D66" i="20"/>
  <c r="D56" i="20"/>
  <c r="D46" i="20"/>
  <c r="D36" i="20"/>
  <c r="D26" i="20"/>
  <c r="D16" i="20"/>
  <c r="D16" i="19"/>
  <c r="D46" i="18"/>
  <c r="D36" i="18"/>
  <c r="D26" i="18"/>
  <c r="D16" i="18"/>
  <c r="D36" i="17"/>
  <c r="D26" i="17"/>
  <c r="D16" i="17"/>
  <c r="D46" i="16"/>
  <c r="D36" i="16"/>
  <c r="D26" i="16"/>
  <c r="D16" i="16"/>
  <c r="D66" i="15"/>
  <c r="D56" i="15"/>
  <c r="D46" i="15"/>
  <c r="D36" i="15"/>
  <c r="D26" i="15"/>
  <c r="D16" i="15"/>
  <c r="D26" i="12"/>
  <c r="D16" i="12"/>
  <c r="D16" i="11"/>
  <c r="C21" i="10"/>
  <c r="C23" i="10"/>
  <c r="C25" i="10"/>
  <c r="C31" i="10"/>
  <c r="C33" i="10"/>
  <c r="C35" i="10"/>
  <c r="C41" i="10"/>
  <c r="C43" i="10"/>
  <c r="C45" i="10"/>
  <c r="C51" i="10"/>
  <c r="C53" i="10"/>
  <c r="C55" i="10"/>
  <c r="D48" i="10"/>
  <c r="D38" i="10"/>
  <c r="D28" i="10"/>
  <c r="D18" i="10"/>
  <c r="D56" i="9"/>
  <c r="Y2" i="10" l="1"/>
  <c r="X2" i="10"/>
  <c r="W2" i="10"/>
  <c r="V2" i="10"/>
  <c r="D27" i="9"/>
  <c r="K20" i="9"/>
  <c r="V20" i="9" s="1"/>
  <c r="C29" i="18"/>
  <c r="D29" i="18"/>
  <c r="K29" i="18"/>
  <c r="C31" i="18"/>
  <c r="D31" i="18"/>
  <c r="K31" i="18"/>
  <c r="C33" i="18"/>
  <c r="D33" i="18"/>
  <c r="K33" i="18"/>
  <c r="D21" i="10" l="1"/>
  <c r="K21" i="10"/>
  <c r="D23" i="10"/>
  <c r="K23" i="10"/>
  <c r="B3" i="10"/>
  <c r="B3" i="17"/>
  <c r="B3" i="11"/>
  <c r="D19" i="20" l="1"/>
  <c r="J4" i="25" l="1"/>
  <c r="J3" i="25"/>
  <c r="M23" i="23" l="1"/>
  <c r="L23" i="23"/>
  <c r="K23" i="23"/>
  <c r="J23" i="23"/>
  <c r="I23" i="23"/>
  <c r="H23" i="23"/>
  <c r="G23" i="23"/>
  <c r="E23" i="23"/>
  <c r="C17" i="24"/>
  <c r="C14" i="24"/>
  <c r="C13" i="24"/>
  <c r="C12" i="24"/>
  <c r="V31" i="10"/>
  <c r="K115" i="20"/>
  <c r="L32" i="24" s="1"/>
  <c r="K113" i="20"/>
  <c r="L31" i="24" s="1"/>
  <c r="K111" i="20"/>
  <c r="K105" i="20"/>
  <c r="L29" i="24" s="1"/>
  <c r="K103" i="20"/>
  <c r="L28" i="24" s="1"/>
  <c r="K101" i="20"/>
  <c r="L27" i="24" s="1"/>
  <c r="K93" i="20"/>
  <c r="L26" i="24" s="1"/>
  <c r="K91" i="20"/>
  <c r="L25" i="24" s="1"/>
  <c r="K89" i="20"/>
  <c r="L24" i="24" s="1"/>
  <c r="K83" i="20"/>
  <c r="L23" i="24" s="1"/>
  <c r="K81" i="20"/>
  <c r="L22" i="24" s="1"/>
  <c r="K79" i="20"/>
  <c r="K73" i="20"/>
  <c r="L20" i="24" s="1"/>
  <c r="K71" i="20"/>
  <c r="L19" i="24" s="1"/>
  <c r="K69" i="20"/>
  <c r="K63" i="20"/>
  <c r="L17" i="24" s="1"/>
  <c r="K61" i="20"/>
  <c r="L16" i="24" s="1"/>
  <c r="K59" i="20"/>
  <c r="K53" i="20"/>
  <c r="L14" i="24" s="1"/>
  <c r="K51" i="20"/>
  <c r="L13" i="24" s="1"/>
  <c r="K49" i="20"/>
  <c r="L12" i="24" s="1"/>
  <c r="K43" i="20"/>
  <c r="L11" i="24" s="1"/>
  <c r="K41" i="20"/>
  <c r="L10" i="24" s="1"/>
  <c r="K39" i="20"/>
  <c r="L9" i="24" s="1"/>
  <c r="K33" i="20"/>
  <c r="L8" i="24" s="1"/>
  <c r="K31" i="20"/>
  <c r="L7" i="24" s="1"/>
  <c r="K29" i="20"/>
  <c r="K23" i="20"/>
  <c r="L5" i="24" s="1"/>
  <c r="K21" i="20"/>
  <c r="L4" i="24" s="1"/>
  <c r="K19" i="20"/>
  <c r="L3" i="24" s="1"/>
  <c r="K23" i="19"/>
  <c r="K5" i="24" s="1"/>
  <c r="K21" i="19"/>
  <c r="K4" i="24" s="1"/>
  <c r="K19" i="19"/>
  <c r="K53" i="18"/>
  <c r="J14" i="24" s="1"/>
  <c r="K51" i="18"/>
  <c r="J13" i="24" s="1"/>
  <c r="K49" i="18"/>
  <c r="J12" i="24" s="1"/>
  <c r="K43" i="18"/>
  <c r="J11" i="24" s="1"/>
  <c r="K41" i="18"/>
  <c r="J10" i="24" s="1"/>
  <c r="K39" i="18"/>
  <c r="J8" i="24"/>
  <c r="J7" i="24"/>
  <c r="J6" i="24"/>
  <c r="K23" i="18"/>
  <c r="J5" i="24" s="1"/>
  <c r="K21" i="18"/>
  <c r="J4" i="24" s="1"/>
  <c r="K19" i="18"/>
  <c r="K43" i="17"/>
  <c r="I11" i="24" s="1"/>
  <c r="K41" i="17"/>
  <c r="I10" i="24" s="1"/>
  <c r="K39" i="17"/>
  <c r="K33" i="17"/>
  <c r="I8" i="24" s="1"/>
  <c r="K31" i="17"/>
  <c r="I7" i="24" s="1"/>
  <c r="K29" i="17"/>
  <c r="K23" i="17"/>
  <c r="I5" i="24" s="1"/>
  <c r="K21" i="17"/>
  <c r="I4" i="24" s="1"/>
  <c r="K19" i="17"/>
  <c r="K53" i="16"/>
  <c r="H14" i="24" s="1"/>
  <c r="K51" i="16"/>
  <c r="K49" i="16"/>
  <c r="V49" i="16" s="1"/>
  <c r="K43" i="16"/>
  <c r="H11" i="24" s="1"/>
  <c r="K41" i="16"/>
  <c r="H10" i="24" s="1"/>
  <c r="K39" i="16"/>
  <c r="K33" i="16"/>
  <c r="H8" i="24" s="1"/>
  <c r="K31" i="16"/>
  <c r="H7" i="24" s="1"/>
  <c r="K29" i="16"/>
  <c r="K23" i="16"/>
  <c r="H5" i="24" s="1"/>
  <c r="K21" i="16"/>
  <c r="H4" i="24" s="1"/>
  <c r="K19" i="16"/>
  <c r="K73" i="15"/>
  <c r="G20" i="24" s="1"/>
  <c r="K71" i="15"/>
  <c r="G19" i="24" s="1"/>
  <c r="K69" i="15"/>
  <c r="K63" i="15"/>
  <c r="G17" i="24" s="1"/>
  <c r="K61" i="15"/>
  <c r="G16" i="24" s="1"/>
  <c r="K59" i="15"/>
  <c r="K53" i="15"/>
  <c r="G14" i="24" s="1"/>
  <c r="K51" i="15"/>
  <c r="G13" i="24" s="1"/>
  <c r="K49" i="15"/>
  <c r="G12" i="24" s="1"/>
  <c r="K43" i="15"/>
  <c r="G11" i="24" s="1"/>
  <c r="K41" i="15"/>
  <c r="G10" i="24" s="1"/>
  <c r="K39" i="15"/>
  <c r="K33" i="15"/>
  <c r="G8" i="24" s="1"/>
  <c r="K31" i="15"/>
  <c r="G7" i="24" s="1"/>
  <c r="K29" i="15"/>
  <c r="K23" i="15"/>
  <c r="G5" i="24" s="1"/>
  <c r="K21" i="15"/>
  <c r="G4" i="24" s="1"/>
  <c r="K19" i="15"/>
  <c r="G3" i="24" s="1"/>
  <c r="K33" i="12"/>
  <c r="F8" i="24" s="1"/>
  <c r="K31" i="12"/>
  <c r="F7" i="24" s="1"/>
  <c r="K29" i="12"/>
  <c r="K23" i="12"/>
  <c r="F5" i="24" s="1"/>
  <c r="H20" i="23" s="1"/>
  <c r="K21" i="12"/>
  <c r="F4" i="24" s="1"/>
  <c r="H16" i="23" s="1"/>
  <c r="K19" i="12"/>
  <c r="F3" i="24" s="1"/>
  <c r="K23" i="11"/>
  <c r="E5" i="24" s="1"/>
  <c r="K21" i="11"/>
  <c r="E4" i="24" s="1"/>
  <c r="G15" i="23" s="1"/>
  <c r="K19" i="11"/>
  <c r="E3" i="24" s="1"/>
  <c r="G14" i="23" s="1"/>
  <c r="K55" i="10"/>
  <c r="D14" i="24" s="1"/>
  <c r="K53" i="10"/>
  <c r="D13" i="24" s="1"/>
  <c r="K51" i="10"/>
  <c r="D12" i="24" s="1"/>
  <c r="K45" i="10"/>
  <c r="D11" i="24" s="1"/>
  <c r="K43" i="10"/>
  <c r="D10" i="24" s="1"/>
  <c r="K41" i="10"/>
  <c r="K35" i="10"/>
  <c r="D8" i="24" s="1"/>
  <c r="K33" i="10"/>
  <c r="D7" i="24" s="1"/>
  <c r="K31" i="10"/>
  <c r="D6" i="24" s="1"/>
  <c r="K25" i="10"/>
  <c r="D5" i="24" s="1"/>
  <c r="D4" i="24"/>
  <c r="K62" i="9"/>
  <c r="C16" i="24" s="1"/>
  <c r="K60" i="9"/>
  <c r="K58" i="9"/>
  <c r="V58" i="9" s="1"/>
  <c r="K53" i="9"/>
  <c r="K51" i="9"/>
  <c r="K49" i="9"/>
  <c r="V49" i="9" s="1"/>
  <c r="K44" i="9"/>
  <c r="C11" i="24" s="1"/>
  <c r="K42" i="9"/>
  <c r="C10" i="24" s="1"/>
  <c r="K40" i="9"/>
  <c r="K34" i="9"/>
  <c r="C8" i="24" s="1"/>
  <c r="K32" i="9"/>
  <c r="C7" i="24" s="1"/>
  <c r="K30" i="9"/>
  <c r="C6" i="24" s="1"/>
  <c r="K24" i="9"/>
  <c r="C5" i="24" s="1"/>
  <c r="K22" i="9"/>
  <c r="C4" i="24" s="1"/>
  <c r="P38" i="23" l="1"/>
  <c r="P39" i="23"/>
  <c r="K20" i="23"/>
  <c r="J27" i="23"/>
  <c r="L25" i="23"/>
  <c r="H26" i="23"/>
  <c r="I15" i="23"/>
  <c r="K26" i="23"/>
  <c r="I30" i="23"/>
  <c r="E27" i="23"/>
  <c r="I26" i="23"/>
  <c r="I29" i="23"/>
  <c r="I27" i="23"/>
  <c r="J25" i="23"/>
  <c r="K27" i="23"/>
  <c r="K25" i="23"/>
  <c r="L27" i="23"/>
  <c r="E29" i="23"/>
  <c r="J28" i="23"/>
  <c r="H12" i="24"/>
  <c r="I20" i="23"/>
  <c r="K17" i="23"/>
  <c r="J20" i="23"/>
  <c r="H3" i="24"/>
  <c r="G6" i="24"/>
  <c r="J3" i="24"/>
  <c r="J9" i="24"/>
  <c r="L17" i="23"/>
  <c r="L16" i="23"/>
  <c r="L15" i="23"/>
  <c r="L20" i="23"/>
  <c r="L19" i="23"/>
  <c r="L18" i="23"/>
  <c r="V39" i="18"/>
  <c r="V19" i="17"/>
  <c r="I3" i="24"/>
  <c r="V29" i="17"/>
  <c r="V39" i="17"/>
  <c r="I6" i="24"/>
  <c r="I9" i="24"/>
  <c r="V19" i="16"/>
  <c r="V39" i="16"/>
  <c r="H9" i="24"/>
  <c r="J26" i="23"/>
  <c r="V19" i="15"/>
  <c r="G15" i="24"/>
  <c r="V29" i="15"/>
  <c r="I25" i="23"/>
  <c r="V39" i="15"/>
  <c r="G9" i="24"/>
  <c r="V49" i="15"/>
  <c r="G18" i="24"/>
  <c r="V59" i="15"/>
  <c r="I28" i="23"/>
  <c r="V69" i="15"/>
  <c r="F6" i="24"/>
  <c r="H13" i="23" s="1"/>
  <c r="V29" i="12"/>
  <c r="H25" i="23"/>
  <c r="V19" i="12"/>
  <c r="E18" i="23"/>
  <c r="C9" i="24"/>
  <c r="E20" i="23"/>
  <c r="V40" i="9"/>
  <c r="F25" i="23"/>
  <c r="H17" i="23"/>
  <c r="I16" i="23"/>
  <c r="F20" i="23"/>
  <c r="F19" i="23"/>
  <c r="F18" i="23"/>
  <c r="H18" i="23"/>
  <c r="I17" i="23"/>
  <c r="E19" i="23"/>
  <c r="H19" i="23"/>
  <c r="I18" i="23"/>
  <c r="K14" i="23"/>
  <c r="K15" i="23"/>
  <c r="I19" i="23"/>
  <c r="K16" i="23"/>
  <c r="H14" i="23"/>
  <c r="J18" i="23"/>
  <c r="H15" i="23"/>
  <c r="I14" i="23"/>
  <c r="J19" i="23"/>
  <c r="K18" i="23"/>
  <c r="F15" i="23"/>
  <c r="F16" i="23"/>
  <c r="K19" i="23"/>
  <c r="N32" i="23"/>
  <c r="L21" i="24"/>
  <c r="N18" i="23"/>
  <c r="N17" i="23"/>
  <c r="N25" i="23"/>
  <c r="N33" i="23"/>
  <c r="L6" i="24"/>
  <c r="L30" i="24"/>
  <c r="N19" i="23"/>
  <c r="N26" i="23"/>
  <c r="N34" i="23"/>
  <c r="L15" i="24"/>
  <c r="N27" i="23"/>
  <c r="N28" i="23"/>
  <c r="N16" i="23"/>
  <c r="N29" i="23"/>
  <c r="L18" i="24"/>
  <c r="N30" i="23"/>
  <c r="N31" i="23"/>
  <c r="M15" i="23"/>
  <c r="M17" i="23"/>
  <c r="M16" i="23"/>
  <c r="M14" i="23"/>
  <c r="M20" i="23"/>
  <c r="M19" i="23"/>
  <c r="M18" i="23"/>
  <c r="M25" i="23"/>
  <c r="K3" i="24"/>
  <c r="V29" i="18"/>
  <c r="L26" i="23"/>
  <c r="V59" i="18"/>
  <c r="L28" i="23"/>
  <c r="G20" i="23"/>
  <c r="G19" i="23"/>
  <c r="G18" i="23"/>
  <c r="E28" i="23"/>
  <c r="F17" i="23"/>
  <c r="F28" i="23"/>
  <c r="V21" i="10"/>
  <c r="F27" i="23"/>
  <c r="F26" i="23"/>
  <c r="V41" i="10"/>
  <c r="D3" i="24"/>
  <c r="D9" i="24"/>
  <c r="E16" i="23"/>
  <c r="E15" i="23"/>
  <c r="E17" i="23"/>
  <c r="V30" i="9"/>
  <c r="E26" i="23"/>
  <c r="C3" i="24"/>
  <c r="E25" i="23"/>
  <c r="H13" i="24"/>
  <c r="H6" i="24"/>
  <c r="V29" i="16"/>
  <c r="G16" i="23"/>
  <c r="G17" i="23"/>
  <c r="G13" i="23"/>
  <c r="G12" i="23"/>
  <c r="V19" i="11"/>
  <c r="G25" i="23"/>
  <c r="C15" i="24"/>
  <c r="F9" i="23" l="1"/>
  <c r="F8" i="23"/>
  <c r="F35" i="23"/>
  <c r="F10" i="23" s="1"/>
  <c r="H8" i="23"/>
  <c r="H12" i="23"/>
  <c r="J8" i="23"/>
  <c r="J9" i="23"/>
  <c r="K35" i="23"/>
  <c r="K10" i="23" s="1"/>
  <c r="K9" i="23"/>
  <c r="J35" i="23"/>
  <c r="J10" i="23" s="1"/>
  <c r="K8" i="23"/>
  <c r="I8" i="23"/>
  <c r="I35" i="23"/>
  <c r="I10" i="23" s="1"/>
  <c r="K12" i="23"/>
  <c r="H35" i="23"/>
  <c r="H10" i="23" s="1"/>
  <c r="I9" i="23"/>
  <c r="K13" i="23"/>
  <c r="I12" i="23"/>
  <c r="I13" i="23"/>
  <c r="L14" i="23"/>
  <c r="L13" i="23"/>
  <c r="L12" i="23"/>
  <c r="L35" i="23"/>
  <c r="L10" i="23" s="1"/>
  <c r="L9" i="23"/>
  <c r="L8" i="23"/>
  <c r="E9" i="23"/>
  <c r="M8" i="23"/>
  <c r="M9" i="23"/>
  <c r="N35" i="23"/>
  <c r="N10" i="23" s="1"/>
  <c r="F12" i="23"/>
  <c r="F13" i="23"/>
  <c r="N14" i="23"/>
  <c r="N8" i="23"/>
  <c r="N20" i="23"/>
  <c r="N9" i="23"/>
  <c r="N15" i="23"/>
  <c r="N12" i="23"/>
  <c r="N13" i="23"/>
  <c r="M35" i="23"/>
  <c r="M10" i="23" s="1"/>
  <c r="M12" i="23"/>
  <c r="M13" i="23"/>
  <c r="F14" i="23"/>
  <c r="E35" i="23"/>
  <c r="E8" i="23"/>
  <c r="J15" i="23"/>
  <c r="J14" i="23"/>
  <c r="J17" i="23"/>
  <c r="J16" i="23"/>
  <c r="J13" i="23"/>
  <c r="J12" i="23"/>
  <c r="G9" i="23"/>
  <c r="G35" i="23"/>
  <c r="G10" i="23" s="1"/>
  <c r="G8" i="23"/>
  <c r="E14" i="23"/>
  <c r="E13" i="23"/>
  <c r="E12" i="23"/>
  <c r="G3" i="25"/>
  <c r="D17" i="9"/>
  <c r="E3" i="25" s="1"/>
  <c r="C115" i="20"/>
  <c r="C113" i="20"/>
  <c r="C111" i="20"/>
  <c r="C105" i="20"/>
  <c r="C103" i="20"/>
  <c r="C101" i="20"/>
  <c r="C93" i="20"/>
  <c r="C91" i="20"/>
  <c r="C89" i="20"/>
  <c r="C83" i="20"/>
  <c r="C81" i="20"/>
  <c r="C79" i="20"/>
  <c r="C73" i="20"/>
  <c r="C71" i="20"/>
  <c r="C69" i="20"/>
  <c r="C63" i="20"/>
  <c r="C61" i="20"/>
  <c r="C59" i="20"/>
  <c r="C43" i="20"/>
  <c r="C41" i="20"/>
  <c r="C39" i="20"/>
  <c r="D43" i="20"/>
  <c r="D41" i="20"/>
  <c r="D39" i="20"/>
  <c r="C53" i="20"/>
  <c r="C51" i="20"/>
  <c r="C49" i="20"/>
  <c r="C33" i="20"/>
  <c r="C31" i="20"/>
  <c r="C29" i="20"/>
  <c r="C23" i="20"/>
  <c r="C21" i="20"/>
  <c r="C19" i="20"/>
  <c r="C23" i="19"/>
  <c r="C21" i="19"/>
  <c r="C19" i="19"/>
  <c r="C53" i="18"/>
  <c r="C51" i="18"/>
  <c r="C49" i="18"/>
  <c r="C43" i="18"/>
  <c r="C41" i="18"/>
  <c r="C39" i="18"/>
  <c r="C23" i="18"/>
  <c r="C21" i="18"/>
  <c r="C19" i="18"/>
  <c r="C43" i="17"/>
  <c r="C41" i="17"/>
  <c r="C39" i="17"/>
  <c r="C33" i="17"/>
  <c r="C31" i="17"/>
  <c r="C29" i="17"/>
  <c r="C23" i="17"/>
  <c r="C21" i="17"/>
  <c r="C19" i="17"/>
  <c r="C53" i="16"/>
  <c r="C51" i="16"/>
  <c r="C49" i="16"/>
  <c r="C43" i="16"/>
  <c r="C41" i="16"/>
  <c r="C39" i="16"/>
  <c r="C33" i="16"/>
  <c r="C31" i="16"/>
  <c r="C29" i="16"/>
  <c r="C23" i="16"/>
  <c r="C21" i="16"/>
  <c r="C19" i="16"/>
  <c r="C73" i="15"/>
  <c r="C71" i="15"/>
  <c r="C69" i="15"/>
  <c r="C63" i="15"/>
  <c r="C61" i="15"/>
  <c r="C59" i="15"/>
  <c r="C53" i="15"/>
  <c r="C51" i="15"/>
  <c r="C49" i="15"/>
  <c r="C43" i="15"/>
  <c r="C41" i="15"/>
  <c r="C39" i="15"/>
  <c r="C33" i="15"/>
  <c r="C31" i="15"/>
  <c r="C29" i="15"/>
  <c r="C23" i="15"/>
  <c r="C21" i="15"/>
  <c r="C19" i="15"/>
  <c r="C33" i="12"/>
  <c r="C31" i="12"/>
  <c r="C29" i="12"/>
  <c r="C23" i="12"/>
  <c r="C21" i="12"/>
  <c r="C19" i="12"/>
  <c r="C23" i="11"/>
  <c r="C21" i="11"/>
  <c r="C19" i="11"/>
  <c r="C62" i="9"/>
  <c r="C60" i="9"/>
  <c r="C58" i="9"/>
  <c r="C53" i="9"/>
  <c r="C51" i="9"/>
  <c r="C49" i="9"/>
  <c r="C44" i="9"/>
  <c r="C42" i="9"/>
  <c r="C40" i="9"/>
  <c r="C34" i="9"/>
  <c r="C32" i="9"/>
  <c r="C30" i="9"/>
  <c r="C24" i="9"/>
  <c r="C22" i="9"/>
  <c r="C20" i="9"/>
  <c r="D115" i="20"/>
  <c r="D113" i="20"/>
  <c r="D111" i="20"/>
  <c r="N14" i="25"/>
  <c r="D105" i="20"/>
  <c r="D103" i="20"/>
  <c r="D101" i="20"/>
  <c r="N13" i="25"/>
  <c r="N12" i="25"/>
  <c r="N11" i="25"/>
  <c r="D93" i="20"/>
  <c r="D91" i="20"/>
  <c r="D89" i="20"/>
  <c r="N10" i="25"/>
  <c r="D81" i="20"/>
  <c r="D79" i="20"/>
  <c r="N9" i="25"/>
  <c r="D73" i="20"/>
  <c r="D71" i="20"/>
  <c r="D69" i="20"/>
  <c r="N8" i="25"/>
  <c r="D63" i="20"/>
  <c r="D61" i="20"/>
  <c r="D59" i="20"/>
  <c r="N7" i="25"/>
  <c r="D53" i="20"/>
  <c r="D51" i="20"/>
  <c r="D49" i="20"/>
  <c r="N6" i="25"/>
  <c r="N5" i="25"/>
  <c r="D33" i="20"/>
  <c r="D31" i="20"/>
  <c r="D29" i="20"/>
  <c r="N4" i="25"/>
  <c r="D23" i="20"/>
  <c r="D21" i="20"/>
  <c r="N3" i="25"/>
  <c r="B3" i="20"/>
  <c r="D23" i="19"/>
  <c r="D21" i="19"/>
  <c r="D19" i="19"/>
  <c r="M3" i="25"/>
  <c r="B3" i="19"/>
  <c r="D53" i="18"/>
  <c r="D51" i="18"/>
  <c r="D49" i="18"/>
  <c r="L6" i="25"/>
  <c r="D43" i="18"/>
  <c r="D41" i="18"/>
  <c r="D39" i="18"/>
  <c r="L5" i="25"/>
  <c r="L4" i="25"/>
  <c r="D23" i="18"/>
  <c r="D21" i="18"/>
  <c r="D19" i="18"/>
  <c r="L3" i="25"/>
  <c r="B3" i="18"/>
  <c r="D43" i="17"/>
  <c r="D41" i="17"/>
  <c r="D39" i="17"/>
  <c r="K5" i="25"/>
  <c r="D33" i="17"/>
  <c r="D31" i="17"/>
  <c r="D29" i="17"/>
  <c r="K4" i="25"/>
  <c r="D23" i="17"/>
  <c r="D21" i="17"/>
  <c r="K3" i="25"/>
  <c r="D19" i="17"/>
  <c r="D53" i="16"/>
  <c r="D51" i="16"/>
  <c r="D49" i="16"/>
  <c r="J6" i="25"/>
  <c r="D43" i="16"/>
  <c r="D41" i="16"/>
  <c r="D39" i="16"/>
  <c r="J5" i="25"/>
  <c r="D33" i="16"/>
  <c r="D31" i="16"/>
  <c r="D29" i="16"/>
  <c r="D23" i="16"/>
  <c r="D21" i="16"/>
  <c r="D19" i="16"/>
  <c r="B3" i="16"/>
  <c r="D63" i="15"/>
  <c r="D61" i="15"/>
  <c r="D59" i="15"/>
  <c r="I7" i="25"/>
  <c r="D73" i="15"/>
  <c r="D71" i="15"/>
  <c r="D69" i="15"/>
  <c r="I8" i="25"/>
  <c r="D53" i="15"/>
  <c r="D51" i="15"/>
  <c r="D49" i="15"/>
  <c r="I6" i="25"/>
  <c r="D43" i="15"/>
  <c r="D41" i="15"/>
  <c r="D39" i="15"/>
  <c r="I5" i="25"/>
  <c r="D33" i="15"/>
  <c r="D31" i="15"/>
  <c r="D29" i="15"/>
  <c r="I4" i="25"/>
  <c r="H4" i="25"/>
  <c r="D23" i="15"/>
  <c r="D21" i="15"/>
  <c r="D19" i="15"/>
  <c r="I3" i="25"/>
  <c r="B3" i="15"/>
  <c r="D33" i="12"/>
  <c r="D31" i="12"/>
  <c r="D29" i="12"/>
  <c r="D23" i="12"/>
  <c r="D21" i="12"/>
  <c r="D19" i="12"/>
  <c r="H3" i="25"/>
  <c r="B3" i="12"/>
  <c r="D23" i="11"/>
  <c r="D21" i="11"/>
  <c r="D19" i="11"/>
  <c r="D55" i="10"/>
  <c r="D53" i="10"/>
  <c r="D51" i="10"/>
  <c r="F6" i="25"/>
  <c r="D45" i="10"/>
  <c r="D43" i="10"/>
  <c r="D41" i="10"/>
  <c r="F5" i="25"/>
  <c r="D35" i="10"/>
  <c r="D33" i="10"/>
  <c r="D31" i="10"/>
  <c r="F4" i="25"/>
  <c r="D25" i="10"/>
  <c r="F3" i="25"/>
  <c r="D62" i="9"/>
  <c r="D60" i="9"/>
  <c r="D58" i="9"/>
  <c r="E7" i="25"/>
  <c r="D53" i="9"/>
  <c r="D51" i="9"/>
  <c r="D49" i="9"/>
  <c r="D47" i="9"/>
  <c r="E6" i="25" s="1"/>
  <c r="D44" i="9"/>
  <c r="D42" i="9"/>
  <c r="D40" i="9"/>
  <c r="D37" i="9"/>
  <c r="E5" i="25" s="1"/>
  <c r="D34" i="9"/>
  <c r="D32" i="9"/>
  <c r="D30" i="9"/>
  <c r="E4" i="25"/>
  <c r="D24" i="9"/>
  <c r="B3" i="9"/>
  <c r="E10" i="23" l="1"/>
  <c r="P37" i="23"/>
  <c r="Q38" i="23" l="1"/>
  <c r="Q9" i="23" s="1"/>
  <c r="Q10" i="23" s="1"/>
</calcChain>
</file>

<file path=xl/sharedStrings.xml><?xml version="1.0" encoding="utf-8"?>
<sst xmlns="http://schemas.openxmlformats.org/spreadsheetml/2006/main" count="1181" uniqueCount="510">
  <si>
    <t>Background</t>
  </si>
  <si>
    <t>Structure</t>
  </si>
  <si>
    <t>Developed by</t>
  </si>
  <si>
    <t>Version date</t>
  </si>
  <si>
    <t>Factor (based on the academic and grey literature)</t>
  </si>
  <si>
    <t>Factor element</t>
  </si>
  <si>
    <t>Level 1 Criteria</t>
  </si>
  <si>
    <t>Level 1 Statement
My organisation commits to</t>
  </si>
  <si>
    <t>Level 2 Criteria</t>
  </si>
  <si>
    <t>Level 2 Statement
My organisation has implemented</t>
  </si>
  <si>
    <t>Level 3 Criteria</t>
  </si>
  <si>
    <t>Level 3 Statement
My organisation is managing by embedding…</t>
  </si>
  <si>
    <t>1.A.1</t>
  </si>
  <si>
    <t>2.A.1</t>
  </si>
  <si>
    <t>3.A.1</t>
  </si>
  <si>
    <t>1.A.2</t>
  </si>
  <si>
    <t>2.A.2</t>
  </si>
  <si>
    <t>3.A.2</t>
  </si>
  <si>
    <t>1.A.3</t>
  </si>
  <si>
    <t>2.A.3</t>
  </si>
  <si>
    <t>3.A.3</t>
  </si>
  <si>
    <t>1.A.4</t>
  </si>
  <si>
    <t>2.A.4</t>
  </si>
  <si>
    <t>3.A.4</t>
  </si>
  <si>
    <t>Intersectionality</t>
  </si>
  <si>
    <t>1.A.5</t>
  </si>
  <si>
    <t>We have a training plan for staff at all levels, including board. It explains what ‘intersectionality’ means.</t>
  </si>
  <si>
    <t>2.A.5</t>
  </si>
  <si>
    <t>We have a training plan for staff at all levels, including board. It explains what ‘intersectionality’ means. We’ve started some training activities.</t>
  </si>
  <si>
    <t>3.A.5</t>
  </si>
  <si>
    <t>Social mission</t>
  </si>
  <si>
    <t>1.B.1</t>
  </si>
  <si>
    <t>2.B.1</t>
  </si>
  <si>
    <t>3.B.1</t>
  </si>
  <si>
    <t>Individual responsibilities</t>
  </si>
  <si>
    <t>1.B.2</t>
  </si>
  <si>
    <t>2.B.2</t>
  </si>
  <si>
    <t>3.B.2</t>
  </si>
  <si>
    <t>1.B.3</t>
  </si>
  <si>
    <t>2.B.3</t>
  </si>
  <si>
    <t>3.B.3</t>
  </si>
  <si>
    <t>1.B.4</t>
  </si>
  <si>
    <t>2.B.4</t>
  </si>
  <si>
    <t>3.B.4</t>
  </si>
  <si>
    <t>1.C.1</t>
  </si>
  <si>
    <t>2.C.1</t>
  </si>
  <si>
    <t>3.C.1</t>
  </si>
  <si>
    <t>1.D.1</t>
  </si>
  <si>
    <t>2.D.1</t>
  </si>
  <si>
    <t>3.D.1</t>
  </si>
  <si>
    <t>1.D.2</t>
  </si>
  <si>
    <t>2.D.2</t>
  </si>
  <si>
    <t>3.D.2</t>
  </si>
  <si>
    <t>Collection of specific data, including outcomes</t>
  </si>
  <si>
    <t>1.E.1</t>
  </si>
  <si>
    <t>2.E.1</t>
  </si>
  <si>
    <t>3.E.1</t>
  </si>
  <si>
    <t>1.E.7</t>
  </si>
  <si>
    <t>2.E.7</t>
  </si>
  <si>
    <t>3.E.7</t>
  </si>
  <si>
    <t>1.E.3</t>
  </si>
  <si>
    <t>2.E.3</t>
  </si>
  <si>
    <t>3.E.3</t>
  </si>
  <si>
    <t>1.E.4</t>
  </si>
  <si>
    <t>2.E.4</t>
  </si>
  <si>
    <t>3.E.4</t>
  </si>
  <si>
    <t>1.E.5</t>
  </si>
  <si>
    <t>2.E.5</t>
  </si>
  <si>
    <t>3.E.5</t>
  </si>
  <si>
    <t>Measuring inclusion</t>
  </si>
  <si>
    <t>1.E.6</t>
  </si>
  <si>
    <t>2.E.6</t>
  </si>
  <si>
    <t>3.E.6</t>
  </si>
  <si>
    <t>1.F.1</t>
  </si>
  <si>
    <t>2.F.1</t>
  </si>
  <si>
    <t>3.F.1</t>
  </si>
  <si>
    <t>1.F.2</t>
  </si>
  <si>
    <t>2.F.2</t>
  </si>
  <si>
    <t>3.F.2</t>
  </si>
  <si>
    <t>1.F.3</t>
  </si>
  <si>
    <t>2.F.3</t>
  </si>
  <si>
    <t>3.F.3</t>
  </si>
  <si>
    <t>1.F.4</t>
  </si>
  <si>
    <t>2.F.4</t>
  </si>
  <si>
    <t>3.F.4</t>
  </si>
  <si>
    <t>1.G.1</t>
  </si>
  <si>
    <t>2.G.1</t>
  </si>
  <si>
    <t>3.G.1</t>
  </si>
  <si>
    <t>1.G.2</t>
  </si>
  <si>
    <t>2.G.2</t>
  </si>
  <si>
    <t>3.G.2</t>
  </si>
  <si>
    <t>1.G.3</t>
  </si>
  <si>
    <t>2.G.3</t>
  </si>
  <si>
    <t>3.G.3</t>
  </si>
  <si>
    <t>Work integration: Managers and governance reflect diversity of wider workforce</t>
  </si>
  <si>
    <t>1.H.1</t>
  </si>
  <si>
    <t>2.H.1</t>
  </si>
  <si>
    <t>3.H.1</t>
  </si>
  <si>
    <t>Career progression</t>
  </si>
  <si>
    <t>1.H.2</t>
  </si>
  <si>
    <t>2.H.2</t>
  </si>
  <si>
    <t>3.H.2</t>
  </si>
  <si>
    <t>1.H.3</t>
  </si>
  <si>
    <t>2.H.3</t>
  </si>
  <si>
    <t>3.H.3</t>
  </si>
  <si>
    <t>Mentoring</t>
  </si>
  <si>
    <t>1.H.4</t>
  </si>
  <si>
    <t>2.H.4</t>
  </si>
  <si>
    <t>3.H.4</t>
  </si>
  <si>
    <t>Support</t>
  </si>
  <si>
    <t>1.I.1</t>
  </si>
  <si>
    <t>2.I.1</t>
  </si>
  <si>
    <t>3.I.1</t>
  </si>
  <si>
    <t>1.J.1</t>
  </si>
  <si>
    <t>2.J.1</t>
  </si>
  <si>
    <t>3.J.1</t>
  </si>
  <si>
    <t>1.J.2</t>
  </si>
  <si>
    <t>2.J.2</t>
  </si>
  <si>
    <t>3.J.2</t>
  </si>
  <si>
    <t>1.J.3</t>
  </si>
  <si>
    <t>2.J.3</t>
  </si>
  <si>
    <t>3.J.3</t>
  </si>
  <si>
    <t>1.J.4</t>
  </si>
  <si>
    <t>2.J.4</t>
  </si>
  <si>
    <t>3.J.4</t>
  </si>
  <si>
    <t>1.J.5</t>
  </si>
  <si>
    <t>2.J.5</t>
  </si>
  <si>
    <t>3.J.5</t>
  </si>
  <si>
    <t>1.J.6</t>
  </si>
  <si>
    <t>2.J.6</t>
  </si>
  <si>
    <t>3.J.6</t>
  </si>
  <si>
    <t>1.J.7</t>
  </si>
  <si>
    <t>2.J.7</t>
  </si>
  <si>
    <t>3.J.7</t>
  </si>
  <si>
    <t>1.J.8</t>
  </si>
  <si>
    <t>2.J.8</t>
  </si>
  <si>
    <t>3.J.8</t>
  </si>
  <si>
    <t>1.J.9</t>
  </si>
  <si>
    <t>1.J.10</t>
  </si>
  <si>
    <t>2.J.11</t>
  </si>
  <si>
    <t>3.J.11</t>
  </si>
  <si>
    <t>2.J.12</t>
  </si>
  <si>
    <t>3.J.12</t>
  </si>
  <si>
    <t>Section 1</t>
  </si>
  <si>
    <t>In progress</t>
  </si>
  <si>
    <t>Background information</t>
  </si>
  <si>
    <t>Resource name</t>
  </si>
  <si>
    <t>Description</t>
  </si>
  <si>
    <t>URL</t>
  </si>
  <si>
    <t>A Phenomenological Study of “Organizational Development Targeting Diversity” in a Nonprofit Human Service OrganizationTargeting Diversity” in a Nonprofit Human Service Organization</t>
  </si>
  <si>
    <t>"This study explores the experiences of non-profit human service staff members engaged in “organizational development targeting diversity” (ODTD) for two years or more. This term was adapted by combining concepts in workforce diversity management (Cox, 1993; Ely &amp; Thomas, 1996) and intra-organizational oppression (Fine, 1996; Hyde, 1998). Drawing upon Crenshaw’s (1989) theory of
intersecting oppressions stemming from race, class, and gender stratification, the experiences of staff members in a nonprofit human services organization provided a window into an organization attempting to address its use of power and how to model empowerment for a disempowered clientele. This study was conducted using interviews, documents, and field notes in a phenomenological design. It was found that perceptions of power sharing within the organizational setting are shaped by participant identities. It is recommended that organizational diversity efforts openly address issues of power and strive to understand member perspectives for organizational practices and policy formation."</t>
  </si>
  <si>
    <t>https://fisherpub.sjfc.edu/cgi/viewcontent.cgi?article=1006&amp;context=education_etd</t>
  </si>
  <si>
    <t>Ladder of Empowerment</t>
  </si>
  <si>
    <t>"Proposed by Elizabeth Rocha in the Journal of Planning Education and Research in 1997, the Ladder of Empowerment represents one of the first models that conceptualized individual and collective forms of empowerment. While earlier models described the dynamics of power or participation, Rocha’s Ladder addresses building power—i.e., the interrelationship of individual and collective participation and power—and the conditions that contribute to (or undermine) power building. Rocha’s Ladder of Empowerment follows several related models, including Sherry Arnstein’s Ladder of Citizen Participation and Roger Hart’s Ladder of Children’s Participation."</t>
  </si>
  <si>
    <t>https://organizingengagement.org/models/ladder-of-empowerment/</t>
  </si>
  <si>
    <t>Ladder of Citizen Participation</t>
  </si>
  <si>
    <t>"Proposed by Sherry Arnstein in 1969, the Ladder of Citizen Participation is one of the most widely referenced and influential models in the field of democratic public participation. For local leaders, organizers, and facilitators who want to understand foundational theories of public engagement and participation, and the ways in which empowered public institutions and officials deny power to citizens, Arnstein’s seminal article is essential reading. The model also influenced many later models, including Elizabeth Rocha’s Ladder of Empowerment and Roger Hart’s Ladder of Children’s Participation."</t>
  </si>
  <si>
    <t>https://organizingengagement.org/models/ladder-of-citizen-participation/</t>
  </si>
  <si>
    <t>Home Truths: Undoing racism and delivering real diversity in the charity sector</t>
  </si>
  <si>
    <t>"Home Truths is not a report that asks if there is a problem with ‘race’ equity in the charity sector. It has long been known that there is an under-representation of BAME people working in the charity sector, and that under-representation is worse in senior leadership roles. Instead, in this report we have sought to reframe the ‘diversity’ debate, saying that racism is a significant and unresolved issue in the charity sector just as it is in the rest of society."</t>
  </si>
  <si>
    <t>https://www.acevo.org.uk/reports/home-truths/</t>
  </si>
  <si>
    <t>Part 1</t>
  </si>
  <si>
    <r>
      <t>Our organisation has</t>
    </r>
    <r>
      <rPr>
        <i/>
        <sz val="11"/>
        <color theme="1"/>
        <rFont val="Montserrat"/>
        <family val="2"/>
        <scheme val="minor"/>
      </rPr>
      <t>- please select the appropriate dropdown option</t>
    </r>
  </si>
  <si>
    <r>
      <t xml:space="preserve">What we have done </t>
    </r>
    <r>
      <rPr>
        <i/>
        <sz val="11"/>
        <color theme="1"/>
        <rFont val="Montserrat"/>
        <family val="2"/>
        <scheme val="minor"/>
      </rPr>
      <t>- please clearly state what your organisation has done</t>
    </r>
  </si>
  <si>
    <t>Score</t>
  </si>
  <si>
    <t>Non commitment</t>
  </si>
  <si>
    <t>Level 1</t>
  </si>
  <si>
    <t>Level 2</t>
  </si>
  <si>
    <t>Level 3</t>
  </si>
  <si>
    <t>Our organisation has embedded this</t>
  </si>
  <si>
    <t>Part 2</t>
  </si>
  <si>
    <t>Part 3</t>
  </si>
  <si>
    <t>Our organisation has committed to this</t>
  </si>
  <si>
    <t>Our organisation has implemented this</t>
  </si>
  <si>
    <t>Part 4</t>
  </si>
  <si>
    <t>Our organisation has not yet committed to this</t>
  </si>
  <si>
    <t>Our organisation has not yet implemented this</t>
  </si>
  <si>
    <t>Our organisation has not yet embedded this</t>
  </si>
  <si>
    <t>Part 5</t>
  </si>
  <si>
    <t>Return to overview</t>
  </si>
  <si>
    <t>Next section</t>
  </si>
  <si>
    <t>Section 2</t>
  </si>
  <si>
    <t>feministkilljoys killing joy as a world making project</t>
  </si>
  <si>
    <t>Link provided by Anita B</t>
  </si>
  <si>
    <t>https://feministkilljoys.com</t>
  </si>
  <si>
    <t>Act Boldly - Anti-racist principles, guidance &amp; toolkit</t>
  </si>
  <si>
    <t>"This guide is primarily for people with leadership responsibilities at Wellcome, including the ELT, Senior Leadership Team, Board of Governors, and funding committee chairs. While everyone at
Wellcome is responsible for anti-racism in their everyday work, those in power are accountable for meeting our anti-racism commitments and for following these five anti-racist principles.
Wellcome has developed this resource to help us achieve racial equity in our organisation and work. This is not legal advice, it is a framework for how to be anti-racist at Wellcome."</t>
  </si>
  <si>
    <t>https://cms.wellcome.org/sites/default/files/2021-06/Wellcomes-Anti-racist-principles-and-toolkit-2021.pdf</t>
  </si>
  <si>
    <t>The Case for Capitalizing the B in Black</t>
  </si>
  <si>
    <t>Link provided by Fearless Futures</t>
  </si>
  <si>
    <t xml:space="preserve">https://www.theatlantic.com/ideas/archive/2020/06/time-to-capitalize-blackand-white/613159/ </t>
  </si>
  <si>
    <t>Diversity in Governance - NPC</t>
  </si>
  <si>
    <t>"This paper outlines what it means to have a truly diverse board of trustees and what it brings to an organisation. It also explores how to manage and maintain a board that is diverse."</t>
  </si>
  <si>
    <t>https://www.thinknpc.org/resource-hub/diversity-in-governance-the-what-why-and-how/</t>
  </si>
  <si>
    <t>Previous section</t>
  </si>
  <si>
    <t>Section 3</t>
  </si>
  <si>
    <t>Theory of change in ten steps</t>
  </si>
  <si>
    <t>"Throughout our work and personal lives we have aims and ideas about how to achieve them, but we rarely take the time to think these through, scrutinise and articulate them. This is what a theory of change process does. It encourages us to reflect on our aims and plans, to discuss them with others and to make them explicit. We see theory of change as the foundation of charity strategy, evaluation and communication.
This guide is a ten step handbook to creating a theory of change, built on many years of developing them for charities and funders. It focusses on the basics, our core approach. It gives you the information you need to do any theory of change and is directly applicable to smaller projects and charitable services."</t>
  </si>
  <si>
    <t>https://www.thinknpc.org/resource-hub/ten-steps/</t>
  </si>
  <si>
    <t>ESS Evaluation Tool: Interactive Logic Model Template</t>
  </si>
  <si>
    <t>A logic model tells the story of your project or programme in a diagram and a few simple words. It shows a causal connection between the need you have identified, what you do and how this makes a difference for individuals and communities.</t>
  </si>
  <si>
    <t>https://evaluationsupportscotland.org.uk/resources/interactive-logic-model-template/</t>
  </si>
  <si>
    <t>How to Build a Theory of Change</t>
  </si>
  <si>
    <t>"A theory of change is a description of why a particular way of working will be effective, showing how change happens in the short, medium and long term to achieve the intended impact. It can be represented in a visual diagram, as a narrative, or both.
A theory of change can be developed at the beginning of a piece of work (to help with strategic planning), or to describe an existing piece of work (so you can evaluate it). It is particularly helpful if you are planning or evaluating a complex, initiative but can also be used for more straightforward projects. See more in our summary of the uses of theory of change.
It is helpful to involve a variety of stakeholders when you develop a theory of change – you could include staff, trustees, beneficiaries, partners and funders. The development process, and the thinking involved, is often as important as the diagram or narrative you produce."</t>
  </si>
  <si>
    <t>https://knowhow.ncvo.org.uk/how-to/how-to-build-a-theory-of-change</t>
  </si>
  <si>
    <t>Section 4</t>
  </si>
  <si>
    <t xml:space="preserve">Best practice, toolkits and resources </t>
  </si>
  <si>
    <t>"Our resources and toolkits are here to help you. Looking to make your policies LGBT inclusive? To learn how to empower senior leaders? Support your LGBT staff on overseas assignments? Our step-by-step resources and toolkits will guide you on your way."</t>
  </si>
  <si>
    <t>https://www.stonewall.org.uk/best-practice-toolkits-and-resources</t>
  </si>
  <si>
    <t>How to shift public attitudes on equality - A practical guide for campaigners and communicators</t>
  </si>
  <si>
    <t>"This guide applies a strategic communications approach to the challenge of showing inequality as structural – deeply embedded in our society and institutions, rather than the responsibility of individuals. It aims to shift thinking away from the belief that anyone can be a successful ‘self-made person’, and towards a recognition that there are still major structural barriers to equality. It is based on a six-month, qualitative and quantitative research project by ComRes for Equally Ours, which itself builds upon previous research for Equally Ours by YouGov."</t>
  </si>
  <si>
    <t>https://www.equallyours.org.uk/wp-content/uploads/2019/11/Talking-about-equality-guide.pdf</t>
  </si>
  <si>
    <t>Inclusive Language Guide - OneGSMA</t>
  </si>
  <si>
    <t>"Inclusive language is a form of communication that avoids using words, expressions or assumptions that would stereotype, demean or exclude people.
For example, gendered language is commonly understood as language that has a biastowards a particular sex or social gender. In English, this would include using gender-specific terms referring to professions or people, such as businessman or fireman.
Please note the terms used in this guide reflect the diverse identities and experiences ofBritish and American society, there might be alternative preferred terms in other regions which we look forward to capturing."</t>
  </si>
  <si>
    <t>https://www.gsma.com/aboutus/wp-content/uploads/2020/11/GSMA-Inclusive-Language-Guide_2020.pdf?fbclid=IwAR1DRe-CGvJqraLTEwRsVS4CucRP-M_1OOhep8ZIXa22uYA-RHasM_LgfyU</t>
  </si>
  <si>
    <t>Section 5</t>
  </si>
  <si>
    <t>Maximise Your Impact – A Guide for Social Entrepreneurs</t>
  </si>
  <si>
    <t>"The Maximise Your Impact guide was developed within “Know Your Impact: Social Impact Management Tools for Young Social Entrepreneurs” by Estonian Social Enterprise Network, Koç University Social Impact Forum, Mikado Sustainable Development Consulting and Social Value UK. The “Know Your Impact: Social Impact Management Tools for Young Social Entrepreneurs” is funded by Erasmus + programme of the European Union."</t>
  </si>
  <si>
    <t>https://socialvalueuk.org/resource/maximise-impact/</t>
  </si>
  <si>
    <t>part 1</t>
  </si>
  <si>
    <t>part 2</t>
  </si>
  <si>
    <t>Part 6</t>
  </si>
  <si>
    <t>Section 6</t>
  </si>
  <si>
    <t>AA1000 Stakeholder engagement standard</t>
  </si>
  <si>
    <t>"The AA1000 AccountAbility Stakeholder Engagement Standard (2015) – the most widely applied stakeholder engagement standard – establishes the global benchmark for conducting high-quality stakeholder engagement projects and programs."</t>
  </si>
  <si>
    <t>https://www.accountability.org/standards/aa1000-stakeholder-engagement-standard/</t>
  </si>
  <si>
    <t>Standard on applying Principle 1: Involve Stakeholders</t>
  </si>
  <si>
    <t>"Inform what gets measured and how this is measured and valued in an account of social value by involving stakeholders.
This document sets out SVI’s Standard for applying Principle 1: Involve your stakeholders. Involving stakeholders is at the heart of accounting for value and plays a key role in how you apply the other social value principles: Understand what changes; Value the things that matter; Only include what is material; and Do not over-claim. 
The standard focuses on involving all stakeholders (not only intended beneficiaries) who experience change in their lives (outcomes) as a result of an activity or intervention."</t>
  </si>
  <si>
    <t>https://www.socialvalueint.org/principle-1-involve-stakeholders</t>
  </si>
  <si>
    <t>Stories for Impact - Stakeholder mapping tool</t>
  </si>
  <si>
    <t>"A stakeholder map helps you analyse and manage relationships with individuals and organisations who are impacted by your solution or who can influence whether your solution will be successful. "</t>
  </si>
  <si>
    <t>https://storiesforimpact.com/toolbox/stakeholder-map/</t>
  </si>
  <si>
    <t>Section 7</t>
  </si>
  <si>
    <t>ISO 30415 2021(en), Human resource management — Diversity and inclusion</t>
  </si>
  <si>
    <t>"This document provides guidance on D&amp;I for organizations, including their governance body, leaders, workforce and recognized representatives, and other stakeholders. It is intended to be scalable to the needs of all types of organizations in different sectors, whether in public, private, government or non-governmental organizations (NGO), regardless of size, type, activity, industry or sector, growth phase, external influences and country-specific requirements."</t>
  </si>
  <si>
    <t>https://www.iso.org/standard/71164.html</t>
  </si>
  <si>
    <t>Section 8</t>
  </si>
  <si>
    <t>Section 9</t>
  </si>
  <si>
    <t>Section 10</t>
  </si>
  <si>
    <t>Part 7</t>
  </si>
  <si>
    <t>Part 8</t>
  </si>
  <si>
    <t>Part 9</t>
  </si>
  <si>
    <t>Part 10</t>
  </si>
  <si>
    <t>Part 11</t>
  </si>
  <si>
    <t>Part 12</t>
  </si>
  <si>
    <t>Term</t>
  </si>
  <si>
    <t>Definition</t>
  </si>
  <si>
    <t>Further information</t>
  </si>
  <si>
    <t>Bias</t>
  </si>
  <si>
    <t>Bias refers to the attitudes and beliefs we hold about an individual or a group. This can be in favour of, or against that person or group. So, some people see it as favouritism while others refer to it as prejudice. Bias can be unconscious or explicit.  Unconscious bias, which some legal scholars refer to as implicit bias  or hidden bias, has mainly negative connotations and suggests that people act without intending to do so. Many studies have indicated that implicit biases affect individuals’ attitudes and actions, thus creating real-world implications, even though individuals may not be aware that those biases exist within themselves . Explicit bias is when individuals are aware of their attitudes and beliefs.  For example, some organisations can choose to serve on certain income levels or issue statements that are deliberately racist. A key thing to note from these examples is that they can be positive or negative for different members of society. Choosing to serve a certain income group may make that group feel good, however, those excluded from the service may feel harmed.
Bias and its related concepts is contested however. DEI practitioners and researchers argue that the term, and training based on it, promotes inaction and ignores the power relationship between parties . They prefer the term prejudice.</t>
  </si>
  <si>
    <t xml:space="preserve">  Early scholarship drew on Freudian research and referred to “unconscious” bias. More recent literature relies upon scientific methodology and uses the term “implicit” to describe attitudes and beliefs that are outside of conscious control
  https://www.sjsu.edu/diversity/office/education/terms.php#I 
  A practitioner view of bias is available here. https://medium.com/fearless-futures/six-reasons-why-we-are-just-not-into-unconscious-bias-9289278a96fc and in this podcast episode https://medium.com/fearless-futures/fearless-futures-podcast-episode-3-unconscious-bias-transcript-b6a762cf1913 </t>
  </si>
  <si>
    <t>Diversity</t>
  </si>
  <si>
    <t>Diversity is about the variation between individuals or groups. It relates to how individuals categorise themselves into social groups and how they perceive others as in their group (sometimes called their in-group) or outside their group (sometimes called the out-group). This perception is important as it determines how they interact and cohere as a group.</t>
  </si>
  <si>
    <t>Equality</t>
  </si>
  <si>
    <t>Equality as a term on its own has limited meaning and application to an organisation; it means being equal. It’s real value as a term for organisations is when it is qualified.</t>
  </si>
  <si>
    <t>Equality Act (2010)</t>
  </si>
  <si>
    <t>The Equality Act 2010 is UK legislation to support strategic decision making that reduces socio-economic inequalities such as discrimination and harassment related to nine personal protected characteristics and to increase equality of opportunity. The characteristics protected in the Equality Act are the following: age; disability; gender reassignment; marriage and civil partnership; pregnancy and maternity; race; religion or belief; sex, and sexual orientation.</t>
  </si>
  <si>
    <t>Equity</t>
  </si>
  <si>
    <t>Equity is about being socially just, or deliberately fair, in the way people are treated. It explains the actions we take to correct the unfair distribution of resources and allocation of rights, responsibilities costs and burdens</t>
  </si>
  <si>
    <t>Inclusion</t>
  </si>
  <si>
    <t>Inclusion is concerned with how diverse members of a group are treated and how they feel. Inclusion is necessary because focusing on diversity alone may lead to awareness but not necessarily deal with the issues related to diversity. Thus, various inclusion activities, such as diversity management, are necessary. Inclusive practices seek to ensure people are respected and valued for who they are as an individual or group.</t>
  </si>
  <si>
    <t>Indicator</t>
  </si>
  <si>
    <t xml:space="preserve">Indicators are measures that provide information on how much of an outcome is expected to happen or has happened. They can be based on information provided by those experiencing the outcome or from other sources. </t>
  </si>
  <si>
    <t xml:space="preserve">CM alternative definition (from the Impact Management Platform): A standard of measurement. The words ‘metric’ and ‘indicator’ are typically used interchangeably. Metrics are used to measure the state of something at a point in time. Repeated measurement makes it possible to determine change over time.
Source: Adapted from Meriam Webster Online Dictionary
</t>
  </si>
  <si>
    <t>Inputs</t>
  </si>
  <si>
    <t>The contributions made by each stakeholder that are necessary for the activity to happen.</t>
  </si>
  <si>
    <t>Intersectionality is the complex, cumulative way in which the effects of multiple forms of discrimination (such as racism, sexism, and classism) combine, overlap, or intersect especially in the experiences of marginalized individuals or groups. It is a lens through which you can see where power comes and collides and the way in which various forms of inequality often exacerbate each other.</t>
  </si>
  <si>
    <t>Outcome</t>
  </si>
  <si>
    <t>The changes resulting from an activity. The main types of change from the perspective of stakeholders are unintended (unexpected) and intended (expected), positive and negative changes. For example, this could be an increase in someone's mental wellbeing, or a reduction in loneliness.</t>
  </si>
  <si>
    <t>Outputs</t>
  </si>
  <si>
    <t>The summary of activities in numbers. These are the easiest things to count. For example, the number of training classes attended, or the quantity of a product grown.</t>
  </si>
  <si>
    <t>Power</t>
  </si>
  <si>
    <t>There are many different notions of power. One main one power as the ability to influence others and impose one’s beliefs – or power over someone. All power is relational, and the different relationships either reinforce or disrupt one another.</t>
  </si>
  <si>
    <t>Social enterprises</t>
  </si>
  <si>
    <t>A social enterprise is an organisation which has a legal form recognised as a social purpose organisation . They are usually led by a social entrepreneur and apply entrepreneurial solutions to solve social problems. They have a strong link to charitable activities and trade extensively with the public and private sectors forming part of a broader, integrated programme for social benefit. For example, Social Value UK is a social enterprise. It is a company limited by guarantee which means it has no shareholders. All the money it makes is applied for the benefit of its membership and to further its mission.</t>
  </si>
  <si>
    <t>Maretich, M., &amp; Bolton, M. (2010). Social enterprise: from definitions to developments in practice. European Venture Philanthropy Association Knowledge Centre.</t>
  </si>
  <si>
    <t>Social purpose organisation</t>
  </si>
  <si>
    <t>A social purpose organisation is a broad term used to describe an organisation that declares that it pursues a social purpose. It is not a registered legal form. This includes organisations that pursue other purposes, for example, private limited organisations that pursue profit, non-profit organisations that are less focused on profit but are required by law to focus on social purposes, and social enterprises, for example Community Interest Companies whose registered form encourages them to pursue both social purpose and profit.</t>
  </si>
  <si>
    <t>Social value</t>
  </si>
  <si>
    <t>Social value is the quantification of the relative importance that people place on the changes they experience in their lives. Some, but not all of this value is captured in market prices. It is important to consider and measure this social value from the perspective of those affected by an organisation’s work.</t>
  </si>
  <si>
    <t>Stakeholders</t>
  </si>
  <si>
    <t>People, organisations or entities that experience change, whether positive or negative, as a result of the activity that is being analysed.</t>
  </si>
  <si>
    <t>Structural discrimination</t>
  </si>
  <si>
    <t>Structural discrimination is when society collectively disadvantages one social group through benefitting other social groups. This discrimination is rooted and perpetuated through discriminatory practices that are reinforced through institutions, ideologies, representations, policies/laws and practices. For instance, when this kind of inequity is related to racial discrimination, it is referred to as structural racism.</t>
  </si>
  <si>
    <t>Mission and policies</t>
  </si>
  <si>
    <t>Theory of Change</t>
  </si>
  <si>
    <t>Stakeholder Engagement</t>
  </si>
  <si>
    <t>Diversity Management</t>
  </si>
  <si>
    <t>Work Integration</t>
  </si>
  <si>
    <t>Business Model</t>
  </si>
  <si>
    <t>DEI Scorecard overview</t>
  </si>
  <si>
    <t xml:space="preserve">Average score </t>
  </si>
  <si>
    <t>For GIF DD process</t>
  </si>
  <si>
    <t>Out of</t>
  </si>
  <si>
    <t>Modal score</t>
  </si>
  <si>
    <t>Portfolio Scorecard</t>
  </si>
  <si>
    <t>% achieved</t>
  </si>
  <si>
    <t>Impact Charter Score</t>
  </si>
  <si>
    <t>Level 1 No</t>
  </si>
  <si>
    <t>Commit</t>
  </si>
  <si>
    <t>Level 1 In progress</t>
  </si>
  <si>
    <t>Level 1 Committed</t>
  </si>
  <si>
    <t>Level 2 No</t>
  </si>
  <si>
    <t>Implement</t>
  </si>
  <si>
    <t>Level 2 In progress</t>
  </si>
  <si>
    <t>Level 2 Implemented</t>
  </si>
  <si>
    <t>Level 3 No</t>
  </si>
  <si>
    <t>Embed</t>
  </si>
  <si>
    <t>Level 3 In progress</t>
  </si>
  <si>
    <t>Level 3 Embedded</t>
  </si>
  <si>
    <t>Number of parts</t>
  </si>
  <si>
    <t>Total Score</t>
  </si>
  <si>
    <t>Part 13</t>
  </si>
  <si>
    <t>Part 14</t>
  </si>
  <si>
    <t>Part 15</t>
  </si>
  <si>
    <t>Part 16</t>
  </si>
  <si>
    <t>Part 17</t>
  </si>
  <si>
    <t>Part 18</t>
  </si>
  <si>
    <t>Part 19</t>
  </si>
  <si>
    <t>Part 20</t>
  </si>
  <si>
    <t>Part 21</t>
  </si>
  <si>
    <t xml:space="preserve">Useful resources (select the + button on the left hand side of the screen to expand) </t>
  </si>
  <si>
    <t>Score outcomes</t>
  </si>
  <si>
    <t xml:space="preserve">The background and reference reading for each section are located at the top of each page. </t>
  </si>
  <si>
    <t>Using the Toolkit</t>
  </si>
  <si>
    <t>Toolkit reviews</t>
  </si>
  <si>
    <t xml:space="preserve">The Toolkit has been created as a live document. By evidencing the actions taken your organisation and stakeholders can track progress made over time. Suggested intervals for updating the toolkit are annual or biannual, depending on organisation preference. When used during an investment process, an annual review of progress is suggested.  </t>
  </si>
  <si>
    <t>Section introductions</t>
  </si>
  <si>
    <t>Filling in the sections</t>
  </si>
  <si>
    <t xml:space="preserve">This section covers how the organisational management and governance reflects the diversity of the wider workforce, and promotes staff diversity. </t>
  </si>
  <si>
    <t>The Diversity, Equality and Inclusion Toolkit (“DEIT”) © 2022 by The Foundation for Social Entrepreneurs trading as UnLtd (UK Company number 4180639 - unltd.org.uk) is licensed under the Creative Commons Attribution 4.0 International licence, but subject to an additional licence condition/restriction that licensees may not charge for delivery or licensing of the DEIT.</t>
  </si>
  <si>
    <t>Equality, Diversity, &amp; Inclusion Characteristics (Equality Act and beyond)</t>
  </si>
  <si>
    <t>Macro Coding</t>
  </si>
  <si>
    <t>Mission and Policies</t>
  </si>
  <si>
    <t>We have committed to having a training plan for staff at all levels, including board. It explains what ‘organisational power’ means.</t>
  </si>
  <si>
    <t>We have a training plan for staff at all levels, including board. It explains what ‘organisational power’ means. We’ve started some training activities.</t>
  </si>
  <si>
    <t>We have a training plan for staff at all levels, including board. It explains what ‘organisational power’ means. The training plan has been reviewed at least once. There are plans to review it as needed. Training is given to staff at all levels.</t>
  </si>
  <si>
    <t>We have committed to having a training plan for staff at all levels, including board. It explains what is meant by 'structural discrimination'.</t>
  </si>
  <si>
    <t>We have a training plan for staff at all levels, including board. It explains what is meant by 'structural discrimination'. We’ve started some training activities.</t>
  </si>
  <si>
    <t>We have a training plan for staff at all levels, including board. It explains what is meant by 'structural discrimination'. The training plan has been reviewed at least once. There are plans to review it as needed. Training is given to staff at all levels.</t>
  </si>
  <si>
    <t>We have a training plan for staff at all levels, including board. It explains what ‘intersectionality’ means. The training plan has been reviewed at least once. There are plans to review it as needed. Training is given to staff at all levels.</t>
  </si>
  <si>
    <t>We have committed to creating a policy or action plan with clear commitments to identify and support marginalised groups.</t>
  </si>
  <si>
    <t>We have a policy or action plan with clear commitments to identify and support marginalised groups. This has been agreed to by senior management or the board.</t>
  </si>
  <si>
    <t>We are committed to using representative case studies and imagery in our marketing materials and website.</t>
  </si>
  <si>
    <t>We have committed to creating a plan to engage with people from all stakeholder groups.</t>
  </si>
  <si>
    <t>We have created a plan to engage with people from all stakeholder groups. We are collecting feedback from stakeholders on how effective this plan is in practice.</t>
  </si>
  <si>
    <t>A plan to engage with people from all stakeholder groups has been developed. We are collecting feedback from stakeholders on how effective this plan is in practice.</t>
  </si>
  <si>
    <t>Outcomes are reviewed and revised based on ongoing stakeholder engagement.</t>
  </si>
  <si>
    <t>We have reviewed feedback mechanisms at least once. We kept a record of how feedback has been responded to</t>
  </si>
  <si>
    <t>We are committed to creating or adapting an existing complaint or whistleblowing process. These processes will include support for people making the complaint. The processes will be accessible to internal and external stakeholders.</t>
  </si>
  <si>
    <t>We have created or adapted an existing complaint or whistleblowing process. These processes include support for people making the complaint. The processes are accessible to internal and external stakeholders.</t>
  </si>
  <si>
    <t>Our complaint or whistleblowing process is in place, and has been reviewed at least once. We keep a record of how incidents or concerns have been addressed.</t>
  </si>
  <si>
    <t>Understanding organisational power</t>
  </si>
  <si>
    <t>Our role in structural discrimination</t>
  </si>
  <si>
    <t>Working with marginalised groups</t>
  </si>
  <si>
    <t xml:space="preserve"> Theory of Change</t>
  </si>
  <si>
    <t>Social value verification</t>
  </si>
  <si>
    <t>Stakeholder mapping</t>
  </si>
  <si>
    <t>Stakeholder engagement</t>
  </si>
  <si>
    <t>Defining outcomes</t>
  </si>
  <si>
    <t>Staff diversity and hiring practices</t>
  </si>
  <si>
    <t>Board diversity</t>
  </si>
  <si>
    <t>Professional support</t>
  </si>
  <si>
    <t>We have developed a plan to assess whether products and services are designed and delivered in a way that is accessible to our stakeholders. We have a way to respond to feedback and action changes.</t>
  </si>
  <si>
    <t>We have in place a plan to assess whether products and services are designed and delivered in a way that is accessible to our stakeholders. Accessibility and inclusion are top considerations when we are creating products and services.</t>
  </si>
  <si>
    <t>Value proposition</t>
  </si>
  <si>
    <t xml:space="preserve">We are committed to collecting data on our users’ wants and needs regarding pricing of products and or services. </t>
  </si>
  <si>
    <t xml:space="preserve">We have collected data on our users’ wants and needs regarding pricing of products and or services and use this information in pricing model decisions. </t>
  </si>
  <si>
    <t xml:space="preserve">We have processes in place to collect user data in a regular, timely and safe way. This is supported by feedback from customers/ users around their data collection preferences. </t>
  </si>
  <si>
    <t xml:space="preserve">We have processes in place to collect user data in a regular, timely and safe way. These processes have been reviewed at least once and we continue to gather user feedback about our data collection. </t>
  </si>
  <si>
    <t>Customer/ user preferences</t>
  </si>
  <si>
    <t>Customer/ user data collection preferences</t>
  </si>
  <si>
    <t>Cultural needs</t>
  </si>
  <si>
    <t xml:space="preserve">We have processes in place to make sure cultural needs are valued. We continuously update these based on information gathered around cultural needs. </t>
  </si>
  <si>
    <t>Sales EDI audits</t>
  </si>
  <si>
    <t>We are committed to making sure our sales pipeline and/ or outreach and referral pathways target marginalised groups. This includes going beyond our existing networks to reach a diverse range of people.</t>
  </si>
  <si>
    <t>Sales funnel</t>
  </si>
  <si>
    <t>We have a sales funnel and/ or outreach and referral pathways that target marginalised groups. This includes going beyond our existing networks to reach a diverse range of people.</t>
  </si>
  <si>
    <t>Our sales funnel and/ or outreach and referral pathways target marginalised groups. We adapt them using the information we collect about the affected groups.</t>
  </si>
  <si>
    <t>Accessible external communications</t>
  </si>
  <si>
    <t>Representative marketing materials</t>
  </si>
  <si>
    <t xml:space="preserve">We are starting to use representative case studies and imagery in all our marketing and website content.	</t>
  </si>
  <si>
    <t xml:space="preserve">We consistently use representative case studies and imagery in all our marketing and website content. We regularly review our content. </t>
  </si>
  <si>
    <t xml:space="preserve">We have actioned recommended changes from our content audit across all our content and continue to regularly audit the content. </t>
  </si>
  <si>
    <t>Supply chain(s)</t>
  </si>
  <si>
    <t>EDI in product and/or service iteration and R&amp;D</t>
  </si>
  <si>
    <t>We plan to involve stakeholder groups to  understand the outcomes they are experiencing, and why. We will use open-ended questions to identify outcomes which are positive, negative, intended, and unintended.</t>
  </si>
  <si>
    <t>We have involved stakeholder groups to  understand the outcomes they are experiencing, and why. We have used use open-ended questions to identify outcomes which are positive, negative, intended, and unintended.</t>
  </si>
  <si>
    <t xml:space="preserve">We are committed to developing systems to collect user data in a regular, timely and safe way. Included in this is a plan to gather feedback from customers/ users on their data collection preferences through formats such as advisory groups or anonymous surveys. </t>
  </si>
  <si>
    <t xml:space="preserve">We understand that some customers/user groups have culturally specific needs. We are committed to identifying cultural needs where users consent to sharing this information and adapting processes to account for these cultural needs. </t>
  </si>
  <si>
    <t xml:space="preserve">We have identified cultural needs and have processes in place that prioritise cultural competency in response to these needs. For example, we make interpretation available, create our content in other languages, write in plain English. </t>
  </si>
  <si>
    <t xml:space="preserve">We are committed to assessing our external communications content (such as our website and marketing materials) for accessibility by auditing it through an accessibility checker, or an accessibility expert. </t>
  </si>
  <si>
    <t>We have carried out an accessibility audit of our external communications content (such as our website and marketing materials).</t>
  </si>
  <si>
    <t>This section covers your organisation's formal training on the concepts of Equality, Diversity and Inclusion (EDI) and what efforts are made to increase the understanding of these concepts. Training on these concepts provides a foundation for other areas of EDI work as it ensures all members of an organisation have a level of exposure to core EDI areas.</t>
  </si>
  <si>
    <t>Understanding EDI Concepts: Knowledge of EDI concepts and frameworks</t>
  </si>
  <si>
    <t>We have a training plan for staff at all levels, including board. It explains EDI characteristics. These go beyond the 9 protected characteristics in the Equalities Act (2010). It includes characteristics like class and neurodivergence too. We have started to deliver training.</t>
  </si>
  <si>
    <t>We have a training plan for staff at all levels, including board. It explains EDI characteristics. These go beyond the 9 protected characteristics in the Equalities Act (2010). It includes characteristics like class and neurodivergence too. The training plan has been reviewed at least once. There are plans to review it as needed. Training is given to staff at all levels.</t>
  </si>
  <si>
    <t xml:space="preserve">We have a policy or action plan with clear commitments to identify and support marginalised groups. We have reviewed it at least once, and will keep making updates as our EDI work goes on. </t>
  </si>
  <si>
    <t>We have committed to creating a Theory of Change for how EDI outcomes are created by our activities. This will include positive and negative outcomes; cover all our stakeholder groups; and include inputs and outputs.</t>
  </si>
  <si>
    <t>We have a Theory of Change for how EDI outcomes are created by our activities. This includes positive and negative outcomes; covers all our stakeholder groups; and includes inputs and outputs.</t>
  </si>
  <si>
    <t>We have a Theory of Change for how EDI outcomes are created by our activities. This includes positive and negative outcomes; covers all our stakeholder groups; and includes inputs and outputs. We collect relevant EDI data and use it to update the Theory of Change. We have reviewed it at least once, and will keep making updates as our EDI work goes on.</t>
  </si>
  <si>
    <t>We have committed to creating a training plan for staff across all levels including board level for embedding EDI practice into their organisational practice and decision making.</t>
  </si>
  <si>
    <t>A training plan for staff across all levels including board level for embedding EDI practice into organisational practice has been developed. Some training activities have started.</t>
  </si>
  <si>
    <t xml:space="preserve">The training plan for staff across all levels including board level for embedding EDI practice into organisational practice is in place. The plan has been reviewed at least once, with plans to continue to review as needed. Activities for all levels are underway. Training around EDI practice is included in new staff induction or training at all levels of the organisation (in line with the needs of their role). </t>
  </si>
  <si>
    <t>We have committed to creating an organisational commitment to EDI by allocating resources for EDI management and capacity building.</t>
  </si>
  <si>
    <t>Resources have been allocated for EDI management and capacity building.</t>
  </si>
  <si>
    <t>Resources continue to be allocated for EDI management and capacity building, and are reviewed and revised as necessary.</t>
  </si>
  <si>
    <t>We have committed to tracking information from all stakeholder groups to collect the following data for outcomes measurement:
- Numbers of people experiencing each outcome (scale)
- Extent of change for each outcome (depth)
- The EDI characteristics of stakeholders</t>
  </si>
  <si>
    <t>Outcomes are starting to be measured involving all stakeholder groups. The measurement includes:
- Numbers of people experiencing each outcome (scale)
- Extent of change for each outcome (depth)
- The EDI characteristics of stakeholders</t>
  </si>
  <si>
    <t>Outcomes are being measured on a regular basis. Measurement includes:
- Numbers of people experiencing each outcome (scale)
- Extent of change for each outcome (depth)
- The EDI characteristics of stakeholders</t>
  </si>
  <si>
    <t>We have committed to seeking feedback from a third-party on our EDI data collection and analysis. This could be through a critical friend, peer review, or through a more formal assurance provider.</t>
  </si>
  <si>
    <t>We have had feedback from a third-party on our EDI data collection and analysis.
Explanation given about choice of third party and any associated risks of choice (this could be a critical friend, peer review or a more formal assurance provider).</t>
  </si>
  <si>
    <t>We have committed to mapping out our stakeholder groups (and identify sub groups) for the activities that we plan to include in our EDI practice.</t>
  </si>
  <si>
    <t>A plan to improve EDI within our recruitment is in place. We have reviewed our practices at least once, and made changes. We will continue to review and make changes as needed.</t>
  </si>
  <si>
    <t>We have put in place our plan for improving EDI through a mentoring scheme for staff. We used our understanding of who is participating and what outcomes they experience to maximise positive impact. We will continue to review and make changes.</t>
  </si>
  <si>
    <t>We have committed to having a training plan for staff at all levels, including board which includes material on what is meant by "EDI Characteristics". These go beyond the 9 protected characteristics in the Equalities Act (2010). It includes characteristics like class and neurodivergence too.</t>
  </si>
  <si>
    <t>We have committed to having a training plan for staff at all levels, including board. It explains what ‘organisational barriers to EDI’ means.</t>
  </si>
  <si>
    <t>We have a training plan for staff at all levels, including board. It explains what ‘organisational barriers to EDI’ means. We’ve started some training activities.</t>
  </si>
  <si>
    <t>We have a training plan for staff at all levels, including board. It explains what ‘organisational barriers to EDI’ means. The training plan has been reviewed at least once. There are plans to review it as needed. Training is given to staff at all levels.</t>
  </si>
  <si>
    <t>We have a mission or vision statement which shows our commitment to improving EDI. We have reviewed it at least once, and will keep making updates as our EDI work goes on. We have shared it internally and externally, and invited comments from affected people. We share this statement on a range of public materials, like terms of references and procurement materials.</t>
  </si>
  <si>
    <t xml:space="preserve">We are committed to creating a document that explains what people's personal responsibilities are for working towards EDI. </t>
  </si>
  <si>
    <t xml:space="preserve">We have created a document that explains what people's personal responsibilities are for working towards EDI. </t>
  </si>
  <si>
    <t>We have a document that explains what everyone’s responsibilities are for working towards EDI. We have reviewed it at least once, and will keep making updates as our EDI work goes on.</t>
  </si>
  <si>
    <t>We have committed to setting relevant targets for EDI. This will include targets for outputs and outcomes.</t>
  </si>
  <si>
    <t xml:space="preserve">We have set relevant targets for EDI. We are tracking not only outputs but also outcomes. </t>
  </si>
  <si>
    <t>EDI data collection and analysis are continuing to be reviewed by a third party. Any issues identified by the third party have been recorded and action taken to address the issues.
Risks of choice of third party considered and addressed (this could be a critical friend, peer review or a more formal assurance provider).</t>
  </si>
  <si>
    <t>We have set relevant targets for EDI. We are tracking  not only outputs but also outcomes. Our targets have been reviewed at least once, with input from stakeholders. We have revised the targets as needed, and will keep revising them as our EDI work goes on.</t>
  </si>
  <si>
    <t>We have committed to creating a plan for which EDI characteristics to track when we are measuring outcomes. We look at all 9 protected characteristics in the Equalities Act (2010) and more, for example, socioeconomic class.</t>
  </si>
  <si>
    <t>We identified which EDI characteristics to track when we are measuring outcomes. We look at all 9 protected characteristics in the Equalities Act (2010) and more, for example, socioeconomic class. We are integrating these into our outcomes measurement.</t>
  </si>
  <si>
    <t>Our stakeholders’ EDI characteristics are included in our outcomes measurement. We look at all 9 protected characteristics in the Equalities Act (2010) and more, for example, socioeconomic class. We review and revise them regularly.</t>
  </si>
  <si>
    <t>We have committed to creating reports on our EDI data and practices. These will cover: 
- Scope of the activities, 
- Our audience, 
- Why we’re conducting analysis, 
- Limitations or risks of using this data, 
- Performance against our targets, 
- Recommendations for improvement. 
We may use different types of reporting for internal and external audiences.</t>
  </si>
  <si>
    <t>We are starting to create reports on our EDI data and practices. These cover:
- Scope of the activities, 
- Our audience, 
- Why we’re conducting analysis, 
- Limitations or risks of using this data, 
- Performance against our targets, 
- Recommendations for improvement. 
We may use different types of reporting for internal and external audiences.</t>
  </si>
  <si>
    <t>We regularly create reports on our EDI data and practices. These cover:
- Scope of the activities, 
- Our audience, 
- Why we’re conducting analysis, 
- Limitations or risks of using this data, 
- Performance against our targets, 
- Recommendations for improvement. 
We may use different types of reporting for internal and external audiences.</t>
  </si>
  <si>
    <t>We have committed to recording the limitations and risks of our EDI data collection and analysis. This will include gaps, sources of potential bias, and how far we’ve involved stakeholders. We will identify where other sources of data are needed, and how they can be compared.</t>
  </si>
  <si>
    <t>We have recorded the limitations and risks of our EDI data collection and analysis. We have included gaps, sources of potential bias, and how far we’ve involved stakeholders. We have taken steps to identify and address limitations or risks around this data.</t>
  </si>
  <si>
    <t>We are continually checking for limitations and risks to our EDI data collection and analysis. We make any necessary changes to our data collection and analysis processes.</t>
  </si>
  <si>
    <t>We have committed to setting up a strong system for collecting and recording information on inclusion. We will collect information on inclusion. We will break that data down by relevant EDI characteristics, going beyond the 9 protected characteristics to include other areas like class or neurodivergence.</t>
  </si>
  <si>
    <t>A system for collecting and recording information on inclusion has been established. We are starting to collect information on inclusion. We are starting to break that data down by relevant EDI characteristics, going beyond the 9 protected characteristics to include other areas like class or neurodivergence.</t>
  </si>
  <si>
    <t xml:space="preserve">Our system for collecting and recording information on inclusion is in place. We collect information on inclusion, and break that data down by relevant EDI characteristics, going beyond the 9 protected characteristics to include other areas like class or neurodivergence. Not all groups have the same needs, so we make changes to our systems to make them more just and equitable. </t>
  </si>
  <si>
    <t>We have mapped out the stakeholder groups (and subgroups) affected by our EDI practice.</t>
  </si>
  <si>
    <t>We have mapped out the stakeholder groups (and subgroups) affected by our EDI practice. We review and revise this as needed.</t>
  </si>
  <si>
    <t>We have in place mechanisms for collecting and recording feedback on EDI. This could include surveys, focus groups or suggestion schemes.</t>
  </si>
  <si>
    <t>We have committed to identifying EDI lead/s and creating a working group or forum with representation from across the organisation. This should report to, and receive support from, the board or senior management.</t>
  </si>
  <si>
    <t>EDI lead/s and a working group or forum with representation from across the organisation have started work. They report to, and receive support from, the board or senior management.</t>
  </si>
  <si>
    <t>EDI lead/s and working group or forum meet regularly. They are given support by the board or senior management, and also report on their activities.</t>
  </si>
  <si>
    <t>We have committed to creating a policy or action plan to cover accountability mechanisms for EDI practice. This will outline the responsibilities of our governance, for example, our board.</t>
  </si>
  <si>
    <t>We have created a policy or action plan to cover accountability mechanisms for EDI practice. This outlines the responsibilities of our governance, for example, our board.</t>
  </si>
  <si>
    <t>We have a policy or action plan in place to cover accountability mechanisms for EDI practice. It outlines the responsibilities of our governance, for example, our board. It has been reviewed at least once. We have plans to keep reviewing it as needed.</t>
  </si>
  <si>
    <t>We are committed to creating a plan to improve EDI within our recruitment. This may include adapting language used in job adverts, promoting flexible and remote working, and reaching out to diverse networks.</t>
  </si>
  <si>
    <t>We have a plan to improve EDI within our recruitment. This can include adapting language used in job adverts, promoting flexible and remote working, and reaching out to diverse networks.</t>
  </si>
  <si>
    <t xml:space="preserve">We are committed to creating a plan to improve EDI within career progression. This should include tracking and recording changes (including who is joining, progressing, and leaving the organisation), and possible reasons.	</t>
  </si>
  <si>
    <t>We have a plan to improve EDI within career progression. We are tracking information to understand how employees progress, and what structural barriers exist. We are making changes based on this.</t>
  </si>
  <si>
    <t>We have put in place our plan to improve EDI within career progression. We have recorded information on how our employees progress, and what structural barriers exist. We have made changes based on this, and will keep doing so.</t>
  </si>
  <si>
    <t>We are committed to creating a plan or policy to improve EDI within our board and senior leadership team. This will include an understanding of changes (like who is joining and leaving the board and senior leadership positions), and reasons why.</t>
  </si>
  <si>
    <t>We have created a plan or policy to improve EDI within our board and senior leadership team. This includes an understanding of changes (like who is joining and leaving the board and senior leadership positions), and reasons why. We are starting to make changes based on this.</t>
  </si>
  <si>
    <t>We have a plan or policy in place to improve EDI within our board and senior leadership team. We are using our understanding of changes (like who is joining and leaving the board and senior leadership positions), and reasons why to address structural barriers.</t>
  </si>
  <si>
    <t>We are committed to creating a mentoring scheme to help improve EDI. We will consider who is involved in the scheme, what their EDI characteristics are, and what outcomes they experience.</t>
  </si>
  <si>
    <t>We have a mentoring scheme to help improve EDI. We have considered who is involved in the scheme, what their EDI characteristics are, and what outcomes they experience. We are collecting information to track this.</t>
  </si>
  <si>
    <t xml:space="preserve">We are committed to creating a plan for identifying experts, organisations, associations, or membership bodies that can help us improve our EDI practice.	</t>
  </si>
  <si>
    <t>We have identified experts, organisations, associations, or membership bodies that can help us improve our EDI practice. We have engaged with them in some way.</t>
  </si>
  <si>
    <t>We’re in continuing contact with experts, organisations, associations, or membership bodies that can help us improve our EDI practice. Where possible, we are sharing our practice with other organisations. This helps create a community of practice, which we can all learn from.</t>
  </si>
  <si>
    <t xml:space="preserve">We are committed to auditing our sales channels for inclusive language and accessibility. We will train our staff to make sure our communication to users is up to the highest EDI standards and gather feedback on inclusive language and accessibility. </t>
  </si>
  <si>
    <t xml:space="preserve">We audit our sales channels for inclusive language and accessibility. We train our staff to make sure our communication to users is up to the highest EDI standards and gather feedback on inclusive language and accessibility. </t>
  </si>
  <si>
    <t xml:space="preserve">We regularly audit our sales channels for inclusive language and accessibility. Our staff training has been reviewed at least once to ensure our communication to users is up to the highest EDI standards and we continue to gather feedback on inclusive language and accessibility. </t>
  </si>
  <si>
    <t xml:space="preserve">We are committed to creating a plan for improving EDI through our supply chain including any deliver partners or subcontractors. </t>
  </si>
  <si>
    <t xml:space="preserve">We have a plan for improving EDI throughout our supply chain and any delivery partners or subcontractors. We are making changes to where needed. </t>
  </si>
  <si>
    <t>We engage with supply chain organisations and any delivery partners and subcontractors where possible to improve EDI. We are improving procurement in line with EDI plans.</t>
  </si>
  <si>
    <t>We are committed to creating a plan for improving EDI in our products and/or services.</t>
  </si>
  <si>
    <t>We have in place a plan for improving EDI in our products and/or services. We have started to review and make changes to our products and services.</t>
  </si>
  <si>
    <t>We regularly use our understanding of EDI to make our products and/or services service affected groups better.</t>
  </si>
  <si>
    <t>Targets for Equality, Diversity and Inclusion</t>
  </si>
  <si>
    <t>This section covers how your organisation outlines your commitment to Equality, Diversity and Inclusion in your mission statement. This should be created alongside people with relevant lived experiences, and where possible the mission statement should be public. Missions and policies support organisations by committing them to action in EDI both internally and externally. They also ensure all staff are aware of the EDI aims the organisation has committed to in addition to necessary resourcing and accountability for EDI work.</t>
  </si>
  <si>
    <t xml:space="preserve">We have committed to producing a mission or vision statement which shows a clear organisational commitment to improving Equality, Diversity and Inclusion. </t>
  </si>
  <si>
    <t xml:space="preserve">We have a mission or vision statement which shows our commitment to improving Equality, Diversity and Inclusion. </t>
  </si>
  <si>
    <t>Equality, Diversity and Inclusion Advocacy</t>
  </si>
  <si>
    <t>Equality, Diversity and Inclusion Data Analysis and Evaluation</t>
  </si>
  <si>
    <t>Tackling organisational barriers to Equality, Diversity and Inclusion</t>
  </si>
  <si>
    <t>Equality, Diversity and Inclusion training</t>
  </si>
  <si>
    <t>Equality, Diversity and Inclusion resourcing</t>
  </si>
  <si>
    <t>Transparency around Equality, Diversity and Inclusion practice</t>
  </si>
  <si>
    <t>General feedback on Equality, Diversity and Inclusion</t>
  </si>
  <si>
    <t>Groups set up and tasked with Equality, Diversity and Inclusion</t>
  </si>
  <si>
    <t xml:space="preserve">Accountability mechanisms for Equality, Diversity and Inclusion issues </t>
  </si>
  <si>
    <t>Mechanisms have been set up to address Equality, Diversity and Inclusion incidents</t>
  </si>
  <si>
    <t>Developing a EDI specific theory of change allows an organisation to define how to approach EDI issues through strategic business choices and the intended and possible unintended outcomes of those choices.</t>
  </si>
  <si>
    <t xml:space="preserve">EDI advocacy covers the promotion of EDI within your organisation, to both staff and a board if a board exists. This may be through training or other forms of EDI capacity building. </t>
  </si>
  <si>
    <t xml:space="preserve">Measurement of EDI progress is an important and necessary aspect of practice. By embedding data collection in organisational activites the results of EDI strategy and activities can be analysed and assessed. Where appropriate data is also useful so areas of concern can be identified such as intersectionality of experience and unexpected outcomes. </t>
  </si>
  <si>
    <t>For effective EDI practice stakeholders should be continually and robustly engaged as stakeholder preferences need to be incorporated into definitions of ‘success’. This section covers the identification and engagement of these stakeholders.</t>
  </si>
  <si>
    <t>Diversity management tracks how EDI is integrated into every part of the organisation’s work through structures, such as EDI leads, EDI accountability, and whistleblowing processes.</t>
  </si>
  <si>
    <t>Organisations need support to progress in their EDI journey so this section supports the identification of and engagement with potential supporters.</t>
  </si>
  <si>
    <t xml:space="preserve">This section covers how EDI practices are embedded in business activities. The section focuses on all area of the business model canvas and can be applied to any business models. </t>
  </si>
  <si>
    <t>Understanding EDI Concepts</t>
  </si>
  <si>
    <t>EDI Advocacy</t>
  </si>
  <si>
    <t>Analysis and Evaluation</t>
  </si>
  <si>
    <t>Stakeholder engagement: Understanding approach towards previously omitted groups in service provision and activities</t>
  </si>
  <si>
    <t>Diversity management: EDI integrated into every part of the organisation’s work.</t>
  </si>
  <si>
    <t>Introduction to the Equality, Diversity and Inclusion Toolkit</t>
  </si>
  <si>
    <t>Big Issue Invest, Social Value UK, and UnLtd have partnered to develop a Equality, Diversity and Inclusion (EDI) Toolkit to support social purpose organisations (SPOs). 
The Toolkit project aims to contribute to a society where social purpose organisations  pioneer inclusive, diverse and equitable practice. 
By identifying barriers to inclusion, and building a framework for organisational learning and development the toolkit develops actionable steps for organisations unlock the tangible changes needed to dismantle systemic inequality.</t>
  </si>
  <si>
    <t>The EDI Toolkit is structured by the 10 EDI factors (Sections) identified through the EDI Literature Review.
The factors are then broken down into parts which form the basis for each of the criteria points.
For each part, there are 3 levels that an SPO can work to progress through as their EDI practice develops.  The Toolkit should therefore offer a progressive pathway for organisations to be able to follow as a guide for their next steps in developing and embedding EDI practice into their organisations.</t>
  </si>
  <si>
    <t xml:space="preserve">After reading the background and relevant reading, please fill in Sections 1 to 10 with the answer most relevant to your organisation using the drop down options for each part. Your EDI summary is calculated in the final sheet 'EDI Score Outcomes'. 
There is a glossary at the end and reference links in each section to guide you through the content. 
For each drop down selected, fill out the 'What we have done' box on the right hand side of the selection. In this space briefly describe the evidence of this action if relevant. Evidence can come in many formats including emails, policies, or website blogs.
For certain parts, guidance has been provided to the right of the 'What we have done box' to add extra context to the statement.
A 'Notes' box exists in each part for organisations to track any extra information or make comments for other staff members where needed. There is no requirement to add notes. </t>
  </si>
  <si>
    <t>SVUK, UnLtd and BII</t>
  </si>
  <si>
    <t>We are committed to creating a plan to assess whether products and services are designed and delivered in a way that is accessible to our stakeholders e.g. taking into account step free access to a location.</t>
  </si>
  <si>
    <t xml:space="preserve">We have a pricing model that makes affordability a key consideration. We use this to make products and services affordable to our users e.g. using a subsidy model for low-income individuals where appropriate. Our pricing model has been reviewed at least once. </t>
  </si>
  <si>
    <t>Below are the scores calculated from your answers in each of the 10 sections. On the right hand side, an overall score is calculated which enables your organisation to track your progress over time. This sheet is calculated automatically from your answers and requires no edits.</t>
  </si>
  <si>
    <t xml:space="preserve">Potential </t>
  </si>
  <si>
    <t>Version Maximum Score</t>
  </si>
  <si>
    <t>We have committed to establishing or adapting mechanisms for collecting and recording feedback on EDI. This could include surveys, focus groups or suggestion schemes.</t>
  </si>
  <si>
    <t xml:space="preserve">Due to the size of your organisation you do not need to complete Section 7. However, we recommend you review the content for future reference and fill in the section when you have a team of 4 or more people. </t>
  </si>
  <si>
    <t>Guidance for these statements</t>
  </si>
  <si>
    <t>Professional support statements aim to identify whether an organisation has external supporters alongside their internal EDI journey. 
Examples of supporters include but are not limited to: peer organisations also working on their EDI practices; membership bodies that mean regularly to discuss EDI; an advisor with expertise in an area of EDI; a funder who provides grant funding to work on EDI processes. 
In the 'what we have done' box note down any names of supporters so far and if an organisaisation does not have any yet try to list potential supporters to reach out 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</si>
</sst>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 #,##0.00_-;_-* &quot;-&quot;??_-;_-@_-"/>
    <numFmt numFmtId="164" formatCode="_-* #,##0.0_-;\-* #,##0.0_-;_-* &quot;-&quot;??_-;_-@_-"/>
  </numFmts>
  <fonts count="29">
    <font>
      <sz val="11"/>
      <color theme="1"/>
      <name val="Montserrat"/>
      <family val="2"/>
      <scheme val="minor"/>
    </font>
    <font>
      <sz val="14"/>
      <color theme="1"/>
      <name val="Montserrat"/>
      <family val="2"/>
      <scheme val="minor"/>
    </font>
    <font>
      <sz val="11"/>
      <color theme="1"/>
      <name val="Montserrat"/>
      <family val="2"/>
      <scheme val="minor"/>
    </font>
    <font>
      <b/>
      <sz val="11"/>
      <color theme="1"/>
      <name val="Montserrat"/>
      <family val="2"/>
      <scheme val="minor"/>
    </font>
    <font>
      <sz val="8"/>
      <name val="Montserrat"/>
      <family val="2"/>
      <scheme val="minor"/>
    </font>
    <font>
      <b/>
      <sz val="14"/>
      <color theme="1"/>
      <name val="Montserrat"/>
      <family val="2"/>
      <scheme val="minor"/>
    </font>
    <font>
      <u/>
      <sz val="11"/>
      <color theme="10"/>
      <name val="Montserrat"/>
      <family val="2"/>
      <scheme val="minor"/>
    </font>
    <font>
      <sz val="14"/>
      <color theme="1"/>
      <name val="Montserrat"/>
      <family val="2"/>
      <scheme val="minor"/>
    </font>
    <font>
      <b/>
      <i/>
      <sz val="11"/>
      <color theme="1"/>
      <name val="Montserrat"/>
      <family val="2"/>
      <scheme val="minor"/>
    </font>
    <font>
      <i/>
      <sz val="11"/>
      <color theme="1"/>
      <name val="Montserrat"/>
      <family val="2"/>
      <scheme val="minor"/>
    </font>
    <font>
      <b/>
      <sz val="22"/>
      <color theme="1"/>
      <name val="Montserrat"/>
      <family val="2"/>
      <scheme val="minor"/>
    </font>
    <font>
      <b/>
      <sz val="16"/>
      <color theme="1"/>
      <name val="Montserrat"/>
      <family val="2"/>
      <scheme val="minor"/>
    </font>
    <font>
      <sz val="11"/>
      <name val="Montserrat"/>
      <family val="2"/>
      <scheme val="minor"/>
    </font>
    <font>
      <b/>
      <sz val="11"/>
      <color theme="0"/>
      <name val="Montserrat"/>
      <family val="2"/>
      <scheme val="minor"/>
    </font>
    <font>
      <b/>
      <sz val="11"/>
      <name val="Montserrat"/>
      <family val="2"/>
      <scheme val="minor"/>
    </font>
    <font>
      <b/>
      <sz val="11"/>
      <name val="Montserrat"/>
      <scheme val="minor"/>
    </font>
    <font>
      <b/>
      <sz val="16"/>
      <color theme="1"/>
      <name val="Montserrat"/>
      <scheme val="minor"/>
    </font>
    <font>
      <b/>
      <sz val="16"/>
      <color theme="10"/>
      <name val="Montserrat"/>
      <scheme val="minor"/>
    </font>
    <font>
      <sz val="16"/>
      <color theme="1"/>
      <name val="Montserrat"/>
      <scheme val="minor"/>
    </font>
    <font>
      <sz val="11"/>
      <color theme="3" tint="-0.249977111117893"/>
      <name val="Montserrat"/>
      <family val="2"/>
      <scheme val="minor"/>
    </font>
    <font>
      <sz val="11"/>
      <color theme="1"/>
      <name val="Montserrat"/>
      <scheme val="minor"/>
    </font>
    <font>
      <b/>
      <sz val="11"/>
      <color theme="1"/>
      <name val="Montserrat"/>
      <scheme val="minor"/>
    </font>
    <font>
      <sz val="14"/>
      <color theme="1"/>
      <name val="Montserrat"/>
      <scheme val="minor"/>
    </font>
    <font>
      <b/>
      <sz val="24"/>
      <color theme="1"/>
      <name val="Montserrat"/>
      <family val="2"/>
      <scheme val="minor"/>
    </font>
    <font>
      <sz val="12"/>
      <color theme="0"/>
      <name val="Montserrat"/>
      <scheme val="minor"/>
    </font>
    <font>
      <b/>
      <sz val="14"/>
      <color theme="1"/>
      <name val="Montserrat"/>
      <scheme val="minor"/>
    </font>
    <font>
      <sz val="11"/>
      <color theme="3"/>
      <name val="Montserrat"/>
      <family val="2"/>
      <scheme val="minor"/>
    </font>
    <font>
      <b/>
      <sz val="14"/>
      <color theme="0"/>
      <name val="Montserrat"/>
      <scheme val="minor"/>
    </font>
    <font>
      <sz val="11"/>
      <color theme="0"/>
      <name val="Montserrat"/>
      <scheme val="minor"/>
    </font>
  </fonts>
  <fills count="16">
    <fill>
      <patternFill patternType="none"/>
    </fill>
    <fill>
      <patternFill patternType="gray125"/>
    </fill>
    <fill>
      <patternFill patternType="solid">
        <fgColor theme="7" tint="0.79998168889431442"/>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theme="2" tint="-0.249977111117893"/>
        <bgColor indexed="64"/>
      </patternFill>
    </fill>
    <fill>
      <patternFill patternType="solid">
        <fgColor theme="0"/>
        <bgColor indexed="64"/>
      </patternFill>
    </fill>
    <fill>
      <patternFill patternType="solid">
        <fgColor theme="1" tint="0.14999847407452621"/>
        <bgColor indexed="64"/>
      </patternFill>
    </fill>
    <fill>
      <patternFill patternType="solid">
        <fgColor theme="4" tint="0.79998168889431442"/>
        <bgColor indexed="64"/>
      </patternFill>
    </fill>
    <fill>
      <patternFill patternType="solid">
        <fgColor theme="3" tint="-0.249977111117893"/>
        <bgColor indexed="64"/>
      </patternFill>
    </fill>
    <fill>
      <patternFill patternType="solid">
        <fgColor theme="8" tint="0.59999389629810485"/>
        <bgColor indexed="64"/>
      </patternFill>
    </fill>
    <fill>
      <patternFill patternType="solid">
        <fgColor theme="6" tint="0.39997558519241921"/>
        <bgColor indexed="64"/>
      </patternFill>
    </fill>
    <fill>
      <patternFill patternType="solid">
        <fgColor theme="6" tint="0.79998168889431442"/>
        <bgColor indexed="64"/>
      </patternFill>
    </fill>
    <fill>
      <patternFill patternType="solid">
        <fgColor theme="1"/>
        <bgColor indexed="64"/>
      </patternFill>
    </fill>
    <fill>
      <patternFill patternType="solid">
        <fgColor theme="9" tint="0.39997558519241921"/>
        <bgColor indexed="64"/>
      </patternFill>
    </fill>
    <fill>
      <patternFill patternType="solid">
        <fgColor theme="0" tint="-0.34998626667073579"/>
        <bgColor indexed="64"/>
      </patternFill>
    </fill>
  </fills>
  <borders count="56">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medium">
        <color indexed="64"/>
      </left>
      <right style="thin">
        <color indexed="64"/>
      </right>
      <top style="thin">
        <color indexed="64"/>
      </top>
      <bottom/>
      <diagonal/>
    </border>
    <border>
      <left style="medium">
        <color indexed="64"/>
      </left>
      <right style="thin">
        <color indexed="64"/>
      </right>
      <top/>
      <bottom style="thin">
        <color indexed="64"/>
      </bottom>
      <diagonal/>
    </border>
    <border>
      <left style="medium">
        <color indexed="64"/>
      </left>
      <right style="medium">
        <color indexed="64"/>
      </right>
      <top style="medium">
        <color indexed="64"/>
      </top>
      <bottom/>
      <diagonal/>
    </border>
    <border>
      <left style="thin">
        <color indexed="64"/>
      </left>
      <right/>
      <top style="medium">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style="thin">
        <color indexed="64"/>
      </left>
      <right/>
      <top style="thin">
        <color indexed="64"/>
      </top>
      <bottom/>
      <diagonal/>
    </border>
    <border>
      <left/>
      <right style="thin">
        <color indexed="64"/>
      </right>
      <top style="thin">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medium">
        <color indexed="64"/>
      </left>
      <right/>
      <top style="medium">
        <color indexed="64"/>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right/>
      <top style="medium">
        <color indexed="64"/>
      </top>
      <bottom style="thin">
        <color indexed="64"/>
      </bottom>
      <diagonal/>
    </border>
    <border>
      <left/>
      <right/>
      <top style="thin">
        <color indexed="64"/>
      </top>
      <bottom style="thin">
        <color indexed="64"/>
      </bottom>
      <diagonal/>
    </border>
    <border>
      <left/>
      <right/>
      <top style="medium">
        <color indexed="64"/>
      </top>
      <bottom/>
      <diagonal/>
    </border>
    <border>
      <left style="thin">
        <color indexed="64"/>
      </left>
      <right/>
      <top/>
      <bottom style="thin">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style="medium">
        <color indexed="64"/>
      </top>
      <bottom style="medium">
        <color indexed="64"/>
      </bottom>
      <diagonal/>
    </border>
    <border>
      <left/>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top/>
      <bottom/>
      <diagonal/>
    </border>
    <border>
      <left/>
      <right style="medium">
        <color indexed="64"/>
      </right>
      <top/>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style="medium">
        <color indexed="64"/>
      </right>
      <top style="medium">
        <color indexed="64"/>
      </top>
      <bottom style="medium">
        <color indexed="64"/>
      </bottom>
      <diagonal/>
    </border>
    <border>
      <left style="medium">
        <color indexed="64"/>
      </left>
      <right/>
      <top style="thin">
        <color indexed="64"/>
      </top>
      <bottom style="thin">
        <color indexed="64"/>
      </bottom>
      <diagonal/>
    </border>
    <border>
      <left/>
      <right style="thin">
        <color indexed="64"/>
      </right>
      <top style="medium">
        <color indexed="64"/>
      </top>
      <bottom/>
      <diagonal/>
    </border>
    <border>
      <left style="thin">
        <color indexed="64"/>
      </left>
      <right/>
      <top style="medium">
        <color indexed="64"/>
      </top>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top style="thin">
        <color indexed="64"/>
      </top>
      <bottom/>
      <diagonal/>
    </border>
    <border>
      <left/>
      <right style="medium">
        <color indexed="64"/>
      </right>
      <top style="thin">
        <color indexed="64"/>
      </top>
      <bottom/>
      <diagonal/>
    </border>
    <border>
      <left style="thin">
        <color indexed="64"/>
      </left>
      <right/>
      <top/>
      <bottom/>
      <diagonal/>
    </border>
    <border>
      <left style="thin">
        <color indexed="64"/>
      </left>
      <right/>
      <top/>
      <bottom style="medium">
        <color indexed="64"/>
      </bottom>
      <diagonal/>
    </border>
  </borders>
  <cellStyleXfs count="4">
    <xf numFmtId="0" fontId="0" fillId="0" borderId="0"/>
    <xf numFmtId="0" fontId="6" fillId="0" borderId="0" applyNumberFormat="0" applyFill="0" applyBorder="0" applyAlignment="0" applyProtection="0"/>
    <xf numFmtId="9" fontId="2" fillId="0" borderId="0" applyFont="0" applyFill="0" applyBorder="0" applyAlignment="0" applyProtection="0"/>
    <xf numFmtId="43" fontId="2" fillId="0" borderId="0" applyFont="0" applyFill="0" applyBorder="0" applyAlignment="0" applyProtection="0"/>
  </cellStyleXfs>
  <cellXfs count="343">
    <xf numFmtId="0" fontId="0" fillId="0" borderId="0" xfId="0"/>
    <xf numFmtId="0" fontId="0" fillId="0" borderId="0" xfId="0" applyAlignment="1">
      <alignment horizontal="left" vertical="top" wrapText="1"/>
    </xf>
    <xf numFmtId="0" fontId="0" fillId="2" borderId="4" xfId="0" applyFill="1" applyBorder="1" applyAlignment="1">
      <alignment horizontal="left" vertical="top" wrapText="1"/>
    </xf>
    <xf numFmtId="0" fontId="0" fillId="0" borderId="0" xfId="0" applyAlignment="1">
      <alignment vertical="top" wrapText="1"/>
    </xf>
    <xf numFmtId="0" fontId="0" fillId="0" borderId="0" xfId="0" applyAlignment="1">
      <alignment vertical="top"/>
    </xf>
    <xf numFmtId="0" fontId="0" fillId="4" borderId="7" xfId="0" applyFill="1" applyBorder="1" applyAlignment="1">
      <alignment horizontal="left" vertical="top" wrapText="1"/>
    </xf>
    <xf numFmtId="0" fontId="0" fillId="2" borderId="1" xfId="0" applyFill="1" applyBorder="1" applyAlignment="1">
      <alignment horizontal="left" vertical="top" wrapText="1"/>
    </xf>
    <xf numFmtId="0" fontId="2" fillId="4" borderId="1" xfId="0" applyFont="1" applyFill="1" applyBorder="1" applyAlignment="1">
      <alignment horizontal="left" vertical="top" wrapText="1"/>
    </xf>
    <xf numFmtId="0" fontId="2" fillId="3" borderId="1" xfId="0" applyFont="1" applyFill="1" applyBorder="1" applyAlignment="1">
      <alignment horizontal="left" vertical="top" wrapText="1"/>
    </xf>
    <xf numFmtId="0" fontId="0" fillId="0" borderId="0" xfId="0" applyAlignment="1">
      <alignment horizontal="left" vertical="top"/>
    </xf>
    <xf numFmtId="9" fontId="0" fillId="0" borderId="0" xfId="2" applyFont="1" applyAlignment="1">
      <alignment horizontal="left" vertical="top"/>
    </xf>
    <xf numFmtId="0" fontId="0" fillId="0" borderId="1" xfId="0" applyBorder="1"/>
    <xf numFmtId="0" fontId="13" fillId="7" borderId="11" xfId="0" applyFont="1" applyFill="1" applyBorder="1"/>
    <xf numFmtId="0" fontId="13" fillId="7" borderId="34" xfId="0" applyFont="1" applyFill="1" applyBorder="1"/>
    <xf numFmtId="0" fontId="13" fillId="7" borderId="35" xfId="0" applyFont="1" applyFill="1" applyBorder="1"/>
    <xf numFmtId="0" fontId="0" fillId="0" borderId="4" xfId="0" applyBorder="1"/>
    <xf numFmtId="0" fontId="0" fillId="0" borderId="5" xfId="0" applyBorder="1"/>
    <xf numFmtId="0" fontId="0" fillId="0" borderId="7" xfId="0" applyBorder="1"/>
    <xf numFmtId="0" fontId="0" fillId="5" borderId="1" xfId="0" applyFill="1" applyBorder="1"/>
    <xf numFmtId="0" fontId="0" fillId="5" borderId="9" xfId="0" applyFill="1" applyBorder="1"/>
    <xf numFmtId="0" fontId="0" fillId="0" borderId="25" xfId="0" applyBorder="1"/>
    <xf numFmtId="0" fontId="0" fillId="0" borderId="29" xfId="0" applyBorder="1"/>
    <xf numFmtId="0" fontId="0" fillId="0" borderId="26" xfId="0" applyBorder="1"/>
    <xf numFmtId="0" fontId="0" fillId="0" borderId="40" xfId="0" applyBorder="1"/>
    <xf numFmtId="0" fontId="0" fillId="0" borderId="41" xfId="0" applyBorder="1"/>
    <xf numFmtId="0" fontId="0" fillId="0" borderId="31" xfId="0" applyBorder="1"/>
    <xf numFmtId="0" fontId="0" fillId="0" borderId="32" xfId="0" applyBorder="1"/>
    <xf numFmtId="0" fontId="0" fillId="0" borderId="33" xfId="0" applyBorder="1"/>
    <xf numFmtId="0" fontId="0" fillId="0" borderId="25" xfId="0" applyBorder="1" applyAlignment="1">
      <alignment vertical="top" wrapText="1"/>
    </xf>
    <xf numFmtId="0" fontId="5" fillId="0" borderId="22" xfId="0" applyFont="1" applyBorder="1" applyAlignment="1">
      <alignment vertical="top" wrapText="1"/>
    </xf>
    <xf numFmtId="0" fontId="2" fillId="0" borderId="22" xfId="0" applyFont="1" applyBorder="1" applyAlignment="1">
      <alignment vertical="top" wrapText="1"/>
    </xf>
    <xf numFmtId="0" fontId="13" fillId="8" borderId="0" xfId="0" applyFont="1" applyFill="1"/>
    <xf numFmtId="0" fontId="0" fillId="9" borderId="0" xfId="0" applyFill="1"/>
    <xf numFmtId="0" fontId="0" fillId="9" borderId="0" xfId="0" applyFill="1" applyAlignment="1">
      <alignment vertical="top"/>
    </xf>
    <xf numFmtId="0" fontId="0" fillId="6" borderId="40" xfId="0" applyFill="1" applyBorder="1"/>
    <xf numFmtId="0" fontId="0" fillId="6" borderId="41" xfId="0" applyFill="1" applyBorder="1"/>
    <xf numFmtId="0" fontId="0" fillId="6" borderId="33" xfId="0" applyFill="1" applyBorder="1"/>
    <xf numFmtId="0" fontId="0" fillId="6" borderId="40" xfId="0" applyFill="1" applyBorder="1" applyAlignment="1">
      <alignment horizontal="left" vertical="center" wrapText="1"/>
    </xf>
    <xf numFmtId="0" fontId="0" fillId="6" borderId="0" xfId="0" applyFill="1" applyAlignment="1">
      <alignment horizontal="left" vertical="center" wrapText="1"/>
    </xf>
    <xf numFmtId="0" fontId="6" fillId="6" borderId="0" xfId="1" applyFill="1" applyBorder="1" applyAlignment="1">
      <alignment horizontal="left" vertical="center" wrapText="1"/>
    </xf>
    <xf numFmtId="0" fontId="0" fillId="9" borderId="0" xfId="0" applyFill="1" applyAlignment="1">
      <alignment horizontal="left" vertical="center"/>
    </xf>
    <xf numFmtId="0" fontId="10" fillId="6" borderId="25" xfId="0" applyFont="1" applyFill="1" applyBorder="1" applyAlignment="1">
      <alignment horizontal="left" vertical="center"/>
    </xf>
    <xf numFmtId="0" fontId="10" fillId="6" borderId="29" xfId="0" applyFont="1" applyFill="1" applyBorder="1" applyAlignment="1">
      <alignment horizontal="left" vertical="center"/>
    </xf>
    <xf numFmtId="0" fontId="3" fillId="6" borderId="29" xfId="0" applyFont="1" applyFill="1" applyBorder="1" applyAlignment="1">
      <alignment horizontal="left" vertical="center"/>
    </xf>
    <xf numFmtId="0" fontId="0" fillId="6" borderId="29" xfId="0" applyFill="1" applyBorder="1" applyAlignment="1">
      <alignment horizontal="left" vertical="center"/>
    </xf>
    <xf numFmtId="0" fontId="0" fillId="6" borderId="26" xfId="0" applyFill="1" applyBorder="1" applyAlignment="1">
      <alignment horizontal="left" vertical="center"/>
    </xf>
    <xf numFmtId="0" fontId="0" fillId="6" borderId="40" xfId="0" applyFill="1" applyBorder="1" applyAlignment="1">
      <alignment horizontal="left" vertical="center"/>
    </xf>
    <xf numFmtId="0" fontId="0" fillId="6" borderId="0" xfId="0" applyFill="1" applyAlignment="1">
      <alignment horizontal="left" vertical="center"/>
    </xf>
    <xf numFmtId="0" fontId="0" fillId="6" borderId="41" xfId="0" applyFill="1" applyBorder="1" applyAlignment="1">
      <alignment horizontal="left" vertical="center"/>
    </xf>
    <xf numFmtId="0" fontId="5" fillId="6" borderId="40" xfId="0" applyFont="1" applyFill="1" applyBorder="1" applyAlignment="1">
      <alignment horizontal="left" vertical="center"/>
    </xf>
    <xf numFmtId="0" fontId="5" fillId="6" borderId="0" xfId="0" applyFont="1" applyFill="1" applyAlignment="1">
      <alignment horizontal="left" vertical="center"/>
    </xf>
    <xf numFmtId="0" fontId="5" fillId="4" borderId="25" xfId="0" applyFont="1" applyFill="1" applyBorder="1" applyAlignment="1">
      <alignment horizontal="left" vertical="center"/>
    </xf>
    <xf numFmtId="0" fontId="7" fillId="4" borderId="29" xfId="0" applyFont="1" applyFill="1" applyBorder="1" applyAlignment="1">
      <alignment horizontal="left" vertical="center"/>
    </xf>
    <xf numFmtId="0" fontId="0" fillId="4" borderId="29" xfId="0" applyFill="1" applyBorder="1" applyAlignment="1">
      <alignment horizontal="left" vertical="center"/>
    </xf>
    <xf numFmtId="0" fontId="0" fillId="4" borderId="26" xfId="0" applyFill="1" applyBorder="1" applyAlignment="1">
      <alignment horizontal="left" vertical="center"/>
    </xf>
    <xf numFmtId="0" fontId="0" fillId="4" borderId="40" xfId="0" applyFill="1" applyBorder="1" applyAlignment="1">
      <alignment horizontal="left" vertical="center"/>
    </xf>
    <xf numFmtId="0" fontId="0" fillId="4" borderId="0" xfId="0" applyFill="1" applyAlignment="1">
      <alignment horizontal="left" vertical="center"/>
    </xf>
    <xf numFmtId="0" fontId="0" fillId="4" borderId="41" xfId="0" applyFill="1" applyBorder="1" applyAlignment="1">
      <alignment horizontal="left" vertical="center"/>
    </xf>
    <xf numFmtId="0" fontId="8" fillId="4" borderId="0" xfId="0" applyFont="1" applyFill="1" applyAlignment="1">
      <alignment horizontal="left" vertical="center" wrapText="1"/>
    </xf>
    <xf numFmtId="0" fontId="3" fillId="4" borderId="0" xfId="0" applyFont="1" applyFill="1" applyAlignment="1">
      <alignment horizontal="left" vertical="center"/>
    </xf>
    <xf numFmtId="0" fontId="8" fillId="4" borderId="0" xfId="0" applyFont="1" applyFill="1" applyAlignment="1">
      <alignment horizontal="left" vertical="center"/>
    </xf>
    <xf numFmtId="0" fontId="0" fillId="6" borderId="6" xfId="0" applyFill="1" applyBorder="1" applyAlignment="1">
      <alignment horizontal="left" vertical="center"/>
    </xf>
    <xf numFmtId="0" fontId="0" fillId="6" borderId="16" xfId="0" applyFill="1" applyBorder="1" applyAlignment="1">
      <alignment horizontal="left" vertical="center"/>
    </xf>
    <xf numFmtId="0" fontId="0" fillId="6" borderId="1" xfId="0" applyFill="1" applyBorder="1" applyAlignment="1">
      <alignment horizontal="left" vertical="center" wrapText="1"/>
    </xf>
    <xf numFmtId="0" fontId="0" fillId="6" borderId="8" xfId="0" applyFill="1" applyBorder="1" applyAlignment="1">
      <alignment horizontal="left" vertical="center"/>
    </xf>
    <xf numFmtId="0" fontId="0" fillId="6" borderId="17" xfId="0" applyFill="1" applyBorder="1" applyAlignment="1">
      <alignment horizontal="left" vertical="center"/>
    </xf>
    <xf numFmtId="0" fontId="0" fillId="6" borderId="9" xfId="0" applyFill="1" applyBorder="1" applyAlignment="1">
      <alignment horizontal="left" vertical="center" wrapText="1"/>
    </xf>
    <xf numFmtId="0" fontId="0" fillId="6" borderId="32" xfId="0" applyFill="1" applyBorder="1" applyAlignment="1">
      <alignment horizontal="left" vertical="center"/>
    </xf>
    <xf numFmtId="0" fontId="0" fillId="6" borderId="31" xfId="0" applyFill="1" applyBorder="1" applyAlignment="1">
      <alignment horizontal="left" vertical="center"/>
    </xf>
    <xf numFmtId="0" fontId="0" fillId="6" borderId="33" xfId="0" applyFill="1" applyBorder="1" applyAlignment="1">
      <alignment horizontal="left" vertical="center"/>
    </xf>
    <xf numFmtId="0" fontId="0" fillId="6" borderId="10" xfId="0" applyFill="1" applyBorder="1" applyAlignment="1">
      <alignment horizontal="left" vertical="center"/>
    </xf>
    <xf numFmtId="43" fontId="0" fillId="6" borderId="9" xfId="0" applyNumberFormat="1" applyFill="1" applyBorder="1" applyAlignment="1">
      <alignment horizontal="left" vertical="center"/>
    </xf>
    <xf numFmtId="0" fontId="0" fillId="6" borderId="12" xfId="0" applyFill="1" applyBorder="1" applyAlignment="1">
      <alignment horizontal="left" vertical="center"/>
    </xf>
    <xf numFmtId="0" fontId="0" fillId="6" borderId="38" xfId="0" applyFill="1" applyBorder="1" applyAlignment="1">
      <alignment horizontal="left" vertical="center"/>
    </xf>
    <xf numFmtId="0" fontId="0" fillId="6" borderId="42" xfId="0" applyFill="1" applyBorder="1" applyAlignment="1">
      <alignment horizontal="left" vertical="center"/>
    </xf>
    <xf numFmtId="0" fontId="0" fillId="6" borderId="43" xfId="0" applyFill="1" applyBorder="1" applyAlignment="1">
      <alignment horizontal="left" vertical="center"/>
    </xf>
    <xf numFmtId="0" fontId="0" fillId="6" borderId="13" xfId="0" applyFill="1" applyBorder="1" applyAlignment="1">
      <alignment horizontal="left" vertical="center"/>
    </xf>
    <xf numFmtId="0" fontId="14" fillId="6" borderId="34" xfId="0" applyFont="1" applyFill="1" applyBorder="1" applyAlignment="1">
      <alignment horizontal="left" vertical="center"/>
    </xf>
    <xf numFmtId="0" fontId="14" fillId="6" borderId="35" xfId="0" applyFont="1" applyFill="1" applyBorder="1" applyAlignment="1">
      <alignment horizontal="left" vertical="center"/>
    </xf>
    <xf numFmtId="9" fontId="0" fillId="6" borderId="0" xfId="2" applyFont="1" applyFill="1" applyBorder="1" applyAlignment="1">
      <alignment horizontal="left" vertical="center"/>
    </xf>
    <xf numFmtId="0" fontId="12" fillId="6" borderId="5" xfId="0" applyFont="1" applyFill="1" applyBorder="1" applyAlignment="1">
      <alignment horizontal="left" vertical="center"/>
    </xf>
    <xf numFmtId="43" fontId="0" fillId="6" borderId="42" xfId="0" applyNumberFormat="1" applyFill="1" applyBorder="1" applyAlignment="1">
      <alignment horizontal="left" vertical="center"/>
    </xf>
    <xf numFmtId="0" fontId="0" fillId="6" borderId="1" xfId="0" applyFill="1" applyBorder="1" applyAlignment="1">
      <alignment horizontal="left" vertical="center"/>
    </xf>
    <xf numFmtId="0" fontId="0" fillId="6" borderId="4" xfId="0" applyFill="1" applyBorder="1" applyAlignment="1">
      <alignment horizontal="left" vertical="center"/>
    </xf>
    <xf numFmtId="0" fontId="0" fillId="6" borderId="9" xfId="0" applyFill="1" applyBorder="1" applyAlignment="1">
      <alignment horizontal="left" vertical="center"/>
    </xf>
    <xf numFmtId="0" fontId="0" fillId="6" borderId="3" xfId="0" applyFill="1" applyBorder="1" applyAlignment="1">
      <alignment horizontal="left" vertical="center"/>
    </xf>
    <xf numFmtId="0" fontId="0" fillId="6" borderId="0" xfId="0" applyFill="1"/>
    <xf numFmtId="0" fontId="17" fillId="10" borderId="25" xfId="1" applyFont="1" applyFill="1" applyBorder="1" applyAlignment="1">
      <alignment horizontal="left" vertical="center"/>
    </xf>
    <xf numFmtId="0" fontId="17" fillId="10" borderId="29" xfId="1" applyFont="1" applyFill="1" applyBorder="1" applyAlignment="1">
      <alignment horizontal="left" vertical="center"/>
    </xf>
    <xf numFmtId="0" fontId="18" fillId="10" borderId="29" xfId="0" applyFont="1" applyFill="1" applyBorder="1" applyAlignment="1">
      <alignment horizontal="left" vertical="center"/>
    </xf>
    <xf numFmtId="0" fontId="18" fillId="10" borderId="26" xfId="0" applyFont="1" applyFill="1" applyBorder="1" applyAlignment="1">
      <alignment horizontal="left" vertical="center"/>
    </xf>
    <xf numFmtId="0" fontId="18" fillId="10" borderId="31" xfId="0" applyFont="1" applyFill="1" applyBorder="1" applyAlignment="1">
      <alignment horizontal="left" vertical="center"/>
    </xf>
    <xf numFmtId="0" fontId="18" fillId="10" borderId="32" xfId="0" applyFont="1" applyFill="1" applyBorder="1" applyAlignment="1">
      <alignment horizontal="left" vertical="center"/>
    </xf>
    <xf numFmtId="0" fontId="18" fillId="10" borderId="33" xfId="0" applyFont="1" applyFill="1" applyBorder="1" applyAlignment="1">
      <alignment horizontal="left" vertical="center"/>
    </xf>
    <xf numFmtId="0" fontId="5" fillId="6" borderId="40" xfId="0" applyFont="1" applyFill="1" applyBorder="1"/>
    <xf numFmtId="0" fontId="5" fillId="6" borderId="0" xfId="0" applyFont="1" applyFill="1"/>
    <xf numFmtId="0" fontId="16" fillId="6" borderId="40" xfId="0" applyFont="1" applyFill="1" applyBorder="1"/>
    <xf numFmtId="0" fontId="0" fillId="6" borderId="31" xfId="0" applyFill="1" applyBorder="1"/>
    <xf numFmtId="0" fontId="0" fillId="6" borderId="32" xfId="0" applyFill="1" applyBorder="1"/>
    <xf numFmtId="0" fontId="19" fillId="9" borderId="0" xfId="0" applyFont="1" applyFill="1"/>
    <xf numFmtId="0" fontId="20" fillId="9" borderId="0" xfId="0" applyFont="1" applyFill="1"/>
    <xf numFmtId="0" fontId="20" fillId="9" borderId="0" xfId="0" applyFont="1" applyFill="1" applyAlignment="1">
      <alignment wrapText="1"/>
    </xf>
    <xf numFmtId="0" fontId="20" fillId="6" borderId="42" xfId="0" applyFont="1" applyFill="1" applyBorder="1" applyAlignment="1">
      <alignment horizontal="left" vertical="top" wrapText="1"/>
    </xf>
    <xf numFmtId="0" fontId="20" fillId="6" borderId="43" xfId="0" applyFont="1" applyFill="1" applyBorder="1" applyAlignment="1">
      <alignment horizontal="left" vertical="top" wrapText="1"/>
    </xf>
    <xf numFmtId="0" fontId="20" fillId="6" borderId="1" xfId="0" applyFont="1" applyFill="1" applyBorder="1" applyAlignment="1">
      <alignment horizontal="left" vertical="top" wrapText="1"/>
    </xf>
    <xf numFmtId="0" fontId="20" fillId="6" borderId="7" xfId="0" applyFont="1" applyFill="1" applyBorder="1" applyAlignment="1">
      <alignment horizontal="left" vertical="top" wrapText="1"/>
    </xf>
    <xf numFmtId="0" fontId="20" fillId="6" borderId="9" xfId="0" applyFont="1" applyFill="1" applyBorder="1" applyAlignment="1">
      <alignment horizontal="left" vertical="top" wrapText="1"/>
    </xf>
    <xf numFmtId="0" fontId="20" fillId="6" borderId="10" xfId="0" applyFont="1" applyFill="1" applyBorder="1" applyAlignment="1">
      <alignment horizontal="left" vertical="top" wrapText="1"/>
    </xf>
    <xf numFmtId="0" fontId="21" fillId="6" borderId="13" xfId="0" applyFont="1" applyFill="1" applyBorder="1" applyAlignment="1">
      <alignment horizontal="left" vertical="top" wrapText="1"/>
    </xf>
    <xf numFmtId="0" fontId="21" fillId="6" borderId="6" xfId="0" applyFont="1" applyFill="1" applyBorder="1" applyAlignment="1">
      <alignment horizontal="left" vertical="top" wrapText="1"/>
    </xf>
    <xf numFmtId="0" fontId="21" fillId="6" borderId="8" xfId="0" applyFont="1" applyFill="1" applyBorder="1" applyAlignment="1">
      <alignment horizontal="left" vertical="top" wrapText="1"/>
    </xf>
    <xf numFmtId="0" fontId="18" fillId="9" borderId="0" xfId="0" applyFont="1" applyFill="1"/>
    <xf numFmtId="0" fontId="14" fillId="11" borderId="34" xfId="0" applyFont="1" applyFill="1" applyBorder="1" applyAlignment="1">
      <alignment horizontal="left" vertical="center"/>
    </xf>
    <xf numFmtId="0" fontId="14" fillId="11" borderId="35" xfId="0" applyFont="1" applyFill="1" applyBorder="1" applyAlignment="1">
      <alignment horizontal="left" vertical="center"/>
    </xf>
    <xf numFmtId="0" fontId="15" fillId="12" borderId="14" xfId="0" applyFont="1" applyFill="1" applyBorder="1" applyAlignment="1">
      <alignment horizontal="left" vertical="center" textRotation="60"/>
    </xf>
    <xf numFmtId="0" fontId="15" fillId="11" borderId="11" xfId="0" applyFont="1" applyFill="1" applyBorder="1" applyAlignment="1">
      <alignment horizontal="left" vertical="center"/>
    </xf>
    <xf numFmtId="0" fontId="15" fillId="11" borderId="34" xfId="0" applyFont="1" applyFill="1" applyBorder="1" applyAlignment="1">
      <alignment horizontal="left" vertical="center"/>
    </xf>
    <xf numFmtId="0" fontId="15" fillId="11" borderId="35" xfId="0" applyFont="1" applyFill="1" applyBorder="1" applyAlignment="1">
      <alignment horizontal="left" vertical="center"/>
    </xf>
    <xf numFmtId="0" fontId="16" fillId="12" borderId="2" xfId="0" applyFont="1" applyFill="1" applyBorder="1" applyAlignment="1">
      <alignment vertical="center" wrapText="1"/>
    </xf>
    <xf numFmtId="0" fontId="16" fillId="12" borderId="44" xfId="0" applyFont="1" applyFill="1" applyBorder="1" applyAlignment="1">
      <alignment vertical="center" wrapText="1"/>
    </xf>
    <xf numFmtId="0" fontId="19" fillId="9" borderId="0" xfId="0" applyFont="1" applyFill="1" applyAlignment="1">
      <alignment horizontal="left" vertical="center"/>
    </xf>
    <xf numFmtId="0" fontId="19" fillId="9" borderId="0" xfId="0" applyFont="1" applyFill="1" applyAlignment="1">
      <alignment horizontal="right" vertical="center"/>
    </xf>
    <xf numFmtId="0" fontId="19" fillId="9" borderId="0" xfId="0" applyFont="1" applyFill="1" applyAlignment="1">
      <alignment horizontal="right"/>
    </xf>
    <xf numFmtId="0" fontId="11" fillId="9" borderId="0" xfId="0" applyFont="1" applyFill="1" applyAlignment="1">
      <alignment vertical="center" wrapText="1"/>
    </xf>
    <xf numFmtId="0" fontId="20" fillId="6" borderId="0" xfId="0" applyFont="1" applyFill="1" applyAlignment="1">
      <alignment horizontal="left" vertical="center" wrapText="1"/>
    </xf>
    <xf numFmtId="0" fontId="3" fillId="9" borderId="0" xfId="0" applyFont="1" applyFill="1" applyAlignment="1">
      <alignment horizontal="left" vertical="center"/>
    </xf>
    <xf numFmtId="0" fontId="0" fillId="6" borderId="0" xfId="0" applyFill="1" applyAlignment="1">
      <alignment vertical="top"/>
    </xf>
    <xf numFmtId="0" fontId="3" fillId="6" borderId="40" xfId="0" applyFont="1" applyFill="1" applyBorder="1" applyAlignment="1">
      <alignment horizontal="left" vertical="center"/>
    </xf>
    <xf numFmtId="0" fontId="3" fillId="6" borderId="31" xfId="0" applyFont="1" applyFill="1" applyBorder="1" applyAlignment="1">
      <alignment horizontal="left" vertical="center"/>
    </xf>
    <xf numFmtId="17" fontId="0" fillId="6" borderId="32" xfId="0" applyNumberFormat="1" applyFill="1" applyBorder="1" applyAlignment="1">
      <alignment horizontal="left" vertical="top"/>
    </xf>
    <xf numFmtId="0" fontId="5" fillId="6" borderId="40" xfId="0" applyFont="1" applyFill="1" applyBorder="1" applyAlignment="1">
      <alignment horizontal="left" vertical="center" wrapText="1"/>
    </xf>
    <xf numFmtId="0" fontId="0" fillId="6" borderId="0" xfId="0" applyFill="1" applyAlignment="1">
      <alignment vertical="center" wrapText="1"/>
    </xf>
    <xf numFmtId="0" fontId="0" fillId="4" borderId="5" xfId="0" applyFill="1" applyBorder="1" applyAlignment="1">
      <alignment horizontal="left" vertical="top" wrapText="1"/>
    </xf>
    <xf numFmtId="0" fontId="0" fillId="4" borderId="10" xfId="0" applyFill="1" applyBorder="1" applyAlignment="1">
      <alignment horizontal="left" vertical="top" wrapText="1"/>
    </xf>
    <xf numFmtId="0" fontId="5" fillId="0" borderId="14" xfId="0" applyFont="1" applyBorder="1" applyAlignment="1">
      <alignment horizontal="left" vertical="top" wrapText="1"/>
    </xf>
    <xf numFmtId="0" fontId="5" fillId="0" borderId="46" xfId="0" applyFont="1" applyBorder="1" applyAlignment="1">
      <alignment horizontal="left" vertical="top" wrapText="1"/>
    </xf>
    <xf numFmtId="0" fontId="5" fillId="0" borderId="47" xfId="0" applyFont="1" applyBorder="1" applyAlignment="1">
      <alignment horizontal="left" vertical="top" wrapText="1"/>
    </xf>
    <xf numFmtId="0" fontId="5" fillId="0" borderId="48" xfId="0" applyFont="1" applyBorder="1" applyAlignment="1">
      <alignment horizontal="left" vertical="top" wrapText="1"/>
    </xf>
    <xf numFmtId="0" fontId="5" fillId="0" borderId="49" xfId="0" applyFont="1" applyBorder="1" applyAlignment="1">
      <alignment horizontal="left" vertical="top" wrapText="1"/>
    </xf>
    <xf numFmtId="0" fontId="2" fillId="2" borderId="1" xfId="0" applyFont="1" applyFill="1" applyBorder="1" applyAlignment="1">
      <alignment horizontal="left" vertical="top" wrapText="1"/>
    </xf>
    <xf numFmtId="0" fontId="0" fillId="3" borderId="1" xfId="0" applyFill="1" applyBorder="1" applyAlignment="1">
      <alignment horizontal="left" vertical="top" wrapText="1"/>
    </xf>
    <xf numFmtId="0" fontId="2" fillId="0" borderId="3" xfId="0" applyFont="1" applyBorder="1" applyAlignment="1">
      <alignment horizontal="left" vertical="top" wrapText="1"/>
    </xf>
    <xf numFmtId="0" fontId="2" fillId="2" borderId="4" xfId="0" applyFont="1" applyFill="1" applyBorder="1" applyAlignment="1">
      <alignment horizontal="left" vertical="top" wrapText="1"/>
    </xf>
    <xf numFmtId="0" fontId="2" fillId="3" borderId="4" xfId="0" applyFont="1" applyFill="1" applyBorder="1" applyAlignment="1">
      <alignment horizontal="left" vertical="top" wrapText="1"/>
    </xf>
    <xf numFmtId="0" fontId="0" fillId="3" borderId="4" xfId="0" applyFill="1" applyBorder="1" applyAlignment="1">
      <alignment horizontal="left" vertical="top" wrapText="1"/>
    </xf>
    <xf numFmtId="0" fontId="2" fillId="4" borderId="4" xfId="0" applyFont="1" applyFill="1" applyBorder="1" applyAlignment="1">
      <alignment horizontal="left" vertical="top" wrapText="1"/>
    </xf>
    <xf numFmtId="0" fontId="2" fillId="0" borderId="6" xfId="0" applyFont="1" applyBorder="1" applyAlignment="1">
      <alignment horizontal="left" vertical="top" wrapText="1"/>
    </xf>
    <xf numFmtId="0" fontId="0" fillId="0" borderId="6" xfId="0" applyBorder="1" applyAlignment="1">
      <alignment horizontal="left" vertical="top" wrapText="1"/>
    </xf>
    <xf numFmtId="0" fontId="2" fillId="0" borderId="6" xfId="0" applyFont="1" applyBorder="1" applyAlignment="1">
      <alignment vertical="top" wrapText="1"/>
    </xf>
    <xf numFmtId="0" fontId="2" fillId="0" borderId="8" xfId="0" applyFont="1" applyBorder="1" applyAlignment="1">
      <alignment vertical="top" wrapText="1"/>
    </xf>
    <xf numFmtId="0" fontId="2" fillId="2" borderId="9" xfId="0" applyFont="1" applyFill="1" applyBorder="1" applyAlignment="1">
      <alignment horizontal="left" vertical="top" wrapText="1"/>
    </xf>
    <xf numFmtId="0" fontId="0" fillId="2" borderId="9" xfId="0" applyFill="1" applyBorder="1" applyAlignment="1">
      <alignment horizontal="left" vertical="top" wrapText="1"/>
    </xf>
    <xf numFmtId="0" fontId="2" fillId="3" borderId="9" xfId="0" applyFont="1" applyFill="1" applyBorder="1" applyAlignment="1">
      <alignment horizontal="left" vertical="top" wrapText="1"/>
    </xf>
    <xf numFmtId="0" fontId="0" fillId="3" borderId="9" xfId="0" applyFill="1" applyBorder="1" applyAlignment="1">
      <alignment horizontal="left" vertical="top" wrapText="1"/>
    </xf>
    <xf numFmtId="0" fontId="2" fillId="4" borderId="9" xfId="0" applyFont="1" applyFill="1" applyBorder="1" applyAlignment="1">
      <alignment horizontal="left" vertical="top" wrapText="1"/>
    </xf>
    <xf numFmtId="0" fontId="26" fillId="13" borderId="0" xfId="0" applyFont="1" applyFill="1" applyAlignment="1">
      <alignment horizontal="center" vertical="center"/>
    </xf>
    <xf numFmtId="0" fontId="1" fillId="4" borderId="29" xfId="0" applyFont="1" applyFill="1" applyBorder="1" applyAlignment="1">
      <alignment horizontal="left" vertical="center"/>
    </xf>
    <xf numFmtId="0" fontId="0" fillId="0" borderId="40" xfId="0" applyBorder="1" applyAlignment="1">
      <alignment vertical="top" wrapText="1"/>
    </xf>
    <xf numFmtId="0" fontId="10" fillId="6" borderId="22" xfId="0" applyFont="1" applyFill="1" applyBorder="1" applyAlignment="1">
      <alignment horizontal="left" vertical="center"/>
    </xf>
    <xf numFmtId="0" fontId="10" fillId="6" borderId="36" xfId="0" applyFont="1" applyFill="1" applyBorder="1" applyAlignment="1">
      <alignment horizontal="left" vertical="center"/>
    </xf>
    <xf numFmtId="0" fontId="19" fillId="9" borderId="0" xfId="0" applyFont="1" applyFill="1" applyAlignment="1">
      <alignment horizontal="center" vertical="center"/>
    </xf>
    <xf numFmtId="0" fontId="6" fillId="6" borderId="41" xfId="1" applyFill="1" applyBorder="1" applyAlignment="1">
      <alignment horizontal="left" vertical="center" wrapText="1"/>
    </xf>
    <xf numFmtId="0" fontId="16" fillId="6" borderId="0" xfId="0" applyFont="1" applyFill="1"/>
    <xf numFmtId="0" fontId="0" fillId="6" borderId="22" xfId="0" applyFill="1" applyBorder="1"/>
    <xf numFmtId="0" fontId="0" fillId="6" borderId="36" xfId="0" applyFill="1" applyBorder="1"/>
    <xf numFmtId="0" fontId="0" fillId="6" borderId="44" xfId="0" applyFill="1" applyBorder="1"/>
    <xf numFmtId="0" fontId="3" fillId="6" borderId="26" xfId="0" applyFont="1" applyFill="1" applyBorder="1" applyAlignment="1">
      <alignment horizontal="left" vertical="center"/>
    </xf>
    <xf numFmtId="0" fontId="3" fillId="6" borderId="36" xfId="0" applyFont="1" applyFill="1" applyBorder="1" applyAlignment="1">
      <alignment horizontal="left" vertical="center"/>
    </xf>
    <xf numFmtId="0" fontId="3" fillId="6" borderId="44" xfId="0" applyFont="1" applyFill="1" applyBorder="1" applyAlignment="1">
      <alignment horizontal="left" vertical="center"/>
    </xf>
    <xf numFmtId="0" fontId="12" fillId="6" borderId="7" xfId="0" applyFont="1" applyFill="1" applyBorder="1" applyAlignment="1">
      <alignment horizontal="left" vertical="center"/>
    </xf>
    <xf numFmtId="0" fontId="28" fillId="6" borderId="0" xfId="0" applyFont="1" applyFill="1" applyAlignment="1">
      <alignment wrapText="1"/>
    </xf>
    <xf numFmtId="0" fontId="28" fillId="6" borderId="0" xfId="0" applyFont="1" applyFill="1" applyAlignment="1">
      <alignment horizontal="left" vertical="center" wrapText="1"/>
    </xf>
    <xf numFmtId="0" fontId="28" fillId="6" borderId="41" xfId="0" applyFont="1" applyFill="1" applyBorder="1" applyAlignment="1">
      <alignment horizontal="left" vertical="center" wrapText="1"/>
    </xf>
    <xf numFmtId="164" fontId="12" fillId="6" borderId="4" xfId="3" applyNumberFormat="1" applyFont="1" applyFill="1" applyBorder="1" applyAlignment="1">
      <alignment horizontal="left" vertical="center"/>
    </xf>
    <xf numFmtId="0" fontId="12" fillId="6" borderId="9" xfId="0" applyFont="1" applyFill="1" applyBorder="1" applyAlignment="1">
      <alignment horizontal="left" vertical="center"/>
    </xf>
    <xf numFmtId="9" fontId="12" fillId="6" borderId="9" xfId="2" applyFont="1" applyFill="1" applyBorder="1" applyAlignment="1">
      <alignment horizontal="left" vertical="center"/>
    </xf>
    <xf numFmtId="0" fontId="12" fillId="6" borderId="0" xfId="0" applyFont="1" applyFill="1" applyAlignment="1">
      <alignment horizontal="left" vertical="center"/>
    </xf>
    <xf numFmtId="0" fontId="12" fillId="6" borderId="3" xfId="0" applyFont="1" applyFill="1" applyBorder="1" applyAlignment="1">
      <alignment horizontal="left" vertical="center"/>
    </xf>
    <xf numFmtId="0" fontId="12" fillId="6" borderId="6" xfId="0" applyFont="1" applyFill="1" applyBorder="1" applyAlignment="1">
      <alignment horizontal="left" vertical="center"/>
    </xf>
    <xf numFmtId="0" fontId="12" fillId="6" borderId="8" xfId="0" applyFont="1" applyFill="1" applyBorder="1" applyAlignment="1">
      <alignment horizontal="left" vertical="center"/>
    </xf>
    <xf numFmtId="0" fontId="12" fillId="6" borderId="42" xfId="0" applyFont="1" applyFill="1" applyBorder="1" applyAlignment="1">
      <alignment horizontal="left" vertical="center"/>
    </xf>
    <xf numFmtId="0" fontId="12" fillId="6" borderId="1" xfId="0" applyFont="1" applyFill="1" applyBorder="1" applyAlignment="1">
      <alignment horizontal="left" vertical="center"/>
    </xf>
    <xf numFmtId="0" fontId="12" fillId="6" borderId="38" xfId="0" applyFont="1" applyFill="1" applyBorder="1" applyAlignment="1">
      <alignment horizontal="left" vertical="center"/>
    </xf>
    <xf numFmtId="0" fontId="14" fillId="6" borderId="11" xfId="0" applyFont="1" applyFill="1" applyBorder="1" applyAlignment="1">
      <alignment horizontal="left" vertical="center"/>
    </xf>
    <xf numFmtId="0" fontId="12" fillId="6" borderId="4" xfId="0" applyFont="1" applyFill="1" applyBorder="1" applyAlignment="1">
      <alignment horizontal="left" vertical="center"/>
    </xf>
    <xf numFmtId="164" fontId="12" fillId="6" borderId="5" xfId="3" applyNumberFormat="1" applyFont="1" applyFill="1" applyBorder="1" applyAlignment="1">
      <alignment horizontal="left" vertical="center"/>
    </xf>
    <xf numFmtId="0" fontId="12" fillId="6" borderId="10" xfId="0" applyFont="1" applyFill="1" applyBorder="1" applyAlignment="1">
      <alignment horizontal="left" vertical="center"/>
    </xf>
    <xf numFmtId="0" fontId="12" fillId="6" borderId="43" xfId="0" applyFont="1" applyFill="1" applyBorder="1" applyAlignment="1">
      <alignment horizontal="left" vertical="center"/>
    </xf>
    <xf numFmtId="0" fontId="12" fillId="6" borderId="39" xfId="0" applyFont="1" applyFill="1" applyBorder="1" applyAlignment="1">
      <alignment horizontal="left" vertical="center"/>
    </xf>
    <xf numFmtId="0" fontId="5" fillId="4" borderId="40" xfId="0" applyFont="1" applyFill="1" applyBorder="1" applyAlignment="1">
      <alignment horizontal="left" vertical="center"/>
    </xf>
    <xf numFmtId="0" fontId="7" fillId="4" borderId="0" xfId="0" applyFont="1" applyFill="1" applyAlignment="1">
      <alignment horizontal="left" vertical="center"/>
    </xf>
    <xf numFmtId="0" fontId="1" fillId="4" borderId="0" xfId="0" applyFont="1" applyFill="1" applyAlignment="1">
      <alignment horizontal="left" vertical="center"/>
    </xf>
    <xf numFmtId="0" fontId="0" fillId="6" borderId="25" xfId="0" applyFill="1" applyBorder="1"/>
    <xf numFmtId="0" fontId="0" fillId="6" borderId="29" xfId="0" applyFill="1" applyBorder="1"/>
    <xf numFmtId="0" fontId="0" fillId="6" borderId="26" xfId="0" applyFill="1" applyBorder="1"/>
    <xf numFmtId="0" fontId="0" fillId="6" borderId="25" xfId="0" applyFill="1" applyBorder="1" applyAlignment="1">
      <alignment horizontal="left" vertical="center"/>
    </xf>
    <xf numFmtId="0" fontId="21" fillId="6" borderId="0" xfId="0" applyFont="1" applyFill="1" applyAlignment="1">
      <alignment horizontal="left" vertical="center"/>
    </xf>
    <xf numFmtId="2" fontId="0" fillId="6" borderId="0" xfId="0" applyNumberFormat="1" applyFill="1" applyAlignment="1">
      <alignment horizontal="left" vertical="center"/>
    </xf>
    <xf numFmtId="0" fontId="0" fillId="6" borderId="15" xfId="0" applyFill="1" applyBorder="1" applyAlignment="1">
      <alignment horizontal="left" vertical="center"/>
    </xf>
    <xf numFmtId="0" fontId="0" fillId="6" borderId="4" xfId="0" applyFill="1" applyBorder="1" applyAlignment="1">
      <alignment horizontal="left" vertical="center" wrapText="1"/>
    </xf>
    <xf numFmtId="0" fontId="12" fillId="15" borderId="9" xfId="0" applyFont="1" applyFill="1" applyBorder="1" applyAlignment="1">
      <alignment horizontal="left" vertical="center"/>
    </xf>
    <xf numFmtId="0" fontId="23" fillId="4" borderId="22" xfId="0" applyFont="1" applyFill="1" applyBorder="1" applyAlignment="1">
      <alignment horizontal="center" vertical="center" wrapText="1"/>
    </xf>
    <xf numFmtId="0" fontId="23" fillId="4" borderId="36" xfId="0" applyFont="1" applyFill="1" applyBorder="1" applyAlignment="1">
      <alignment horizontal="center" vertical="center" wrapText="1"/>
    </xf>
    <xf numFmtId="0" fontId="23" fillId="4" borderId="44" xfId="0" applyFont="1" applyFill="1" applyBorder="1" applyAlignment="1">
      <alignment horizontal="center" vertical="center" wrapText="1"/>
    </xf>
    <xf numFmtId="0" fontId="5" fillId="4" borderId="22" xfId="0" applyFont="1" applyFill="1" applyBorder="1" applyAlignment="1">
      <alignment horizontal="center" vertical="center"/>
    </xf>
    <xf numFmtId="0" fontId="5" fillId="4" borderId="36" xfId="0" applyFont="1" applyFill="1" applyBorder="1" applyAlignment="1">
      <alignment horizontal="center" vertical="center"/>
    </xf>
    <xf numFmtId="0" fontId="5" fillId="4" borderId="44" xfId="0" applyFont="1" applyFill="1" applyBorder="1" applyAlignment="1">
      <alignment horizontal="center" vertical="center"/>
    </xf>
    <xf numFmtId="0" fontId="24" fillId="9" borderId="29" xfId="0" applyFont="1" applyFill="1" applyBorder="1" applyAlignment="1">
      <alignment horizontal="center" vertical="center" wrapText="1"/>
    </xf>
    <xf numFmtId="0" fontId="0" fillId="0" borderId="18" xfId="0" applyFill="1" applyBorder="1" applyAlignment="1">
      <alignment horizontal="center" vertical="center" wrapText="1"/>
    </xf>
    <xf numFmtId="0" fontId="0" fillId="0" borderId="52" xfId="0" applyFill="1" applyBorder="1" applyAlignment="1">
      <alignment horizontal="center" vertical="center" wrapText="1"/>
    </xf>
    <xf numFmtId="0" fontId="0" fillId="0" borderId="53" xfId="0" applyFill="1" applyBorder="1" applyAlignment="1">
      <alignment horizontal="center" vertical="center" wrapText="1"/>
    </xf>
    <xf numFmtId="0" fontId="0" fillId="0" borderId="54" xfId="0" applyFill="1" applyBorder="1" applyAlignment="1">
      <alignment horizontal="center" vertical="center" wrapText="1"/>
    </xf>
    <xf numFmtId="0" fontId="0" fillId="0" borderId="0" xfId="0" applyFill="1" applyAlignment="1">
      <alignment horizontal="center" vertical="center" wrapText="1"/>
    </xf>
    <xf numFmtId="0" fontId="0" fillId="0" borderId="41" xfId="0" applyFill="1" applyBorder="1" applyAlignment="1">
      <alignment horizontal="center" vertical="center" wrapText="1"/>
    </xf>
    <xf numFmtId="0" fontId="0" fillId="0" borderId="55" xfId="0" applyFill="1" applyBorder="1" applyAlignment="1">
      <alignment horizontal="center" vertical="center" wrapText="1"/>
    </xf>
    <xf numFmtId="0" fontId="0" fillId="0" borderId="32" xfId="0" applyFill="1" applyBorder="1" applyAlignment="1">
      <alignment horizontal="center" vertical="center" wrapText="1"/>
    </xf>
    <xf numFmtId="0" fontId="0" fillId="0" borderId="33" xfId="0" applyFill="1" applyBorder="1" applyAlignment="1">
      <alignment horizontal="center" vertical="center" wrapText="1"/>
    </xf>
    <xf numFmtId="0" fontId="26" fillId="9" borderId="0" xfId="0" applyFont="1" applyFill="1" applyAlignment="1">
      <alignment horizontal="center" vertical="center"/>
    </xf>
    <xf numFmtId="0" fontId="11" fillId="4" borderId="22" xfId="0" applyFont="1" applyFill="1" applyBorder="1" applyAlignment="1">
      <alignment horizontal="left" vertical="center" wrapText="1"/>
    </xf>
    <xf numFmtId="0" fontId="11" fillId="4" borderId="36" xfId="0" applyFont="1" applyFill="1" applyBorder="1" applyAlignment="1">
      <alignment horizontal="left" vertical="center" wrapText="1"/>
    </xf>
    <xf numFmtId="0" fontId="11" fillId="4" borderId="44" xfId="0" applyFont="1" applyFill="1" applyBorder="1" applyAlignment="1">
      <alignment horizontal="left" vertical="center" wrapText="1"/>
    </xf>
    <xf numFmtId="0" fontId="0" fillId="6" borderId="17" xfId="0" applyFill="1" applyBorder="1" applyAlignment="1">
      <alignment horizontal="left" vertical="center" wrapText="1"/>
    </xf>
    <xf numFmtId="0" fontId="0" fillId="6" borderId="37" xfId="0" applyFill="1" applyBorder="1" applyAlignment="1">
      <alignment horizontal="left" vertical="center" wrapText="1"/>
    </xf>
    <xf numFmtId="0" fontId="0" fillId="6" borderId="21" xfId="0" applyFill="1" applyBorder="1" applyAlignment="1">
      <alignment horizontal="left" vertical="center" wrapText="1"/>
    </xf>
    <xf numFmtId="0" fontId="0" fillId="6" borderId="16" xfId="0" applyFill="1" applyBorder="1" applyAlignment="1">
      <alignment horizontal="left" vertical="center" wrapText="1"/>
    </xf>
    <xf numFmtId="0" fontId="0" fillId="6" borderId="28" xfId="0" applyFill="1" applyBorder="1" applyAlignment="1">
      <alignment horizontal="left" vertical="center" wrapText="1"/>
    </xf>
    <xf numFmtId="0" fontId="0" fillId="6" borderId="19" xfId="0" applyFill="1" applyBorder="1" applyAlignment="1">
      <alignment horizontal="left" vertical="center" wrapText="1"/>
    </xf>
    <xf numFmtId="0" fontId="0" fillId="6" borderId="45" xfId="0" applyFill="1" applyBorder="1" applyAlignment="1">
      <alignment horizontal="left" vertical="center" wrapText="1"/>
    </xf>
    <xf numFmtId="0" fontId="0" fillId="6" borderId="40" xfId="0" applyFill="1" applyBorder="1" applyAlignment="1">
      <alignment horizontal="left" vertical="top" wrapText="1"/>
    </xf>
    <xf numFmtId="0" fontId="0" fillId="6" borderId="0" xfId="0" applyFill="1" applyAlignment="1">
      <alignment horizontal="left" vertical="top" wrapText="1"/>
    </xf>
    <xf numFmtId="0" fontId="25" fillId="6" borderId="40" xfId="0" applyFont="1" applyFill="1" applyBorder="1" applyAlignment="1">
      <alignment horizontal="left" vertical="top" wrapText="1"/>
    </xf>
    <xf numFmtId="0" fontId="25" fillId="6" borderId="0" xfId="0" applyFont="1" applyFill="1" applyAlignment="1">
      <alignment horizontal="left" vertical="top" wrapText="1"/>
    </xf>
    <xf numFmtId="0" fontId="3" fillId="6" borderId="45" xfId="0" applyFont="1" applyFill="1" applyBorder="1" applyAlignment="1">
      <alignment horizontal="left" vertical="center"/>
    </xf>
    <xf numFmtId="0" fontId="3" fillId="6" borderId="19" xfId="0" applyFont="1" applyFill="1" applyBorder="1" applyAlignment="1">
      <alignment horizontal="left" vertical="center"/>
    </xf>
    <xf numFmtId="0" fontId="3" fillId="6" borderId="16" xfId="0" applyFont="1" applyFill="1" applyBorder="1" applyAlignment="1">
      <alignment horizontal="left" vertical="center"/>
    </xf>
    <xf numFmtId="0" fontId="3" fillId="6" borderId="28" xfId="0" applyFont="1" applyFill="1" applyBorder="1" applyAlignment="1">
      <alignment horizontal="left" vertical="center"/>
    </xf>
    <xf numFmtId="0" fontId="6" fillId="6" borderId="1" xfId="1" applyFill="1" applyBorder="1" applyAlignment="1">
      <alignment horizontal="left" vertical="center" wrapText="1"/>
    </xf>
    <xf numFmtId="0" fontId="6" fillId="6" borderId="7" xfId="1" applyFill="1" applyBorder="1" applyAlignment="1">
      <alignment horizontal="left" vertical="center" wrapText="1"/>
    </xf>
    <xf numFmtId="0" fontId="0" fillId="6" borderId="28" xfId="0" applyFill="1" applyBorder="1" applyAlignment="1">
      <alignment horizontal="left" vertical="center"/>
    </xf>
    <xf numFmtId="0" fontId="0" fillId="6" borderId="19" xfId="0" applyFill="1" applyBorder="1" applyAlignment="1">
      <alignment horizontal="left" vertical="center"/>
    </xf>
    <xf numFmtId="0" fontId="3" fillId="6" borderId="1" xfId="0" applyFont="1" applyFill="1" applyBorder="1" applyAlignment="1">
      <alignment horizontal="left" vertical="center" wrapText="1"/>
    </xf>
    <xf numFmtId="0" fontId="3" fillId="6" borderId="7" xfId="0" applyFont="1" applyFill="1" applyBorder="1" applyAlignment="1">
      <alignment horizontal="left" vertical="center" wrapText="1"/>
    </xf>
    <xf numFmtId="0" fontId="0" fillId="6" borderId="1" xfId="0" applyFill="1" applyBorder="1" applyAlignment="1">
      <alignment horizontal="left" vertical="center" wrapText="1"/>
    </xf>
    <xf numFmtId="0" fontId="0" fillId="6" borderId="7" xfId="0" applyFill="1" applyBorder="1" applyAlignment="1">
      <alignment horizontal="left" vertical="center" wrapText="1"/>
    </xf>
    <xf numFmtId="0" fontId="26" fillId="13" borderId="0" xfId="0" applyFont="1" applyFill="1" applyAlignment="1">
      <alignment horizontal="center" vertical="center"/>
    </xf>
    <xf numFmtId="0" fontId="0" fillId="0" borderId="18" xfId="0" applyBorder="1" applyAlignment="1">
      <alignment horizontal="center" vertical="center" wrapText="1"/>
    </xf>
    <xf numFmtId="0" fontId="0" fillId="0" borderId="52" xfId="0" applyBorder="1" applyAlignment="1">
      <alignment horizontal="center" vertical="center" wrapText="1"/>
    </xf>
    <xf numFmtId="0" fontId="0" fillId="0" borderId="53" xfId="0" applyBorder="1" applyAlignment="1">
      <alignment horizontal="center" vertical="center" wrapText="1"/>
    </xf>
    <xf numFmtId="0" fontId="0" fillId="0" borderId="54" xfId="0" applyBorder="1" applyAlignment="1">
      <alignment horizontal="center" vertical="center" wrapText="1"/>
    </xf>
    <xf numFmtId="0" fontId="0" fillId="0" borderId="0" xfId="0" applyAlignment="1">
      <alignment horizontal="center" vertical="center" wrapText="1"/>
    </xf>
    <xf numFmtId="0" fontId="0" fillId="0" borderId="41" xfId="0" applyBorder="1" applyAlignment="1">
      <alignment horizontal="center" vertical="center" wrapText="1"/>
    </xf>
    <xf numFmtId="0" fontId="0" fillId="0" borderId="55" xfId="0" applyBorder="1" applyAlignment="1">
      <alignment horizontal="center" vertical="center" wrapText="1"/>
    </xf>
    <xf numFmtId="0" fontId="0" fillId="0" borderId="32" xfId="0" applyBorder="1" applyAlignment="1">
      <alignment horizontal="center" vertical="center" wrapText="1"/>
    </xf>
    <xf numFmtId="0" fontId="0" fillId="0" borderId="33" xfId="0" applyBorder="1" applyAlignment="1">
      <alignment horizontal="center" vertical="center" wrapText="1"/>
    </xf>
    <xf numFmtId="0" fontId="0" fillId="6" borderId="18" xfId="0" applyFill="1" applyBorder="1" applyAlignment="1">
      <alignment horizontal="center" vertical="center" wrapText="1"/>
    </xf>
    <xf numFmtId="0" fontId="0" fillId="6" borderId="52" xfId="0" applyFill="1" applyBorder="1" applyAlignment="1">
      <alignment horizontal="center" vertical="center" wrapText="1"/>
    </xf>
    <xf numFmtId="0" fontId="0" fillId="6" borderId="53" xfId="0" applyFill="1" applyBorder="1" applyAlignment="1">
      <alignment horizontal="center" vertical="center" wrapText="1"/>
    </xf>
    <xf numFmtId="0" fontId="0" fillId="6" borderId="54" xfId="0" applyFill="1" applyBorder="1" applyAlignment="1">
      <alignment horizontal="center" vertical="center" wrapText="1"/>
    </xf>
    <xf numFmtId="0" fontId="0" fillId="6" borderId="0" xfId="0" applyFill="1" applyAlignment="1">
      <alignment horizontal="center" vertical="center" wrapText="1"/>
    </xf>
    <xf numFmtId="0" fontId="0" fillId="6" borderId="41" xfId="0" applyFill="1" applyBorder="1" applyAlignment="1">
      <alignment horizontal="center" vertical="center" wrapText="1"/>
    </xf>
    <xf numFmtId="0" fontId="0" fillId="6" borderId="55" xfId="0" applyFill="1" applyBorder="1" applyAlignment="1">
      <alignment horizontal="center" vertical="center" wrapText="1"/>
    </xf>
    <xf numFmtId="0" fontId="0" fillId="6" borderId="32" xfId="0" applyFill="1" applyBorder="1" applyAlignment="1">
      <alignment horizontal="center" vertical="center" wrapText="1"/>
    </xf>
    <xf numFmtId="0" fontId="0" fillId="6" borderId="33" xfId="0" applyFill="1" applyBorder="1" applyAlignment="1">
      <alignment horizontal="center" vertical="center" wrapText="1"/>
    </xf>
    <xf numFmtId="0" fontId="19" fillId="9" borderId="0" xfId="0" applyFont="1" applyFill="1" applyAlignment="1">
      <alignment horizontal="center" vertical="center"/>
    </xf>
    <xf numFmtId="0" fontId="0" fillId="6" borderId="1" xfId="0" applyFill="1" applyBorder="1" applyAlignment="1">
      <alignment horizontal="center" vertical="center" wrapText="1"/>
    </xf>
    <xf numFmtId="0" fontId="0" fillId="6" borderId="7" xfId="0" applyFill="1" applyBorder="1" applyAlignment="1">
      <alignment horizontal="center" vertical="center" wrapText="1"/>
    </xf>
    <xf numFmtId="0" fontId="0" fillId="6" borderId="9" xfId="0" applyFill="1" applyBorder="1" applyAlignment="1">
      <alignment horizontal="center" vertical="center" wrapText="1"/>
    </xf>
    <xf numFmtId="0" fontId="0" fillId="6" borderId="10" xfId="0" applyFill="1" applyBorder="1" applyAlignment="1">
      <alignment horizontal="center" vertical="center" wrapText="1"/>
    </xf>
    <xf numFmtId="0" fontId="11" fillId="4" borderId="25" xfId="0" applyFont="1" applyFill="1" applyBorder="1" applyAlignment="1">
      <alignment horizontal="left" vertical="center" wrapText="1"/>
    </xf>
    <xf numFmtId="0" fontId="11" fillId="4" borderId="29" xfId="0" applyFont="1" applyFill="1" applyBorder="1" applyAlignment="1">
      <alignment horizontal="left" vertical="center" wrapText="1"/>
    </xf>
    <xf numFmtId="0" fontId="11" fillId="4" borderId="26" xfId="0" applyFont="1" applyFill="1" applyBorder="1" applyAlignment="1">
      <alignment horizontal="left" vertical="center" wrapText="1"/>
    </xf>
    <xf numFmtId="0" fontId="0" fillId="6" borderId="15" xfId="0" applyFill="1" applyBorder="1" applyAlignment="1">
      <alignment horizontal="left" vertical="center" wrapText="1"/>
    </xf>
    <xf numFmtId="0" fontId="0" fillId="6" borderId="27" xfId="0" applyFill="1" applyBorder="1" applyAlignment="1">
      <alignment horizontal="left" vertical="center" wrapText="1"/>
    </xf>
    <xf numFmtId="0" fontId="0" fillId="6" borderId="20" xfId="0" applyFill="1" applyBorder="1" applyAlignment="1">
      <alignment horizontal="left" vertical="center" wrapText="1"/>
    </xf>
    <xf numFmtId="0" fontId="0" fillId="6" borderId="6" xfId="0" applyFill="1" applyBorder="1" applyAlignment="1">
      <alignment horizontal="left" vertical="center" wrapText="1"/>
    </xf>
    <xf numFmtId="0" fontId="3" fillId="6" borderId="6" xfId="0" applyFont="1" applyFill="1" applyBorder="1" applyAlignment="1">
      <alignment horizontal="left" vertical="center"/>
    </xf>
    <xf numFmtId="0" fontId="3" fillId="6" borderId="1" xfId="0" applyFont="1" applyFill="1" applyBorder="1" applyAlignment="1">
      <alignment horizontal="left" vertical="center"/>
    </xf>
    <xf numFmtId="0" fontId="0" fillId="6" borderId="1" xfId="0" applyFill="1" applyBorder="1" applyAlignment="1">
      <alignment horizontal="left" vertical="center"/>
    </xf>
    <xf numFmtId="0" fontId="0" fillId="6" borderId="4" xfId="0" applyFill="1" applyBorder="1" applyAlignment="1">
      <alignment horizontal="center" vertical="center" wrapText="1"/>
    </xf>
    <xf numFmtId="0" fontId="0" fillId="6" borderId="5" xfId="0" applyFill="1" applyBorder="1" applyAlignment="1">
      <alignment horizontal="center" vertical="center" wrapText="1"/>
    </xf>
    <xf numFmtId="0" fontId="0" fillId="6" borderId="40" xfId="0" applyFill="1" applyBorder="1" applyAlignment="1">
      <alignment horizontal="left" vertical="center" wrapText="1"/>
    </xf>
    <xf numFmtId="0" fontId="0" fillId="6" borderId="0" xfId="0" applyFill="1" applyAlignment="1">
      <alignment horizontal="left" vertical="center" wrapText="1"/>
    </xf>
    <xf numFmtId="0" fontId="6" fillId="6" borderId="0" xfId="1" applyFill="1" applyBorder="1" applyAlignment="1">
      <alignment horizontal="left" vertical="center" wrapText="1"/>
    </xf>
    <xf numFmtId="0" fontId="6" fillId="6" borderId="41" xfId="1" applyFill="1" applyBorder="1" applyAlignment="1">
      <alignment horizontal="left" vertical="center" wrapText="1"/>
    </xf>
    <xf numFmtId="0" fontId="0" fillId="6" borderId="9" xfId="0" applyFill="1" applyBorder="1" applyAlignment="1">
      <alignment horizontal="left" vertical="center" wrapText="1"/>
    </xf>
    <xf numFmtId="0" fontId="0" fillId="6" borderId="10" xfId="0" applyFill="1" applyBorder="1" applyAlignment="1">
      <alignment horizontal="left" vertical="center" wrapText="1"/>
    </xf>
    <xf numFmtId="0" fontId="27" fillId="6" borderId="40" xfId="0" applyFont="1" applyFill="1" applyBorder="1" applyAlignment="1">
      <alignment horizontal="left" vertical="top" wrapText="1"/>
    </xf>
    <xf numFmtId="0" fontId="27" fillId="6" borderId="0" xfId="0" applyFont="1" applyFill="1" applyAlignment="1">
      <alignment horizontal="left" vertical="top" wrapText="1"/>
    </xf>
    <xf numFmtId="0" fontId="0" fillId="0" borderId="14" xfId="0" applyBorder="1" applyAlignment="1">
      <alignment vertical="top" wrapText="1"/>
    </xf>
    <xf numFmtId="0" fontId="0" fillId="0" borderId="50" xfId="0" applyBorder="1" applyAlignment="1">
      <alignment vertical="top" wrapText="1"/>
    </xf>
    <xf numFmtId="0" fontId="0" fillId="0" borderId="51" xfId="0" applyBorder="1" applyAlignment="1">
      <alignment vertical="top" wrapText="1"/>
    </xf>
    <xf numFmtId="0" fontId="2" fillId="0" borderId="40" xfId="0" applyFont="1" applyBorder="1" applyAlignment="1">
      <alignment vertical="top" wrapText="1"/>
    </xf>
    <xf numFmtId="0" fontId="2" fillId="0" borderId="31" xfId="0" applyFont="1" applyBorder="1" applyAlignment="1">
      <alignment vertical="top" wrapText="1"/>
    </xf>
    <xf numFmtId="0" fontId="2" fillId="0" borderId="25" xfId="0" applyFont="1" applyBorder="1" applyAlignment="1">
      <alignment vertical="top" wrapText="1"/>
    </xf>
    <xf numFmtId="0" fontId="2" fillId="0" borderId="14" xfId="0" applyFont="1" applyBorder="1" applyAlignment="1">
      <alignment vertical="top" wrapText="1"/>
    </xf>
    <xf numFmtId="0" fontId="2" fillId="0" borderId="50" xfId="0" applyFont="1" applyBorder="1" applyAlignment="1">
      <alignment vertical="top" wrapText="1"/>
    </xf>
    <xf numFmtId="0" fontId="2" fillId="0" borderId="51" xfId="0" applyFont="1" applyBorder="1" applyAlignment="1">
      <alignment vertical="top" wrapText="1"/>
    </xf>
    <xf numFmtId="0" fontId="10" fillId="6" borderId="22" xfId="0" applyFont="1" applyFill="1" applyBorder="1" applyAlignment="1">
      <alignment horizontal="left" vertical="center"/>
    </xf>
    <xf numFmtId="0" fontId="10" fillId="6" borderId="36" xfId="0" applyFont="1" applyFill="1" applyBorder="1" applyAlignment="1">
      <alignment horizontal="left" vertical="center"/>
    </xf>
    <xf numFmtId="0" fontId="10" fillId="6" borderId="44" xfId="0" applyFont="1" applyFill="1" applyBorder="1" applyAlignment="1">
      <alignment horizontal="left" vertical="center"/>
    </xf>
    <xf numFmtId="0" fontId="22" fillId="12" borderId="22" xfId="0" applyFont="1" applyFill="1" applyBorder="1" applyAlignment="1">
      <alignment horizontal="left" vertical="center" wrapText="1"/>
    </xf>
    <xf numFmtId="0" fontId="22" fillId="12" borderId="36" xfId="0" applyFont="1" applyFill="1" applyBorder="1" applyAlignment="1">
      <alignment horizontal="left" vertical="center" wrapText="1"/>
    </xf>
    <xf numFmtId="0" fontId="22" fillId="12" borderId="44" xfId="0" applyFont="1" applyFill="1" applyBorder="1" applyAlignment="1">
      <alignment horizontal="left" vertical="center" wrapText="1"/>
    </xf>
    <xf numFmtId="0" fontId="3" fillId="11" borderId="11" xfId="0" applyFont="1" applyFill="1" applyBorder="1" applyAlignment="1">
      <alignment horizontal="left" vertical="center"/>
    </xf>
    <xf numFmtId="0" fontId="3" fillId="11" borderId="34" xfId="0" applyFont="1" applyFill="1" applyBorder="1" applyAlignment="1">
      <alignment horizontal="left" vertical="center"/>
    </xf>
    <xf numFmtId="0" fontId="3" fillId="11" borderId="8" xfId="0" applyFont="1" applyFill="1" applyBorder="1" applyAlignment="1">
      <alignment horizontal="left" vertical="center"/>
    </xf>
    <xf numFmtId="0" fontId="3" fillId="11" borderId="9" xfId="0" applyFont="1" applyFill="1" applyBorder="1" applyAlignment="1">
      <alignment horizontal="left" vertical="center"/>
    </xf>
    <xf numFmtId="0" fontId="0" fillId="6" borderId="6" xfId="0" applyFill="1" applyBorder="1" applyAlignment="1">
      <alignment horizontal="left" vertical="center"/>
    </xf>
    <xf numFmtId="0" fontId="0" fillId="6" borderId="12" xfId="0" applyFill="1" applyBorder="1" applyAlignment="1">
      <alignment horizontal="left" vertical="center"/>
    </xf>
    <xf numFmtId="0" fontId="0" fillId="6" borderId="38" xfId="0" applyFill="1" applyBorder="1" applyAlignment="1">
      <alignment horizontal="left" vertical="center"/>
    </xf>
    <xf numFmtId="0" fontId="0" fillId="6" borderId="15" xfId="0" applyFill="1" applyBorder="1" applyAlignment="1">
      <alignment horizontal="left" vertical="center"/>
    </xf>
    <xf numFmtId="0" fontId="0" fillId="6" borderId="16" xfId="0" applyFill="1" applyBorder="1" applyAlignment="1">
      <alignment horizontal="left" vertical="center"/>
    </xf>
    <xf numFmtId="0" fontId="0" fillId="6" borderId="18" xfId="0" applyFill="1" applyBorder="1" applyAlignment="1">
      <alignment horizontal="left" vertical="center"/>
    </xf>
    <xf numFmtId="0" fontId="0" fillId="6" borderId="4" xfId="0" applyFill="1" applyBorder="1" applyAlignment="1">
      <alignment horizontal="left" vertical="center"/>
    </xf>
    <xf numFmtId="0" fontId="0" fillId="6" borderId="9" xfId="0" applyFill="1" applyBorder="1" applyAlignment="1">
      <alignment horizontal="left" vertical="center"/>
    </xf>
    <xf numFmtId="0" fontId="0" fillId="6" borderId="30" xfId="0" applyFill="1" applyBorder="1" applyAlignment="1">
      <alignment horizontal="left" vertical="center"/>
    </xf>
    <xf numFmtId="0" fontId="0" fillId="6" borderId="17" xfId="0" applyFill="1" applyBorder="1" applyAlignment="1">
      <alignment horizontal="left" vertical="center"/>
    </xf>
    <xf numFmtId="0" fontId="0" fillId="6" borderId="3" xfId="0" applyFill="1" applyBorder="1" applyAlignment="1">
      <alignment horizontal="left" vertical="center"/>
    </xf>
    <xf numFmtId="0" fontId="3" fillId="11" borderId="22" xfId="0" applyFont="1" applyFill="1" applyBorder="1" applyAlignment="1">
      <alignment horizontal="left" vertical="center"/>
    </xf>
    <xf numFmtId="0" fontId="3" fillId="11" borderId="36" xfId="0" applyFont="1" applyFill="1" applyBorder="1" applyAlignment="1">
      <alignment horizontal="left" vertical="center"/>
    </xf>
    <xf numFmtId="0" fontId="14" fillId="6" borderId="31" xfId="0" applyFont="1" applyFill="1" applyBorder="1" applyAlignment="1">
      <alignment horizontal="left" vertical="center"/>
    </xf>
    <xf numFmtId="0" fontId="14" fillId="6" borderId="32" xfId="0" applyFont="1" applyFill="1" applyBorder="1" applyAlignment="1">
      <alignment horizontal="left" vertical="center"/>
    </xf>
    <xf numFmtId="0" fontId="14" fillId="6" borderId="25" xfId="0" applyFont="1" applyFill="1" applyBorder="1" applyAlignment="1">
      <alignment horizontal="left" vertical="center"/>
    </xf>
    <xf numFmtId="0" fontId="14" fillId="6" borderId="29" xfId="0" applyFont="1" applyFill="1" applyBorder="1" applyAlignment="1">
      <alignment horizontal="left" vertical="center"/>
    </xf>
    <xf numFmtId="0" fontId="0" fillId="6" borderId="23" xfId="0" applyFill="1" applyBorder="1" applyAlignment="1">
      <alignment horizontal="left" vertical="center"/>
    </xf>
    <xf numFmtId="0" fontId="0" fillId="6" borderId="27" xfId="0" applyFill="1" applyBorder="1" applyAlignment="1">
      <alignment horizontal="left" vertical="center"/>
    </xf>
    <xf numFmtId="0" fontId="0" fillId="6" borderId="20" xfId="0" applyFill="1" applyBorder="1" applyAlignment="1">
      <alignment horizontal="left" vertical="center"/>
    </xf>
    <xf numFmtId="0" fontId="0" fillId="6" borderId="24" xfId="0" applyFill="1" applyBorder="1" applyAlignment="1">
      <alignment horizontal="left" vertical="center"/>
    </xf>
    <xf numFmtId="0" fontId="0" fillId="6" borderId="37" xfId="0" applyFill="1" applyBorder="1" applyAlignment="1">
      <alignment horizontal="left" vertical="center"/>
    </xf>
    <xf numFmtId="0" fontId="0" fillId="6" borderId="21" xfId="0" applyFill="1" applyBorder="1" applyAlignment="1">
      <alignment horizontal="left" vertical="center"/>
    </xf>
    <xf numFmtId="0" fontId="21" fillId="14" borderId="22" xfId="0" applyFont="1" applyFill="1" applyBorder="1" applyAlignment="1">
      <alignment horizontal="left" vertical="center"/>
    </xf>
    <xf numFmtId="0" fontId="21" fillId="14" borderId="36" xfId="0" applyFont="1" applyFill="1" applyBorder="1" applyAlignment="1">
      <alignment horizontal="left" vertical="center"/>
    </xf>
    <xf numFmtId="0" fontId="21" fillId="14" borderId="44" xfId="0" applyFont="1" applyFill="1" applyBorder="1" applyAlignment="1">
      <alignment horizontal="left" vertical="center"/>
    </xf>
    <xf numFmtId="0" fontId="0" fillId="6" borderId="22" xfId="0" applyFill="1" applyBorder="1" applyAlignment="1">
      <alignment horizontal="left" vertical="center"/>
    </xf>
    <xf numFmtId="0" fontId="0" fillId="6" borderId="36" xfId="0" applyFill="1" applyBorder="1" applyAlignment="1">
      <alignment horizontal="left" vertical="center"/>
    </xf>
    <xf numFmtId="0" fontId="13" fillId="13" borderId="25" xfId="0" applyFont="1" applyFill="1" applyBorder="1" applyAlignment="1">
      <alignment horizontal="left"/>
    </xf>
    <xf numFmtId="0" fontId="13" fillId="13" borderId="29" xfId="0" applyFont="1" applyFill="1" applyBorder="1" applyAlignment="1">
      <alignment horizontal="left"/>
    </xf>
    <xf numFmtId="0" fontId="0" fillId="0" borderId="3" xfId="0" applyBorder="1" applyAlignment="1">
      <alignment horizontal="center"/>
    </xf>
    <xf numFmtId="0" fontId="0" fillId="0" borderId="4" xfId="0" applyBorder="1" applyAlignment="1">
      <alignment horizontal="center"/>
    </xf>
    <xf numFmtId="0" fontId="0" fillId="0" borderId="6" xfId="0" applyBorder="1" applyAlignment="1">
      <alignment horizontal="center"/>
    </xf>
    <xf numFmtId="0" fontId="0" fillId="0" borderId="1" xfId="0" applyBorder="1" applyAlignment="1">
      <alignment horizontal="center"/>
    </xf>
    <xf numFmtId="0" fontId="0" fillId="0" borderId="8" xfId="0" applyBorder="1" applyAlignment="1">
      <alignment horizontal="center"/>
    </xf>
    <xf numFmtId="0" fontId="0" fillId="0" borderId="9" xfId="0" applyBorder="1" applyAlignment="1">
      <alignment horizontal="center"/>
    </xf>
  </cellXfs>
  <cellStyles count="4">
    <cellStyle name="Comma" xfId="3" builtinId="3"/>
    <cellStyle name="Hyperlink" xfId="1" builtinId="8"/>
    <cellStyle name="Normal" xfId="0" builtinId="0"/>
    <cellStyle name="Percent" xfId="2" builtinId="5"/>
  </cellStyles>
  <dxfs count="363">
    <dxf>
      <fill>
        <patternFill>
          <bgColor rgb="FFFF0000"/>
        </patternFill>
      </fill>
    </dxf>
    <dxf>
      <fill>
        <patternFill>
          <bgColor rgb="FFFFC000"/>
        </patternFill>
      </fill>
    </dxf>
    <dxf>
      <fill>
        <patternFill>
          <bgColor theme="5" tint="0.79998168889431442"/>
        </patternFill>
      </fill>
    </dxf>
    <dxf>
      <fill>
        <patternFill>
          <bgColor theme="4" tint="0.39994506668294322"/>
        </patternFill>
      </fill>
    </dxf>
    <dxf>
      <fill>
        <patternFill>
          <bgColor rgb="FFFFC000"/>
        </patternFill>
      </fill>
    </dxf>
    <dxf>
      <fill>
        <patternFill>
          <bgColor theme="5" tint="0.79998168889431442"/>
        </patternFill>
      </fill>
    </dxf>
    <dxf>
      <fill>
        <patternFill>
          <bgColor theme="4" tint="0.39994506668294322"/>
        </patternFill>
      </fill>
    </dxf>
    <dxf>
      <fill>
        <patternFill>
          <bgColor rgb="FFFFC000"/>
        </patternFill>
      </fill>
    </dxf>
    <dxf>
      <fill>
        <patternFill>
          <bgColor theme="5" tint="0.79998168889431442"/>
        </patternFill>
      </fill>
    </dxf>
    <dxf>
      <fill>
        <patternFill>
          <bgColor theme="4" tint="0.39994506668294322"/>
        </patternFill>
      </fill>
    </dxf>
    <dxf>
      <fill>
        <patternFill>
          <bgColor rgb="FFFFC000"/>
        </patternFill>
      </fill>
    </dxf>
    <dxf>
      <fill>
        <patternFill>
          <bgColor theme="5" tint="0.79998168889431442"/>
        </patternFill>
      </fill>
    </dxf>
    <dxf>
      <fill>
        <patternFill>
          <bgColor theme="4" tint="0.39994506668294322"/>
        </patternFill>
      </fill>
    </dxf>
    <dxf>
      <fill>
        <patternFill>
          <bgColor rgb="FFFFC000"/>
        </patternFill>
      </fill>
    </dxf>
    <dxf>
      <fill>
        <patternFill>
          <bgColor theme="5" tint="0.79998168889431442"/>
        </patternFill>
      </fill>
    </dxf>
    <dxf>
      <fill>
        <patternFill>
          <bgColor theme="4" tint="0.39994506668294322"/>
        </patternFill>
      </fill>
    </dxf>
    <dxf>
      <fill>
        <patternFill>
          <bgColor rgb="FFFFC000"/>
        </patternFill>
      </fill>
    </dxf>
    <dxf>
      <fill>
        <patternFill>
          <bgColor theme="5" tint="0.79998168889431442"/>
        </patternFill>
      </fill>
    </dxf>
    <dxf>
      <fill>
        <patternFill>
          <bgColor theme="4" tint="0.39994506668294322"/>
        </patternFill>
      </fill>
    </dxf>
    <dxf>
      <fill>
        <patternFill>
          <bgColor rgb="FFFFC000"/>
        </patternFill>
      </fill>
    </dxf>
    <dxf>
      <fill>
        <patternFill>
          <bgColor theme="5" tint="0.79998168889431442"/>
        </patternFill>
      </fill>
    </dxf>
    <dxf>
      <fill>
        <patternFill>
          <bgColor theme="4" tint="0.39994506668294322"/>
        </patternFill>
      </fill>
    </dxf>
    <dxf>
      <fill>
        <patternFill>
          <bgColor rgb="FFFFC000"/>
        </patternFill>
      </fill>
    </dxf>
    <dxf>
      <fill>
        <patternFill>
          <bgColor theme="5" tint="0.79998168889431442"/>
        </patternFill>
      </fill>
    </dxf>
    <dxf>
      <fill>
        <patternFill>
          <bgColor theme="4" tint="0.39994506668294322"/>
        </patternFill>
      </fill>
    </dxf>
    <dxf>
      <fill>
        <patternFill>
          <bgColor rgb="FFFFC000"/>
        </patternFill>
      </fill>
    </dxf>
    <dxf>
      <fill>
        <patternFill>
          <bgColor theme="5" tint="0.79998168889431442"/>
        </patternFill>
      </fill>
    </dxf>
    <dxf>
      <fill>
        <patternFill>
          <bgColor theme="4" tint="0.39994506668294322"/>
        </patternFill>
      </fill>
    </dxf>
    <dxf>
      <fill>
        <patternFill>
          <bgColor rgb="FFFFC000"/>
        </patternFill>
      </fill>
    </dxf>
    <dxf>
      <fill>
        <patternFill>
          <bgColor theme="5" tint="0.79998168889431442"/>
        </patternFill>
      </fill>
    </dxf>
    <dxf>
      <fill>
        <patternFill>
          <bgColor theme="4" tint="0.39994506668294322"/>
        </patternFill>
      </fill>
    </dxf>
    <dxf>
      <fill>
        <patternFill>
          <bgColor rgb="FFFFC000"/>
        </patternFill>
      </fill>
    </dxf>
    <dxf>
      <fill>
        <patternFill>
          <bgColor theme="5" tint="0.79998168889431442"/>
        </patternFill>
      </fill>
    </dxf>
    <dxf>
      <fill>
        <patternFill>
          <bgColor theme="4" tint="0.39994506668294322"/>
        </patternFill>
      </fill>
    </dxf>
    <dxf>
      <fill>
        <patternFill>
          <bgColor rgb="FFFFC000"/>
        </patternFill>
      </fill>
    </dxf>
    <dxf>
      <fill>
        <patternFill>
          <bgColor theme="5" tint="0.79998168889431442"/>
        </patternFill>
      </fill>
    </dxf>
    <dxf>
      <fill>
        <patternFill>
          <bgColor theme="4" tint="0.39994506668294322"/>
        </patternFill>
      </fill>
    </dxf>
    <dxf>
      <fill>
        <patternFill>
          <bgColor rgb="FFFFC000"/>
        </patternFill>
      </fill>
    </dxf>
    <dxf>
      <fill>
        <patternFill>
          <bgColor theme="5" tint="0.79998168889431442"/>
        </patternFill>
      </fill>
    </dxf>
    <dxf>
      <fill>
        <patternFill>
          <bgColor theme="4" tint="0.39994506668294322"/>
        </patternFill>
      </fill>
    </dxf>
    <dxf>
      <fill>
        <patternFill>
          <bgColor rgb="FFFFC000"/>
        </patternFill>
      </fill>
    </dxf>
    <dxf>
      <fill>
        <patternFill>
          <bgColor theme="5" tint="0.79998168889431442"/>
        </patternFill>
      </fill>
    </dxf>
    <dxf>
      <fill>
        <patternFill>
          <bgColor theme="4" tint="0.39994506668294322"/>
        </patternFill>
      </fill>
    </dxf>
    <dxf>
      <fill>
        <patternFill>
          <bgColor rgb="FFFFC000"/>
        </patternFill>
      </fill>
    </dxf>
    <dxf>
      <fill>
        <patternFill>
          <bgColor theme="5" tint="0.79998168889431442"/>
        </patternFill>
      </fill>
    </dxf>
    <dxf>
      <fill>
        <patternFill>
          <bgColor theme="4" tint="0.39994506668294322"/>
        </patternFill>
      </fill>
    </dxf>
    <dxf>
      <fill>
        <patternFill>
          <bgColor rgb="FFFFC000"/>
        </patternFill>
      </fill>
    </dxf>
    <dxf>
      <fill>
        <patternFill>
          <bgColor theme="5" tint="0.79998168889431442"/>
        </patternFill>
      </fill>
    </dxf>
    <dxf>
      <fill>
        <patternFill>
          <bgColor theme="4" tint="0.39994506668294322"/>
        </patternFill>
      </fill>
    </dxf>
    <dxf>
      <fill>
        <patternFill>
          <bgColor rgb="FFFFC000"/>
        </patternFill>
      </fill>
    </dxf>
    <dxf>
      <fill>
        <patternFill>
          <bgColor theme="5" tint="0.79998168889431442"/>
        </patternFill>
      </fill>
    </dxf>
    <dxf>
      <fill>
        <patternFill>
          <bgColor theme="4" tint="0.39994506668294322"/>
        </patternFill>
      </fill>
    </dxf>
    <dxf>
      <fill>
        <patternFill>
          <bgColor rgb="FFFFC000"/>
        </patternFill>
      </fill>
    </dxf>
    <dxf>
      <fill>
        <patternFill>
          <bgColor theme="5" tint="0.79998168889431442"/>
        </patternFill>
      </fill>
    </dxf>
    <dxf>
      <fill>
        <patternFill>
          <bgColor theme="4" tint="0.39994506668294322"/>
        </patternFill>
      </fill>
    </dxf>
    <dxf>
      <fill>
        <patternFill>
          <bgColor rgb="FFFFC000"/>
        </patternFill>
      </fill>
    </dxf>
    <dxf>
      <fill>
        <patternFill>
          <bgColor theme="5" tint="0.79998168889431442"/>
        </patternFill>
      </fill>
    </dxf>
    <dxf>
      <fill>
        <patternFill>
          <bgColor theme="4" tint="0.39994506668294322"/>
        </patternFill>
      </fill>
    </dxf>
    <dxf>
      <fill>
        <patternFill>
          <bgColor rgb="FFFFC000"/>
        </patternFill>
      </fill>
    </dxf>
    <dxf>
      <fill>
        <patternFill>
          <bgColor theme="5" tint="0.79998168889431442"/>
        </patternFill>
      </fill>
    </dxf>
    <dxf>
      <fill>
        <patternFill>
          <bgColor theme="4" tint="0.39994506668294322"/>
        </patternFill>
      </fill>
    </dxf>
    <dxf>
      <fill>
        <patternFill>
          <bgColor rgb="FFFFC000"/>
        </patternFill>
      </fill>
    </dxf>
    <dxf>
      <fill>
        <patternFill>
          <bgColor theme="5" tint="0.79998168889431442"/>
        </patternFill>
      </fill>
    </dxf>
    <dxf>
      <fill>
        <patternFill>
          <bgColor theme="4" tint="0.39994506668294322"/>
        </patternFill>
      </fill>
    </dxf>
    <dxf>
      <fill>
        <patternFill>
          <bgColor rgb="FFFFC000"/>
        </patternFill>
      </fill>
    </dxf>
    <dxf>
      <fill>
        <patternFill>
          <bgColor theme="5" tint="0.79998168889431442"/>
        </patternFill>
      </fill>
    </dxf>
    <dxf>
      <fill>
        <patternFill>
          <bgColor theme="4" tint="0.39994506668294322"/>
        </patternFill>
      </fill>
    </dxf>
    <dxf>
      <fill>
        <patternFill>
          <bgColor rgb="FFFFC000"/>
        </patternFill>
      </fill>
    </dxf>
    <dxf>
      <fill>
        <patternFill>
          <bgColor theme="5" tint="0.79998168889431442"/>
        </patternFill>
      </fill>
    </dxf>
    <dxf>
      <fill>
        <patternFill>
          <bgColor theme="4" tint="0.39994506668294322"/>
        </patternFill>
      </fill>
    </dxf>
    <dxf>
      <fill>
        <patternFill>
          <bgColor rgb="FFFFC000"/>
        </patternFill>
      </fill>
    </dxf>
    <dxf>
      <fill>
        <patternFill>
          <bgColor theme="5" tint="0.79998168889431442"/>
        </patternFill>
      </fill>
    </dxf>
    <dxf>
      <fill>
        <patternFill>
          <bgColor theme="4" tint="0.39994506668294322"/>
        </patternFill>
      </fill>
    </dxf>
    <dxf>
      <fill>
        <patternFill>
          <bgColor rgb="FFFFC000"/>
        </patternFill>
      </fill>
    </dxf>
    <dxf>
      <fill>
        <patternFill>
          <bgColor theme="5" tint="0.79998168889431442"/>
        </patternFill>
      </fill>
    </dxf>
    <dxf>
      <fill>
        <patternFill>
          <bgColor theme="4" tint="0.39994506668294322"/>
        </patternFill>
      </fill>
    </dxf>
    <dxf>
      <fill>
        <patternFill>
          <bgColor rgb="FFFFC000"/>
        </patternFill>
      </fill>
    </dxf>
    <dxf>
      <fill>
        <patternFill>
          <bgColor theme="5" tint="0.79998168889431442"/>
        </patternFill>
      </fill>
    </dxf>
    <dxf>
      <fill>
        <patternFill>
          <bgColor theme="4" tint="0.39994506668294322"/>
        </patternFill>
      </fill>
    </dxf>
    <dxf>
      <fill>
        <patternFill>
          <bgColor rgb="FFFFC000"/>
        </patternFill>
      </fill>
    </dxf>
    <dxf>
      <fill>
        <patternFill>
          <bgColor theme="5" tint="0.79998168889431442"/>
        </patternFill>
      </fill>
    </dxf>
    <dxf>
      <fill>
        <patternFill>
          <bgColor theme="4" tint="0.39994506668294322"/>
        </patternFill>
      </fill>
    </dxf>
    <dxf>
      <fill>
        <patternFill>
          <bgColor rgb="FFFFC000"/>
        </patternFill>
      </fill>
    </dxf>
    <dxf>
      <fill>
        <patternFill>
          <bgColor theme="5" tint="0.79998168889431442"/>
        </patternFill>
      </fill>
    </dxf>
    <dxf>
      <fill>
        <patternFill>
          <bgColor theme="4" tint="0.39994506668294322"/>
        </patternFill>
      </fill>
    </dxf>
    <dxf>
      <fill>
        <patternFill>
          <bgColor rgb="FFFFC000"/>
        </patternFill>
      </fill>
    </dxf>
    <dxf>
      <fill>
        <patternFill>
          <bgColor theme="5" tint="0.79998168889431442"/>
        </patternFill>
      </fill>
    </dxf>
    <dxf>
      <fill>
        <patternFill>
          <bgColor theme="4" tint="0.39994506668294322"/>
        </patternFill>
      </fill>
    </dxf>
    <dxf>
      <fill>
        <patternFill>
          <bgColor rgb="FFFFC000"/>
        </patternFill>
      </fill>
    </dxf>
    <dxf>
      <fill>
        <patternFill>
          <bgColor theme="5" tint="0.79998168889431442"/>
        </patternFill>
      </fill>
    </dxf>
    <dxf>
      <fill>
        <patternFill>
          <bgColor theme="4" tint="0.39994506668294322"/>
        </patternFill>
      </fill>
    </dxf>
    <dxf>
      <fill>
        <patternFill>
          <bgColor rgb="FFFF0000"/>
        </patternFill>
      </fill>
    </dxf>
    <dxf>
      <fill>
        <patternFill>
          <bgColor rgb="FFFFC000"/>
        </patternFill>
      </fill>
    </dxf>
    <dxf>
      <fill>
        <patternFill>
          <bgColor rgb="FFFFC000"/>
        </patternFill>
      </fill>
    </dxf>
    <dxf>
      <fill>
        <patternFill>
          <bgColor theme="5" tint="0.79998168889431442"/>
        </patternFill>
      </fill>
    </dxf>
    <dxf>
      <fill>
        <patternFill>
          <bgColor theme="4" tint="0.39994506668294322"/>
        </patternFill>
      </fill>
    </dxf>
    <dxf>
      <fill>
        <patternFill>
          <bgColor rgb="FFFFC000"/>
        </patternFill>
      </fill>
    </dxf>
    <dxf>
      <fill>
        <patternFill>
          <bgColor theme="5" tint="0.79998168889431442"/>
        </patternFill>
      </fill>
    </dxf>
    <dxf>
      <fill>
        <patternFill>
          <bgColor theme="4" tint="0.39994506668294322"/>
        </patternFill>
      </fill>
    </dxf>
    <dxf>
      <fill>
        <patternFill>
          <bgColor rgb="FFFFC000"/>
        </patternFill>
      </fill>
    </dxf>
    <dxf>
      <fill>
        <patternFill>
          <bgColor theme="5" tint="0.79998168889431442"/>
        </patternFill>
      </fill>
    </dxf>
    <dxf>
      <fill>
        <patternFill>
          <bgColor theme="4" tint="0.39994506668294322"/>
        </patternFill>
      </fill>
    </dxf>
    <dxf>
      <fill>
        <patternFill>
          <bgColor rgb="FFFF0000"/>
        </patternFill>
      </fill>
    </dxf>
    <dxf>
      <fill>
        <patternFill>
          <bgColor rgb="FFFFC000"/>
        </patternFill>
      </fill>
    </dxf>
    <dxf>
      <fill>
        <patternFill>
          <bgColor rgb="FFFFC000"/>
        </patternFill>
      </fill>
    </dxf>
    <dxf>
      <fill>
        <patternFill>
          <bgColor theme="5" tint="0.79998168889431442"/>
        </patternFill>
      </fill>
    </dxf>
    <dxf>
      <fill>
        <patternFill>
          <bgColor theme="4" tint="0.39994506668294322"/>
        </patternFill>
      </fill>
    </dxf>
    <dxf>
      <fill>
        <patternFill>
          <bgColor rgb="FFFFC000"/>
        </patternFill>
      </fill>
    </dxf>
    <dxf>
      <fill>
        <patternFill>
          <bgColor theme="5" tint="0.79998168889431442"/>
        </patternFill>
      </fill>
    </dxf>
    <dxf>
      <fill>
        <patternFill>
          <bgColor theme="4" tint="0.39994506668294322"/>
        </patternFill>
      </fill>
    </dxf>
    <dxf>
      <fill>
        <patternFill>
          <bgColor rgb="FFFFC000"/>
        </patternFill>
      </fill>
    </dxf>
    <dxf>
      <fill>
        <patternFill>
          <bgColor theme="5" tint="0.79998168889431442"/>
        </patternFill>
      </fill>
    </dxf>
    <dxf>
      <fill>
        <patternFill>
          <bgColor theme="4" tint="0.39994506668294322"/>
        </patternFill>
      </fill>
    </dxf>
    <dxf>
      <fill>
        <patternFill>
          <bgColor rgb="FFFFC000"/>
        </patternFill>
      </fill>
    </dxf>
    <dxf>
      <fill>
        <patternFill>
          <bgColor theme="5" tint="0.79998168889431442"/>
        </patternFill>
      </fill>
    </dxf>
    <dxf>
      <fill>
        <patternFill>
          <bgColor theme="4" tint="0.39994506668294322"/>
        </patternFill>
      </fill>
    </dxf>
    <dxf>
      <fill>
        <patternFill>
          <bgColor rgb="FFFFC000"/>
        </patternFill>
      </fill>
    </dxf>
    <dxf>
      <fill>
        <patternFill>
          <bgColor theme="5" tint="0.79998168889431442"/>
        </patternFill>
      </fill>
    </dxf>
    <dxf>
      <fill>
        <patternFill>
          <bgColor theme="4" tint="0.39994506668294322"/>
        </patternFill>
      </fill>
    </dxf>
    <dxf>
      <fill>
        <patternFill>
          <bgColor rgb="FFFFC000"/>
        </patternFill>
      </fill>
    </dxf>
    <dxf>
      <fill>
        <patternFill>
          <bgColor theme="5" tint="0.79998168889431442"/>
        </patternFill>
      </fill>
    </dxf>
    <dxf>
      <fill>
        <patternFill>
          <bgColor theme="4" tint="0.39994506668294322"/>
        </patternFill>
      </fill>
    </dxf>
    <dxf>
      <fill>
        <patternFill>
          <bgColor rgb="FFFFC000"/>
        </patternFill>
      </fill>
    </dxf>
    <dxf>
      <fill>
        <patternFill>
          <bgColor theme="5" tint="0.79998168889431442"/>
        </patternFill>
      </fill>
    </dxf>
    <dxf>
      <fill>
        <patternFill>
          <bgColor theme="4" tint="0.39994506668294322"/>
        </patternFill>
      </fill>
    </dxf>
    <dxf>
      <fill>
        <patternFill>
          <bgColor rgb="FFFFC000"/>
        </patternFill>
      </fill>
    </dxf>
    <dxf>
      <fill>
        <patternFill>
          <bgColor theme="5" tint="0.79998168889431442"/>
        </patternFill>
      </fill>
    </dxf>
    <dxf>
      <fill>
        <patternFill>
          <bgColor theme="4" tint="0.39994506668294322"/>
        </patternFill>
      </fill>
    </dxf>
    <dxf>
      <fill>
        <patternFill>
          <bgColor rgb="FFFFC000"/>
        </patternFill>
      </fill>
    </dxf>
    <dxf>
      <fill>
        <patternFill>
          <bgColor theme="5" tint="0.79998168889431442"/>
        </patternFill>
      </fill>
    </dxf>
    <dxf>
      <fill>
        <patternFill>
          <bgColor theme="4" tint="0.39994506668294322"/>
        </patternFill>
      </fill>
    </dxf>
    <dxf>
      <fill>
        <patternFill>
          <bgColor rgb="FFFFC000"/>
        </patternFill>
      </fill>
    </dxf>
    <dxf>
      <fill>
        <patternFill>
          <bgColor theme="5" tint="0.79998168889431442"/>
        </patternFill>
      </fill>
    </dxf>
    <dxf>
      <fill>
        <patternFill>
          <bgColor theme="4" tint="0.39994506668294322"/>
        </patternFill>
      </fill>
    </dxf>
    <dxf>
      <fill>
        <patternFill>
          <bgColor rgb="FFFFC000"/>
        </patternFill>
      </fill>
    </dxf>
    <dxf>
      <fill>
        <patternFill>
          <bgColor theme="5" tint="0.79998168889431442"/>
        </patternFill>
      </fill>
    </dxf>
    <dxf>
      <fill>
        <patternFill>
          <bgColor theme="4" tint="0.39994506668294322"/>
        </patternFill>
      </fill>
    </dxf>
    <dxf>
      <fill>
        <patternFill>
          <bgColor rgb="FFFFC000"/>
        </patternFill>
      </fill>
    </dxf>
    <dxf>
      <fill>
        <patternFill>
          <bgColor theme="5" tint="0.79998168889431442"/>
        </patternFill>
      </fill>
    </dxf>
    <dxf>
      <fill>
        <patternFill>
          <bgColor theme="4" tint="0.39994506668294322"/>
        </patternFill>
      </fill>
    </dxf>
    <dxf>
      <fill>
        <patternFill>
          <bgColor rgb="FFFF0000"/>
        </patternFill>
      </fill>
    </dxf>
    <dxf>
      <fill>
        <patternFill>
          <bgColor rgb="FFFFC000"/>
        </patternFill>
      </fill>
    </dxf>
    <dxf>
      <fill>
        <patternFill>
          <bgColor rgb="FFFFC000"/>
        </patternFill>
      </fill>
    </dxf>
    <dxf>
      <fill>
        <patternFill>
          <bgColor theme="5" tint="0.79998168889431442"/>
        </patternFill>
      </fill>
    </dxf>
    <dxf>
      <fill>
        <patternFill>
          <bgColor theme="4" tint="0.39994506668294322"/>
        </patternFill>
      </fill>
    </dxf>
    <dxf>
      <fill>
        <patternFill>
          <bgColor rgb="FFFFC000"/>
        </patternFill>
      </fill>
    </dxf>
    <dxf>
      <fill>
        <patternFill>
          <bgColor theme="5" tint="0.79998168889431442"/>
        </patternFill>
      </fill>
    </dxf>
    <dxf>
      <fill>
        <patternFill>
          <bgColor theme="4" tint="0.39994506668294322"/>
        </patternFill>
      </fill>
    </dxf>
    <dxf>
      <fill>
        <patternFill>
          <bgColor rgb="FFFFC000"/>
        </patternFill>
      </fill>
    </dxf>
    <dxf>
      <fill>
        <patternFill>
          <bgColor theme="5" tint="0.79998168889431442"/>
        </patternFill>
      </fill>
    </dxf>
    <dxf>
      <fill>
        <patternFill>
          <bgColor theme="4" tint="0.39994506668294322"/>
        </patternFill>
      </fill>
    </dxf>
    <dxf>
      <fill>
        <patternFill>
          <bgColor rgb="FFFFC000"/>
        </patternFill>
      </fill>
    </dxf>
    <dxf>
      <fill>
        <patternFill>
          <bgColor theme="5" tint="0.79998168889431442"/>
        </patternFill>
      </fill>
    </dxf>
    <dxf>
      <fill>
        <patternFill>
          <bgColor theme="4" tint="0.39994506668294322"/>
        </patternFill>
      </fill>
    </dxf>
    <dxf>
      <fill>
        <patternFill>
          <bgColor rgb="FFFFC000"/>
        </patternFill>
      </fill>
    </dxf>
    <dxf>
      <fill>
        <patternFill>
          <bgColor theme="5" tint="0.79998168889431442"/>
        </patternFill>
      </fill>
    </dxf>
    <dxf>
      <fill>
        <patternFill>
          <bgColor theme="4" tint="0.39994506668294322"/>
        </patternFill>
      </fill>
    </dxf>
    <dxf>
      <fill>
        <patternFill>
          <bgColor rgb="FFFFC000"/>
        </patternFill>
      </fill>
    </dxf>
    <dxf>
      <fill>
        <patternFill>
          <bgColor theme="5" tint="0.79998168889431442"/>
        </patternFill>
      </fill>
    </dxf>
    <dxf>
      <fill>
        <patternFill>
          <bgColor theme="4" tint="0.39994506668294322"/>
        </patternFill>
      </fill>
    </dxf>
    <dxf>
      <fill>
        <patternFill>
          <bgColor rgb="FFFFC000"/>
        </patternFill>
      </fill>
    </dxf>
    <dxf>
      <fill>
        <patternFill>
          <bgColor theme="5" tint="0.79998168889431442"/>
        </patternFill>
      </fill>
    </dxf>
    <dxf>
      <fill>
        <patternFill>
          <bgColor theme="4" tint="0.39994506668294322"/>
        </patternFill>
      </fill>
    </dxf>
    <dxf>
      <fill>
        <patternFill>
          <bgColor rgb="FFFFC000"/>
        </patternFill>
      </fill>
    </dxf>
    <dxf>
      <fill>
        <patternFill>
          <bgColor theme="5" tint="0.79998168889431442"/>
        </patternFill>
      </fill>
    </dxf>
    <dxf>
      <fill>
        <patternFill>
          <bgColor theme="4" tint="0.39994506668294322"/>
        </patternFill>
      </fill>
    </dxf>
    <dxf>
      <fill>
        <patternFill>
          <bgColor rgb="FFFFC000"/>
        </patternFill>
      </fill>
    </dxf>
    <dxf>
      <fill>
        <patternFill>
          <bgColor theme="5" tint="0.79998168889431442"/>
        </patternFill>
      </fill>
    </dxf>
    <dxf>
      <fill>
        <patternFill>
          <bgColor theme="4" tint="0.39994506668294322"/>
        </patternFill>
      </fill>
    </dxf>
    <dxf>
      <fill>
        <patternFill>
          <bgColor rgb="FFFF0000"/>
        </patternFill>
      </fill>
    </dxf>
    <dxf>
      <fill>
        <patternFill>
          <bgColor rgb="FFFFC000"/>
        </patternFill>
      </fill>
    </dxf>
    <dxf>
      <fill>
        <patternFill>
          <bgColor rgb="FFFFC000"/>
        </patternFill>
      </fill>
    </dxf>
    <dxf>
      <fill>
        <patternFill>
          <bgColor theme="5" tint="0.79998168889431442"/>
        </patternFill>
      </fill>
    </dxf>
    <dxf>
      <fill>
        <patternFill>
          <bgColor theme="4" tint="0.39994506668294322"/>
        </patternFill>
      </fill>
    </dxf>
    <dxf>
      <fill>
        <patternFill>
          <bgColor rgb="FFFFC000"/>
        </patternFill>
      </fill>
    </dxf>
    <dxf>
      <fill>
        <patternFill>
          <bgColor theme="5" tint="0.79998168889431442"/>
        </patternFill>
      </fill>
    </dxf>
    <dxf>
      <fill>
        <patternFill>
          <bgColor theme="4" tint="0.39994506668294322"/>
        </patternFill>
      </fill>
    </dxf>
    <dxf>
      <fill>
        <patternFill>
          <bgColor rgb="FFFFC000"/>
        </patternFill>
      </fill>
    </dxf>
    <dxf>
      <fill>
        <patternFill>
          <bgColor theme="5" tint="0.79998168889431442"/>
        </patternFill>
      </fill>
    </dxf>
    <dxf>
      <fill>
        <patternFill>
          <bgColor theme="4" tint="0.39994506668294322"/>
        </patternFill>
      </fill>
    </dxf>
    <dxf>
      <fill>
        <patternFill>
          <bgColor rgb="FFFFC000"/>
        </patternFill>
      </fill>
    </dxf>
    <dxf>
      <fill>
        <patternFill>
          <bgColor theme="5" tint="0.79998168889431442"/>
        </patternFill>
      </fill>
    </dxf>
    <dxf>
      <fill>
        <patternFill>
          <bgColor theme="4" tint="0.39994506668294322"/>
        </patternFill>
      </fill>
    </dxf>
    <dxf>
      <fill>
        <patternFill>
          <bgColor rgb="FFFFC000"/>
        </patternFill>
      </fill>
    </dxf>
    <dxf>
      <fill>
        <patternFill>
          <bgColor theme="5" tint="0.79998168889431442"/>
        </patternFill>
      </fill>
    </dxf>
    <dxf>
      <fill>
        <patternFill>
          <bgColor theme="4" tint="0.39994506668294322"/>
        </patternFill>
      </fill>
    </dxf>
    <dxf>
      <fill>
        <patternFill>
          <bgColor rgb="FFFFC000"/>
        </patternFill>
      </fill>
    </dxf>
    <dxf>
      <fill>
        <patternFill>
          <bgColor theme="5" tint="0.79998168889431442"/>
        </patternFill>
      </fill>
    </dxf>
    <dxf>
      <fill>
        <patternFill>
          <bgColor theme="4" tint="0.39994506668294322"/>
        </patternFill>
      </fill>
    </dxf>
    <dxf>
      <fill>
        <patternFill>
          <bgColor rgb="FFFFC000"/>
        </patternFill>
      </fill>
    </dxf>
    <dxf>
      <fill>
        <patternFill>
          <bgColor theme="5" tint="0.79998168889431442"/>
        </patternFill>
      </fill>
    </dxf>
    <dxf>
      <fill>
        <patternFill>
          <bgColor theme="4" tint="0.39994506668294322"/>
        </patternFill>
      </fill>
    </dxf>
    <dxf>
      <fill>
        <patternFill>
          <bgColor rgb="FFFFC000"/>
        </patternFill>
      </fill>
    </dxf>
    <dxf>
      <fill>
        <patternFill>
          <bgColor theme="5" tint="0.79998168889431442"/>
        </patternFill>
      </fill>
    </dxf>
    <dxf>
      <fill>
        <patternFill>
          <bgColor theme="4" tint="0.39994506668294322"/>
        </patternFill>
      </fill>
    </dxf>
    <dxf>
      <fill>
        <patternFill>
          <bgColor rgb="FFFFC000"/>
        </patternFill>
      </fill>
    </dxf>
    <dxf>
      <fill>
        <patternFill>
          <bgColor theme="5" tint="0.79998168889431442"/>
        </patternFill>
      </fill>
    </dxf>
    <dxf>
      <fill>
        <patternFill>
          <bgColor theme="4" tint="0.39994506668294322"/>
        </patternFill>
      </fill>
    </dxf>
    <dxf>
      <fill>
        <patternFill>
          <bgColor rgb="FFFFC000"/>
        </patternFill>
      </fill>
    </dxf>
    <dxf>
      <fill>
        <patternFill>
          <bgColor theme="5" tint="0.79998168889431442"/>
        </patternFill>
      </fill>
    </dxf>
    <dxf>
      <fill>
        <patternFill>
          <bgColor theme="4" tint="0.39994506668294322"/>
        </patternFill>
      </fill>
    </dxf>
    <dxf>
      <fill>
        <patternFill>
          <bgColor rgb="FFFFC000"/>
        </patternFill>
      </fill>
    </dxf>
    <dxf>
      <fill>
        <patternFill>
          <bgColor theme="5" tint="0.79998168889431442"/>
        </patternFill>
      </fill>
    </dxf>
    <dxf>
      <fill>
        <patternFill>
          <bgColor theme="4" tint="0.39994506668294322"/>
        </patternFill>
      </fill>
    </dxf>
    <dxf>
      <fill>
        <patternFill>
          <bgColor rgb="FFFFC000"/>
        </patternFill>
      </fill>
    </dxf>
    <dxf>
      <fill>
        <patternFill>
          <bgColor theme="5" tint="0.79998168889431442"/>
        </patternFill>
      </fill>
    </dxf>
    <dxf>
      <fill>
        <patternFill>
          <bgColor theme="4" tint="0.39994506668294322"/>
        </patternFill>
      </fill>
    </dxf>
    <dxf>
      <fill>
        <patternFill>
          <bgColor rgb="FFFF0000"/>
        </patternFill>
      </fill>
    </dxf>
    <dxf>
      <fill>
        <patternFill>
          <bgColor rgb="FFFFC000"/>
        </patternFill>
      </fill>
    </dxf>
    <dxf>
      <fill>
        <patternFill>
          <bgColor rgb="FFFFC000"/>
        </patternFill>
      </fill>
    </dxf>
    <dxf>
      <fill>
        <patternFill>
          <bgColor theme="5" tint="0.79998168889431442"/>
        </patternFill>
      </fill>
    </dxf>
    <dxf>
      <fill>
        <patternFill>
          <bgColor theme="4" tint="0.39994506668294322"/>
        </patternFill>
      </fill>
    </dxf>
    <dxf>
      <fill>
        <patternFill>
          <bgColor rgb="FFFFC000"/>
        </patternFill>
      </fill>
    </dxf>
    <dxf>
      <fill>
        <patternFill>
          <bgColor theme="5" tint="0.79998168889431442"/>
        </patternFill>
      </fill>
    </dxf>
    <dxf>
      <fill>
        <patternFill>
          <bgColor theme="4" tint="0.39994506668294322"/>
        </patternFill>
      </fill>
    </dxf>
    <dxf>
      <fill>
        <patternFill>
          <bgColor rgb="FFFFC000"/>
        </patternFill>
      </fill>
    </dxf>
    <dxf>
      <fill>
        <patternFill>
          <bgColor theme="5" tint="0.79998168889431442"/>
        </patternFill>
      </fill>
    </dxf>
    <dxf>
      <fill>
        <patternFill>
          <bgColor theme="4" tint="0.39994506668294322"/>
        </patternFill>
      </fill>
    </dxf>
    <dxf>
      <fill>
        <patternFill>
          <bgColor rgb="FFFFC000"/>
        </patternFill>
      </fill>
    </dxf>
    <dxf>
      <fill>
        <patternFill>
          <bgColor theme="5" tint="0.79998168889431442"/>
        </patternFill>
      </fill>
    </dxf>
    <dxf>
      <fill>
        <patternFill>
          <bgColor theme="4" tint="0.39994506668294322"/>
        </patternFill>
      </fill>
    </dxf>
    <dxf>
      <fill>
        <patternFill>
          <bgColor rgb="FFFFC000"/>
        </patternFill>
      </fill>
    </dxf>
    <dxf>
      <fill>
        <patternFill>
          <bgColor theme="5" tint="0.79998168889431442"/>
        </patternFill>
      </fill>
    </dxf>
    <dxf>
      <fill>
        <patternFill>
          <bgColor theme="4" tint="0.39994506668294322"/>
        </patternFill>
      </fill>
    </dxf>
    <dxf>
      <fill>
        <patternFill>
          <bgColor rgb="FFFFC000"/>
        </patternFill>
      </fill>
    </dxf>
    <dxf>
      <fill>
        <patternFill>
          <bgColor theme="5" tint="0.79998168889431442"/>
        </patternFill>
      </fill>
    </dxf>
    <dxf>
      <fill>
        <patternFill>
          <bgColor theme="4" tint="0.39994506668294322"/>
        </patternFill>
      </fill>
    </dxf>
    <dxf>
      <fill>
        <patternFill>
          <bgColor rgb="FFFFC000"/>
        </patternFill>
      </fill>
    </dxf>
    <dxf>
      <fill>
        <patternFill>
          <bgColor theme="5" tint="0.79998168889431442"/>
        </patternFill>
      </fill>
    </dxf>
    <dxf>
      <fill>
        <patternFill>
          <bgColor theme="4" tint="0.39994506668294322"/>
        </patternFill>
      </fill>
    </dxf>
    <dxf>
      <fill>
        <patternFill>
          <bgColor rgb="FFFFC000"/>
        </patternFill>
      </fill>
    </dxf>
    <dxf>
      <fill>
        <patternFill>
          <bgColor theme="5" tint="0.79998168889431442"/>
        </patternFill>
      </fill>
    </dxf>
    <dxf>
      <fill>
        <patternFill>
          <bgColor theme="4" tint="0.39994506668294322"/>
        </patternFill>
      </fill>
    </dxf>
    <dxf>
      <fill>
        <patternFill>
          <bgColor rgb="FFFFC000"/>
        </patternFill>
      </fill>
    </dxf>
    <dxf>
      <fill>
        <patternFill>
          <bgColor theme="5" tint="0.79998168889431442"/>
        </patternFill>
      </fill>
    </dxf>
    <dxf>
      <fill>
        <patternFill>
          <bgColor theme="4" tint="0.39994506668294322"/>
        </patternFill>
      </fill>
    </dxf>
    <dxf>
      <fill>
        <patternFill>
          <bgColor rgb="FFFFC000"/>
        </patternFill>
      </fill>
    </dxf>
    <dxf>
      <fill>
        <patternFill>
          <bgColor theme="5" tint="0.79998168889431442"/>
        </patternFill>
      </fill>
    </dxf>
    <dxf>
      <fill>
        <patternFill>
          <bgColor theme="4" tint="0.39994506668294322"/>
        </patternFill>
      </fill>
    </dxf>
    <dxf>
      <fill>
        <patternFill>
          <bgColor rgb="FFFFC000"/>
        </patternFill>
      </fill>
    </dxf>
    <dxf>
      <fill>
        <patternFill>
          <bgColor theme="5" tint="0.79998168889431442"/>
        </patternFill>
      </fill>
    </dxf>
    <dxf>
      <fill>
        <patternFill>
          <bgColor theme="4" tint="0.39994506668294322"/>
        </patternFill>
      </fill>
    </dxf>
    <dxf>
      <fill>
        <patternFill>
          <bgColor rgb="FFFFC000"/>
        </patternFill>
      </fill>
    </dxf>
    <dxf>
      <fill>
        <patternFill>
          <bgColor theme="5" tint="0.79998168889431442"/>
        </patternFill>
      </fill>
    </dxf>
    <dxf>
      <fill>
        <patternFill>
          <bgColor theme="4" tint="0.39994506668294322"/>
        </patternFill>
      </fill>
    </dxf>
    <dxf>
      <fill>
        <patternFill>
          <bgColor rgb="FFFFC000"/>
        </patternFill>
      </fill>
    </dxf>
    <dxf>
      <fill>
        <patternFill>
          <bgColor theme="5" tint="0.79998168889431442"/>
        </patternFill>
      </fill>
    </dxf>
    <dxf>
      <fill>
        <patternFill>
          <bgColor theme="4" tint="0.39994506668294322"/>
        </patternFill>
      </fill>
    </dxf>
    <dxf>
      <fill>
        <patternFill>
          <bgColor rgb="FFFFC000"/>
        </patternFill>
      </fill>
    </dxf>
    <dxf>
      <fill>
        <patternFill>
          <bgColor theme="5" tint="0.79998168889431442"/>
        </patternFill>
      </fill>
    </dxf>
    <dxf>
      <fill>
        <patternFill>
          <bgColor theme="4" tint="0.39994506668294322"/>
        </patternFill>
      </fill>
    </dxf>
    <dxf>
      <fill>
        <patternFill>
          <bgColor rgb="FFFFC000"/>
        </patternFill>
      </fill>
    </dxf>
    <dxf>
      <fill>
        <patternFill>
          <bgColor theme="5" tint="0.79998168889431442"/>
        </patternFill>
      </fill>
    </dxf>
    <dxf>
      <fill>
        <patternFill>
          <bgColor theme="4" tint="0.39994506668294322"/>
        </patternFill>
      </fill>
    </dxf>
    <dxf>
      <fill>
        <patternFill>
          <bgColor rgb="FFFFC000"/>
        </patternFill>
      </fill>
    </dxf>
    <dxf>
      <fill>
        <patternFill>
          <bgColor theme="5" tint="0.79998168889431442"/>
        </patternFill>
      </fill>
    </dxf>
    <dxf>
      <fill>
        <patternFill>
          <bgColor theme="4" tint="0.39994506668294322"/>
        </patternFill>
      </fill>
    </dxf>
    <dxf>
      <fill>
        <patternFill>
          <bgColor rgb="FFFFC000"/>
        </patternFill>
      </fill>
    </dxf>
    <dxf>
      <fill>
        <patternFill>
          <bgColor theme="5" tint="0.79998168889431442"/>
        </patternFill>
      </fill>
    </dxf>
    <dxf>
      <fill>
        <patternFill>
          <bgColor theme="4" tint="0.39994506668294322"/>
        </patternFill>
      </fill>
    </dxf>
    <dxf>
      <fill>
        <patternFill>
          <bgColor rgb="FFFFC000"/>
        </patternFill>
      </fill>
    </dxf>
    <dxf>
      <fill>
        <patternFill>
          <bgColor theme="5" tint="0.79998168889431442"/>
        </patternFill>
      </fill>
    </dxf>
    <dxf>
      <fill>
        <patternFill>
          <bgColor theme="4" tint="0.39994506668294322"/>
        </patternFill>
      </fill>
    </dxf>
    <dxf>
      <fill>
        <patternFill>
          <bgColor rgb="FFFF0000"/>
        </patternFill>
      </fill>
    </dxf>
    <dxf>
      <fill>
        <patternFill>
          <bgColor rgb="FFFFC000"/>
        </patternFill>
      </fill>
    </dxf>
    <dxf>
      <fill>
        <patternFill>
          <bgColor rgb="FFFFC000"/>
        </patternFill>
      </fill>
    </dxf>
    <dxf>
      <fill>
        <patternFill>
          <bgColor theme="5" tint="0.79998168889431442"/>
        </patternFill>
      </fill>
    </dxf>
    <dxf>
      <fill>
        <patternFill>
          <bgColor theme="4" tint="0.39994506668294322"/>
        </patternFill>
      </fill>
    </dxf>
    <dxf>
      <fill>
        <patternFill>
          <bgColor rgb="FFFFC000"/>
        </patternFill>
      </fill>
    </dxf>
    <dxf>
      <fill>
        <patternFill>
          <bgColor theme="5" tint="0.79998168889431442"/>
        </patternFill>
      </fill>
    </dxf>
    <dxf>
      <fill>
        <patternFill>
          <bgColor theme="4" tint="0.39994506668294322"/>
        </patternFill>
      </fill>
    </dxf>
    <dxf>
      <fill>
        <patternFill>
          <bgColor rgb="FFFFC000"/>
        </patternFill>
      </fill>
    </dxf>
    <dxf>
      <fill>
        <patternFill>
          <bgColor theme="5" tint="0.79998168889431442"/>
        </patternFill>
      </fill>
    </dxf>
    <dxf>
      <fill>
        <patternFill>
          <bgColor theme="4" tint="0.39994506668294322"/>
        </patternFill>
      </fill>
    </dxf>
    <dxf>
      <fill>
        <patternFill>
          <bgColor rgb="FFFFC000"/>
        </patternFill>
      </fill>
    </dxf>
    <dxf>
      <fill>
        <patternFill>
          <bgColor theme="5" tint="0.79998168889431442"/>
        </patternFill>
      </fill>
    </dxf>
    <dxf>
      <fill>
        <patternFill>
          <bgColor theme="4" tint="0.39994506668294322"/>
        </patternFill>
      </fill>
    </dxf>
    <dxf>
      <fill>
        <patternFill>
          <bgColor rgb="FFFFC000"/>
        </patternFill>
      </fill>
    </dxf>
    <dxf>
      <fill>
        <patternFill>
          <bgColor theme="5" tint="0.79998168889431442"/>
        </patternFill>
      </fill>
    </dxf>
    <dxf>
      <fill>
        <patternFill>
          <bgColor theme="4" tint="0.39994506668294322"/>
        </patternFill>
      </fill>
    </dxf>
    <dxf>
      <fill>
        <patternFill>
          <bgColor rgb="FFFFC000"/>
        </patternFill>
      </fill>
    </dxf>
    <dxf>
      <fill>
        <patternFill>
          <bgColor theme="5" tint="0.79998168889431442"/>
        </patternFill>
      </fill>
    </dxf>
    <dxf>
      <fill>
        <patternFill>
          <bgColor theme="4" tint="0.39994506668294322"/>
        </patternFill>
      </fill>
    </dxf>
    <dxf>
      <fill>
        <patternFill>
          <bgColor rgb="FFFF0000"/>
        </patternFill>
      </fill>
    </dxf>
    <dxf>
      <fill>
        <patternFill>
          <bgColor rgb="FFFFC000"/>
        </patternFill>
      </fill>
    </dxf>
    <dxf>
      <fill>
        <patternFill>
          <bgColor rgb="FFFFC000"/>
        </patternFill>
      </fill>
    </dxf>
    <dxf>
      <fill>
        <patternFill>
          <bgColor theme="5" tint="0.79998168889431442"/>
        </patternFill>
      </fill>
    </dxf>
    <dxf>
      <fill>
        <patternFill>
          <bgColor theme="4" tint="0.39994506668294322"/>
        </patternFill>
      </fill>
    </dxf>
    <dxf>
      <fill>
        <patternFill>
          <bgColor rgb="FFFFC000"/>
        </patternFill>
      </fill>
    </dxf>
    <dxf>
      <fill>
        <patternFill>
          <bgColor theme="5" tint="0.79998168889431442"/>
        </patternFill>
      </fill>
    </dxf>
    <dxf>
      <fill>
        <patternFill>
          <bgColor theme="4" tint="0.39994506668294322"/>
        </patternFill>
      </fill>
    </dxf>
    <dxf>
      <fill>
        <patternFill>
          <bgColor rgb="FFFFC000"/>
        </patternFill>
      </fill>
    </dxf>
    <dxf>
      <fill>
        <patternFill>
          <bgColor theme="5" tint="0.79998168889431442"/>
        </patternFill>
      </fill>
    </dxf>
    <dxf>
      <fill>
        <patternFill>
          <bgColor theme="4" tint="0.39994506668294322"/>
        </patternFill>
      </fill>
    </dxf>
    <dxf>
      <fill>
        <patternFill>
          <bgColor rgb="FFFF0000"/>
        </patternFill>
      </fill>
    </dxf>
    <dxf>
      <fill>
        <patternFill>
          <bgColor rgb="FFFFC000"/>
        </patternFill>
      </fill>
    </dxf>
    <dxf>
      <fill>
        <patternFill>
          <bgColor rgb="FFFFC000"/>
        </patternFill>
      </fill>
    </dxf>
    <dxf>
      <fill>
        <patternFill>
          <bgColor theme="5" tint="0.79998168889431442"/>
        </patternFill>
      </fill>
    </dxf>
    <dxf>
      <fill>
        <patternFill>
          <bgColor theme="4" tint="0.39994506668294322"/>
        </patternFill>
      </fill>
    </dxf>
    <dxf>
      <fill>
        <patternFill>
          <bgColor rgb="FFFFC000"/>
        </patternFill>
      </fill>
    </dxf>
    <dxf>
      <fill>
        <patternFill>
          <bgColor theme="5" tint="0.79998168889431442"/>
        </patternFill>
      </fill>
    </dxf>
    <dxf>
      <fill>
        <patternFill>
          <bgColor theme="4" tint="0.39994506668294322"/>
        </patternFill>
      </fill>
    </dxf>
    <dxf>
      <fill>
        <patternFill>
          <bgColor rgb="FFFFC000"/>
        </patternFill>
      </fill>
    </dxf>
    <dxf>
      <fill>
        <patternFill>
          <bgColor theme="5" tint="0.79998168889431442"/>
        </patternFill>
      </fill>
    </dxf>
    <dxf>
      <fill>
        <patternFill>
          <bgColor theme="4" tint="0.39994506668294322"/>
        </patternFill>
      </fill>
    </dxf>
    <dxf>
      <fill>
        <patternFill>
          <bgColor rgb="FFFFC000"/>
        </patternFill>
      </fill>
    </dxf>
    <dxf>
      <fill>
        <patternFill>
          <bgColor theme="5" tint="0.79998168889431442"/>
        </patternFill>
      </fill>
    </dxf>
    <dxf>
      <fill>
        <patternFill>
          <bgColor theme="4" tint="0.39994506668294322"/>
        </patternFill>
      </fill>
    </dxf>
    <dxf>
      <fill>
        <patternFill>
          <bgColor rgb="FFFFC000"/>
        </patternFill>
      </fill>
    </dxf>
    <dxf>
      <fill>
        <patternFill>
          <bgColor theme="5" tint="0.79998168889431442"/>
        </patternFill>
      </fill>
    </dxf>
    <dxf>
      <fill>
        <patternFill>
          <bgColor theme="4" tint="0.39994506668294322"/>
        </patternFill>
      </fill>
    </dxf>
    <dxf>
      <fill>
        <patternFill>
          <bgColor rgb="FFFFC000"/>
        </patternFill>
      </fill>
    </dxf>
    <dxf>
      <fill>
        <patternFill>
          <bgColor theme="5" tint="0.79998168889431442"/>
        </patternFill>
      </fill>
    </dxf>
    <dxf>
      <fill>
        <patternFill>
          <bgColor theme="4" tint="0.39994506668294322"/>
        </patternFill>
      </fill>
    </dxf>
    <dxf>
      <fill>
        <patternFill>
          <bgColor rgb="FFFFC000"/>
        </patternFill>
      </fill>
    </dxf>
    <dxf>
      <fill>
        <patternFill>
          <bgColor theme="5" tint="0.79998168889431442"/>
        </patternFill>
      </fill>
    </dxf>
    <dxf>
      <fill>
        <patternFill>
          <bgColor theme="4" tint="0.39994506668294322"/>
        </patternFill>
      </fill>
    </dxf>
    <dxf>
      <fill>
        <patternFill>
          <bgColor rgb="FFFFC000"/>
        </patternFill>
      </fill>
    </dxf>
    <dxf>
      <fill>
        <patternFill>
          <bgColor theme="5" tint="0.79998168889431442"/>
        </patternFill>
      </fill>
    </dxf>
    <dxf>
      <fill>
        <patternFill>
          <bgColor theme="4" tint="0.39994506668294322"/>
        </patternFill>
      </fill>
    </dxf>
    <dxf>
      <fill>
        <patternFill>
          <bgColor rgb="FFFFC000"/>
        </patternFill>
      </fill>
    </dxf>
    <dxf>
      <fill>
        <patternFill>
          <bgColor theme="5" tint="0.79998168889431442"/>
        </patternFill>
      </fill>
    </dxf>
    <dxf>
      <fill>
        <patternFill>
          <bgColor theme="4" tint="0.39994506668294322"/>
        </patternFill>
      </fill>
    </dxf>
    <dxf>
      <fill>
        <patternFill>
          <bgColor rgb="FFFFC000"/>
        </patternFill>
      </fill>
    </dxf>
    <dxf>
      <fill>
        <patternFill>
          <bgColor theme="5" tint="0.79998168889431442"/>
        </patternFill>
      </fill>
    </dxf>
    <dxf>
      <fill>
        <patternFill>
          <bgColor theme="4" tint="0.39994506668294322"/>
        </patternFill>
      </fill>
    </dxf>
    <dxf>
      <fill>
        <patternFill>
          <bgColor rgb="FFFFC000"/>
        </patternFill>
      </fill>
    </dxf>
    <dxf>
      <fill>
        <patternFill>
          <bgColor theme="5" tint="0.79998168889431442"/>
        </patternFill>
      </fill>
    </dxf>
    <dxf>
      <fill>
        <patternFill>
          <bgColor theme="4" tint="0.39994506668294322"/>
        </patternFill>
      </fill>
    </dxf>
    <dxf>
      <fill>
        <patternFill>
          <bgColor rgb="FFFFC000"/>
        </patternFill>
      </fill>
    </dxf>
    <dxf>
      <fill>
        <patternFill>
          <bgColor theme="5" tint="0.79998168889431442"/>
        </patternFill>
      </fill>
    </dxf>
    <dxf>
      <fill>
        <patternFill>
          <bgColor theme="4" tint="0.39994506668294322"/>
        </patternFill>
      </fill>
    </dxf>
    <dxf>
      <fill>
        <patternFill>
          <bgColor rgb="FFFF0000"/>
        </patternFill>
      </fill>
    </dxf>
    <dxf>
      <fill>
        <patternFill>
          <bgColor rgb="FFFFC000"/>
        </patternFill>
      </fill>
    </dxf>
    <dxf>
      <fill>
        <patternFill>
          <bgColor rgb="FFFFC000"/>
        </patternFill>
      </fill>
    </dxf>
    <dxf>
      <fill>
        <patternFill>
          <bgColor theme="5" tint="0.79998168889431442"/>
        </patternFill>
      </fill>
    </dxf>
    <dxf>
      <fill>
        <patternFill>
          <bgColor theme="4" tint="0.39994506668294322"/>
        </patternFill>
      </fill>
    </dxf>
    <dxf>
      <fill>
        <patternFill>
          <bgColor rgb="FFFFC000"/>
        </patternFill>
      </fill>
    </dxf>
    <dxf>
      <fill>
        <patternFill>
          <bgColor theme="5" tint="0.79998168889431442"/>
        </patternFill>
      </fill>
    </dxf>
    <dxf>
      <fill>
        <patternFill>
          <bgColor theme="4" tint="0.39994506668294322"/>
        </patternFill>
      </fill>
    </dxf>
    <dxf>
      <fill>
        <patternFill>
          <bgColor rgb="FFFFC000"/>
        </patternFill>
      </fill>
    </dxf>
    <dxf>
      <fill>
        <patternFill>
          <bgColor theme="5" tint="0.79998168889431442"/>
        </patternFill>
      </fill>
    </dxf>
    <dxf>
      <fill>
        <patternFill>
          <bgColor theme="4" tint="0.39994506668294322"/>
        </patternFill>
      </fill>
    </dxf>
    <dxf>
      <fill>
        <patternFill>
          <bgColor rgb="FFFFC000"/>
        </patternFill>
      </fill>
    </dxf>
    <dxf>
      <fill>
        <patternFill>
          <bgColor theme="5" tint="0.79998168889431442"/>
        </patternFill>
      </fill>
    </dxf>
    <dxf>
      <fill>
        <patternFill>
          <bgColor theme="4" tint="0.39994506668294322"/>
        </patternFill>
      </fill>
    </dxf>
    <dxf>
      <fill>
        <patternFill>
          <bgColor rgb="FFFFC000"/>
        </patternFill>
      </fill>
    </dxf>
    <dxf>
      <fill>
        <patternFill>
          <bgColor theme="5" tint="0.79998168889431442"/>
        </patternFill>
      </fill>
    </dxf>
    <dxf>
      <fill>
        <patternFill>
          <bgColor theme="4" tint="0.39994506668294322"/>
        </patternFill>
      </fill>
    </dxf>
    <dxf>
      <fill>
        <patternFill>
          <bgColor rgb="FFFFC000"/>
        </patternFill>
      </fill>
    </dxf>
    <dxf>
      <fill>
        <patternFill>
          <bgColor theme="5" tint="0.79998168889431442"/>
        </patternFill>
      </fill>
    </dxf>
    <dxf>
      <fill>
        <patternFill>
          <bgColor theme="4" tint="0.39994506668294322"/>
        </patternFill>
      </fill>
    </dxf>
    <dxf>
      <fill>
        <patternFill>
          <bgColor theme="4" tint="0.39994506668294322"/>
        </patternFill>
      </fill>
    </dxf>
    <dxf>
      <fill>
        <patternFill>
          <bgColor rgb="FFFFC000"/>
        </patternFill>
      </fill>
    </dxf>
    <dxf>
      <fill>
        <patternFill>
          <bgColor rgb="FFFFC000"/>
        </patternFill>
      </fill>
    </dxf>
    <dxf>
      <fill>
        <patternFill>
          <bgColor theme="5" tint="0.79998168889431442"/>
        </patternFill>
      </fill>
    </dxf>
    <dxf>
      <fill>
        <patternFill>
          <bgColor theme="4" tint="0.39994506668294322"/>
        </patternFill>
      </fill>
    </dxf>
    <dxf>
      <fill>
        <patternFill>
          <bgColor rgb="FFFFC000"/>
        </patternFill>
      </fill>
    </dxf>
    <dxf>
      <fill>
        <patternFill>
          <bgColor theme="5" tint="0.79998168889431442"/>
        </patternFill>
      </fill>
    </dxf>
    <dxf>
      <fill>
        <patternFill>
          <bgColor theme="4" tint="0.39994506668294322"/>
        </patternFill>
      </fill>
    </dxf>
    <dxf>
      <fill>
        <patternFill>
          <bgColor rgb="FFFFC000"/>
        </patternFill>
      </fill>
    </dxf>
    <dxf>
      <fill>
        <patternFill>
          <bgColor theme="5" tint="0.79998168889431442"/>
        </patternFill>
      </fill>
    </dxf>
    <dxf>
      <fill>
        <patternFill>
          <bgColor theme="4" tint="0.3999450666829432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2</xdr:col>
      <xdr:colOff>1749612</xdr:colOff>
      <xdr:row>9</xdr:row>
      <xdr:rowOff>1326218</xdr:rowOff>
    </xdr:from>
    <xdr:to>
      <xdr:col>2</xdr:col>
      <xdr:colOff>3616362</xdr:colOff>
      <xdr:row>12</xdr:row>
      <xdr:rowOff>41112</xdr:rowOff>
    </xdr:to>
    <xdr:pic>
      <xdr:nvPicPr>
        <xdr:cNvPr id="2" name="Google Shape;12;p1" descr="Logo&#10;&#10;Description automatically generated">
          <a:extLst>
            <a:ext uri="{FF2B5EF4-FFF2-40B4-BE49-F238E27FC236}">
              <a16:creationId xmlns:a16="http://schemas.microsoft.com/office/drawing/2014/main" id="{CC48EF1B-C332-4AA8-A434-73293917B361}"/>
            </a:ext>
          </a:extLst>
        </xdr:cNvPr>
        <xdr:cNvPicPr preferRelativeResize="0"/>
      </xdr:nvPicPr>
      <xdr:blipFill rotWithShape="1">
        <a:blip xmlns:r="http://schemas.openxmlformats.org/officeDocument/2006/relationships" r:embed="rId1">
          <a:alphaModFix/>
        </a:blip>
        <a:srcRect l="30364" t="23078"/>
        <a:stretch/>
      </xdr:blipFill>
      <xdr:spPr>
        <a:xfrm>
          <a:off x="4558680" y="8677150"/>
          <a:ext cx="1866750" cy="598369"/>
        </a:xfrm>
        <a:prstGeom prst="rect">
          <a:avLst/>
        </a:prstGeom>
        <a:noFill/>
        <a:ln>
          <a:noFill/>
        </a:ln>
      </xdr:spPr>
    </xdr:pic>
    <xdr:clientData/>
  </xdr:twoCellAnchor>
  <xdr:twoCellAnchor editAs="oneCell">
    <xdr:from>
      <xdr:col>2</xdr:col>
      <xdr:colOff>3844365</xdr:colOff>
      <xdr:row>9</xdr:row>
      <xdr:rowOff>1324510</xdr:rowOff>
    </xdr:from>
    <xdr:to>
      <xdr:col>2</xdr:col>
      <xdr:colOff>4912100</xdr:colOff>
      <xdr:row>11</xdr:row>
      <xdr:rowOff>169269</xdr:rowOff>
    </xdr:to>
    <xdr:pic>
      <xdr:nvPicPr>
        <xdr:cNvPr id="3" name="Picture 2" descr="Logo, company name&#10;&#10;Description automatically generated">
          <a:extLst>
            <a:ext uri="{FF2B5EF4-FFF2-40B4-BE49-F238E27FC236}">
              <a16:creationId xmlns:a16="http://schemas.microsoft.com/office/drawing/2014/main" id="{2917A8E2-B67A-43CB-9066-3F7DF11EC045}"/>
            </a:ext>
          </a:extLst>
        </xdr:cNvPr>
        <xdr:cNvPicPr>
          <a:picLocks noChangeAspect="1"/>
        </xdr:cNvPicPr>
      </xdr:nvPicPr>
      <xdr:blipFill>
        <a:blip xmlns:r="http://schemas.openxmlformats.org/officeDocument/2006/relationships" r:embed="rId2"/>
        <a:stretch>
          <a:fillRect/>
        </a:stretch>
      </xdr:blipFill>
      <xdr:spPr>
        <a:xfrm>
          <a:off x="6673850" y="8290834"/>
          <a:ext cx="1067735" cy="531804"/>
        </a:xfrm>
        <a:prstGeom prst="rect">
          <a:avLst/>
        </a:prstGeom>
      </xdr:spPr>
    </xdr:pic>
    <xdr:clientData/>
  </xdr:twoCellAnchor>
</xdr:wsDr>
</file>

<file path=xl/theme/theme1.xml><?xml version="1.0" encoding="utf-8"?>
<a:theme xmlns:a="http://schemas.openxmlformats.org/drawingml/2006/main" name="Office Theme">
  <a:themeElements>
    <a:clrScheme name="Custom 3">
      <a:dk1>
        <a:sysClr val="windowText" lastClr="000000"/>
      </a:dk1>
      <a:lt1>
        <a:sysClr val="window" lastClr="FFFFFF"/>
      </a:lt1>
      <a:dk2>
        <a:srgbClr val="44546A"/>
      </a:dk2>
      <a:lt2>
        <a:srgbClr val="FFFFFF"/>
      </a:lt2>
      <a:accent1>
        <a:srgbClr val="FF6252"/>
      </a:accent1>
      <a:accent2>
        <a:srgbClr val="00AF91"/>
      </a:accent2>
      <a:accent3>
        <a:srgbClr val="3CEBAF"/>
      </a:accent3>
      <a:accent4>
        <a:srgbClr val="22AFF6"/>
      </a:accent4>
      <a:accent5>
        <a:srgbClr val="4472C4"/>
      </a:accent5>
      <a:accent6>
        <a:srgbClr val="7F6DE9"/>
      </a:accent6>
      <a:hlink>
        <a:srgbClr val="000000"/>
      </a:hlink>
      <a:folHlink>
        <a:srgbClr val="000000"/>
      </a:folHlink>
    </a:clrScheme>
    <a:fontScheme name="GIF Font">
      <a:majorFont>
        <a:latin typeface="Montserrat Black"/>
        <a:ea typeface=""/>
        <a:cs typeface=""/>
      </a:majorFont>
      <a:minorFont>
        <a:latin typeface="Montserrat"/>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https://www.acevo.org.uk/reports/home-truths/" TargetMode="External"/><Relationship Id="rId2" Type="http://schemas.openxmlformats.org/officeDocument/2006/relationships/hyperlink" Target="https://organizingengagement.org/models/ladder-of-citizen-participation/" TargetMode="External"/><Relationship Id="rId1" Type="http://schemas.openxmlformats.org/officeDocument/2006/relationships/hyperlink" Target="https://organizingengagement.org/models/ladder-of-empowerment/" TargetMode="External"/><Relationship Id="rId5" Type="http://schemas.openxmlformats.org/officeDocument/2006/relationships/printerSettings" Target="../printerSettings/printerSettings2.bin"/><Relationship Id="rId4" Type="http://schemas.openxmlformats.org/officeDocument/2006/relationships/hyperlink" Target="https://fisherpub.sjfc.edu/cgi/viewcontent.cgi?article=1006&amp;context=education_etd" TargetMode="External"/></Relationships>
</file>

<file path=xl/worksheets/_rels/sheet3.xml.rels><?xml version="1.0" encoding="UTF-8" standalone="yes"?>
<Relationships xmlns="http://schemas.openxmlformats.org/package/2006/relationships"><Relationship Id="rId3" Type="http://schemas.openxmlformats.org/officeDocument/2006/relationships/hyperlink" Target="https://cms.wellcome.org/sites/default/files/2021-06/Wellcomes-Anti-racist-principles-and-toolkit-2021.pdf" TargetMode="External"/><Relationship Id="rId2" Type="http://schemas.openxmlformats.org/officeDocument/2006/relationships/hyperlink" Target="https://www.theatlantic.com/ideas/archive/2020/06/time-to-capitalize-blackand-white/613159/" TargetMode="External"/><Relationship Id="rId1" Type="http://schemas.openxmlformats.org/officeDocument/2006/relationships/hyperlink" Target="https://feministkilljoys.com/" TargetMode="External"/><Relationship Id="rId5" Type="http://schemas.openxmlformats.org/officeDocument/2006/relationships/printerSettings" Target="../printerSettings/printerSettings3.bin"/><Relationship Id="rId4" Type="http://schemas.openxmlformats.org/officeDocument/2006/relationships/hyperlink" Target="https://www.thinknpc.org/resource-hub/diversity-in-governance-the-what-why-and-how/" TargetMode="External"/></Relationships>
</file>

<file path=xl/worksheets/_rels/sheet4.xml.rels><?xml version="1.0" encoding="UTF-8" standalone="yes"?>
<Relationships xmlns="http://schemas.openxmlformats.org/package/2006/relationships"><Relationship Id="rId3" Type="http://schemas.openxmlformats.org/officeDocument/2006/relationships/hyperlink" Target="https://knowhow.ncvo.org.uk/how-to/how-to-build-a-theory-of-change" TargetMode="External"/><Relationship Id="rId2" Type="http://schemas.openxmlformats.org/officeDocument/2006/relationships/hyperlink" Target="https://evaluationsupportscotland.org.uk/resources/interactive-logic-model-template/" TargetMode="External"/><Relationship Id="rId1" Type="http://schemas.openxmlformats.org/officeDocument/2006/relationships/hyperlink" Target="https://www.thinknpc.org/resource-hub/ten-steps/" TargetMode="External"/><Relationship Id="rId4"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hyperlink" Target="https://www.gsma.com/aboutus/wp-content/uploads/2020/11/GSMA-Inclusive-Language-Guide_2020.pdf?fbclid=IwAR1DRe-CGvJqraLTEwRsVS4CucRP-M_1OOhep8ZIXa22uYA-RHasM_LgfyU" TargetMode="External"/><Relationship Id="rId2" Type="http://schemas.openxmlformats.org/officeDocument/2006/relationships/hyperlink" Target="https://www.equallyours.org.uk/wp-content/uploads/2019/11/Talking-about-equality-guide.pdf" TargetMode="External"/><Relationship Id="rId1" Type="http://schemas.openxmlformats.org/officeDocument/2006/relationships/hyperlink" Target="https://www.stonewall.org.uk/best-practice-toolkits-and-resources" TargetMode="External"/><Relationship Id="rId4"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hyperlink" Target="https://socialvalueuk.org/resource/maximise-impact/" TargetMode="External"/></Relationships>
</file>

<file path=xl/worksheets/_rels/sheet7.xml.rels><?xml version="1.0" encoding="UTF-8" standalone="yes"?>
<Relationships xmlns="http://schemas.openxmlformats.org/package/2006/relationships"><Relationship Id="rId3" Type="http://schemas.openxmlformats.org/officeDocument/2006/relationships/hyperlink" Target="https://www.socialvalueint.org/principle-1-involve-stakeholders" TargetMode="External"/><Relationship Id="rId2" Type="http://schemas.openxmlformats.org/officeDocument/2006/relationships/hyperlink" Target="https://storiesforimpact.com/toolbox/stakeholder-map/" TargetMode="External"/><Relationship Id="rId1" Type="http://schemas.openxmlformats.org/officeDocument/2006/relationships/hyperlink" Target="https://www.accountability.org/standards/aa1000-stakeholder-engagement-standard/"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https://www.iso.org/standard/71164.html" TargetMode="Externa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0232CC-7751-41D2-B588-4978C77781F3}">
  <sheetPr codeName="Sheet1"/>
  <dimension ref="B1:T23"/>
  <sheetViews>
    <sheetView zoomScale="59" zoomScaleNormal="85" workbookViewId="0">
      <selection activeCell="C10" sqref="C10"/>
    </sheetView>
  </sheetViews>
  <sheetFormatPr defaultColWidth="8.5" defaultRowHeight="16.8"/>
  <cols>
    <col min="1" max="1" width="8.5" style="32"/>
    <col min="2" max="2" width="21.08203125" style="32" customWidth="1"/>
    <col min="3" max="3" width="106.5" style="32" customWidth="1"/>
    <col min="4" max="16384" width="8.5" style="32"/>
  </cols>
  <sheetData>
    <row r="1" spans="2:20" ht="39" customHeight="1" thickBot="1"/>
    <row r="2" spans="2:20" ht="64.5" customHeight="1" thickBot="1">
      <c r="B2" s="201" t="s">
        <v>496</v>
      </c>
      <c r="C2" s="202"/>
      <c r="D2" s="203"/>
      <c r="E2" s="123"/>
      <c r="F2" s="123"/>
      <c r="G2" s="123"/>
      <c r="H2" s="123"/>
      <c r="I2" s="123"/>
      <c r="J2" s="123"/>
      <c r="K2" s="123"/>
      <c r="L2" s="123"/>
      <c r="M2" s="123"/>
      <c r="N2" s="123"/>
      <c r="O2" s="123"/>
      <c r="P2" s="123"/>
      <c r="Q2" s="123"/>
      <c r="R2" s="123"/>
      <c r="S2" s="123"/>
      <c r="T2" s="123"/>
    </row>
    <row r="3" spans="2:20">
      <c r="B3" s="46"/>
      <c r="C3" s="47"/>
      <c r="D3" s="48"/>
      <c r="E3" s="40"/>
      <c r="F3" s="40"/>
      <c r="G3" s="40"/>
      <c r="H3" s="40"/>
      <c r="I3" s="40"/>
      <c r="J3" s="40"/>
      <c r="K3" s="40"/>
      <c r="L3" s="40"/>
      <c r="M3" s="40"/>
      <c r="N3" s="40"/>
      <c r="O3" s="40"/>
      <c r="P3" s="40"/>
      <c r="Q3" s="40"/>
      <c r="R3" s="40"/>
      <c r="S3" s="40"/>
      <c r="T3" s="40"/>
    </row>
    <row r="4" spans="2:20" ht="100.8">
      <c r="B4" s="49" t="s">
        <v>0</v>
      </c>
      <c r="C4" s="124" t="s">
        <v>497</v>
      </c>
      <c r="D4" s="48"/>
      <c r="E4" s="40"/>
      <c r="F4" s="40"/>
      <c r="G4" s="40"/>
      <c r="H4" s="40"/>
      <c r="I4" s="40"/>
      <c r="J4" s="40"/>
      <c r="K4" s="40"/>
      <c r="L4" s="40"/>
      <c r="M4" s="40"/>
      <c r="N4" s="40"/>
      <c r="O4" s="40"/>
      <c r="P4" s="40"/>
      <c r="Q4" s="40"/>
      <c r="R4" s="40"/>
      <c r="S4" s="40"/>
      <c r="T4" s="40"/>
    </row>
    <row r="5" spans="2:20" ht="21.6">
      <c r="B5" s="49"/>
      <c r="C5" s="124"/>
      <c r="D5" s="48"/>
      <c r="E5" s="40"/>
      <c r="F5" s="40"/>
      <c r="G5" s="40"/>
      <c r="H5" s="40"/>
      <c r="I5" s="40"/>
      <c r="J5" s="40"/>
      <c r="K5" s="40"/>
      <c r="L5" s="40"/>
      <c r="M5" s="40"/>
      <c r="N5" s="40"/>
      <c r="O5" s="40"/>
      <c r="P5" s="40"/>
      <c r="Q5" s="40"/>
      <c r="R5" s="40"/>
      <c r="S5" s="40"/>
      <c r="T5" s="40"/>
    </row>
    <row r="6" spans="2:20" ht="95.1" customHeight="1" thickBot="1">
      <c r="B6" s="49" t="s">
        <v>1</v>
      </c>
      <c r="C6" s="38" t="s">
        <v>498</v>
      </c>
      <c r="D6" s="48"/>
      <c r="E6" s="40"/>
      <c r="F6" s="40"/>
      <c r="G6" s="40"/>
      <c r="H6" s="40"/>
      <c r="I6" s="40"/>
      <c r="J6" s="40"/>
      <c r="K6" s="40"/>
      <c r="L6" s="40"/>
      <c r="M6" s="40"/>
      <c r="N6" s="40"/>
      <c r="O6" s="40"/>
      <c r="P6" s="40"/>
      <c r="Q6" s="40"/>
      <c r="R6" s="40"/>
      <c r="S6" s="40"/>
      <c r="T6" s="40"/>
    </row>
    <row r="7" spans="2:20" ht="22.2" thickBot="1">
      <c r="B7" s="204" t="s">
        <v>324</v>
      </c>
      <c r="C7" s="205"/>
      <c r="D7" s="206"/>
    </row>
    <row r="8" spans="2:20" ht="43.2">
      <c r="B8" s="130" t="s">
        <v>327</v>
      </c>
      <c r="C8" s="131" t="s">
        <v>323</v>
      </c>
      <c r="D8" s="35"/>
    </row>
    <row r="9" spans="2:20" ht="195.75" customHeight="1">
      <c r="B9" s="130" t="s">
        <v>328</v>
      </c>
      <c r="C9" s="131" t="s">
        <v>499</v>
      </c>
      <c r="D9" s="35"/>
    </row>
    <row r="10" spans="2:20" ht="115.5" customHeight="1">
      <c r="B10" s="130" t="s">
        <v>325</v>
      </c>
      <c r="C10" s="131" t="s">
        <v>326</v>
      </c>
      <c r="D10" s="35"/>
    </row>
    <row r="11" spans="2:20">
      <c r="B11" s="127" t="s">
        <v>2</v>
      </c>
      <c r="C11" s="126" t="s">
        <v>500</v>
      </c>
      <c r="D11" s="35"/>
    </row>
    <row r="12" spans="2:20" ht="17.399999999999999" thickBot="1">
      <c r="B12" s="128" t="s">
        <v>3</v>
      </c>
      <c r="C12" s="129">
        <v>44958</v>
      </c>
      <c r="D12" s="36"/>
    </row>
    <row r="13" spans="2:20" ht="62.25" customHeight="1">
      <c r="B13" s="207" t="s">
        <v>330</v>
      </c>
      <c r="C13" s="207"/>
      <c r="D13" s="207"/>
    </row>
    <row r="14" spans="2:20">
      <c r="B14" s="33"/>
      <c r="C14" s="33"/>
    </row>
    <row r="15" spans="2:20">
      <c r="B15" s="33"/>
      <c r="C15" s="33"/>
    </row>
    <row r="16" spans="2:20">
      <c r="B16" s="33"/>
      <c r="C16" s="33"/>
    </row>
    <row r="17" spans="2:3">
      <c r="B17" s="33"/>
      <c r="C17" s="33"/>
    </row>
    <row r="18" spans="2:3">
      <c r="B18" s="33"/>
      <c r="C18" s="33"/>
    </row>
    <row r="19" spans="2:3">
      <c r="B19" s="33"/>
      <c r="C19" s="33"/>
    </row>
    <row r="20" spans="2:3">
      <c r="B20" s="33"/>
      <c r="C20" s="33"/>
    </row>
    <row r="21" spans="2:3">
      <c r="B21" s="33"/>
      <c r="C21" s="33"/>
    </row>
    <row r="22" spans="2:3">
      <c r="B22" s="33"/>
      <c r="C22" s="33"/>
    </row>
    <row r="23" spans="2:3">
      <c r="B23" s="33"/>
      <c r="C23" s="33"/>
    </row>
  </sheetData>
  <mergeCells count="3">
    <mergeCell ref="B2:D2"/>
    <mergeCell ref="B7:D7"/>
    <mergeCell ref="B13:D13"/>
  </mergeCells>
  <pageMargins left="0.7" right="0.7" top="0.75" bottom="0.75" header="0.3" footer="0.3"/>
  <pageSetup orientation="portrait" r:id="rId1"/>
  <headerFooter>
    <oddHeader>&amp;C&amp;G</oddHeader>
  </headerFooter>
  <drawing r:id="rId2"/>
  <legacyDrawingHF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950A4C-2905-4B39-98DE-7E2F8890BEA1}">
  <sheetPr codeName="Sheet3"/>
  <dimension ref="A1:AM71"/>
  <sheetViews>
    <sheetView zoomScale="65" zoomScaleNormal="90" workbookViewId="0">
      <selection activeCell="D66" sqref="D66"/>
    </sheetView>
  </sheetViews>
  <sheetFormatPr defaultColWidth="0" defaultRowHeight="16.8" zeroHeight="1" outlineLevelRow="1"/>
  <cols>
    <col min="1" max="1" width="3.33203125" style="40" customWidth="1"/>
    <col min="2" max="2" width="25.9140625" style="40" customWidth="1"/>
    <col min="3" max="3" width="19.5" style="40" hidden="1" customWidth="1"/>
    <col min="4" max="4" width="27.08203125" style="40" customWidth="1"/>
    <col min="5" max="8" width="9.08203125" style="40" customWidth="1"/>
    <col min="9" max="9" width="26.83203125" style="40" customWidth="1"/>
    <col min="10" max="10" width="52.9140625" style="40" customWidth="1"/>
    <col min="11" max="11" width="8.5" style="40" hidden="1" customWidth="1"/>
    <col min="12" max="20" width="9.08203125" style="40" customWidth="1"/>
    <col min="21" max="21" width="17.58203125" style="120" customWidth="1"/>
    <col min="22" max="22" width="18.4140625" style="120" hidden="1" customWidth="1"/>
    <col min="23" max="30" width="9.08203125" style="40" hidden="1" customWidth="1"/>
    <col min="31" max="31" width="18.4140625" style="40" hidden="1" customWidth="1"/>
    <col min="32" max="35" width="9.08203125" style="40" hidden="1" customWidth="1"/>
    <col min="36" max="39" width="0" style="40" hidden="1" customWidth="1"/>
    <col min="40" max="16384" width="9.08203125" style="40" hidden="1"/>
  </cols>
  <sheetData>
    <row r="1" spans="2:29" ht="17.399999999999999" thickBot="1">
      <c r="V1" s="217"/>
      <c r="W1" s="217"/>
      <c r="X1" s="217"/>
      <c r="Y1" s="217"/>
      <c r="Z1" s="120"/>
      <c r="AA1" s="120"/>
      <c r="AB1" s="120"/>
      <c r="AC1" s="120"/>
    </row>
    <row r="2" spans="2:29" ht="34.200000000000003" thickBot="1">
      <c r="B2" s="158" t="s">
        <v>143</v>
      </c>
      <c r="C2" s="159"/>
      <c r="D2" s="167"/>
      <c r="E2" s="167"/>
      <c r="F2" s="167"/>
      <c r="G2" s="167"/>
      <c r="H2" s="167"/>
      <c r="I2" s="167"/>
      <c r="J2" s="167"/>
      <c r="K2" s="167"/>
      <c r="L2" s="167"/>
      <c r="M2" s="167"/>
      <c r="N2" s="167"/>
      <c r="O2" s="167"/>
      <c r="P2" s="167"/>
      <c r="Q2" s="167"/>
      <c r="R2" s="167"/>
      <c r="S2" s="167"/>
      <c r="T2" s="168"/>
      <c r="Z2" s="160"/>
      <c r="AA2" s="160"/>
      <c r="AB2" s="160"/>
      <c r="AC2" s="160"/>
    </row>
    <row r="3" spans="2:29" ht="48.6" customHeight="1" thickBot="1">
      <c r="B3" s="218" t="str">
        <f>'EDI Framework Criteria'!A2</f>
        <v>Understanding EDI Concepts: Knowledge of EDI concepts and frameworks</v>
      </c>
      <c r="C3" s="219"/>
      <c r="D3" s="219"/>
      <c r="E3" s="219"/>
      <c r="F3" s="219"/>
      <c r="G3" s="219"/>
      <c r="H3" s="219"/>
      <c r="I3" s="219"/>
      <c r="J3" s="219"/>
      <c r="K3" s="219"/>
      <c r="L3" s="219"/>
      <c r="M3" s="219"/>
      <c r="N3" s="219"/>
      <c r="O3" s="219"/>
      <c r="P3" s="219"/>
      <c r="Q3" s="219"/>
      <c r="R3" s="219"/>
      <c r="S3" s="219"/>
      <c r="T3" s="220"/>
      <c r="U3" s="120" t="s">
        <v>172</v>
      </c>
      <c r="V3" s="121">
        <v>2</v>
      </c>
      <c r="Z3" s="160"/>
      <c r="AA3" s="160"/>
      <c r="AB3" s="160"/>
      <c r="AC3" s="160"/>
    </row>
    <row r="4" spans="2:29">
      <c r="B4" s="195"/>
      <c r="C4" s="44"/>
      <c r="D4" s="44"/>
      <c r="E4" s="44"/>
      <c r="F4" s="44"/>
      <c r="G4" s="44"/>
      <c r="H4" s="44"/>
      <c r="I4" s="44"/>
      <c r="J4" s="44"/>
      <c r="K4" s="44"/>
      <c r="L4" s="44"/>
      <c r="M4" s="44"/>
      <c r="N4" s="44"/>
      <c r="O4" s="44"/>
      <c r="P4" s="44"/>
      <c r="Q4" s="44"/>
      <c r="R4" s="44"/>
      <c r="S4" s="44"/>
      <c r="T4" s="45"/>
      <c r="U4" s="99" t="s">
        <v>144</v>
      </c>
      <c r="V4" s="122">
        <v>1</v>
      </c>
      <c r="Z4" s="160"/>
      <c r="AA4" s="160"/>
      <c r="AB4" s="160"/>
      <c r="AC4" s="160"/>
    </row>
    <row r="5" spans="2:29" ht="21.6">
      <c r="B5" s="49" t="s">
        <v>145</v>
      </c>
      <c r="C5" s="50"/>
      <c r="D5" s="47"/>
      <c r="E5" s="47"/>
      <c r="F5" s="47"/>
      <c r="G5" s="47"/>
      <c r="H5" s="47"/>
      <c r="I5" s="47"/>
      <c r="J5" s="47"/>
      <c r="K5" s="47"/>
      <c r="L5" s="47"/>
      <c r="M5" s="47"/>
      <c r="N5" s="47"/>
      <c r="O5" s="47"/>
      <c r="P5" s="47"/>
      <c r="Q5" s="47"/>
      <c r="R5" s="47"/>
      <c r="S5" s="47"/>
      <c r="T5" s="48"/>
      <c r="U5" s="99" t="s">
        <v>175</v>
      </c>
      <c r="V5" s="122">
        <v>0</v>
      </c>
      <c r="Z5" s="160"/>
      <c r="AA5" s="160"/>
      <c r="AB5" s="160"/>
      <c r="AC5" s="160"/>
    </row>
    <row r="6" spans="2:29">
      <c r="B6" s="228" t="s">
        <v>393</v>
      </c>
      <c r="C6" s="229"/>
      <c r="D6" s="229"/>
      <c r="E6" s="229"/>
      <c r="F6" s="229"/>
      <c r="G6" s="229"/>
      <c r="H6" s="229"/>
      <c r="I6" s="229"/>
      <c r="J6" s="229"/>
      <c r="K6" s="47"/>
      <c r="L6" s="47"/>
      <c r="M6" s="47"/>
      <c r="N6" s="47"/>
      <c r="O6" s="47"/>
      <c r="P6" s="47"/>
      <c r="Q6" s="47"/>
      <c r="R6" s="47"/>
      <c r="S6" s="47"/>
      <c r="T6" s="48"/>
      <c r="U6" s="99"/>
      <c r="V6" s="122"/>
      <c r="Z6" s="160"/>
      <c r="AA6" s="160"/>
      <c r="AB6" s="160"/>
      <c r="AC6" s="160"/>
    </row>
    <row r="7" spans="2:29">
      <c r="B7" s="228"/>
      <c r="C7" s="229"/>
      <c r="D7" s="229"/>
      <c r="E7" s="229"/>
      <c r="F7" s="229"/>
      <c r="G7" s="229"/>
      <c r="H7" s="229"/>
      <c r="I7" s="229"/>
      <c r="J7" s="229"/>
      <c r="K7" s="47"/>
      <c r="L7" s="47"/>
      <c r="M7" s="47"/>
      <c r="N7" s="47"/>
      <c r="O7" s="47"/>
      <c r="P7" s="47"/>
      <c r="Q7" s="47"/>
      <c r="R7" s="47"/>
      <c r="S7" s="47"/>
      <c r="T7" s="48"/>
      <c r="U7" s="99" t="s">
        <v>173</v>
      </c>
      <c r="V7" s="122">
        <v>2</v>
      </c>
      <c r="Z7" s="160"/>
      <c r="AA7" s="160"/>
      <c r="AB7" s="160"/>
      <c r="AC7" s="160"/>
    </row>
    <row r="8" spans="2:29" ht="21.6">
      <c r="B8" s="49" t="s">
        <v>321</v>
      </c>
      <c r="C8" s="50"/>
      <c r="D8" s="47"/>
      <c r="E8" s="47"/>
      <c r="F8" s="47"/>
      <c r="G8" s="47"/>
      <c r="H8" s="47"/>
      <c r="I8" s="47"/>
      <c r="J8" s="47"/>
      <c r="K8" s="47"/>
      <c r="L8" s="47"/>
      <c r="M8" s="47"/>
      <c r="N8" s="47"/>
      <c r="O8" s="47"/>
      <c r="P8" s="47"/>
      <c r="Q8" s="47"/>
      <c r="R8" s="47"/>
      <c r="S8" s="47"/>
      <c r="T8" s="48"/>
      <c r="U8" s="120" t="s">
        <v>144</v>
      </c>
      <c r="V8" s="121">
        <v>1</v>
      </c>
      <c r="Z8" s="160"/>
      <c r="AA8" s="160"/>
      <c r="AB8" s="160"/>
      <c r="AC8" s="160"/>
    </row>
    <row r="9" spans="2:29" ht="18.75" customHeight="1" outlineLevel="1">
      <c r="B9" s="232" t="s">
        <v>146</v>
      </c>
      <c r="C9" s="233"/>
      <c r="D9" s="234" t="s">
        <v>147</v>
      </c>
      <c r="E9" s="235"/>
      <c r="F9" s="235"/>
      <c r="G9" s="235"/>
      <c r="H9" s="235"/>
      <c r="I9" s="235"/>
      <c r="J9" s="235"/>
      <c r="K9" s="235"/>
      <c r="L9" s="235"/>
      <c r="M9" s="235"/>
      <c r="N9" s="233"/>
      <c r="O9" s="240" t="s">
        <v>148</v>
      </c>
      <c r="P9" s="240"/>
      <c r="Q9" s="240"/>
      <c r="R9" s="240"/>
      <c r="S9" s="240"/>
      <c r="T9" s="241"/>
      <c r="U9" s="120" t="s">
        <v>176</v>
      </c>
      <c r="V9" s="121">
        <v>0</v>
      </c>
      <c r="Z9" s="160"/>
      <c r="AA9" s="160"/>
      <c r="AB9" s="160"/>
      <c r="AC9" s="160"/>
    </row>
    <row r="10" spans="2:29" ht="116.25" customHeight="1" outlineLevel="1">
      <c r="B10" s="227" t="s">
        <v>149</v>
      </c>
      <c r="C10" s="226"/>
      <c r="D10" s="224" t="s">
        <v>150</v>
      </c>
      <c r="E10" s="238"/>
      <c r="F10" s="238"/>
      <c r="G10" s="238"/>
      <c r="H10" s="238"/>
      <c r="I10" s="238"/>
      <c r="J10" s="238"/>
      <c r="K10" s="238"/>
      <c r="L10" s="238"/>
      <c r="M10" s="238"/>
      <c r="N10" s="239"/>
      <c r="O10" s="236" t="s">
        <v>151</v>
      </c>
      <c r="P10" s="242"/>
      <c r="Q10" s="242"/>
      <c r="R10" s="242"/>
      <c r="S10" s="242"/>
      <c r="T10" s="243"/>
      <c r="V10" s="121"/>
      <c r="Z10" s="160"/>
      <c r="AA10" s="160"/>
      <c r="AB10" s="160"/>
      <c r="AC10" s="160"/>
    </row>
    <row r="11" spans="2:29" ht="89.25" customHeight="1" outlineLevel="1">
      <c r="B11" s="227" t="s">
        <v>152</v>
      </c>
      <c r="C11" s="226"/>
      <c r="D11" s="224" t="s">
        <v>153</v>
      </c>
      <c r="E11" s="225"/>
      <c r="F11" s="225"/>
      <c r="G11" s="225"/>
      <c r="H11" s="225"/>
      <c r="I11" s="225"/>
      <c r="J11" s="225"/>
      <c r="K11" s="225"/>
      <c r="L11" s="225"/>
      <c r="M11" s="225"/>
      <c r="N11" s="226"/>
      <c r="O11" s="236" t="s">
        <v>154</v>
      </c>
      <c r="P11" s="236"/>
      <c r="Q11" s="236"/>
      <c r="R11" s="236"/>
      <c r="S11" s="236"/>
      <c r="T11" s="237"/>
      <c r="U11" s="120" t="s">
        <v>169</v>
      </c>
      <c r="V11" s="121">
        <v>2</v>
      </c>
      <c r="Z11" s="160"/>
      <c r="AA11" s="160"/>
      <c r="AB11" s="160"/>
      <c r="AC11" s="160"/>
    </row>
    <row r="12" spans="2:29" ht="74.25" customHeight="1" outlineLevel="1">
      <c r="B12" s="227" t="s">
        <v>155</v>
      </c>
      <c r="C12" s="226"/>
      <c r="D12" s="224" t="s">
        <v>156</v>
      </c>
      <c r="E12" s="225"/>
      <c r="F12" s="225"/>
      <c r="G12" s="225"/>
      <c r="H12" s="225"/>
      <c r="I12" s="225"/>
      <c r="J12" s="225"/>
      <c r="K12" s="225"/>
      <c r="L12" s="225"/>
      <c r="M12" s="225"/>
      <c r="N12" s="226"/>
      <c r="O12" s="236" t="s">
        <v>157</v>
      </c>
      <c r="P12" s="236"/>
      <c r="Q12" s="236"/>
      <c r="R12" s="236"/>
      <c r="S12" s="236"/>
      <c r="T12" s="237"/>
      <c r="U12" s="120" t="s">
        <v>144</v>
      </c>
      <c r="V12" s="121">
        <v>1</v>
      </c>
      <c r="Z12" s="160"/>
      <c r="AA12" s="160"/>
      <c r="AB12" s="160"/>
      <c r="AC12" s="160"/>
    </row>
    <row r="13" spans="2:29" ht="76.5" customHeight="1" outlineLevel="1">
      <c r="B13" s="227" t="s">
        <v>158</v>
      </c>
      <c r="C13" s="226"/>
      <c r="D13" s="224" t="s">
        <v>159</v>
      </c>
      <c r="E13" s="225"/>
      <c r="F13" s="225"/>
      <c r="G13" s="225"/>
      <c r="H13" s="225"/>
      <c r="I13" s="225"/>
      <c r="J13" s="225"/>
      <c r="K13" s="225"/>
      <c r="L13" s="225"/>
      <c r="M13" s="225"/>
      <c r="N13" s="226"/>
      <c r="O13" s="236" t="s">
        <v>160</v>
      </c>
      <c r="P13" s="236"/>
      <c r="Q13" s="236"/>
      <c r="R13" s="236"/>
      <c r="S13" s="236"/>
      <c r="T13" s="237"/>
      <c r="U13" s="99" t="s">
        <v>177</v>
      </c>
      <c r="V13" s="122">
        <v>0</v>
      </c>
      <c r="Z13" s="160"/>
      <c r="AA13" s="160"/>
      <c r="AB13" s="160"/>
      <c r="AC13" s="160"/>
    </row>
    <row r="14" spans="2:29">
      <c r="B14" s="37"/>
      <c r="C14" s="38"/>
      <c r="D14" s="38"/>
      <c r="E14" s="38"/>
      <c r="F14" s="38"/>
      <c r="G14" s="38"/>
      <c r="H14" s="38"/>
      <c r="I14" s="38"/>
      <c r="J14" s="38"/>
      <c r="K14" s="38"/>
      <c r="L14" s="38"/>
      <c r="M14" s="38"/>
      <c r="N14" s="38"/>
      <c r="O14" s="39"/>
      <c r="P14" s="39"/>
      <c r="Q14" s="39"/>
      <c r="R14" s="39"/>
      <c r="S14" s="39"/>
      <c r="T14" s="161"/>
      <c r="Z14" s="160"/>
      <c r="AA14" s="160"/>
      <c r="AB14" s="160"/>
      <c r="AC14" s="160"/>
    </row>
    <row r="15" spans="2:29" ht="20.399999999999999" customHeight="1">
      <c r="B15" s="230"/>
      <c r="C15" s="231"/>
      <c r="D15" s="231"/>
      <c r="E15" s="231"/>
      <c r="F15" s="231"/>
      <c r="G15" s="231"/>
      <c r="H15" s="231"/>
      <c r="I15" s="231"/>
      <c r="J15" s="231"/>
      <c r="K15" s="47"/>
      <c r="L15" s="47"/>
      <c r="M15" s="47"/>
      <c r="N15" s="47"/>
      <c r="O15" s="47"/>
      <c r="P15" s="47"/>
      <c r="Q15" s="47"/>
      <c r="R15" s="47"/>
      <c r="S15" s="47"/>
      <c r="T15" s="48"/>
      <c r="Z15" s="160"/>
      <c r="AA15" s="160"/>
      <c r="AB15" s="160"/>
      <c r="AC15" s="160"/>
    </row>
    <row r="16" spans="2:29" ht="17.399999999999999" thickBot="1">
      <c r="B16" s="68"/>
      <c r="C16" s="67"/>
      <c r="D16" s="67"/>
      <c r="E16" s="67"/>
      <c r="F16" s="67"/>
      <c r="G16" s="67"/>
      <c r="H16" s="67"/>
      <c r="I16" s="67"/>
      <c r="J16" s="67"/>
      <c r="K16" s="67"/>
      <c r="L16" s="67"/>
      <c r="M16" s="67"/>
      <c r="N16" s="67"/>
      <c r="O16" s="67"/>
      <c r="P16" s="67"/>
      <c r="Q16" s="67"/>
      <c r="R16" s="67"/>
      <c r="S16" s="67"/>
      <c r="T16" s="69"/>
      <c r="Z16" s="160"/>
      <c r="AA16" s="160"/>
      <c r="AB16" s="160"/>
      <c r="AC16" s="160"/>
    </row>
    <row r="17" spans="2:29" ht="21.6">
      <c r="B17" s="51" t="s">
        <v>161</v>
      </c>
      <c r="C17" s="52"/>
      <c r="D17" s="52" t="str">
        <f>'EDI Framework Criteria'!B2</f>
        <v>Equality, Diversity, &amp; Inclusion Characteristics (Equality Act and beyond)</v>
      </c>
      <c r="E17" s="53"/>
      <c r="F17" s="53"/>
      <c r="G17" s="53"/>
      <c r="H17" s="53"/>
      <c r="I17" s="53"/>
      <c r="J17" s="53"/>
      <c r="K17" s="53"/>
      <c r="L17" s="53"/>
      <c r="M17" s="53"/>
      <c r="N17" s="53"/>
      <c r="O17" s="53"/>
      <c r="P17" s="53"/>
      <c r="Q17" s="53"/>
      <c r="R17" s="53"/>
      <c r="S17" s="53"/>
      <c r="T17" s="54"/>
      <c r="Z17" s="160"/>
      <c r="AA17" s="160"/>
      <c r="AB17" s="160"/>
      <c r="AC17" s="160"/>
    </row>
    <row r="18" spans="2:29">
      <c r="B18" s="55"/>
      <c r="C18" s="56"/>
      <c r="D18" s="56"/>
      <c r="E18" s="56"/>
      <c r="F18" s="56"/>
      <c r="G18" s="56"/>
      <c r="H18" s="56"/>
      <c r="I18" s="56"/>
      <c r="J18" s="56"/>
      <c r="K18" s="56"/>
      <c r="L18" s="56"/>
      <c r="M18" s="56"/>
      <c r="N18" s="56"/>
      <c r="O18" s="56"/>
      <c r="P18" s="56"/>
      <c r="Q18" s="56"/>
      <c r="R18" s="56"/>
      <c r="S18" s="56"/>
      <c r="T18" s="57"/>
      <c r="Z18" s="160"/>
      <c r="AA18" s="160"/>
      <c r="AB18" s="160"/>
      <c r="AC18" s="160"/>
    </row>
    <row r="19" spans="2:29" ht="50.4">
      <c r="B19" s="55"/>
      <c r="C19" s="56"/>
      <c r="D19" s="56"/>
      <c r="E19" s="56"/>
      <c r="F19" s="56"/>
      <c r="G19" s="56"/>
      <c r="H19" s="56"/>
      <c r="I19" s="58" t="s">
        <v>162</v>
      </c>
      <c r="J19" s="58" t="s">
        <v>163</v>
      </c>
      <c r="K19" s="59" t="s">
        <v>164</v>
      </c>
      <c r="L19" s="60" t="s">
        <v>508</v>
      </c>
      <c r="M19" s="56"/>
      <c r="N19" s="56"/>
      <c r="O19" s="56"/>
      <c r="P19" s="56"/>
      <c r="Q19" s="56"/>
      <c r="R19" s="56"/>
      <c r="S19" s="56"/>
      <c r="T19" s="57"/>
      <c r="V19" s="120" t="s">
        <v>165</v>
      </c>
      <c r="W19" s="120"/>
      <c r="Z19" s="160"/>
      <c r="AA19" s="160"/>
      <c r="AB19" s="160"/>
      <c r="AC19" s="160"/>
    </row>
    <row r="20" spans="2:29" ht="90" customHeight="1">
      <c r="B20" s="61" t="s">
        <v>166</v>
      </c>
      <c r="C20" s="62" t="str">
        <f>'EDI Framework Criteria'!C2</f>
        <v>1.A.1</v>
      </c>
      <c r="D20" s="224" t="str">
        <f>'EDI Framework Criteria'!D2</f>
        <v>We have committed to having a training plan for staff at all levels, including board which includes material on what is meant by "EDI Characteristics". These go beyond the 9 protected characteristics in the Equalities Act (2010). It includes characteristics like class and neurodivergence too.</v>
      </c>
      <c r="E20" s="225"/>
      <c r="F20" s="225"/>
      <c r="G20" s="225"/>
      <c r="H20" s="226"/>
      <c r="I20" s="63" t="s">
        <v>175</v>
      </c>
      <c r="J20" s="63"/>
      <c r="K20" s="47">
        <f>INDEX($U$3:$V$13,MATCH(I20,$U$3:$U$13,0),2)</f>
        <v>0</v>
      </c>
      <c r="L20" s="208"/>
      <c r="M20" s="209"/>
      <c r="N20" s="209"/>
      <c r="O20" s="209"/>
      <c r="P20" s="209"/>
      <c r="Q20" s="209"/>
      <c r="R20" s="209"/>
      <c r="S20" s="209"/>
      <c r="T20" s="210"/>
      <c r="V20" s="120" t="str">
        <f>IF(K20=0,V19,"")</f>
        <v>Non commitment</v>
      </c>
      <c r="W20" s="120"/>
      <c r="Z20" s="160"/>
      <c r="AA20" s="160"/>
      <c r="AB20" s="160"/>
      <c r="AC20" s="160"/>
    </row>
    <row r="21" spans="2:29">
      <c r="B21" s="46"/>
      <c r="C21" s="47"/>
      <c r="D21" s="47"/>
      <c r="E21" s="47"/>
      <c r="F21" s="47"/>
      <c r="G21" s="47"/>
      <c r="H21" s="47"/>
      <c r="I21" s="47"/>
      <c r="J21" s="47"/>
      <c r="K21" s="47"/>
      <c r="L21" s="211"/>
      <c r="M21" s="212"/>
      <c r="N21" s="212"/>
      <c r="O21" s="212"/>
      <c r="P21" s="212"/>
      <c r="Q21" s="212"/>
      <c r="R21" s="212"/>
      <c r="S21" s="212"/>
      <c r="T21" s="213"/>
      <c r="W21" s="120"/>
      <c r="Z21" s="160"/>
      <c r="AA21" s="160"/>
      <c r="AB21" s="160"/>
      <c r="AC21" s="160"/>
    </row>
    <row r="22" spans="2:29" ht="90" customHeight="1">
      <c r="B22" s="61" t="s">
        <v>167</v>
      </c>
      <c r="C22" s="62" t="str">
        <f>'EDI Framework Criteria'!E2</f>
        <v>2.A.1</v>
      </c>
      <c r="D22" s="224" t="str">
        <f>'EDI Framework Criteria'!F2</f>
        <v>We have a training plan for staff at all levels, including board. It explains EDI characteristics. These go beyond the 9 protected characteristics in the Equalities Act (2010). It includes characteristics like class and neurodivergence too. We have started to deliver training.</v>
      </c>
      <c r="E22" s="225"/>
      <c r="F22" s="225"/>
      <c r="G22" s="225"/>
      <c r="H22" s="226"/>
      <c r="I22" s="63" t="s">
        <v>176</v>
      </c>
      <c r="J22" s="63"/>
      <c r="K22" s="47">
        <f>INDEX($U$3:$V$13,MATCH(I22,$U$3:$U$13,0),2)</f>
        <v>0</v>
      </c>
      <c r="L22" s="211"/>
      <c r="M22" s="212"/>
      <c r="N22" s="212"/>
      <c r="O22" s="212"/>
      <c r="P22" s="212"/>
      <c r="Q22" s="212"/>
      <c r="R22" s="212"/>
      <c r="S22" s="212"/>
      <c r="T22" s="213"/>
      <c r="W22" s="120"/>
      <c r="Z22" s="160"/>
      <c r="AA22" s="160"/>
      <c r="AB22" s="160"/>
      <c r="AC22" s="160"/>
    </row>
    <row r="23" spans="2:29">
      <c r="B23" s="46"/>
      <c r="C23" s="47"/>
      <c r="D23" s="47"/>
      <c r="E23" s="47"/>
      <c r="F23" s="47"/>
      <c r="G23" s="47"/>
      <c r="H23" s="47"/>
      <c r="I23" s="47"/>
      <c r="J23" s="47"/>
      <c r="K23" s="47"/>
      <c r="L23" s="211"/>
      <c r="M23" s="212"/>
      <c r="N23" s="212"/>
      <c r="O23" s="212"/>
      <c r="P23" s="212"/>
      <c r="Q23" s="212"/>
      <c r="R23" s="212"/>
      <c r="S23" s="212"/>
      <c r="T23" s="213"/>
      <c r="W23" s="120"/>
      <c r="Z23" s="160"/>
      <c r="AA23" s="160"/>
      <c r="AB23" s="160"/>
      <c r="AC23" s="160"/>
    </row>
    <row r="24" spans="2:29" ht="90" customHeight="1" thickBot="1">
      <c r="B24" s="64" t="s">
        <v>168</v>
      </c>
      <c r="C24" s="65" t="str">
        <f>'EDI Framework Criteria'!G2</f>
        <v>3.A.1</v>
      </c>
      <c r="D24" s="221" t="str">
        <f>'EDI Framework Criteria'!H2</f>
        <v>We have a training plan for staff at all levels, including board. It explains EDI characteristics. These go beyond the 9 protected characteristics in the Equalities Act (2010). It includes characteristics like class and neurodivergence too. The training plan has been reviewed at least once. There are plans to review it as needed. Training is given to staff at all levels.</v>
      </c>
      <c r="E24" s="222"/>
      <c r="F24" s="222"/>
      <c r="G24" s="222"/>
      <c r="H24" s="223"/>
      <c r="I24" s="66" t="s">
        <v>177</v>
      </c>
      <c r="J24" s="66"/>
      <c r="K24" s="67">
        <f>INDEX($U$3:$V$13,MATCH(I24,$U$3:$U$13,0),2)</f>
        <v>0</v>
      </c>
      <c r="L24" s="214"/>
      <c r="M24" s="215"/>
      <c r="N24" s="215"/>
      <c r="O24" s="215"/>
      <c r="P24" s="215"/>
      <c r="Q24" s="215"/>
      <c r="R24" s="215"/>
      <c r="S24" s="215"/>
      <c r="T24" s="216"/>
      <c r="W24" s="120"/>
      <c r="Z24" s="160"/>
      <c r="AA24" s="160"/>
      <c r="AB24" s="160"/>
      <c r="AC24" s="160"/>
    </row>
    <row r="25" spans="2:29">
      <c r="B25" s="46"/>
      <c r="C25" s="47"/>
      <c r="D25" s="47"/>
      <c r="E25" s="47"/>
      <c r="F25" s="47"/>
      <c r="G25" s="47"/>
      <c r="H25" s="47"/>
      <c r="I25" s="47"/>
      <c r="J25" s="47"/>
      <c r="K25" s="47"/>
      <c r="L25" s="47"/>
      <c r="M25" s="47"/>
      <c r="N25" s="47"/>
      <c r="O25" s="47"/>
      <c r="P25" s="47"/>
      <c r="Q25" s="47"/>
      <c r="R25" s="47"/>
      <c r="S25" s="47"/>
      <c r="T25" s="48"/>
      <c r="W25" s="120"/>
      <c r="Z25" s="160"/>
      <c r="AA25" s="160"/>
      <c r="AB25" s="160"/>
      <c r="AC25" s="160"/>
    </row>
    <row r="26" spans="2:29" ht="17.399999999999999" thickBot="1">
      <c r="B26" s="46"/>
      <c r="C26" s="47"/>
      <c r="D26" s="47"/>
      <c r="E26" s="47"/>
      <c r="F26" s="47"/>
      <c r="G26" s="47"/>
      <c r="H26" s="47"/>
      <c r="I26" s="47"/>
      <c r="J26" s="47"/>
      <c r="K26" s="47"/>
      <c r="L26" s="47"/>
      <c r="M26" s="47"/>
      <c r="N26" s="47"/>
      <c r="O26" s="47"/>
      <c r="P26" s="47"/>
      <c r="Q26" s="47"/>
      <c r="R26" s="47"/>
      <c r="S26" s="47"/>
      <c r="T26" s="48"/>
      <c r="W26" s="120"/>
      <c r="Z26" s="160"/>
      <c r="AA26" s="160"/>
      <c r="AB26" s="160"/>
      <c r="AC26" s="160"/>
    </row>
    <row r="27" spans="2:29" ht="21.6">
      <c r="B27" s="51" t="s">
        <v>170</v>
      </c>
      <c r="C27" s="52"/>
      <c r="D27" s="52" t="str">
        <f>'EDI Framework Criteria'!B3</f>
        <v>Understanding organisational power</v>
      </c>
      <c r="E27" s="53"/>
      <c r="F27" s="53"/>
      <c r="G27" s="53"/>
      <c r="H27" s="53"/>
      <c r="I27" s="53"/>
      <c r="J27" s="53"/>
      <c r="K27" s="53"/>
      <c r="L27" s="53"/>
      <c r="M27" s="53"/>
      <c r="N27" s="53"/>
      <c r="O27" s="53"/>
      <c r="P27" s="53"/>
      <c r="Q27" s="53"/>
      <c r="R27" s="53"/>
      <c r="S27" s="53"/>
      <c r="T27" s="54"/>
      <c r="W27" s="120"/>
      <c r="Z27" s="160"/>
      <c r="AA27" s="160"/>
      <c r="AB27" s="160"/>
      <c r="AC27" s="160"/>
    </row>
    <row r="28" spans="2:29">
      <c r="B28" s="55"/>
      <c r="C28" s="56"/>
      <c r="D28" s="56"/>
      <c r="E28" s="56"/>
      <c r="F28" s="56"/>
      <c r="G28" s="56"/>
      <c r="H28" s="56"/>
      <c r="I28" s="56"/>
      <c r="J28" s="56"/>
      <c r="K28" s="56"/>
      <c r="L28" s="56"/>
      <c r="M28" s="56"/>
      <c r="N28" s="56"/>
      <c r="O28" s="56"/>
      <c r="P28" s="56"/>
      <c r="Q28" s="56"/>
      <c r="R28" s="56"/>
      <c r="S28" s="56"/>
      <c r="T28" s="57"/>
      <c r="W28" s="120"/>
      <c r="Z28" s="160"/>
      <c r="AA28" s="160"/>
      <c r="AB28" s="160"/>
      <c r="AC28" s="160"/>
    </row>
    <row r="29" spans="2:29" ht="50.4">
      <c r="B29" s="55"/>
      <c r="C29" s="56"/>
      <c r="D29" s="56"/>
      <c r="E29" s="56"/>
      <c r="F29" s="56"/>
      <c r="G29" s="56"/>
      <c r="H29" s="56"/>
      <c r="I29" s="58" t="s">
        <v>162</v>
      </c>
      <c r="J29" s="58" t="s">
        <v>163</v>
      </c>
      <c r="K29" s="56"/>
      <c r="L29" s="60" t="s">
        <v>508</v>
      </c>
      <c r="M29" s="56"/>
      <c r="N29" s="56"/>
      <c r="O29" s="56"/>
      <c r="P29" s="56"/>
      <c r="Q29" s="56"/>
      <c r="R29" s="56"/>
      <c r="S29" s="56"/>
      <c r="T29" s="57"/>
      <c r="W29" s="120"/>
      <c r="Z29" s="160"/>
      <c r="AA29" s="160"/>
      <c r="AB29" s="160"/>
      <c r="AC29" s="160"/>
    </row>
    <row r="30" spans="2:29" ht="90" customHeight="1">
      <c r="B30" s="61" t="s">
        <v>166</v>
      </c>
      <c r="C30" s="62" t="str">
        <f>'EDI Framework Criteria'!C3</f>
        <v>1.A.2</v>
      </c>
      <c r="D30" s="224" t="str">
        <f>'EDI Framework Criteria'!D3</f>
        <v>We have committed to having a training plan for staff at all levels, including board. It explains what ‘organisational power’ means.</v>
      </c>
      <c r="E30" s="225"/>
      <c r="F30" s="225"/>
      <c r="G30" s="225"/>
      <c r="H30" s="226"/>
      <c r="I30" s="63" t="s">
        <v>175</v>
      </c>
      <c r="J30" s="63"/>
      <c r="K30" s="47">
        <f>INDEX($U$3:$V$13,MATCH(I30,$U$3:$U$13,0),2)</f>
        <v>0</v>
      </c>
      <c r="L30" s="208"/>
      <c r="M30" s="209"/>
      <c r="N30" s="209"/>
      <c r="O30" s="209"/>
      <c r="P30" s="209"/>
      <c r="Q30" s="209"/>
      <c r="R30" s="209"/>
      <c r="S30" s="209"/>
      <c r="T30" s="210"/>
      <c r="V30" s="120">
        <f>IF(K30=0,V29,"")</f>
        <v>0</v>
      </c>
      <c r="W30" s="120"/>
      <c r="Z30" s="160"/>
      <c r="AA30" s="160"/>
      <c r="AB30" s="160"/>
      <c r="AC30" s="160"/>
    </row>
    <row r="31" spans="2:29">
      <c r="B31" s="46"/>
      <c r="C31" s="47"/>
      <c r="D31" s="47"/>
      <c r="E31" s="47"/>
      <c r="F31" s="47"/>
      <c r="G31" s="47"/>
      <c r="H31" s="47"/>
      <c r="I31" s="47"/>
      <c r="J31" s="47"/>
      <c r="K31" s="47"/>
      <c r="L31" s="211"/>
      <c r="M31" s="212"/>
      <c r="N31" s="212"/>
      <c r="O31" s="212"/>
      <c r="P31" s="212"/>
      <c r="Q31" s="212"/>
      <c r="R31" s="212"/>
      <c r="S31" s="212"/>
      <c r="T31" s="213"/>
      <c r="W31" s="120"/>
      <c r="Z31" s="160"/>
      <c r="AA31" s="160"/>
      <c r="AB31" s="160"/>
      <c r="AC31" s="160"/>
    </row>
    <row r="32" spans="2:29" ht="90" customHeight="1">
      <c r="B32" s="61" t="s">
        <v>167</v>
      </c>
      <c r="C32" s="62" t="str">
        <f>'EDI Framework Criteria'!E3</f>
        <v>2.A.2</v>
      </c>
      <c r="D32" s="224" t="str">
        <f>'EDI Framework Criteria'!F3</f>
        <v>We have a training plan for staff at all levels, including board. It explains what ‘organisational power’ means. We’ve started some training activities.</v>
      </c>
      <c r="E32" s="225"/>
      <c r="F32" s="225"/>
      <c r="G32" s="225"/>
      <c r="H32" s="226"/>
      <c r="I32" s="63" t="s">
        <v>176</v>
      </c>
      <c r="J32" s="63"/>
      <c r="K32" s="47">
        <f>INDEX($U$3:$V$13,MATCH(I32,$U$3:$U$13,0),2)</f>
        <v>0</v>
      </c>
      <c r="L32" s="211"/>
      <c r="M32" s="212"/>
      <c r="N32" s="212"/>
      <c r="O32" s="212"/>
      <c r="P32" s="212"/>
      <c r="Q32" s="212"/>
      <c r="R32" s="212"/>
      <c r="S32" s="212"/>
      <c r="T32" s="213"/>
      <c r="W32" s="120"/>
      <c r="Z32" s="160"/>
      <c r="AA32" s="160"/>
      <c r="AB32" s="160"/>
      <c r="AC32" s="160"/>
    </row>
    <row r="33" spans="2:29">
      <c r="B33" s="46"/>
      <c r="C33" s="47"/>
      <c r="D33" s="47"/>
      <c r="E33" s="47"/>
      <c r="F33" s="47"/>
      <c r="G33" s="47"/>
      <c r="H33" s="47"/>
      <c r="I33" s="47"/>
      <c r="J33" s="47"/>
      <c r="K33" s="47"/>
      <c r="L33" s="211"/>
      <c r="M33" s="212"/>
      <c r="N33" s="212"/>
      <c r="O33" s="212"/>
      <c r="P33" s="212"/>
      <c r="Q33" s="212"/>
      <c r="R33" s="212"/>
      <c r="S33" s="212"/>
      <c r="T33" s="213"/>
      <c r="W33" s="120"/>
      <c r="Z33" s="160"/>
      <c r="AA33" s="160"/>
      <c r="AB33" s="160"/>
      <c r="AC33" s="160"/>
    </row>
    <row r="34" spans="2:29" ht="90" customHeight="1" thickBot="1">
      <c r="B34" s="64" t="s">
        <v>168</v>
      </c>
      <c r="C34" s="65" t="str">
        <f>'EDI Framework Criteria'!G3</f>
        <v>3.A.2</v>
      </c>
      <c r="D34" s="221" t="str">
        <f>'EDI Framework Criteria'!H3</f>
        <v>We have a training plan for staff at all levels, including board. It explains what ‘organisational power’ means. The training plan has been reviewed at least once. There are plans to review it as needed. Training is given to staff at all levels.</v>
      </c>
      <c r="E34" s="222"/>
      <c r="F34" s="222"/>
      <c r="G34" s="222"/>
      <c r="H34" s="223"/>
      <c r="I34" s="66" t="s">
        <v>177</v>
      </c>
      <c r="J34" s="66"/>
      <c r="K34" s="67">
        <f>INDEX($U$3:$V$13,MATCH(I34,$U$3:$U$13,0),2)</f>
        <v>0</v>
      </c>
      <c r="L34" s="214"/>
      <c r="M34" s="215"/>
      <c r="N34" s="215"/>
      <c r="O34" s="215"/>
      <c r="P34" s="215"/>
      <c r="Q34" s="215"/>
      <c r="R34" s="215"/>
      <c r="S34" s="215"/>
      <c r="T34" s="216"/>
      <c r="W34" s="120"/>
      <c r="Z34" s="160"/>
      <c r="AA34" s="160"/>
      <c r="AB34" s="160"/>
      <c r="AC34" s="160"/>
    </row>
    <row r="35" spans="2:29">
      <c r="B35" s="46"/>
      <c r="C35" s="47"/>
      <c r="D35" s="47"/>
      <c r="E35" s="47"/>
      <c r="F35" s="47"/>
      <c r="G35" s="47"/>
      <c r="H35" s="47"/>
      <c r="I35" s="47"/>
      <c r="J35" s="47"/>
      <c r="K35" s="47"/>
      <c r="L35" s="47"/>
      <c r="M35" s="47"/>
      <c r="N35" s="47"/>
      <c r="O35" s="47"/>
      <c r="P35" s="47"/>
      <c r="Q35" s="47"/>
      <c r="R35" s="47"/>
      <c r="S35" s="47"/>
      <c r="T35" s="48"/>
      <c r="W35" s="120"/>
      <c r="Z35" s="160"/>
      <c r="AA35" s="160"/>
      <c r="AB35" s="160"/>
      <c r="AC35" s="160"/>
    </row>
    <row r="36" spans="2:29" ht="17.399999999999999" thickBot="1">
      <c r="B36" s="46"/>
      <c r="C36" s="47"/>
      <c r="D36" s="47"/>
      <c r="E36" s="47"/>
      <c r="F36" s="47"/>
      <c r="G36" s="47"/>
      <c r="H36" s="47"/>
      <c r="I36" s="47"/>
      <c r="J36" s="47"/>
      <c r="K36" s="47"/>
      <c r="L36" s="47"/>
      <c r="M36" s="47"/>
      <c r="N36" s="47"/>
      <c r="O36" s="47"/>
      <c r="P36" s="47"/>
      <c r="Q36" s="47"/>
      <c r="R36" s="47"/>
      <c r="S36" s="47"/>
      <c r="T36" s="48"/>
      <c r="W36" s="120"/>
      <c r="Z36" s="160"/>
      <c r="AA36" s="160"/>
      <c r="AB36" s="160"/>
      <c r="AC36" s="160"/>
    </row>
    <row r="37" spans="2:29" ht="21.6">
      <c r="B37" s="51" t="s">
        <v>171</v>
      </c>
      <c r="C37" s="52"/>
      <c r="D37" s="52" t="str">
        <f>'EDI Framework Criteria'!B4</f>
        <v>Tackling organisational barriers to Equality, Diversity and Inclusion</v>
      </c>
      <c r="E37" s="53"/>
      <c r="F37" s="53"/>
      <c r="G37" s="53"/>
      <c r="H37" s="53"/>
      <c r="I37" s="53"/>
      <c r="J37" s="53"/>
      <c r="K37" s="53"/>
      <c r="L37" s="53"/>
      <c r="M37" s="53"/>
      <c r="N37" s="53"/>
      <c r="O37" s="53"/>
      <c r="P37" s="53"/>
      <c r="Q37" s="53"/>
      <c r="R37" s="53"/>
      <c r="S37" s="53"/>
      <c r="T37" s="54"/>
      <c r="W37" s="120"/>
      <c r="Z37" s="160"/>
      <c r="AA37" s="160"/>
      <c r="AB37" s="160"/>
      <c r="AC37" s="160"/>
    </row>
    <row r="38" spans="2:29">
      <c r="B38" s="55"/>
      <c r="C38" s="56"/>
      <c r="D38" s="56"/>
      <c r="E38" s="56"/>
      <c r="F38" s="56"/>
      <c r="G38" s="56"/>
      <c r="H38" s="56"/>
      <c r="I38" s="56"/>
      <c r="J38" s="56"/>
      <c r="K38" s="56"/>
      <c r="L38" s="56"/>
      <c r="M38" s="56"/>
      <c r="N38" s="56"/>
      <c r="O38" s="56"/>
      <c r="P38" s="56"/>
      <c r="Q38" s="56"/>
      <c r="R38" s="56"/>
      <c r="S38" s="56"/>
      <c r="T38" s="57"/>
      <c r="W38" s="120"/>
      <c r="Z38" s="160"/>
      <c r="AA38" s="160"/>
      <c r="AB38" s="160"/>
      <c r="AC38" s="160"/>
    </row>
    <row r="39" spans="2:29" ht="50.4">
      <c r="B39" s="55"/>
      <c r="C39" s="56"/>
      <c r="D39" s="56"/>
      <c r="E39" s="56"/>
      <c r="F39" s="56"/>
      <c r="G39" s="56"/>
      <c r="H39" s="56"/>
      <c r="I39" s="58" t="s">
        <v>162</v>
      </c>
      <c r="J39" s="58" t="s">
        <v>163</v>
      </c>
      <c r="K39" s="56"/>
      <c r="L39" s="60" t="s">
        <v>508</v>
      </c>
      <c r="M39" s="56"/>
      <c r="N39" s="56"/>
      <c r="O39" s="56"/>
      <c r="P39" s="56"/>
      <c r="Q39" s="56"/>
      <c r="R39" s="56"/>
      <c r="S39" s="56"/>
      <c r="T39" s="57"/>
      <c r="W39" s="120"/>
      <c r="Z39" s="160"/>
      <c r="AA39" s="160"/>
      <c r="AB39" s="160"/>
      <c r="AC39" s="160"/>
    </row>
    <row r="40" spans="2:29" ht="90" customHeight="1">
      <c r="B40" s="61" t="s">
        <v>166</v>
      </c>
      <c r="C40" s="62" t="str">
        <f>'EDI Framework Criteria'!C4</f>
        <v>1.A.3</v>
      </c>
      <c r="D40" s="224" t="str">
        <f>'EDI Framework Criteria'!D4</f>
        <v>We have committed to having a training plan for staff at all levels, including board. It explains what ‘organisational barriers to EDI’ means.</v>
      </c>
      <c r="E40" s="225"/>
      <c r="F40" s="225"/>
      <c r="G40" s="225"/>
      <c r="H40" s="226"/>
      <c r="I40" s="63" t="s">
        <v>175</v>
      </c>
      <c r="J40" s="63"/>
      <c r="K40" s="47">
        <f>INDEX($U$3:$V$13,MATCH(I40,$U$3:$U$13,0),2)</f>
        <v>0</v>
      </c>
      <c r="L40" s="208"/>
      <c r="M40" s="209"/>
      <c r="N40" s="209"/>
      <c r="O40" s="209"/>
      <c r="P40" s="209"/>
      <c r="Q40" s="209"/>
      <c r="R40" s="209"/>
      <c r="S40" s="209"/>
      <c r="T40" s="210"/>
      <c r="V40" s="120">
        <f>IF(K40=0,V39,"")</f>
        <v>0</v>
      </c>
      <c r="W40" s="120"/>
      <c r="Z40" s="160"/>
      <c r="AA40" s="160"/>
      <c r="AB40" s="160"/>
      <c r="AC40" s="160"/>
    </row>
    <row r="41" spans="2:29">
      <c r="B41" s="46"/>
      <c r="C41" s="47"/>
      <c r="D41" s="47"/>
      <c r="E41" s="47"/>
      <c r="F41" s="47"/>
      <c r="G41" s="47"/>
      <c r="H41" s="47"/>
      <c r="I41" s="47"/>
      <c r="J41" s="47"/>
      <c r="K41" s="47"/>
      <c r="L41" s="211"/>
      <c r="M41" s="212"/>
      <c r="N41" s="212"/>
      <c r="O41" s="212"/>
      <c r="P41" s="212"/>
      <c r="Q41" s="212"/>
      <c r="R41" s="212"/>
      <c r="S41" s="212"/>
      <c r="T41" s="213"/>
      <c r="W41" s="120"/>
      <c r="Z41" s="160"/>
      <c r="AA41" s="160"/>
      <c r="AB41" s="160"/>
      <c r="AC41" s="160"/>
    </row>
    <row r="42" spans="2:29" ht="90" customHeight="1">
      <c r="B42" s="61" t="s">
        <v>167</v>
      </c>
      <c r="C42" s="62" t="str">
        <f>'EDI Framework Criteria'!E4</f>
        <v>2.A.3</v>
      </c>
      <c r="D42" s="224" t="str">
        <f>'EDI Framework Criteria'!F4</f>
        <v>We have a training plan for staff at all levels, including board. It explains what ‘organisational barriers to EDI’ means. We’ve started some training activities.</v>
      </c>
      <c r="E42" s="225"/>
      <c r="F42" s="225"/>
      <c r="G42" s="225"/>
      <c r="H42" s="226"/>
      <c r="I42" s="63" t="s">
        <v>176</v>
      </c>
      <c r="J42" s="63"/>
      <c r="K42" s="47">
        <f>INDEX($U$3:$V$13,MATCH(I42,$U$3:$U$13,0),2)</f>
        <v>0</v>
      </c>
      <c r="L42" s="211"/>
      <c r="M42" s="212"/>
      <c r="N42" s="212"/>
      <c r="O42" s="212"/>
      <c r="P42" s="212"/>
      <c r="Q42" s="212"/>
      <c r="R42" s="212"/>
      <c r="S42" s="212"/>
      <c r="T42" s="213"/>
      <c r="W42" s="120"/>
      <c r="Z42" s="160"/>
      <c r="AA42" s="160"/>
      <c r="AB42" s="160"/>
      <c r="AC42" s="160"/>
    </row>
    <row r="43" spans="2:29">
      <c r="B43" s="46"/>
      <c r="C43" s="47"/>
      <c r="D43" s="47"/>
      <c r="E43" s="47"/>
      <c r="F43" s="47"/>
      <c r="G43" s="47"/>
      <c r="H43" s="47"/>
      <c r="I43" s="47"/>
      <c r="J43" s="47"/>
      <c r="K43" s="47"/>
      <c r="L43" s="211"/>
      <c r="M43" s="212"/>
      <c r="N43" s="212"/>
      <c r="O43" s="212"/>
      <c r="P43" s="212"/>
      <c r="Q43" s="212"/>
      <c r="R43" s="212"/>
      <c r="S43" s="212"/>
      <c r="T43" s="213"/>
      <c r="W43" s="120"/>
      <c r="Z43" s="160"/>
      <c r="AA43" s="160"/>
      <c r="AB43" s="160"/>
      <c r="AC43" s="160"/>
    </row>
    <row r="44" spans="2:29" ht="90" customHeight="1" thickBot="1">
      <c r="B44" s="64" t="s">
        <v>168</v>
      </c>
      <c r="C44" s="65" t="str">
        <f>'EDI Framework Criteria'!G4</f>
        <v>3.A.3</v>
      </c>
      <c r="D44" s="221" t="str">
        <f>'EDI Framework Criteria'!H4</f>
        <v>We have a training plan for staff at all levels, including board. It explains what ‘organisational barriers to EDI’ means. The training plan has been reviewed at least once. There are plans to review it as needed. Training is given to staff at all levels.</v>
      </c>
      <c r="E44" s="222"/>
      <c r="F44" s="222"/>
      <c r="G44" s="222"/>
      <c r="H44" s="223"/>
      <c r="I44" s="66" t="s">
        <v>177</v>
      </c>
      <c r="J44" s="66"/>
      <c r="K44" s="67">
        <f>INDEX($U$3:$V$13,MATCH(I44,$U$3:$U$13,0),2)</f>
        <v>0</v>
      </c>
      <c r="L44" s="214"/>
      <c r="M44" s="215"/>
      <c r="N44" s="215"/>
      <c r="O44" s="215"/>
      <c r="P44" s="215"/>
      <c r="Q44" s="215"/>
      <c r="R44" s="215"/>
      <c r="S44" s="215"/>
      <c r="T44" s="216"/>
      <c r="W44" s="120"/>
      <c r="Z44" s="160"/>
      <c r="AA44" s="160"/>
      <c r="AB44" s="160"/>
      <c r="AC44" s="160"/>
    </row>
    <row r="45" spans="2:29">
      <c r="B45" s="46"/>
      <c r="C45" s="47"/>
      <c r="D45" s="47"/>
      <c r="E45" s="47"/>
      <c r="F45" s="47"/>
      <c r="G45" s="47"/>
      <c r="H45" s="47"/>
      <c r="I45" s="47"/>
      <c r="J45" s="47"/>
      <c r="K45" s="47"/>
      <c r="L45" s="47"/>
      <c r="M45" s="47"/>
      <c r="N45" s="47"/>
      <c r="O45" s="47"/>
      <c r="P45" s="47"/>
      <c r="Q45" s="47"/>
      <c r="R45" s="47"/>
      <c r="S45" s="47"/>
      <c r="T45" s="48"/>
      <c r="W45" s="120"/>
      <c r="Z45" s="160"/>
      <c r="AA45" s="160"/>
      <c r="AB45" s="160"/>
      <c r="AC45" s="160"/>
    </row>
    <row r="46" spans="2:29" ht="17.399999999999999" thickBot="1">
      <c r="B46" s="46"/>
      <c r="C46" s="47"/>
      <c r="D46" s="47"/>
      <c r="E46" s="47"/>
      <c r="F46" s="47"/>
      <c r="G46" s="47"/>
      <c r="H46" s="47"/>
      <c r="I46" s="47"/>
      <c r="J46" s="47"/>
      <c r="K46" s="47"/>
      <c r="L46" s="47"/>
      <c r="M46" s="47"/>
      <c r="N46" s="47"/>
      <c r="O46" s="47"/>
      <c r="P46" s="47"/>
      <c r="Q46" s="47"/>
      <c r="R46" s="47"/>
      <c r="S46" s="47"/>
      <c r="T46" s="48"/>
      <c r="W46" s="120"/>
      <c r="Z46" s="160"/>
      <c r="AA46" s="160"/>
      <c r="AB46" s="160"/>
      <c r="AC46" s="160"/>
    </row>
    <row r="47" spans="2:29" ht="21.6">
      <c r="B47" s="51" t="s">
        <v>174</v>
      </c>
      <c r="C47" s="52"/>
      <c r="D47" s="52" t="str">
        <f>'EDI Framework Criteria'!B5</f>
        <v>Our role in structural discrimination</v>
      </c>
      <c r="E47" s="53"/>
      <c r="F47" s="53"/>
      <c r="G47" s="53"/>
      <c r="H47" s="53"/>
      <c r="I47" s="53"/>
      <c r="J47" s="53"/>
      <c r="K47" s="53"/>
      <c r="L47" s="53"/>
      <c r="M47" s="53"/>
      <c r="N47" s="53"/>
      <c r="O47" s="53"/>
      <c r="P47" s="53"/>
      <c r="Q47" s="53"/>
      <c r="R47" s="53"/>
      <c r="S47" s="53"/>
      <c r="T47" s="54"/>
      <c r="W47" s="120"/>
      <c r="Z47" s="160"/>
      <c r="AA47" s="160"/>
      <c r="AB47" s="160"/>
      <c r="AC47" s="160"/>
    </row>
    <row r="48" spans="2:29" ht="50.4">
      <c r="B48" s="55"/>
      <c r="C48" s="56"/>
      <c r="D48" s="56"/>
      <c r="E48" s="56"/>
      <c r="F48" s="56"/>
      <c r="G48" s="56"/>
      <c r="H48" s="56"/>
      <c r="I48" s="58" t="s">
        <v>162</v>
      </c>
      <c r="J48" s="58" t="s">
        <v>163</v>
      </c>
      <c r="K48" s="56"/>
      <c r="L48" s="60" t="s">
        <v>508</v>
      </c>
      <c r="M48" s="56"/>
      <c r="N48" s="56"/>
      <c r="O48" s="56"/>
      <c r="P48" s="56"/>
      <c r="Q48" s="56"/>
      <c r="R48" s="56"/>
      <c r="S48" s="56"/>
      <c r="T48" s="57"/>
      <c r="W48" s="120"/>
      <c r="Z48" s="160"/>
      <c r="AA48" s="160"/>
      <c r="AB48" s="160"/>
      <c r="AC48" s="160"/>
    </row>
    <row r="49" spans="2:29" ht="90" customHeight="1">
      <c r="B49" s="61" t="s">
        <v>166</v>
      </c>
      <c r="C49" s="62" t="str">
        <f>'EDI Framework Criteria'!C5</f>
        <v>1.A.4</v>
      </c>
      <c r="D49" s="224" t="str">
        <f>'EDI Framework Criteria'!D5</f>
        <v>We have committed to having a training plan for staff at all levels, including board. It explains what is meant by 'structural discrimination'.</v>
      </c>
      <c r="E49" s="225"/>
      <c r="F49" s="225"/>
      <c r="G49" s="225"/>
      <c r="H49" s="226"/>
      <c r="I49" s="63" t="s">
        <v>175</v>
      </c>
      <c r="J49" s="63"/>
      <c r="K49" s="47">
        <f>INDEX($U$3:$V$13,MATCH(I49,$U$3:$U$13,0),2)</f>
        <v>0</v>
      </c>
      <c r="L49" s="208"/>
      <c r="M49" s="209"/>
      <c r="N49" s="209"/>
      <c r="O49" s="209"/>
      <c r="P49" s="209"/>
      <c r="Q49" s="209"/>
      <c r="R49" s="209"/>
      <c r="S49" s="209"/>
      <c r="T49" s="210"/>
      <c r="V49" s="120">
        <f>IF(K49=0,V48,"")</f>
        <v>0</v>
      </c>
      <c r="W49" s="120"/>
      <c r="Z49" s="160"/>
      <c r="AA49" s="160"/>
      <c r="AB49" s="160"/>
      <c r="AC49" s="160"/>
    </row>
    <row r="50" spans="2:29">
      <c r="B50" s="46"/>
      <c r="C50" s="47"/>
      <c r="D50" s="47"/>
      <c r="E50" s="47"/>
      <c r="F50" s="47"/>
      <c r="G50" s="47"/>
      <c r="H50" s="47"/>
      <c r="I50" s="47"/>
      <c r="J50" s="47"/>
      <c r="K50" s="47"/>
      <c r="L50" s="211"/>
      <c r="M50" s="212"/>
      <c r="N50" s="212"/>
      <c r="O50" s="212"/>
      <c r="P50" s="212"/>
      <c r="Q50" s="212"/>
      <c r="R50" s="212"/>
      <c r="S50" s="212"/>
      <c r="T50" s="213"/>
      <c r="W50" s="120"/>
      <c r="Z50" s="160"/>
      <c r="AA50" s="160"/>
      <c r="AB50" s="160"/>
      <c r="AC50" s="160"/>
    </row>
    <row r="51" spans="2:29" ht="90" customHeight="1">
      <c r="B51" s="61" t="s">
        <v>167</v>
      </c>
      <c r="C51" s="62" t="str">
        <f>'EDI Framework Criteria'!E5</f>
        <v>2.A.4</v>
      </c>
      <c r="D51" s="224" t="str">
        <f>'EDI Framework Criteria'!F5</f>
        <v>We have a training plan for staff at all levels, including board. It explains what is meant by 'structural discrimination'. We’ve started some training activities.</v>
      </c>
      <c r="E51" s="225"/>
      <c r="F51" s="225"/>
      <c r="G51" s="225"/>
      <c r="H51" s="226"/>
      <c r="I51" s="63" t="s">
        <v>176</v>
      </c>
      <c r="J51" s="63"/>
      <c r="K51" s="47">
        <f>INDEX($U$3:$V$13,MATCH(I51,$U$3:$U$13,0),2)</f>
        <v>0</v>
      </c>
      <c r="L51" s="211"/>
      <c r="M51" s="212"/>
      <c r="N51" s="212"/>
      <c r="O51" s="212"/>
      <c r="P51" s="212"/>
      <c r="Q51" s="212"/>
      <c r="R51" s="212"/>
      <c r="S51" s="212"/>
      <c r="T51" s="213"/>
      <c r="W51" s="120"/>
      <c r="Z51" s="160"/>
      <c r="AA51" s="160"/>
      <c r="AB51" s="160"/>
      <c r="AC51" s="160"/>
    </row>
    <row r="52" spans="2:29">
      <c r="B52" s="46"/>
      <c r="C52" s="47"/>
      <c r="D52" s="47"/>
      <c r="E52" s="47"/>
      <c r="F52" s="47"/>
      <c r="G52" s="47"/>
      <c r="H52" s="47"/>
      <c r="I52" s="47"/>
      <c r="J52" s="47"/>
      <c r="K52" s="47"/>
      <c r="L52" s="211"/>
      <c r="M52" s="212"/>
      <c r="N52" s="212"/>
      <c r="O52" s="212"/>
      <c r="P52" s="212"/>
      <c r="Q52" s="212"/>
      <c r="R52" s="212"/>
      <c r="S52" s="212"/>
      <c r="T52" s="213"/>
      <c r="W52" s="120"/>
      <c r="Z52" s="160"/>
      <c r="AA52" s="160"/>
      <c r="AB52" s="160"/>
      <c r="AC52" s="160"/>
    </row>
    <row r="53" spans="2:29" ht="90" customHeight="1" thickBot="1">
      <c r="B53" s="64" t="s">
        <v>168</v>
      </c>
      <c r="C53" s="65" t="str">
        <f>'EDI Framework Criteria'!G5</f>
        <v>3.A.4</v>
      </c>
      <c r="D53" s="221" t="str">
        <f>'EDI Framework Criteria'!H5</f>
        <v>We have a training plan for staff at all levels, including board. It explains what is meant by 'structural discrimination'. The training plan has been reviewed at least once. There are plans to review it as needed. Training is given to staff at all levels.</v>
      </c>
      <c r="E53" s="222"/>
      <c r="F53" s="222"/>
      <c r="G53" s="222"/>
      <c r="H53" s="223"/>
      <c r="I53" s="66" t="s">
        <v>177</v>
      </c>
      <c r="J53" s="66"/>
      <c r="K53" s="67">
        <f>INDEX($U$3:$V$13,MATCH(I53,$U$3:$U$13,0),2)</f>
        <v>0</v>
      </c>
      <c r="L53" s="214"/>
      <c r="M53" s="215"/>
      <c r="N53" s="215"/>
      <c r="O53" s="215"/>
      <c r="P53" s="215"/>
      <c r="Q53" s="215"/>
      <c r="R53" s="215"/>
      <c r="S53" s="215"/>
      <c r="T53" s="216"/>
      <c r="W53" s="120"/>
      <c r="Z53" s="160"/>
      <c r="AA53" s="160"/>
      <c r="AB53" s="160"/>
      <c r="AC53" s="160"/>
    </row>
    <row r="54" spans="2:29">
      <c r="B54" s="46"/>
      <c r="C54" s="47"/>
      <c r="D54" s="47"/>
      <c r="E54" s="47"/>
      <c r="F54" s="47"/>
      <c r="G54" s="47"/>
      <c r="H54" s="47"/>
      <c r="I54" s="47"/>
      <c r="J54" s="47"/>
      <c r="K54" s="47"/>
      <c r="L54" s="47"/>
      <c r="M54" s="47"/>
      <c r="N54" s="47"/>
      <c r="O54" s="47"/>
      <c r="P54" s="47"/>
      <c r="Q54" s="47"/>
      <c r="R54" s="47"/>
      <c r="S54" s="47"/>
      <c r="T54" s="48"/>
      <c r="W54" s="120"/>
      <c r="Z54" s="160"/>
      <c r="AA54" s="160"/>
      <c r="AB54" s="160"/>
      <c r="AC54" s="160"/>
    </row>
    <row r="55" spans="2:29" ht="17.399999999999999" thickBot="1">
      <c r="B55" s="46"/>
      <c r="C55" s="47"/>
      <c r="D55" s="47"/>
      <c r="E55" s="47"/>
      <c r="F55" s="47"/>
      <c r="G55" s="47"/>
      <c r="H55" s="47"/>
      <c r="I55" s="47"/>
      <c r="J55" s="47"/>
      <c r="K55" s="47"/>
      <c r="L55" s="47"/>
      <c r="M55" s="47"/>
      <c r="N55" s="47"/>
      <c r="O55" s="47"/>
      <c r="P55" s="47"/>
      <c r="Q55" s="47"/>
      <c r="R55" s="47"/>
      <c r="S55" s="47"/>
      <c r="T55" s="48"/>
      <c r="W55" s="120"/>
      <c r="Z55" s="160"/>
      <c r="AA55" s="160"/>
      <c r="AB55" s="160"/>
      <c r="AC55" s="160"/>
    </row>
    <row r="56" spans="2:29" ht="21.6">
      <c r="B56" s="51" t="s">
        <v>178</v>
      </c>
      <c r="C56" s="52"/>
      <c r="D56" s="52" t="str">
        <f>'EDI Framework Criteria'!B6</f>
        <v>Intersectionality</v>
      </c>
      <c r="E56" s="53"/>
      <c r="F56" s="53"/>
      <c r="G56" s="53"/>
      <c r="H56" s="53"/>
      <c r="I56" s="53"/>
      <c r="J56" s="53"/>
      <c r="K56" s="53"/>
      <c r="L56" s="53"/>
      <c r="M56" s="53"/>
      <c r="N56" s="53"/>
      <c r="O56" s="53"/>
      <c r="P56" s="53"/>
      <c r="Q56" s="53"/>
      <c r="R56" s="53"/>
      <c r="S56" s="53"/>
      <c r="T56" s="54"/>
      <c r="W56" s="120"/>
      <c r="Z56" s="160"/>
      <c r="AA56" s="160"/>
      <c r="AB56" s="160"/>
      <c r="AC56" s="160"/>
    </row>
    <row r="57" spans="2:29" ht="50.4">
      <c r="B57" s="55"/>
      <c r="C57" s="56"/>
      <c r="D57" s="56"/>
      <c r="E57" s="56"/>
      <c r="F57" s="56"/>
      <c r="G57" s="56"/>
      <c r="H57" s="56"/>
      <c r="I57" s="58" t="s">
        <v>162</v>
      </c>
      <c r="J57" s="58" t="s">
        <v>163</v>
      </c>
      <c r="K57" s="56"/>
      <c r="L57" s="60" t="s">
        <v>508</v>
      </c>
      <c r="M57" s="56"/>
      <c r="N57" s="56"/>
      <c r="O57" s="56"/>
      <c r="P57" s="56"/>
      <c r="Q57" s="56"/>
      <c r="R57" s="56"/>
      <c r="S57" s="56"/>
      <c r="T57" s="57"/>
      <c r="W57" s="120"/>
      <c r="Z57" s="160"/>
      <c r="AA57" s="160"/>
      <c r="AB57" s="160"/>
      <c r="AC57" s="160"/>
    </row>
    <row r="58" spans="2:29" ht="90" customHeight="1">
      <c r="B58" s="61" t="s">
        <v>166</v>
      </c>
      <c r="C58" s="62" t="str">
        <f>'EDI Framework Criteria'!C6</f>
        <v>1.A.5</v>
      </c>
      <c r="D58" s="224" t="str">
        <f>'EDI Framework Criteria'!D6</f>
        <v>We have a training plan for staff at all levels, including board. It explains what ‘intersectionality’ means.</v>
      </c>
      <c r="E58" s="225"/>
      <c r="F58" s="225"/>
      <c r="G58" s="225"/>
      <c r="H58" s="226"/>
      <c r="I58" s="63" t="s">
        <v>175</v>
      </c>
      <c r="J58" s="63"/>
      <c r="K58" s="47">
        <f>INDEX($U$3:$V$13,MATCH(I58,$U$3:$U$13,0),2)</f>
        <v>0</v>
      </c>
      <c r="L58" s="208"/>
      <c r="M58" s="209"/>
      <c r="N58" s="209"/>
      <c r="O58" s="209"/>
      <c r="P58" s="209"/>
      <c r="Q58" s="209"/>
      <c r="R58" s="209"/>
      <c r="S58" s="209"/>
      <c r="T58" s="210"/>
      <c r="V58" s="120">
        <f>IF(K58=0,V57,"")</f>
        <v>0</v>
      </c>
      <c r="W58" s="120"/>
      <c r="Z58" s="160"/>
      <c r="AA58" s="160"/>
      <c r="AB58" s="160"/>
      <c r="AC58" s="160"/>
    </row>
    <row r="59" spans="2:29">
      <c r="B59" s="46"/>
      <c r="C59" s="47"/>
      <c r="D59" s="47"/>
      <c r="E59" s="47"/>
      <c r="F59" s="47"/>
      <c r="G59" s="47"/>
      <c r="H59" s="47"/>
      <c r="I59" s="47"/>
      <c r="J59" s="47"/>
      <c r="K59" s="47"/>
      <c r="L59" s="211"/>
      <c r="M59" s="212"/>
      <c r="N59" s="212"/>
      <c r="O59" s="212"/>
      <c r="P59" s="212"/>
      <c r="Q59" s="212"/>
      <c r="R59" s="212"/>
      <c r="S59" s="212"/>
      <c r="T59" s="213"/>
      <c r="W59" s="120"/>
      <c r="Z59" s="160"/>
      <c r="AA59" s="160"/>
      <c r="AB59" s="160"/>
      <c r="AC59" s="160"/>
    </row>
    <row r="60" spans="2:29" ht="90" customHeight="1">
      <c r="B60" s="61" t="s">
        <v>167</v>
      </c>
      <c r="C60" s="62" t="str">
        <f>'EDI Framework Criteria'!E6</f>
        <v>2.A.5</v>
      </c>
      <c r="D60" s="224" t="str">
        <f>'EDI Framework Criteria'!F6</f>
        <v>We have a training plan for staff at all levels, including board. It explains what ‘intersectionality’ means. We’ve started some training activities.</v>
      </c>
      <c r="E60" s="225"/>
      <c r="F60" s="225"/>
      <c r="G60" s="225"/>
      <c r="H60" s="226"/>
      <c r="I60" s="63" t="s">
        <v>176</v>
      </c>
      <c r="J60" s="63"/>
      <c r="K60" s="47">
        <f>INDEX($U$3:$V$13,MATCH(I60,$U$3:$U$13,0),2)</f>
        <v>0</v>
      </c>
      <c r="L60" s="211"/>
      <c r="M60" s="212"/>
      <c r="N60" s="212"/>
      <c r="O60" s="212"/>
      <c r="P60" s="212"/>
      <c r="Q60" s="212"/>
      <c r="R60" s="212"/>
      <c r="S60" s="212"/>
      <c r="T60" s="213"/>
      <c r="W60" s="120"/>
      <c r="Z60" s="160"/>
      <c r="AA60" s="160"/>
      <c r="AB60" s="160"/>
      <c r="AC60" s="160"/>
    </row>
    <row r="61" spans="2:29">
      <c r="B61" s="46"/>
      <c r="C61" s="47"/>
      <c r="D61" s="47"/>
      <c r="E61" s="47"/>
      <c r="F61" s="47"/>
      <c r="G61" s="47"/>
      <c r="H61" s="47"/>
      <c r="I61" s="47"/>
      <c r="J61" s="47"/>
      <c r="K61" s="47"/>
      <c r="L61" s="211"/>
      <c r="M61" s="212"/>
      <c r="N61" s="212"/>
      <c r="O61" s="212"/>
      <c r="P61" s="212"/>
      <c r="Q61" s="212"/>
      <c r="R61" s="212"/>
      <c r="S61" s="212"/>
      <c r="T61" s="213"/>
      <c r="Z61" s="160"/>
      <c r="AA61" s="160"/>
      <c r="AB61" s="160"/>
      <c r="AC61" s="160"/>
    </row>
    <row r="62" spans="2:29" ht="90" customHeight="1" thickBot="1">
      <c r="B62" s="64" t="s">
        <v>168</v>
      </c>
      <c r="C62" s="65" t="str">
        <f>'EDI Framework Criteria'!G6</f>
        <v>3.A.5</v>
      </c>
      <c r="D62" s="221" t="str">
        <f>'EDI Framework Criteria'!H6</f>
        <v>We have a training plan for staff at all levels, including board. It explains what ‘intersectionality’ means. The training plan has been reviewed at least once. There are plans to review it as needed. Training is given to staff at all levels.</v>
      </c>
      <c r="E62" s="222"/>
      <c r="F62" s="222"/>
      <c r="G62" s="222"/>
      <c r="H62" s="223"/>
      <c r="I62" s="66" t="s">
        <v>177</v>
      </c>
      <c r="J62" s="66"/>
      <c r="K62" s="67">
        <f>INDEX($U$3:$V$13,MATCH(I62,$U$3:$U$13,0),2)</f>
        <v>0</v>
      </c>
      <c r="L62" s="214"/>
      <c r="M62" s="215"/>
      <c r="N62" s="215"/>
      <c r="O62" s="215"/>
      <c r="P62" s="215"/>
      <c r="Q62" s="215"/>
      <c r="R62" s="215"/>
      <c r="S62" s="215"/>
      <c r="T62" s="216"/>
      <c r="Z62" s="160"/>
      <c r="AA62" s="160"/>
      <c r="AB62" s="160"/>
      <c r="AC62" s="160"/>
    </row>
    <row r="63" spans="2:29">
      <c r="B63" s="46"/>
      <c r="C63" s="47"/>
      <c r="D63" s="47"/>
      <c r="E63" s="47"/>
      <c r="F63" s="47"/>
      <c r="G63" s="47"/>
      <c r="H63" s="47"/>
      <c r="I63" s="47"/>
      <c r="J63" s="47"/>
      <c r="K63" s="47"/>
      <c r="L63" s="47"/>
      <c r="M63" s="47"/>
      <c r="N63" s="47"/>
      <c r="O63" s="47"/>
      <c r="P63" s="47"/>
      <c r="Q63" s="47"/>
      <c r="R63" s="47"/>
      <c r="S63" s="47"/>
      <c r="T63" s="48"/>
      <c r="Z63" s="160"/>
      <c r="AA63" s="160"/>
      <c r="AB63" s="160"/>
      <c r="AC63" s="160"/>
    </row>
    <row r="64" spans="2:29">
      <c r="B64" s="46"/>
      <c r="C64" s="47"/>
      <c r="D64" s="47"/>
      <c r="E64" s="47"/>
      <c r="F64" s="47"/>
      <c r="G64" s="47"/>
      <c r="H64" s="47"/>
      <c r="I64" s="47"/>
      <c r="J64" s="47"/>
      <c r="K64" s="47"/>
      <c r="L64" s="47"/>
      <c r="M64" s="47"/>
      <c r="N64" s="47"/>
      <c r="O64" s="47"/>
      <c r="P64" s="47"/>
      <c r="Q64" s="47"/>
      <c r="R64" s="47"/>
      <c r="S64" s="47"/>
      <c r="T64" s="48"/>
      <c r="Z64" s="160"/>
      <c r="AA64" s="160"/>
      <c r="AB64" s="160"/>
      <c r="AC64" s="160"/>
    </row>
    <row r="65" spans="2:29" ht="17.399999999999999" thickBot="1">
      <c r="B65" s="46"/>
      <c r="C65" s="47"/>
      <c r="D65" s="47"/>
      <c r="E65" s="47"/>
      <c r="F65" s="47"/>
      <c r="G65" s="47"/>
      <c r="H65" s="47"/>
      <c r="I65" s="47"/>
      <c r="J65" s="47"/>
      <c r="K65" s="47"/>
      <c r="L65" s="47"/>
      <c r="M65" s="47"/>
      <c r="N65" s="47"/>
      <c r="O65" s="47"/>
      <c r="P65" s="47"/>
      <c r="Q65" s="47"/>
      <c r="R65" s="47"/>
      <c r="S65" s="47"/>
      <c r="T65" s="48"/>
      <c r="Z65" s="160"/>
      <c r="AA65" s="160"/>
      <c r="AB65" s="160"/>
      <c r="AC65" s="160"/>
    </row>
    <row r="66" spans="2:29" ht="31.5" customHeight="1">
      <c r="B66" s="87" t="s">
        <v>179</v>
      </c>
      <c r="C66" s="88"/>
      <c r="D66" s="88" t="s">
        <v>180</v>
      </c>
      <c r="E66" s="89"/>
      <c r="F66" s="89"/>
      <c r="G66" s="89"/>
      <c r="H66" s="89"/>
      <c r="I66" s="89"/>
      <c r="J66" s="89"/>
      <c r="K66" s="89"/>
      <c r="L66" s="89"/>
      <c r="M66" s="89"/>
      <c r="N66" s="89"/>
      <c r="O66" s="89"/>
      <c r="P66" s="89"/>
      <c r="Q66" s="89"/>
      <c r="R66" s="89"/>
      <c r="S66" s="89"/>
      <c r="T66" s="90"/>
    </row>
    <row r="67" spans="2:29" ht="25.2" thickBot="1">
      <c r="B67" s="91"/>
      <c r="C67" s="92"/>
      <c r="D67" s="92"/>
      <c r="E67" s="92"/>
      <c r="F67" s="92"/>
      <c r="G67" s="92"/>
      <c r="H67" s="92"/>
      <c r="I67" s="92"/>
      <c r="J67" s="92"/>
      <c r="K67" s="92"/>
      <c r="L67" s="92"/>
      <c r="M67" s="92"/>
      <c r="N67" s="92"/>
      <c r="O67" s="92"/>
      <c r="P67" s="92"/>
      <c r="Q67" s="92"/>
      <c r="R67" s="92"/>
      <c r="S67" s="92"/>
      <c r="T67" s="93"/>
    </row>
    <row r="68" spans="2:29" ht="17.399999999999999" thickBot="1">
      <c r="B68" s="68"/>
      <c r="C68" s="67"/>
      <c r="D68" s="67"/>
      <c r="E68" s="67"/>
      <c r="F68" s="67"/>
      <c r="G68" s="67"/>
      <c r="H68" s="67"/>
      <c r="I68" s="67"/>
      <c r="J68" s="67"/>
      <c r="K68" s="67"/>
      <c r="L68" s="67"/>
      <c r="M68" s="67"/>
      <c r="N68" s="67"/>
      <c r="O68" s="67"/>
      <c r="P68" s="67"/>
      <c r="Q68" s="67"/>
      <c r="R68" s="67"/>
      <c r="S68" s="67"/>
      <c r="T68" s="67"/>
    </row>
    <row r="69" spans="2:29"/>
    <row r="70" spans="2:29"/>
    <row r="71" spans="2:29"/>
  </sheetData>
  <mergeCells count="39">
    <mergeCell ref="D42:H42"/>
    <mergeCell ref="B10:C10"/>
    <mergeCell ref="D30:H30"/>
    <mergeCell ref="D32:H32"/>
    <mergeCell ref="D24:H24"/>
    <mergeCell ref="D20:H20"/>
    <mergeCell ref="D22:H22"/>
    <mergeCell ref="B9:C9"/>
    <mergeCell ref="L30:T34"/>
    <mergeCell ref="L40:T44"/>
    <mergeCell ref="D9:N9"/>
    <mergeCell ref="O13:T13"/>
    <mergeCell ref="O12:T12"/>
    <mergeCell ref="D13:N13"/>
    <mergeCell ref="D12:N12"/>
    <mergeCell ref="D11:N11"/>
    <mergeCell ref="D10:N10"/>
    <mergeCell ref="O9:T9"/>
    <mergeCell ref="O10:T10"/>
    <mergeCell ref="O11:T11"/>
    <mergeCell ref="D34:H34"/>
    <mergeCell ref="D44:H44"/>
    <mergeCell ref="D40:H40"/>
    <mergeCell ref="L49:T53"/>
    <mergeCell ref="L58:T62"/>
    <mergeCell ref="V1:Y1"/>
    <mergeCell ref="B3:T3"/>
    <mergeCell ref="D62:H62"/>
    <mergeCell ref="D49:H49"/>
    <mergeCell ref="D51:H51"/>
    <mergeCell ref="D53:H53"/>
    <mergeCell ref="D60:H60"/>
    <mergeCell ref="D58:H58"/>
    <mergeCell ref="B13:C13"/>
    <mergeCell ref="B12:C12"/>
    <mergeCell ref="B11:C11"/>
    <mergeCell ref="B6:J7"/>
    <mergeCell ref="L20:T24"/>
    <mergeCell ref="B15:J15"/>
  </mergeCells>
  <conditionalFormatting sqref="I30 I40 I49">
    <cfRule type="cellIs" dxfId="362" priority="297" operator="equal">
      <formula>$U$5</formula>
    </cfRule>
    <cfRule type="cellIs" dxfId="361" priority="298" operator="equal">
      <formula>$U$3</formula>
    </cfRule>
    <cfRule type="cellIs" dxfId="360" priority="299" operator="equal">
      <formula>$U$4</formula>
    </cfRule>
  </conditionalFormatting>
  <conditionalFormatting sqref="I32 I42 I51">
    <cfRule type="cellIs" dxfId="359" priority="300" operator="equal">
      <formula>$U$9</formula>
    </cfRule>
    <cfRule type="cellIs" dxfId="358" priority="301" operator="equal">
      <formula>$U$7</formula>
    </cfRule>
    <cfRule type="cellIs" dxfId="357" priority="302" operator="equal">
      <formula>$U$8</formula>
    </cfRule>
  </conditionalFormatting>
  <conditionalFormatting sqref="I34 I44 I53">
    <cfRule type="cellIs" dxfId="356" priority="303" operator="equal">
      <formula>$U$13</formula>
    </cfRule>
    <cfRule type="cellIs" dxfId="355" priority="304" operator="equal">
      <formula>$U$11</formula>
    </cfRule>
    <cfRule type="cellIs" dxfId="354" priority="305" operator="equal">
      <formula>$U$12</formula>
    </cfRule>
  </conditionalFormatting>
  <conditionalFormatting sqref="U5">
    <cfRule type="cellIs" dxfId="353" priority="23" operator="equal">
      <formula>$U$4</formula>
    </cfRule>
    <cfRule type="cellIs" dxfId="352" priority="24" operator="equal">
      <formula>$U$4</formula>
    </cfRule>
  </conditionalFormatting>
  <conditionalFormatting sqref="I58">
    <cfRule type="cellIs" dxfId="351" priority="14" operator="equal">
      <formula>$U$5</formula>
    </cfRule>
    <cfRule type="cellIs" dxfId="350" priority="15" operator="equal">
      <formula>$U$3</formula>
    </cfRule>
    <cfRule type="cellIs" dxfId="349" priority="16" operator="equal">
      <formula>$U$4</formula>
    </cfRule>
  </conditionalFormatting>
  <conditionalFormatting sqref="I60">
    <cfRule type="cellIs" dxfId="348" priority="17" operator="equal">
      <formula>$U$9</formula>
    </cfRule>
    <cfRule type="cellIs" dxfId="347" priority="18" operator="equal">
      <formula>$U$7</formula>
    </cfRule>
    <cfRule type="cellIs" dxfId="346" priority="19" operator="equal">
      <formula>$U$8</formula>
    </cfRule>
  </conditionalFormatting>
  <conditionalFormatting sqref="I62">
    <cfRule type="cellIs" dxfId="345" priority="20" operator="equal">
      <formula>$U$13</formula>
    </cfRule>
    <cfRule type="cellIs" dxfId="344" priority="21" operator="equal">
      <formula>$U$11</formula>
    </cfRule>
    <cfRule type="cellIs" dxfId="343" priority="22" operator="equal">
      <formula>$U$12</formula>
    </cfRule>
  </conditionalFormatting>
  <conditionalFormatting sqref="I20">
    <cfRule type="cellIs" dxfId="342" priority="5" operator="equal">
      <formula>$U$5</formula>
    </cfRule>
    <cfRule type="cellIs" dxfId="341" priority="6" operator="equal">
      <formula>$U$3</formula>
    </cfRule>
    <cfRule type="cellIs" dxfId="340" priority="7" operator="equal">
      <formula>$U$4</formula>
    </cfRule>
  </conditionalFormatting>
  <conditionalFormatting sqref="I22">
    <cfRule type="cellIs" dxfId="339" priority="8" operator="equal">
      <formula>$U$9</formula>
    </cfRule>
    <cfRule type="cellIs" dxfId="338" priority="9" operator="equal">
      <formula>$U$7</formula>
    </cfRule>
    <cfRule type="cellIs" dxfId="337" priority="10" operator="equal">
      <formula>$U$8</formula>
    </cfRule>
  </conditionalFormatting>
  <conditionalFormatting sqref="I24">
    <cfRule type="cellIs" dxfId="336" priority="11" operator="equal">
      <formula>$U$13</formula>
    </cfRule>
    <cfRule type="cellIs" dxfId="335" priority="12" operator="equal">
      <formula>$U$11</formula>
    </cfRule>
    <cfRule type="cellIs" dxfId="334" priority="13" operator="equal">
      <formula>$U$12</formula>
    </cfRule>
  </conditionalFormatting>
  <dataValidations count="3">
    <dataValidation type="list" allowBlank="1" showInputMessage="1" showErrorMessage="1" sqref="I58 I30 I40 I49 I20" xr:uid="{5C93DD63-D2B0-475A-8839-BAF22E77CAD3}">
      <formula1>$U$3:$U$5</formula1>
    </dataValidation>
    <dataValidation type="list" allowBlank="1" showInputMessage="1" showErrorMessage="1" sqref="I60 I32 I42 I51 I22" xr:uid="{56DD6F1F-BB3C-4EB0-ABE9-75B57445ED21}">
      <formula1>$U$7:$U$9</formula1>
    </dataValidation>
    <dataValidation type="list" allowBlank="1" showInputMessage="1" showErrorMessage="1" sqref="I62 I34 I44 I53 I24" xr:uid="{4836C079-E8B6-4242-B225-924F2D428148}">
      <formula1>$U$11:$U$13</formula1>
    </dataValidation>
  </dataValidations>
  <hyperlinks>
    <hyperlink ref="B66" location="'Overview of Framework'!A1" display="Return to overview" xr:uid="{0BFD266C-CD30-4C20-AD4A-6608D405D118}"/>
    <hyperlink ref="D66" location="'Section 2'!A1" display="Next section" xr:uid="{FF19273D-03D1-460C-A975-81A34E27A8D7}"/>
    <hyperlink ref="O11" r:id="rId1" xr:uid="{65E28347-77A4-468B-A800-7B0C297A6663}"/>
    <hyperlink ref="O12" r:id="rId2" xr:uid="{A975E925-78BD-449E-A013-44F25E0ABC9E}"/>
    <hyperlink ref="O13" r:id="rId3" xr:uid="{16868CEF-AB50-4FB2-B1A9-518A4EF391BD}"/>
    <hyperlink ref="O10" r:id="rId4" xr:uid="{3AC8D7D4-7D80-4843-BED8-206C8C749AC1}"/>
  </hyperlinks>
  <pageMargins left="0.7" right="0.7" top="0.75" bottom="0.75" header="0.3" footer="0.3"/>
  <pageSetup paperSize="9" orientation="portrait" r:id="rId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98A871-5AB4-452C-86CB-890F0404023A}">
  <sheetPr codeName="Sheet4"/>
  <dimension ref="A1:AI69"/>
  <sheetViews>
    <sheetView tabSelected="1" zoomScale="75" zoomScaleNormal="34" workbookViewId="0">
      <selection activeCell="D59" sqref="D59"/>
    </sheetView>
  </sheetViews>
  <sheetFormatPr defaultColWidth="0" defaultRowHeight="16.8" zeroHeight="1" outlineLevelRow="1"/>
  <cols>
    <col min="1" max="1" width="3.33203125" style="32" customWidth="1"/>
    <col min="2" max="2" width="19.5" style="32" customWidth="1"/>
    <col min="3" max="3" width="19.5" style="32" hidden="1" customWidth="1"/>
    <col min="4" max="4" width="27.08203125" style="32" customWidth="1"/>
    <col min="5" max="8" width="9.08203125" style="32" customWidth="1"/>
    <col min="9" max="9" width="26.83203125" style="32" customWidth="1"/>
    <col min="10" max="10" width="52.9140625" style="32" customWidth="1"/>
    <col min="11" max="11" width="8.5" style="32" hidden="1" customWidth="1"/>
    <col min="12" max="20" width="9.08203125" style="32" customWidth="1"/>
    <col min="21" max="21" width="16.5" style="99" customWidth="1"/>
    <col min="22" max="22" width="9.08203125" style="99" hidden="1" customWidth="1"/>
    <col min="23" max="25" width="9.08203125" style="32" hidden="1" customWidth="1"/>
    <col min="26" max="35" width="0" style="32" hidden="1" customWidth="1"/>
    <col min="36" max="16384" width="9.08203125" style="32" hidden="1"/>
  </cols>
  <sheetData>
    <row r="1" spans="2:25" ht="17.399999999999999" thickBot="1">
      <c r="V1" s="244" t="s">
        <v>332</v>
      </c>
      <c r="W1" s="244"/>
      <c r="X1" s="244"/>
      <c r="Y1" s="244"/>
    </row>
    <row r="2" spans="2:25" s="40" customFormat="1" ht="34.200000000000003" thickBot="1">
      <c r="B2" s="158" t="s">
        <v>181</v>
      </c>
      <c r="C2" s="159"/>
      <c r="D2" s="167"/>
      <c r="E2" s="167"/>
      <c r="F2" s="167"/>
      <c r="G2" s="167"/>
      <c r="H2" s="167"/>
      <c r="I2" s="167"/>
      <c r="J2" s="167"/>
      <c r="K2" s="167"/>
      <c r="L2" s="167"/>
      <c r="M2" s="167"/>
      <c r="N2" s="167"/>
      <c r="O2" s="167"/>
      <c r="P2" s="167"/>
      <c r="Q2" s="167"/>
      <c r="R2" s="167"/>
      <c r="S2" s="167"/>
      <c r="T2" s="168"/>
      <c r="U2" s="120"/>
      <c r="V2" s="155" t="e">
        <f>#REF!</f>
        <v>#REF!</v>
      </c>
      <c r="W2" s="155" t="e">
        <f>#REF!</f>
        <v>#REF!</v>
      </c>
      <c r="X2" s="155" t="e">
        <f>#REF!</f>
        <v>#REF!</v>
      </c>
      <c r="Y2" s="155" t="e">
        <f>#REF!</f>
        <v>#REF!</v>
      </c>
    </row>
    <row r="3" spans="2:25" s="40" customFormat="1" ht="48.6" customHeight="1" thickBot="1">
      <c r="B3" s="218" t="str">
        <f>'EDI Framework Criteria'!A7</f>
        <v>Mission and Policies</v>
      </c>
      <c r="C3" s="219"/>
      <c r="D3" s="219"/>
      <c r="E3" s="219"/>
      <c r="F3" s="219"/>
      <c r="G3" s="219"/>
      <c r="H3" s="219"/>
      <c r="I3" s="219"/>
      <c r="J3" s="219"/>
      <c r="K3" s="219"/>
      <c r="L3" s="219"/>
      <c r="M3" s="219"/>
      <c r="N3" s="219"/>
      <c r="O3" s="219"/>
      <c r="P3" s="219"/>
      <c r="Q3" s="219"/>
      <c r="R3" s="219"/>
      <c r="S3" s="219"/>
      <c r="T3" s="220"/>
      <c r="U3" s="120" t="s">
        <v>172</v>
      </c>
      <c r="V3" s="121">
        <v>2</v>
      </c>
    </row>
    <row r="4" spans="2:25" s="40" customFormat="1">
      <c r="B4" s="195"/>
      <c r="C4" s="44"/>
      <c r="D4" s="44"/>
      <c r="E4" s="44"/>
      <c r="F4" s="44"/>
      <c r="G4" s="44"/>
      <c r="H4" s="44"/>
      <c r="I4" s="44"/>
      <c r="J4" s="44"/>
      <c r="K4" s="44"/>
      <c r="L4" s="44"/>
      <c r="M4" s="44"/>
      <c r="N4" s="44"/>
      <c r="O4" s="44"/>
      <c r="P4" s="44"/>
      <c r="Q4" s="44"/>
      <c r="R4" s="44"/>
      <c r="S4" s="44"/>
      <c r="T4" s="45"/>
      <c r="U4" s="99" t="s">
        <v>144</v>
      </c>
      <c r="V4" s="122">
        <v>1</v>
      </c>
    </row>
    <row r="5" spans="2:25" s="40" customFormat="1" ht="21.6">
      <c r="B5" s="49" t="s">
        <v>145</v>
      </c>
      <c r="C5" s="50"/>
      <c r="D5" s="47"/>
      <c r="E5" s="47"/>
      <c r="F5" s="47"/>
      <c r="G5" s="47"/>
      <c r="H5" s="47"/>
      <c r="I5" s="47"/>
      <c r="J5" s="47"/>
      <c r="K5" s="47"/>
      <c r="L5" s="47"/>
      <c r="M5" s="47"/>
      <c r="N5" s="47"/>
      <c r="O5" s="47"/>
      <c r="P5" s="47"/>
      <c r="Q5" s="47"/>
      <c r="R5" s="47"/>
      <c r="S5" s="47"/>
      <c r="T5" s="48"/>
      <c r="U5" s="99" t="s">
        <v>175</v>
      </c>
      <c r="V5" s="122">
        <v>0</v>
      </c>
    </row>
    <row r="6" spans="2:25" s="40" customFormat="1">
      <c r="B6" s="228" t="s">
        <v>471</v>
      </c>
      <c r="C6" s="229"/>
      <c r="D6" s="229"/>
      <c r="E6" s="229"/>
      <c r="F6" s="229"/>
      <c r="G6" s="229"/>
      <c r="H6" s="229"/>
      <c r="I6" s="229"/>
      <c r="J6" s="229"/>
      <c r="K6" s="47"/>
      <c r="L6" s="47"/>
      <c r="M6" s="47"/>
      <c r="N6" s="47"/>
      <c r="O6" s="47"/>
      <c r="P6" s="47"/>
      <c r="Q6" s="47"/>
      <c r="R6" s="47"/>
      <c r="S6" s="47"/>
      <c r="T6" s="48"/>
      <c r="U6" s="99"/>
      <c r="V6" s="122"/>
    </row>
    <row r="7" spans="2:25" s="40" customFormat="1">
      <c r="B7" s="228"/>
      <c r="C7" s="229"/>
      <c r="D7" s="229"/>
      <c r="E7" s="229"/>
      <c r="F7" s="229"/>
      <c r="G7" s="229"/>
      <c r="H7" s="229"/>
      <c r="I7" s="229"/>
      <c r="J7" s="229"/>
      <c r="K7" s="47"/>
      <c r="L7" s="47"/>
      <c r="M7" s="47"/>
      <c r="N7" s="47"/>
      <c r="O7" s="47"/>
      <c r="P7" s="47"/>
      <c r="Q7" s="47"/>
      <c r="R7" s="47"/>
      <c r="S7" s="47"/>
      <c r="T7" s="48"/>
      <c r="U7" s="99" t="s">
        <v>173</v>
      </c>
      <c r="V7" s="122">
        <v>2</v>
      </c>
    </row>
    <row r="8" spans="2:25" s="40" customFormat="1" ht="21.6">
      <c r="B8" s="49" t="s">
        <v>321</v>
      </c>
      <c r="C8" s="50"/>
      <c r="D8" s="47"/>
      <c r="E8" s="47"/>
      <c r="F8" s="47"/>
      <c r="G8" s="47"/>
      <c r="H8" s="47"/>
      <c r="I8" s="47"/>
      <c r="J8" s="47"/>
      <c r="K8" s="47"/>
      <c r="L8" s="47"/>
      <c r="M8" s="47"/>
      <c r="N8" s="47"/>
      <c r="O8" s="47"/>
      <c r="P8" s="47"/>
      <c r="Q8" s="47"/>
      <c r="R8" s="47"/>
      <c r="S8" s="47"/>
      <c r="T8" s="48"/>
      <c r="U8" s="120" t="s">
        <v>144</v>
      </c>
      <c r="V8" s="121">
        <v>1</v>
      </c>
    </row>
    <row r="9" spans="2:25" s="40" customFormat="1" ht="18.75" hidden="1" customHeight="1" outlineLevel="1">
      <c r="B9" s="232" t="s">
        <v>146</v>
      </c>
      <c r="C9" s="233"/>
      <c r="D9" s="234" t="s">
        <v>147</v>
      </c>
      <c r="E9" s="235"/>
      <c r="F9" s="235"/>
      <c r="G9" s="235"/>
      <c r="H9" s="235"/>
      <c r="I9" s="235"/>
      <c r="J9" s="235"/>
      <c r="K9" s="235"/>
      <c r="L9" s="235"/>
      <c r="M9" s="235"/>
      <c r="N9" s="233"/>
      <c r="O9" s="240" t="s">
        <v>148</v>
      </c>
      <c r="P9" s="240"/>
      <c r="Q9" s="240"/>
      <c r="R9" s="240"/>
      <c r="S9" s="240"/>
      <c r="T9" s="241"/>
      <c r="U9" s="120" t="s">
        <v>176</v>
      </c>
      <c r="V9" s="121">
        <v>0</v>
      </c>
    </row>
    <row r="10" spans="2:25" s="40" customFormat="1" ht="96" hidden="1" customHeight="1" outlineLevel="1">
      <c r="B10" s="227" t="s">
        <v>182</v>
      </c>
      <c r="C10" s="226"/>
      <c r="D10" s="224" t="s">
        <v>183</v>
      </c>
      <c r="E10" s="238"/>
      <c r="F10" s="238"/>
      <c r="G10" s="238"/>
      <c r="H10" s="238"/>
      <c r="I10" s="238"/>
      <c r="J10" s="238"/>
      <c r="K10" s="238"/>
      <c r="L10" s="238"/>
      <c r="M10" s="238"/>
      <c r="N10" s="239"/>
      <c r="O10" s="236" t="s">
        <v>184</v>
      </c>
      <c r="P10" s="242"/>
      <c r="Q10" s="242"/>
      <c r="R10" s="242"/>
      <c r="S10" s="242"/>
      <c r="T10" s="243"/>
      <c r="U10" s="120"/>
      <c r="V10" s="121"/>
    </row>
    <row r="11" spans="2:25" s="40" customFormat="1" ht="65.25" hidden="1" customHeight="1" outlineLevel="1">
      <c r="B11" s="227" t="s">
        <v>185</v>
      </c>
      <c r="C11" s="226"/>
      <c r="D11" s="224" t="s">
        <v>186</v>
      </c>
      <c r="E11" s="225"/>
      <c r="F11" s="225"/>
      <c r="G11" s="225"/>
      <c r="H11" s="225"/>
      <c r="I11" s="225"/>
      <c r="J11" s="225"/>
      <c r="K11" s="225"/>
      <c r="L11" s="225"/>
      <c r="M11" s="225"/>
      <c r="N11" s="226"/>
      <c r="O11" s="236" t="s">
        <v>187</v>
      </c>
      <c r="P11" s="236"/>
      <c r="Q11" s="236"/>
      <c r="R11" s="236"/>
      <c r="S11" s="236"/>
      <c r="T11" s="237"/>
      <c r="U11" s="120" t="s">
        <v>169</v>
      </c>
      <c r="V11" s="121">
        <v>2</v>
      </c>
    </row>
    <row r="12" spans="2:25" s="40" customFormat="1" ht="49.5" hidden="1" customHeight="1" outlineLevel="1">
      <c r="B12" s="227" t="s">
        <v>188</v>
      </c>
      <c r="C12" s="226"/>
      <c r="D12" s="224" t="s">
        <v>189</v>
      </c>
      <c r="E12" s="225"/>
      <c r="F12" s="225"/>
      <c r="G12" s="225"/>
      <c r="H12" s="225"/>
      <c r="I12" s="225"/>
      <c r="J12" s="225"/>
      <c r="K12" s="225"/>
      <c r="L12" s="225"/>
      <c r="M12" s="225"/>
      <c r="N12" s="226"/>
      <c r="O12" s="236" t="s">
        <v>190</v>
      </c>
      <c r="P12" s="236"/>
      <c r="Q12" s="236"/>
      <c r="R12" s="236"/>
      <c r="S12" s="236"/>
      <c r="T12" s="237"/>
      <c r="U12" s="120" t="s">
        <v>144</v>
      </c>
      <c r="V12" s="121">
        <v>1</v>
      </c>
    </row>
    <row r="13" spans="2:25" s="40" customFormat="1" ht="76.5" hidden="1" customHeight="1" outlineLevel="1">
      <c r="B13" s="227" t="s">
        <v>191</v>
      </c>
      <c r="C13" s="226"/>
      <c r="D13" s="224" t="s">
        <v>192</v>
      </c>
      <c r="E13" s="225"/>
      <c r="F13" s="225"/>
      <c r="G13" s="225"/>
      <c r="H13" s="225"/>
      <c r="I13" s="225"/>
      <c r="J13" s="225"/>
      <c r="K13" s="225"/>
      <c r="L13" s="225"/>
      <c r="M13" s="225"/>
      <c r="N13" s="226"/>
      <c r="O13" s="236" t="s">
        <v>193</v>
      </c>
      <c r="P13" s="236"/>
      <c r="Q13" s="236"/>
      <c r="R13" s="236"/>
      <c r="S13" s="236"/>
      <c r="T13" s="237"/>
      <c r="U13" s="99" t="s">
        <v>177</v>
      </c>
      <c r="V13" s="122">
        <v>0</v>
      </c>
    </row>
    <row r="14" spans="2:25" s="40" customFormat="1" collapsed="1">
      <c r="B14" s="37"/>
      <c r="C14" s="38"/>
      <c r="D14" s="38"/>
      <c r="E14" s="38"/>
      <c r="F14" s="38"/>
      <c r="G14" s="38"/>
      <c r="H14" s="38"/>
      <c r="I14" s="38"/>
      <c r="J14" s="38"/>
      <c r="K14" s="38"/>
      <c r="L14" s="38"/>
      <c r="M14" s="38"/>
      <c r="N14" s="38"/>
      <c r="O14" s="39"/>
      <c r="P14" s="39"/>
      <c r="Q14" s="39"/>
      <c r="R14" s="39"/>
      <c r="S14" s="39"/>
      <c r="T14" s="161"/>
      <c r="U14" s="120"/>
      <c r="V14" s="120"/>
    </row>
    <row r="15" spans="2:25" s="40" customFormat="1" ht="15.9" customHeight="1">
      <c r="B15" s="230"/>
      <c r="C15" s="231"/>
      <c r="D15" s="231"/>
      <c r="E15" s="231"/>
      <c r="F15" s="231"/>
      <c r="G15" s="231"/>
      <c r="H15" s="231"/>
      <c r="I15" s="231"/>
      <c r="J15" s="231"/>
      <c r="K15" s="47"/>
      <c r="L15" s="47"/>
      <c r="M15" s="47"/>
      <c r="N15" s="47"/>
      <c r="O15" s="47"/>
      <c r="P15" s="47"/>
      <c r="Q15" s="47"/>
      <c r="R15" s="47"/>
      <c r="S15" s="47"/>
      <c r="T15" s="48"/>
      <c r="U15" s="120"/>
      <c r="V15" s="120"/>
    </row>
    <row r="16" spans="2:25">
      <c r="B16" s="34"/>
      <c r="C16" s="86"/>
      <c r="D16" s="86"/>
      <c r="E16" s="86"/>
      <c r="F16" s="86"/>
      <c r="G16" s="86"/>
      <c r="H16" s="86"/>
      <c r="I16" s="86"/>
      <c r="J16" s="86"/>
      <c r="K16" s="86"/>
      <c r="L16" s="86"/>
      <c r="M16" s="86"/>
      <c r="N16" s="86"/>
      <c r="O16" s="86"/>
      <c r="P16" s="86"/>
      <c r="Q16" s="86"/>
      <c r="R16" s="86"/>
      <c r="S16" s="86"/>
      <c r="T16" s="35"/>
    </row>
    <row r="17" spans="2:22" ht="17.399999999999999" thickBot="1">
      <c r="B17" s="97"/>
      <c r="C17" s="98"/>
      <c r="D17" s="98"/>
      <c r="E17" s="98"/>
      <c r="F17" s="98"/>
      <c r="G17" s="98"/>
      <c r="H17" s="98"/>
      <c r="I17" s="98"/>
      <c r="J17" s="98"/>
      <c r="K17" s="98"/>
      <c r="L17" s="98"/>
      <c r="M17" s="98"/>
      <c r="N17" s="98"/>
      <c r="O17" s="98"/>
      <c r="P17" s="98"/>
      <c r="Q17" s="98"/>
      <c r="R17" s="98"/>
      <c r="S17" s="98"/>
      <c r="T17" s="36"/>
    </row>
    <row r="18" spans="2:22" ht="21.6">
      <c r="B18" s="51" t="s">
        <v>161</v>
      </c>
      <c r="C18" s="52"/>
      <c r="D18" s="52" t="str">
        <f>'EDI Framework Criteria'!B7</f>
        <v>Social mission</v>
      </c>
      <c r="E18" s="53"/>
      <c r="F18" s="53"/>
      <c r="G18" s="53"/>
      <c r="H18" s="53"/>
      <c r="I18" s="53"/>
      <c r="J18" s="53"/>
      <c r="K18" s="53"/>
      <c r="L18" s="53"/>
      <c r="M18" s="53"/>
      <c r="N18" s="53"/>
      <c r="O18" s="53"/>
      <c r="P18" s="53"/>
      <c r="Q18" s="53"/>
      <c r="R18" s="53"/>
      <c r="S18" s="53"/>
      <c r="T18" s="54"/>
    </row>
    <row r="19" spans="2:22">
      <c r="B19" s="55"/>
      <c r="C19" s="56"/>
      <c r="D19" s="56"/>
      <c r="E19" s="56"/>
      <c r="F19" s="56"/>
      <c r="G19" s="56"/>
      <c r="H19" s="56"/>
      <c r="I19" s="56"/>
      <c r="J19" s="56"/>
      <c r="K19" s="56"/>
      <c r="L19" s="56"/>
      <c r="M19" s="56"/>
      <c r="N19" s="56"/>
      <c r="O19" s="56"/>
      <c r="P19" s="56"/>
      <c r="Q19" s="56"/>
      <c r="R19" s="56"/>
      <c r="S19" s="56"/>
      <c r="T19" s="57"/>
    </row>
    <row r="20" spans="2:22" ht="50.4">
      <c r="B20" s="55"/>
      <c r="C20" s="56"/>
      <c r="D20" s="56"/>
      <c r="E20" s="56"/>
      <c r="F20" s="56"/>
      <c r="G20" s="56"/>
      <c r="H20" s="56"/>
      <c r="I20" s="58" t="s">
        <v>162</v>
      </c>
      <c r="J20" s="58" t="s">
        <v>163</v>
      </c>
      <c r="K20" s="59" t="s">
        <v>164</v>
      </c>
      <c r="L20" s="60" t="s">
        <v>508</v>
      </c>
      <c r="M20" s="56"/>
      <c r="N20" s="56"/>
      <c r="O20" s="56"/>
      <c r="P20" s="56"/>
      <c r="Q20" s="56"/>
      <c r="R20" s="56"/>
      <c r="S20" s="56"/>
      <c r="T20" s="57"/>
      <c r="V20" s="99" t="s">
        <v>165</v>
      </c>
    </row>
    <row r="21" spans="2:22" ht="90" customHeight="1">
      <c r="B21" s="61" t="s">
        <v>166</v>
      </c>
      <c r="C21" s="62" t="str">
        <f>'EDI Framework Criteria'!C7</f>
        <v>1.B.1</v>
      </c>
      <c r="D21" s="224" t="str">
        <f>'EDI Framework Criteria'!D7</f>
        <v xml:space="preserve">We have committed to producing a mission or vision statement which shows a clear organisational commitment to improving Equality, Diversity and Inclusion. </v>
      </c>
      <c r="E21" s="225"/>
      <c r="F21" s="225"/>
      <c r="G21" s="225"/>
      <c r="H21" s="226"/>
      <c r="I21" s="63" t="s">
        <v>175</v>
      </c>
      <c r="J21" s="63"/>
      <c r="K21" s="47">
        <f>INDEX($U$3:$V$13,MATCH(I21,$U$3:$U$13,0),2)</f>
        <v>0</v>
      </c>
      <c r="L21" s="245"/>
      <c r="M21" s="246"/>
      <c r="N21" s="246"/>
      <c r="O21" s="246"/>
      <c r="P21" s="246"/>
      <c r="Q21" s="246"/>
      <c r="R21" s="246"/>
      <c r="S21" s="246"/>
      <c r="T21" s="247"/>
      <c r="V21" s="99" t="str">
        <f>IF(K21=0,V20,"")</f>
        <v>Non commitment</v>
      </c>
    </row>
    <row r="22" spans="2:22">
      <c r="B22" s="46"/>
      <c r="C22" s="47"/>
      <c r="D22" s="47"/>
      <c r="E22" s="47"/>
      <c r="F22" s="47"/>
      <c r="G22" s="47"/>
      <c r="H22" s="47"/>
      <c r="I22" s="47"/>
      <c r="J22" s="47"/>
      <c r="K22" s="47"/>
      <c r="L22" s="248"/>
      <c r="M22" s="249"/>
      <c r="N22" s="249"/>
      <c r="O22" s="249"/>
      <c r="P22" s="249"/>
      <c r="Q22" s="249"/>
      <c r="R22" s="249"/>
      <c r="S22" s="249"/>
      <c r="T22" s="250"/>
    </row>
    <row r="23" spans="2:22" ht="90" customHeight="1">
      <c r="B23" s="61" t="s">
        <v>167</v>
      </c>
      <c r="C23" s="62" t="str">
        <f>'EDI Framework Criteria'!E7</f>
        <v>2.B.1</v>
      </c>
      <c r="D23" s="224" t="str">
        <f>'EDI Framework Criteria'!F7</f>
        <v xml:space="preserve">We have a mission or vision statement which shows our commitment to improving Equality, Diversity and Inclusion. </v>
      </c>
      <c r="E23" s="225"/>
      <c r="F23" s="225"/>
      <c r="G23" s="225"/>
      <c r="H23" s="226"/>
      <c r="I23" s="63" t="s">
        <v>176</v>
      </c>
      <c r="J23" s="63"/>
      <c r="K23" s="47">
        <f>INDEX($U$3:$V$13,MATCH(I23,$U$3:$U$13,0),2)</f>
        <v>0</v>
      </c>
      <c r="L23" s="248"/>
      <c r="M23" s="249"/>
      <c r="N23" s="249"/>
      <c r="O23" s="249"/>
      <c r="P23" s="249"/>
      <c r="Q23" s="249"/>
      <c r="R23" s="249"/>
      <c r="S23" s="249"/>
      <c r="T23" s="250"/>
    </row>
    <row r="24" spans="2:22">
      <c r="B24" s="46"/>
      <c r="C24" s="47"/>
      <c r="D24" s="47"/>
      <c r="E24" s="47"/>
      <c r="F24" s="47"/>
      <c r="G24" s="47"/>
      <c r="H24" s="47"/>
      <c r="I24" s="47"/>
      <c r="J24" s="47"/>
      <c r="K24" s="47"/>
      <c r="L24" s="248"/>
      <c r="M24" s="249"/>
      <c r="N24" s="249"/>
      <c r="O24" s="249"/>
      <c r="P24" s="249"/>
      <c r="Q24" s="249"/>
      <c r="R24" s="249"/>
      <c r="S24" s="249"/>
      <c r="T24" s="250"/>
    </row>
    <row r="25" spans="2:22" ht="90" customHeight="1" thickBot="1">
      <c r="B25" s="64" t="s">
        <v>168</v>
      </c>
      <c r="C25" s="65" t="str">
        <f>'EDI Framework Criteria'!G7</f>
        <v>3.B.1</v>
      </c>
      <c r="D25" s="221" t="str">
        <f>'EDI Framework Criteria'!H7</f>
        <v>We have a mission or vision statement which shows our commitment to improving EDI. We have reviewed it at least once, and will keep making updates as our EDI work goes on. We have shared it internally and externally, and invited comments from affected people. We share this statement on a range of public materials, like terms of references and procurement materials.</v>
      </c>
      <c r="E25" s="222"/>
      <c r="F25" s="222"/>
      <c r="G25" s="222"/>
      <c r="H25" s="223"/>
      <c r="I25" s="66" t="s">
        <v>177</v>
      </c>
      <c r="J25" s="66"/>
      <c r="K25" s="67">
        <f>INDEX($U$3:$V$13,MATCH(I25,$U$3:$U$13,0),2)</f>
        <v>0</v>
      </c>
      <c r="L25" s="251"/>
      <c r="M25" s="252"/>
      <c r="N25" s="252"/>
      <c r="O25" s="252"/>
      <c r="P25" s="252"/>
      <c r="Q25" s="252"/>
      <c r="R25" s="252"/>
      <c r="S25" s="252"/>
      <c r="T25" s="253"/>
    </row>
    <row r="26" spans="2:22">
      <c r="B26" s="34"/>
      <c r="C26" s="86"/>
      <c r="D26" s="86"/>
      <c r="E26" s="86"/>
      <c r="F26" s="86"/>
      <c r="G26" s="86"/>
      <c r="H26" s="86"/>
      <c r="I26" s="86"/>
      <c r="J26" s="86"/>
      <c r="K26" s="86"/>
      <c r="L26" s="86"/>
      <c r="M26" s="86"/>
      <c r="N26" s="86"/>
      <c r="O26" s="86"/>
      <c r="P26" s="86"/>
      <c r="Q26" s="86"/>
      <c r="R26" s="86"/>
      <c r="S26" s="86"/>
      <c r="T26" s="35"/>
    </row>
    <row r="27" spans="2:22" ht="17.399999999999999" thickBot="1">
      <c r="B27" s="34"/>
      <c r="C27" s="86"/>
      <c r="D27" s="86"/>
      <c r="E27" s="86"/>
      <c r="F27" s="86"/>
      <c r="G27" s="86"/>
      <c r="H27" s="86"/>
      <c r="I27" s="86"/>
      <c r="J27" s="86"/>
      <c r="K27" s="86"/>
      <c r="L27" s="86"/>
      <c r="M27" s="86"/>
      <c r="N27" s="86"/>
      <c r="O27" s="86"/>
      <c r="P27" s="86"/>
      <c r="Q27" s="86"/>
      <c r="R27" s="86"/>
      <c r="S27" s="86"/>
      <c r="T27" s="35"/>
    </row>
    <row r="28" spans="2:22" ht="21.6">
      <c r="B28" s="51" t="s">
        <v>170</v>
      </c>
      <c r="C28" s="52"/>
      <c r="D28" s="156" t="str">
        <f>'EDI Framework Criteria'!B8</f>
        <v>Individual responsibilities</v>
      </c>
      <c r="E28" s="53"/>
      <c r="F28" s="53"/>
      <c r="G28" s="53"/>
      <c r="H28" s="53"/>
      <c r="I28" s="53"/>
      <c r="J28" s="53"/>
      <c r="K28" s="53"/>
      <c r="L28" s="53"/>
      <c r="M28" s="53"/>
      <c r="N28" s="53"/>
      <c r="O28" s="53"/>
      <c r="P28" s="53"/>
      <c r="Q28" s="53"/>
      <c r="R28" s="53"/>
      <c r="S28" s="53"/>
      <c r="T28" s="54"/>
    </row>
    <row r="29" spans="2:22">
      <c r="B29" s="55"/>
      <c r="C29" s="56"/>
      <c r="D29" s="56"/>
      <c r="E29" s="56"/>
      <c r="F29" s="56"/>
      <c r="G29" s="56"/>
      <c r="H29" s="56"/>
      <c r="I29" s="56"/>
      <c r="J29" s="56"/>
      <c r="K29" s="56"/>
      <c r="L29" s="56"/>
      <c r="M29" s="56"/>
      <c r="N29" s="56"/>
      <c r="O29" s="56"/>
      <c r="P29" s="56"/>
      <c r="Q29" s="56"/>
      <c r="R29" s="56"/>
      <c r="S29" s="56"/>
      <c r="T29" s="57"/>
    </row>
    <row r="30" spans="2:22" ht="50.4">
      <c r="B30" s="55"/>
      <c r="C30" s="56"/>
      <c r="D30" s="56"/>
      <c r="E30" s="56"/>
      <c r="F30" s="56"/>
      <c r="G30" s="56"/>
      <c r="H30" s="56"/>
      <c r="I30" s="58" t="s">
        <v>162</v>
      </c>
      <c r="J30" s="58" t="s">
        <v>163</v>
      </c>
      <c r="K30" s="59"/>
      <c r="L30" s="60" t="s">
        <v>508</v>
      </c>
      <c r="M30" s="56"/>
      <c r="N30" s="56"/>
      <c r="O30" s="56"/>
      <c r="P30" s="56"/>
      <c r="Q30" s="56"/>
      <c r="R30" s="56"/>
      <c r="S30" s="56"/>
      <c r="T30" s="57"/>
    </row>
    <row r="31" spans="2:22" ht="90" customHeight="1">
      <c r="B31" s="61" t="s">
        <v>166</v>
      </c>
      <c r="C31" s="62" t="str">
        <f>'EDI Framework Criteria'!C8</f>
        <v>1.B.2</v>
      </c>
      <c r="D31" s="224" t="str">
        <f>'EDI Framework Criteria'!D8</f>
        <v xml:space="preserve">We are committed to creating a document that explains what people's personal responsibilities are for working towards EDI. </v>
      </c>
      <c r="E31" s="225"/>
      <c r="F31" s="225"/>
      <c r="G31" s="225"/>
      <c r="H31" s="226"/>
      <c r="I31" s="63" t="s">
        <v>175</v>
      </c>
      <c r="J31" s="63"/>
      <c r="K31" s="47">
        <f>INDEX($U$3:$V$13,MATCH(I31,$U$3:$U$13,0),2)</f>
        <v>0</v>
      </c>
      <c r="L31" s="245"/>
      <c r="M31" s="246"/>
      <c r="N31" s="246"/>
      <c r="O31" s="246"/>
      <c r="P31" s="246"/>
      <c r="Q31" s="246"/>
      <c r="R31" s="246"/>
      <c r="S31" s="246"/>
      <c r="T31" s="247"/>
      <c r="V31" s="99" t="e">
        <f>IF(#REF!=0,V30,"")</f>
        <v>#REF!</v>
      </c>
    </row>
    <row r="32" spans="2:22">
      <c r="B32" s="46"/>
      <c r="C32" s="47"/>
      <c r="D32" s="47"/>
      <c r="E32" s="47"/>
      <c r="F32" s="47"/>
      <c r="G32" s="47"/>
      <c r="H32" s="47"/>
      <c r="I32" s="47"/>
      <c r="J32" s="47"/>
      <c r="K32" s="47"/>
      <c r="L32" s="248"/>
      <c r="M32" s="249"/>
      <c r="N32" s="249"/>
      <c r="O32" s="249"/>
      <c r="P32" s="249"/>
      <c r="Q32" s="249"/>
      <c r="R32" s="249"/>
      <c r="S32" s="249"/>
      <c r="T32" s="250"/>
    </row>
    <row r="33" spans="2:22" ht="90" customHeight="1">
      <c r="B33" s="61" t="s">
        <v>167</v>
      </c>
      <c r="C33" s="62" t="str">
        <f>'EDI Framework Criteria'!E8</f>
        <v>2.B.2</v>
      </c>
      <c r="D33" s="224" t="str">
        <f>'EDI Framework Criteria'!F8</f>
        <v xml:space="preserve">We have created a document that explains what people's personal responsibilities are for working towards EDI. </v>
      </c>
      <c r="E33" s="225"/>
      <c r="F33" s="225"/>
      <c r="G33" s="225"/>
      <c r="H33" s="226"/>
      <c r="I33" s="63" t="s">
        <v>176</v>
      </c>
      <c r="J33" s="63"/>
      <c r="K33" s="47">
        <f>INDEX($U$3:$V$13,MATCH(I33,$U$3:$U$13,0),2)</f>
        <v>0</v>
      </c>
      <c r="L33" s="248"/>
      <c r="M33" s="249"/>
      <c r="N33" s="249"/>
      <c r="O33" s="249"/>
      <c r="P33" s="249"/>
      <c r="Q33" s="249"/>
      <c r="R33" s="249"/>
      <c r="S33" s="249"/>
      <c r="T33" s="250"/>
    </row>
    <row r="34" spans="2:22">
      <c r="B34" s="46"/>
      <c r="C34" s="47"/>
      <c r="D34" s="47"/>
      <c r="E34" s="47"/>
      <c r="F34" s="47"/>
      <c r="G34" s="47"/>
      <c r="H34" s="47"/>
      <c r="I34" s="47"/>
      <c r="J34" s="47"/>
      <c r="K34" s="47"/>
      <c r="L34" s="248"/>
      <c r="M34" s="249"/>
      <c r="N34" s="249"/>
      <c r="O34" s="249"/>
      <c r="P34" s="249"/>
      <c r="Q34" s="249"/>
      <c r="R34" s="249"/>
      <c r="S34" s="249"/>
      <c r="T34" s="250"/>
    </row>
    <row r="35" spans="2:22" ht="90" customHeight="1" thickBot="1">
      <c r="B35" s="64" t="s">
        <v>168</v>
      </c>
      <c r="C35" s="65" t="str">
        <f>'EDI Framework Criteria'!G8</f>
        <v>3.B.2</v>
      </c>
      <c r="D35" s="221" t="str">
        <f>'EDI Framework Criteria'!H8</f>
        <v>We have a document that explains what everyone’s responsibilities are for working towards EDI. We have reviewed it at least once, and will keep making updates as our EDI work goes on.</v>
      </c>
      <c r="E35" s="222"/>
      <c r="F35" s="222"/>
      <c r="G35" s="222"/>
      <c r="H35" s="223"/>
      <c r="I35" s="66" t="s">
        <v>177</v>
      </c>
      <c r="J35" s="66"/>
      <c r="K35" s="67">
        <f>INDEX($U$3:$V$13,MATCH(I35,$U$3:$U$13,0),2)</f>
        <v>0</v>
      </c>
      <c r="L35" s="251"/>
      <c r="M35" s="252"/>
      <c r="N35" s="252"/>
      <c r="O35" s="252"/>
      <c r="P35" s="252"/>
      <c r="Q35" s="252"/>
      <c r="R35" s="252"/>
      <c r="S35" s="252"/>
      <c r="T35" s="253"/>
    </row>
    <row r="36" spans="2:22">
      <c r="B36" s="34"/>
      <c r="C36" s="86"/>
      <c r="D36" s="86"/>
      <c r="E36" s="86"/>
      <c r="F36" s="86"/>
      <c r="G36" s="86"/>
      <c r="H36" s="86"/>
      <c r="I36" s="86"/>
      <c r="J36" s="86"/>
      <c r="K36" s="86"/>
      <c r="L36" s="86"/>
      <c r="M36" s="86"/>
      <c r="N36" s="86"/>
      <c r="O36" s="86"/>
      <c r="P36" s="86"/>
      <c r="Q36" s="86"/>
      <c r="R36" s="86"/>
      <c r="S36" s="86"/>
      <c r="T36" s="35"/>
    </row>
    <row r="37" spans="2:22" ht="17.399999999999999" thickBot="1">
      <c r="B37" s="34"/>
      <c r="C37" s="86"/>
      <c r="D37" s="86"/>
      <c r="E37" s="86"/>
      <c r="F37" s="86"/>
      <c r="G37" s="86"/>
      <c r="H37" s="86"/>
      <c r="I37" s="86"/>
      <c r="J37" s="86"/>
      <c r="K37" s="86"/>
      <c r="L37" s="86"/>
      <c r="M37" s="86"/>
      <c r="N37" s="86"/>
      <c r="O37" s="86"/>
      <c r="P37" s="86"/>
      <c r="Q37" s="86"/>
      <c r="R37" s="86"/>
      <c r="S37" s="86"/>
      <c r="T37" s="35"/>
    </row>
    <row r="38" spans="2:22" ht="21.6">
      <c r="B38" s="51" t="s">
        <v>171</v>
      </c>
      <c r="C38" s="52"/>
      <c r="D38" s="156" t="str">
        <f>'EDI Framework Criteria'!B9</f>
        <v>Targets for Equality, Diversity and Inclusion</v>
      </c>
      <c r="E38" s="53"/>
      <c r="F38" s="53"/>
      <c r="G38" s="53"/>
      <c r="H38" s="53"/>
      <c r="I38" s="53"/>
      <c r="J38" s="53"/>
      <c r="K38" s="53"/>
      <c r="L38" s="53"/>
      <c r="M38" s="53"/>
      <c r="N38" s="53"/>
      <c r="O38" s="53"/>
      <c r="P38" s="53"/>
      <c r="Q38" s="53"/>
      <c r="R38" s="53"/>
      <c r="S38" s="53"/>
      <c r="T38" s="54"/>
    </row>
    <row r="39" spans="2:22">
      <c r="B39" s="55"/>
      <c r="C39" s="56"/>
      <c r="D39" s="56"/>
      <c r="E39" s="56"/>
      <c r="F39" s="56"/>
      <c r="G39" s="56"/>
      <c r="H39" s="56"/>
      <c r="I39" s="56"/>
      <c r="J39" s="56"/>
      <c r="K39" s="56"/>
      <c r="L39" s="56"/>
      <c r="M39" s="56"/>
      <c r="N39" s="56"/>
      <c r="O39" s="56"/>
      <c r="P39" s="56"/>
      <c r="Q39" s="56"/>
      <c r="R39" s="56"/>
      <c r="S39" s="56"/>
      <c r="T39" s="57"/>
    </row>
    <row r="40" spans="2:22" ht="50.4">
      <c r="B40" s="55"/>
      <c r="C40" s="56"/>
      <c r="D40" s="56"/>
      <c r="E40" s="56"/>
      <c r="F40" s="56"/>
      <c r="G40" s="56"/>
      <c r="H40" s="56"/>
      <c r="I40" s="58" t="s">
        <v>162</v>
      </c>
      <c r="J40" s="58" t="s">
        <v>163</v>
      </c>
      <c r="K40" s="59"/>
      <c r="L40" s="60" t="s">
        <v>508</v>
      </c>
      <c r="M40" s="56"/>
      <c r="N40" s="56"/>
      <c r="O40" s="56"/>
      <c r="P40" s="56"/>
      <c r="Q40" s="56"/>
      <c r="R40" s="56"/>
      <c r="S40" s="56"/>
      <c r="T40" s="57"/>
    </row>
    <row r="41" spans="2:22" ht="90" customHeight="1">
      <c r="B41" s="61" t="s">
        <v>166</v>
      </c>
      <c r="C41" s="62" t="str">
        <f>'EDI Framework Criteria'!C9</f>
        <v>1.B.3</v>
      </c>
      <c r="D41" s="224" t="str">
        <f>'EDI Framework Criteria'!D9</f>
        <v>We have committed to setting relevant targets for EDI. This will include targets for outputs and outcomes.</v>
      </c>
      <c r="E41" s="225"/>
      <c r="F41" s="225"/>
      <c r="G41" s="225"/>
      <c r="H41" s="226"/>
      <c r="I41" s="63" t="s">
        <v>175</v>
      </c>
      <c r="J41" s="63"/>
      <c r="K41" s="47">
        <f>INDEX($U$3:$V$13,MATCH(I41,$U$3:$U$13,0),2)</f>
        <v>0</v>
      </c>
      <c r="L41" s="245"/>
      <c r="M41" s="246"/>
      <c r="N41" s="246"/>
      <c r="O41" s="246"/>
      <c r="P41" s="246"/>
      <c r="Q41" s="246"/>
      <c r="R41" s="246"/>
      <c r="S41" s="246"/>
      <c r="T41" s="247"/>
      <c r="V41" s="99">
        <f>IF(K31=0,V40,"")</f>
        <v>0</v>
      </c>
    </row>
    <row r="42" spans="2:22">
      <c r="B42" s="46"/>
      <c r="C42" s="47"/>
      <c r="D42" s="47"/>
      <c r="E42" s="47"/>
      <c r="F42" s="47"/>
      <c r="G42" s="47"/>
      <c r="H42" s="47"/>
      <c r="I42" s="47"/>
      <c r="J42" s="47"/>
      <c r="K42" s="47"/>
      <c r="L42" s="248"/>
      <c r="M42" s="249"/>
      <c r="N42" s="249"/>
      <c r="O42" s="249"/>
      <c r="P42" s="249"/>
      <c r="Q42" s="249"/>
      <c r="R42" s="249"/>
      <c r="S42" s="249"/>
      <c r="T42" s="250"/>
    </row>
    <row r="43" spans="2:22" ht="90" customHeight="1">
      <c r="B43" s="61" t="s">
        <v>167</v>
      </c>
      <c r="C43" s="62" t="str">
        <f>'EDI Framework Criteria'!E9</f>
        <v>2.B.3</v>
      </c>
      <c r="D43" s="224" t="str">
        <f>'EDI Framework Criteria'!F9</f>
        <v xml:space="preserve">We have set relevant targets for EDI. We are tracking not only outputs but also outcomes. </v>
      </c>
      <c r="E43" s="225"/>
      <c r="F43" s="225"/>
      <c r="G43" s="225"/>
      <c r="H43" s="226"/>
      <c r="I43" s="63" t="s">
        <v>176</v>
      </c>
      <c r="J43" s="63"/>
      <c r="K43" s="47">
        <f>INDEX($U$3:$V$13,MATCH(I43,$U$3:$U$13,0),2)</f>
        <v>0</v>
      </c>
      <c r="L43" s="248"/>
      <c r="M43" s="249"/>
      <c r="N43" s="249"/>
      <c r="O43" s="249"/>
      <c r="P43" s="249"/>
      <c r="Q43" s="249"/>
      <c r="R43" s="249"/>
      <c r="S43" s="249"/>
      <c r="T43" s="250"/>
    </row>
    <row r="44" spans="2:22">
      <c r="B44" s="46"/>
      <c r="C44" s="47"/>
      <c r="D44" s="47"/>
      <c r="E44" s="47"/>
      <c r="F44" s="47"/>
      <c r="G44" s="47"/>
      <c r="H44" s="47"/>
      <c r="I44" s="47"/>
      <c r="J44" s="47"/>
      <c r="K44" s="47"/>
      <c r="L44" s="248"/>
      <c r="M44" s="249"/>
      <c r="N44" s="249"/>
      <c r="O44" s="249"/>
      <c r="P44" s="249"/>
      <c r="Q44" s="249"/>
      <c r="R44" s="249"/>
      <c r="S44" s="249"/>
      <c r="T44" s="250"/>
    </row>
    <row r="45" spans="2:22" ht="90" customHeight="1" thickBot="1">
      <c r="B45" s="64" t="s">
        <v>168</v>
      </c>
      <c r="C45" s="65" t="str">
        <f>'EDI Framework Criteria'!G9</f>
        <v>3.B.3</v>
      </c>
      <c r="D45" s="221" t="str">
        <f>'EDI Framework Criteria'!H9</f>
        <v>We have set relevant targets for EDI. We are tracking  not only outputs but also outcomes. Our targets have been reviewed at least once, with input from stakeholders. We have revised the targets as needed, and will keep revising them as our EDI work goes on.</v>
      </c>
      <c r="E45" s="222"/>
      <c r="F45" s="222"/>
      <c r="G45" s="222"/>
      <c r="H45" s="223"/>
      <c r="I45" s="66" t="s">
        <v>177</v>
      </c>
      <c r="J45" s="66"/>
      <c r="K45" s="67">
        <f>INDEX($U$3:$V$13,MATCH(I45,$U$3:$U$13,0),2)</f>
        <v>0</v>
      </c>
      <c r="L45" s="251"/>
      <c r="M45" s="252"/>
      <c r="N45" s="252"/>
      <c r="O45" s="252"/>
      <c r="P45" s="252"/>
      <c r="Q45" s="252"/>
      <c r="R45" s="252"/>
      <c r="S45" s="252"/>
      <c r="T45" s="253"/>
    </row>
    <row r="46" spans="2:22">
      <c r="B46" s="34"/>
      <c r="C46" s="86"/>
      <c r="D46" s="86"/>
      <c r="E46" s="86"/>
      <c r="F46" s="86"/>
      <c r="G46" s="86"/>
      <c r="H46" s="86"/>
      <c r="I46" s="86"/>
      <c r="J46" s="86"/>
      <c r="K46" s="86"/>
      <c r="L46" s="86"/>
      <c r="M46" s="86"/>
      <c r="N46" s="86"/>
      <c r="O46" s="86"/>
      <c r="P46" s="86"/>
      <c r="Q46" s="86"/>
      <c r="R46" s="86"/>
      <c r="S46" s="86"/>
      <c r="T46" s="35"/>
    </row>
    <row r="47" spans="2:22" ht="17.399999999999999" thickBot="1">
      <c r="B47" s="34"/>
      <c r="C47" s="86"/>
      <c r="D47" s="86"/>
      <c r="E47" s="86"/>
      <c r="F47" s="86"/>
      <c r="G47" s="86"/>
      <c r="H47" s="86"/>
      <c r="I47" s="86"/>
      <c r="J47" s="86"/>
      <c r="K47" s="86"/>
      <c r="L47" s="86"/>
      <c r="M47" s="86"/>
      <c r="N47" s="86"/>
      <c r="O47" s="86"/>
      <c r="P47" s="86"/>
      <c r="Q47" s="86"/>
      <c r="R47" s="86"/>
      <c r="S47" s="86"/>
      <c r="T47" s="35"/>
    </row>
    <row r="48" spans="2:22" ht="21.6">
      <c r="B48" s="51" t="s">
        <v>174</v>
      </c>
      <c r="C48" s="52"/>
      <c r="D48" s="156" t="str">
        <f>'EDI Framework Criteria'!B10</f>
        <v>Working with marginalised groups</v>
      </c>
      <c r="E48" s="53"/>
      <c r="F48" s="53"/>
      <c r="G48" s="53"/>
      <c r="H48" s="53"/>
      <c r="I48" s="53"/>
      <c r="J48" s="53"/>
      <c r="K48" s="53"/>
      <c r="L48" s="53"/>
      <c r="M48" s="53"/>
      <c r="N48" s="53"/>
      <c r="O48" s="53"/>
      <c r="P48" s="53"/>
      <c r="Q48" s="53"/>
      <c r="R48" s="53"/>
      <c r="S48" s="53"/>
      <c r="T48" s="54"/>
    </row>
    <row r="49" spans="2:25">
      <c r="B49" s="55"/>
      <c r="C49" s="56"/>
      <c r="D49" s="56"/>
      <c r="E49" s="56"/>
      <c r="F49" s="56"/>
      <c r="G49" s="56"/>
      <c r="H49" s="56"/>
      <c r="I49" s="56"/>
      <c r="J49" s="56"/>
      <c r="K49" s="56"/>
      <c r="L49" s="56"/>
      <c r="M49" s="56"/>
      <c r="N49" s="56"/>
      <c r="O49" s="56"/>
      <c r="P49" s="56"/>
      <c r="Q49" s="56"/>
      <c r="R49" s="56"/>
      <c r="S49" s="56"/>
      <c r="T49" s="57"/>
    </row>
    <row r="50" spans="2:25" ht="50.4">
      <c r="B50" s="55"/>
      <c r="C50" s="56"/>
      <c r="D50" s="56"/>
      <c r="E50" s="56"/>
      <c r="F50" s="56"/>
      <c r="G50" s="56"/>
      <c r="H50" s="56"/>
      <c r="I50" s="58" t="s">
        <v>162</v>
      </c>
      <c r="J50" s="58" t="s">
        <v>163</v>
      </c>
      <c r="K50" s="59"/>
      <c r="L50" s="60" t="s">
        <v>508</v>
      </c>
      <c r="M50" s="56"/>
      <c r="N50" s="56"/>
      <c r="O50" s="56"/>
      <c r="P50" s="56"/>
      <c r="Q50" s="56"/>
      <c r="R50" s="56"/>
      <c r="S50" s="56"/>
      <c r="T50" s="57"/>
    </row>
    <row r="51" spans="2:25" ht="90" customHeight="1">
      <c r="B51" s="61" t="s">
        <v>166</v>
      </c>
      <c r="C51" s="62" t="str">
        <f>'EDI Framework Criteria'!C10</f>
        <v>1.B.4</v>
      </c>
      <c r="D51" s="224" t="str">
        <f>'EDI Framework Criteria'!D10</f>
        <v>We have committed to creating a policy or action plan with clear commitments to identify and support marginalised groups.</v>
      </c>
      <c r="E51" s="225"/>
      <c r="F51" s="225"/>
      <c r="G51" s="225"/>
      <c r="H51" s="226"/>
      <c r="I51" s="63" t="s">
        <v>175</v>
      </c>
      <c r="J51" s="63"/>
      <c r="K51" s="47">
        <f>INDEX($U$3:$V$13,MATCH(I51,$U$3:$U$13,0),2)</f>
        <v>0</v>
      </c>
      <c r="L51" s="254"/>
      <c r="M51" s="255"/>
      <c r="N51" s="255"/>
      <c r="O51" s="255"/>
      <c r="P51" s="255"/>
      <c r="Q51" s="255"/>
      <c r="R51" s="255"/>
      <c r="S51" s="255"/>
      <c r="T51" s="256"/>
    </row>
    <row r="52" spans="2:25">
      <c r="B52" s="46"/>
      <c r="C52" s="47"/>
      <c r="D52" s="47"/>
      <c r="E52" s="47"/>
      <c r="F52" s="47"/>
      <c r="G52" s="47"/>
      <c r="H52" s="47"/>
      <c r="I52" s="47"/>
      <c r="J52" s="47"/>
      <c r="K52" s="47"/>
      <c r="L52" s="257"/>
      <c r="M52" s="258"/>
      <c r="N52" s="258"/>
      <c r="O52" s="258"/>
      <c r="P52" s="258"/>
      <c r="Q52" s="258"/>
      <c r="R52" s="258"/>
      <c r="S52" s="258"/>
      <c r="T52" s="259"/>
    </row>
    <row r="53" spans="2:25" ht="90" customHeight="1">
      <c r="B53" s="61" t="s">
        <v>167</v>
      </c>
      <c r="C53" s="62" t="str">
        <f>'EDI Framework Criteria'!E10</f>
        <v>2.B.4</v>
      </c>
      <c r="D53" s="224" t="str">
        <f>'EDI Framework Criteria'!F10</f>
        <v>We have a policy or action plan with clear commitments to identify and support marginalised groups. This has been agreed to by senior management or the board.</v>
      </c>
      <c r="E53" s="225"/>
      <c r="F53" s="225"/>
      <c r="G53" s="225"/>
      <c r="H53" s="226"/>
      <c r="I53" s="63" t="s">
        <v>176</v>
      </c>
      <c r="J53" s="63"/>
      <c r="K53" s="47">
        <f>INDEX($U$3:$V$13,MATCH(I53,$U$3:$U$13,0),2)</f>
        <v>0</v>
      </c>
      <c r="L53" s="257"/>
      <c r="M53" s="258"/>
      <c r="N53" s="258"/>
      <c r="O53" s="258"/>
      <c r="P53" s="258"/>
      <c r="Q53" s="258"/>
      <c r="R53" s="258"/>
      <c r="S53" s="258"/>
      <c r="T53" s="259"/>
    </row>
    <row r="54" spans="2:25">
      <c r="B54" s="46"/>
      <c r="C54" s="47"/>
      <c r="D54" s="47"/>
      <c r="E54" s="47"/>
      <c r="F54" s="47"/>
      <c r="G54" s="47"/>
      <c r="H54" s="47"/>
      <c r="I54" s="47"/>
      <c r="J54" s="47"/>
      <c r="K54" s="47"/>
      <c r="L54" s="257"/>
      <c r="M54" s="258"/>
      <c r="N54" s="258"/>
      <c r="O54" s="258"/>
      <c r="P54" s="258"/>
      <c r="Q54" s="258"/>
      <c r="R54" s="258"/>
      <c r="S54" s="258"/>
      <c r="T54" s="259"/>
    </row>
    <row r="55" spans="2:25" ht="90" customHeight="1" thickBot="1">
      <c r="B55" s="64" t="s">
        <v>168</v>
      </c>
      <c r="C55" s="65" t="str">
        <f>'EDI Framework Criteria'!G10</f>
        <v>3.B.4</v>
      </c>
      <c r="D55" s="221" t="str">
        <f>'EDI Framework Criteria'!H10</f>
        <v xml:space="preserve">We have a policy or action plan with clear commitments to identify and support marginalised groups. We have reviewed it at least once, and will keep making updates as our EDI work goes on. </v>
      </c>
      <c r="E55" s="222"/>
      <c r="F55" s="222"/>
      <c r="G55" s="222"/>
      <c r="H55" s="223"/>
      <c r="I55" s="66" t="s">
        <v>177</v>
      </c>
      <c r="J55" s="66"/>
      <c r="K55" s="67">
        <f>INDEX($U$3:$V$13,MATCH(I55,$U$3:$U$13,0),2)</f>
        <v>0</v>
      </c>
      <c r="L55" s="260"/>
      <c r="M55" s="261"/>
      <c r="N55" s="261"/>
      <c r="O55" s="261"/>
      <c r="P55" s="261"/>
      <c r="Q55" s="261"/>
      <c r="R55" s="261"/>
      <c r="S55" s="261"/>
      <c r="T55" s="262"/>
      <c r="Y55" s="99"/>
    </row>
    <row r="56" spans="2:25">
      <c r="B56" s="34"/>
      <c r="C56" s="86"/>
      <c r="D56" s="86"/>
      <c r="E56" s="86"/>
      <c r="F56" s="86"/>
      <c r="G56" s="86"/>
      <c r="H56" s="86"/>
      <c r="I56" s="86"/>
      <c r="J56" s="86"/>
      <c r="K56" s="86"/>
      <c r="L56" s="86"/>
      <c r="M56" s="86"/>
      <c r="N56" s="86"/>
      <c r="O56" s="86"/>
      <c r="P56" s="86"/>
      <c r="Q56" s="86"/>
      <c r="R56" s="86"/>
      <c r="S56" s="86"/>
      <c r="T56" s="35"/>
    </row>
    <row r="57" spans="2:25">
      <c r="B57" s="34"/>
      <c r="C57" s="86"/>
      <c r="D57" s="86"/>
      <c r="E57" s="86"/>
      <c r="F57" s="86"/>
      <c r="G57" s="86"/>
      <c r="H57" s="86"/>
      <c r="I57" s="86"/>
      <c r="J57" s="86"/>
      <c r="K57" s="86"/>
      <c r="L57" s="86"/>
      <c r="M57" s="86"/>
      <c r="N57" s="86"/>
      <c r="O57" s="86"/>
      <c r="P57" s="86"/>
      <c r="Q57" s="86"/>
      <c r="R57" s="86"/>
      <c r="S57" s="86"/>
      <c r="T57" s="35"/>
    </row>
    <row r="58" spans="2:25" ht="25.2" thickBot="1">
      <c r="B58" s="96"/>
      <c r="C58" s="162"/>
      <c r="D58" s="162"/>
      <c r="E58" s="162"/>
      <c r="F58" s="86"/>
      <c r="G58" s="86"/>
      <c r="H58" s="86"/>
      <c r="I58" s="86"/>
      <c r="J58" s="86"/>
      <c r="K58" s="86"/>
      <c r="L58" s="86"/>
      <c r="M58" s="86"/>
      <c r="N58" s="86"/>
      <c r="O58" s="86"/>
      <c r="P58" s="86"/>
      <c r="Q58" s="86"/>
      <c r="R58" s="86"/>
      <c r="S58" s="86"/>
      <c r="T58" s="35"/>
    </row>
    <row r="59" spans="2:25" ht="21" customHeight="1">
      <c r="B59" s="87" t="s">
        <v>194</v>
      </c>
      <c r="C59" s="88"/>
      <c r="D59" s="88" t="s">
        <v>180</v>
      </c>
      <c r="E59" s="89"/>
      <c r="F59" s="89"/>
      <c r="G59" s="89"/>
      <c r="H59" s="89"/>
      <c r="I59" s="89"/>
      <c r="J59" s="89"/>
      <c r="K59" s="89"/>
      <c r="L59" s="89"/>
      <c r="M59" s="89"/>
      <c r="N59" s="89"/>
      <c r="O59" s="89"/>
      <c r="P59" s="89"/>
      <c r="Q59" s="89"/>
      <c r="R59" s="89"/>
      <c r="S59" s="89"/>
      <c r="T59" s="90"/>
    </row>
    <row r="60" spans="2:25" ht="30" customHeight="1" thickBot="1">
      <c r="B60" s="91"/>
      <c r="C60" s="92"/>
      <c r="D60" s="92"/>
      <c r="E60" s="92"/>
      <c r="F60" s="92"/>
      <c r="G60" s="92"/>
      <c r="H60" s="92"/>
      <c r="I60" s="92"/>
      <c r="J60" s="92"/>
      <c r="K60" s="92"/>
      <c r="L60" s="92"/>
      <c r="M60" s="92"/>
      <c r="N60" s="92"/>
      <c r="O60" s="92"/>
      <c r="P60" s="92"/>
      <c r="Q60" s="92"/>
      <c r="R60" s="92"/>
      <c r="S60" s="92"/>
      <c r="T60" s="93"/>
    </row>
    <row r="61" spans="2:25" ht="22.5" customHeight="1" thickBot="1">
      <c r="B61" s="97"/>
      <c r="C61" s="98"/>
      <c r="D61" s="98"/>
      <c r="E61" s="98"/>
      <c r="F61" s="98"/>
      <c r="G61" s="98"/>
      <c r="H61" s="98"/>
      <c r="I61" s="98"/>
      <c r="J61" s="98"/>
      <c r="K61" s="98"/>
      <c r="L61" s="98"/>
      <c r="M61" s="98"/>
      <c r="N61" s="98"/>
      <c r="O61" s="98"/>
      <c r="P61" s="98"/>
      <c r="Q61" s="98"/>
      <c r="R61" s="98"/>
      <c r="S61" s="98"/>
      <c r="T61" s="36"/>
    </row>
    <row r="63" spans="2:25" ht="24" customHeight="1"/>
    <row r="65" ht="20.25" customHeight="1"/>
    <row r="69" ht="31.5" customHeight="1"/>
  </sheetData>
  <mergeCells count="35">
    <mergeCell ref="D35:H35"/>
    <mergeCell ref="D31:H31"/>
    <mergeCell ref="D33:H33"/>
    <mergeCell ref="L31:T35"/>
    <mergeCell ref="D41:H41"/>
    <mergeCell ref="D51:H51"/>
    <mergeCell ref="D53:H53"/>
    <mergeCell ref="L51:T55"/>
    <mergeCell ref="L41:T45"/>
    <mergeCell ref="D55:H55"/>
    <mergeCell ref="D43:H43"/>
    <mergeCell ref="D45:H45"/>
    <mergeCell ref="B15:J15"/>
    <mergeCell ref="D25:H25"/>
    <mergeCell ref="D21:H21"/>
    <mergeCell ref="L21:T25"/>
    <mergeCell ref="O9:T9"/>
    <mergeCell ref="O10:T10"/>
    <mergeCell ref="O11:T11"/>
    <mergeCell ref="O12:T12"/>
    <mergeCell ref="O13:T13"/>
    <mergeCell ref="D23:H23"/>
    <mergeCell ref="V1:Y1"/>
    <mergeCell ref="B11:C11"/>
    <mergeCell ref="B12:C12"/>
    <mergeCell ref="B13:C13"/>
    <mergeCell ref="D10:N10"/>
    <mergeCell ref="D9:N9"/>
    <mergeCell ref="B6:J7"/>
    <mergeCell ref="B3:T3"/>
    <mergeCell ref="B10:C10"/>
    <mergeCell ref="B9:C9"/>
    <mergeCell ref="D13:N13"/>
    <mergeCell ref="D11:N11"/>
    <mergeCell ref="D12:N12"/>
  </mergeCells>
  <conditionalFormatting sqref="U5">
    <cfRule type="cellIs" dxfId="333" priority="37" operator="equal">
      <formula>$U$4</formula>
    </cfRule>
    <cfRule type="cellIs" dxfId="332" priority="38" operator="equal">
      <formula>$U$4</formula>
    </cfRule>
  </conditionalFormatting>
  <conditionalFormatting sqref="I21">
    <cfRule type="cellIs" dxfId="331" priority="28" operator="equal">
      <formula>$U$5</formula>
    </cfRule>
    <cfRule type="cellIs" dxfId="330" priority="29" operator="equal">
      <formula>$U$3</formula>
    </cfRule>
    <cfRule type="cellIs" dxfId="329" priority="30" operator="equal">
      <formula>$U$4</formula>
    </cfRule>
  </conditionalFormatting>
  <conditionalFormatting sqref="I23">
    <cfRule type="cellIs" dxfId="328" priority="31" operator="equal">
      <formula>$U$9</formula>
    </cfRule>
    <cfRule type="cellIs" dxfId="327" priority="32" operator="equal">
      <formula>$U$7</formula>
    </cfRule>
    <cfRule type="cellIs" dxfId="326" priority="33" operator="equal">
      <formula>$U$8</formula>
    </cfRule>
  </conditionalFormatting>
  <conditionalFormatting sqref="I25">
    <cfRule type="cellIs" dxfId="325" priority="34" operator="equal">
      <formula>$U$13</formula>
    </cfRule>
    <cfRule type="cellIs" dxfId="324" priority="35" operator="equal">
      <formula>$U$11</formula>
    </cfRule>
    <cfRule type="cellIs" dxfId="323" priority="36" operator="equal">
      <formula>$U$12</formula>
    </cfRule>
  </conditionalFormatting>
  <conditionalFormatting sqref="I31">
    <cfRule type="cellIs" dxfId="322" priority="19" operator="equal">
      <formula>$U$5</formula>
    </cfRule>
    <cfRule type="cellIs" dxfId="321" priority="20" operator="equal">
      <formula>$U$3</formula>
    </cfRule>
    <cfRule type="cellIs" dxfId="320" priority="21" operator="equal">
      <formula>$U$4</formula>
    </cfRule>
  </conditionalFormatting>
  <conditionalFormatting sqref="I33">
    <cfRule type="cellIs" dxfId="319" priority="22" operator="equal">
      <formula>$U$9</formula>
    </cfRule>
    <cfRule type="cellIs" dxfId="318" priority="23" operator="equal">
      <formula>$U$7</formula>
    </cfRule>
    <cfRule type="cellIs" dxfId="317" priority="24" operator="equal">
      <formula>$U$8</formula>
    </cfRule>
  </conditionalFormatting>
  <conditionalFormatting sqref="I35">
    <cfRule type="cellIs" dxfId="316" priority="25" operator="equal">
      <formula>$U$13</formula>
    </cfRule>
    <cfRule type="cellIs" dxfId="315" priority="26" operator="equal">
      <formula>$U$11</formula>
    </cfRule>
    <cfRule type="cellIs" dxfId="314" priority="27" operator="equal">
      <formula>$U$12</formula>
    </cfRule>
  </conditionalFormatting>
  <conditionalFormatting sqref="I41">
    <cfRule type="cellIs" dxfId="313" priority="10" operator="equal">
      <formula>$U$5</formula>
    </cfRule>
    <cfRule type="cellIs" dxfId="312" priority="11" operator="equal">
      <formula>$U$3</formula>
    </cfRule>
    <cfRule type="cellIs" dxfId="311" priority="12" operator="equal">
      <formula>$U$4</formula>
    </cfRule>
  </conditionalFormatting>
  <conditionalFormatting sqref="I43">
    <cfRule type="cellIs" dxfId="310" priority="13" operator="equal">
      <formula>$U$9</formula>
    </cfRule>
    <cfRule type="cellIs" dxfId="309" priority="14" operator="equal">
      <formula>$U$7</formula>
    </cfRule>
    <cfRule type="cellIs" dxfId="308" priority="15" operator="equal">
      <formula>$U$8</formula>
    </cfRule>
  </conditionalFormatting>
  <conditionalFormatting sqref="I45">
    <cfRule type="cellIs" dxfId="307" priority="16" operator="equal">
      <formula>$U$13</formula>
    </cfRule>
    <cfRule type="cellIs" dxfId="306" priority="17" operator="equal">
      <formula>$U$11</formula>
    </cfRule>
    <cfRule type="cellIs" dxfId="305" priority="18" operator="equal">
      <formula>$U$12</formula>
    </cfRule>
  </conditionalFormatting>
  <conditionalFormatting sqref="I51">
    <cfRule type="cellIs" dxfId="304" priority="1" operator="equal">
      <formula>$U$5</formula>
    </cfRule>
    <cfRule type="cellIs" dxfId="303" priority="2" operator="equal">
      <formula>$U$3</formula>
    </cfRule>
    <cfRule type="cellIs" dxfId="302" priority="3" operator="equal">
      <formula>$U$4</formula>
    </cfRule>
  </conditionalFormatting>
  <conditionalFormatting sqref="I53">
    <cfRule type="cellIs" dxfId="301" priority="4" operator="equal">
      <formula>$U$9</formula>
    </cfRule>
    <cfRule type="cellIs" dxfId="300" priority="5" operator="equal">
      <formula>$U$7</formula>
    </cfRule>
    <cfRule type="cellIs" dxfId="299" priority="6" operator="equal">
      <formula>$U$8</formula>
    </cfRule>
  </conditionalFormatting>
  <conditionalFormatting sqref="I55">
    <cfRule type="cellIs" dxfId="298" priority="7" operator="equal">
      <formula>$U$13</formula>
    </cfRule>
    <cfRule type="cellIs" dxfId="297" priority="8" operator="equal">
      <formula>$U$11</formula>
    </cfRule>
    <cfRule type="cellIs" dxfId="296" priority="9" operator="equal">
      <formula>$U$12</formula>
    </cfRule>
  </conditionalFormatting>
  <dataValidations count="3">
    <dataValidation type="list" allowBlank="1" showInputMessage="1" showErrorMessage="1" sqref="I45 I25 I35 I55" xr:uid="{23951834-F807-4BE8-9709-C03D8E0563BA}">
      <formula1>$U$11:$U$13</formula1>
    </dataValidation>
    <dataValidation type="list" allowBlank="1" showInputMessage="1" showErrorMessage="1" sqref="I43 I23 I33 I53" xr:uid="{BCAB1194-851B-428B-B0C4-876C0EB235B0}">
      <formula1>$U$7:$U$9</formula1>
    </dataValidation>
    <dataValidation type="list" allowBlank="1" showInputMessage="1" showErrorMessage="1" sqref="I41 I21 I31 I51" xr:uid="{023EF18C-D6FF-48A9-8BBE-44DCAB429D88}">
      <formula1>$U$3:$U$5</formula1>
    </dataValidation>
  </dataValidations>
  <hyperlinks>
    <hyperlink ref="O10" r:id="rId1" xr:uid="{F1D9F807-4BB3-4514-9647-987B86611DAC}"/>
    <hyperlink ref="O12" r:id="rId2" xr:uid="{EB96FB60-D791-4C95-8CA6-405B59A64179}"/>
    <hyperlink ref="O11" r:id="rId3" xr:uid="{732BF8E7-16C0-4159-8DCA-3EC06C79F52E}"/>
    <hyperlink ref="O13" r:id="rId4" xr:uid="{713E2AA6-59A5-4EFF-8B00-3E95284D7127}"/>
    <hyperlink ref="D59" location="'Section 3'!A1" display="Next section" xr:uid="{45B74EAB-8F2C-495B-9448-1082EAE9E3C8}"/>
    <hyperlink ref="B59" location="'Section 1'!A1" display="Previous section" xr:uid="{3E25E326-4CC4-4930-B3D3-2C7023541934}"/>
  </hyperlinks>
  <pageMargins left="0.7" right="0.7" top="0.75" bottom="0.75" header="0.3" footer="0.3"/>
  <pageSetup paperSize="9" orientation="portrait"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F89BF4-D8D1-4E74-B8FB-D1FDF4770B1B}">
  <sheetPr codeName="Sheet5"/>
  <dimension ref="A1:XFC32"/>
  <sheetViews>
    <sheetView topLeftCell="A21" zoomScale="102" zoomScaleNormal="100" workbookViewId="0"/>
  </sheetViews>
  <sheetFormatPr defaultColWidth="0" defaultRowHeight="16.8" zeroHeight="1" outlineLevelRow="1"/>
  <cols>
    <col min="1" max="1" width="3.33203125" style="32" customWidth="1"/>
    <col min="2" max="2" width="19.5" style="32" customWidth="1"/>
    <col min="3" max="3" width="19.5" style="32" hidden="1" customWidth="1"/>
    <col min="4" max="4" width="27.08203125" style="32" customWidth="1"/>
    <col min="5" max="8" width="9.08203125" style="32" customWidth="1"/>
    <col min="9" max="9" width="26.83203125" style="32" customWidth="1"/>
    <col min="10" max="10" width="52.9140625" style="32" customWidth="1"/>
    <col min="11" max="11" width="12.4140625" style="32" hidden="1" customWidth="1"/>
    <col min="12" max="20" width="9.08203125" style="32" customWidth="1"/>
    <col min="21" max="21" width="15.33203125" style="99" customWidth="1"/>
    <col min="22" max="22" width="9.08203125" style="99" hidden="1" customWidth="1"/>
    <col min="23" max="25" width="9.08203125" style="32" hidden="1" customWidth="1"/>
    <col min="26" max="35" width="0" style="32" hidden="1"/>
    <col min="36" max="16383" width="9.08203125" style="32" hidden="1"/>
    <col min="16384" max="16384" width="11.4140625" style="32" hidden="1" customWidth="1"/>
  </cols>
  <sheetData>
    <row r="1" spans="2:25" ht="17.399999999999999" thickBot="1">
      <c r="V1" s="263"/>
      <c r="W1" s="263"/>
      <c r="X1" s="263"/>
      <c r="Y1" s="263"/>
    </row>
    <row r="2" spans="2:25" s="40" customFormat="1" ht="34.200000000000003" thickBot="1">
      <c r="B2" s="158" t="s">
        <v>195</v>
      </c>
      <c r="C2" s="159"/>
      <c r="D2" s="167"/>
      <c r="E2" s="167"/>
      <c r="F2" s="167"/>
      <c r="G2" s="167"/>
      <c r="H2" s="167"/>
      <c r="I2" s="167"/>
      <c r="J2" s="167"/>
      <c r="K2" s="167"/>
      <c r="L2" s="167"/>
      <c r="M2" s="167"/>
      <c r="N2" s="167"/>
      <c r="O2" s="167"/>
      <c r="P2" s="167"/>
      <c r="Q2" s="167"/>
      <c r="R2" s="167"/>
      <c r="S2" s="167"/>
      <c r="T2" s="168"/>
      <c r="U2" s="120"/>
      <c r="V2" s="160"/>
      <c r="W2" s="160"/>
      <c r="X2" s="160"/>
      <c r="Y2" s="160"/>
    </row>
    <row r="3" spans="2:25" s="40" customFormat="1" ht="48.6" customHeight="1" thickBot="1">
      <c r="B3" s="218" t="str">
        <f>'EDI Framework Criteria'!A11</f>
        <v>Theory of Change</v>
      </c>
      <c r="C3" s="219"/>
      <c r="D3" s="219"/>
      <c r="E3" s="219"/>
      <c r="F3" s="219"/>
      <c r="G3" s="219"/>
      <c r="H3" s="219"/>
      <c r="I3" s="219"/>
      <c r="J3" s="219"/>
      <c r="K3" s="219"/>
      <c r="L3" s="219"/>
      <c r="M3" s="219"/>
      <c r="N3" s="219"/>
      <c r="O3" s="219"/>
      <c r="P3" s="219"/>
      <c r="Q3" s="219"/>
      <c r="R3" s="219"/>
      <c r="S3" s="219"/>
      <c r="T3" s="220"/>
      <c r="U3" s="120" t="s">
        <v>172</v>
      </c>
      <c r="V3" s="121">
        <v>2</v>
      </c>
    </row>
    <row r="4" spans="2:25">
      <c r="B4" s="34"/>
      <c r="C4" s="86"/>
      <c r="D4" s="86"/>
      <c r="E4" s="86"/>
      <c r="F4" s="86"/>
      <c r="G4" s="86"/>
      <c r="H4" s="86"/>
      <c r="I4" s="86"/>
      <c r="J4" s="86"/>
      <c r="K4" s="86"/>
      <c r="L4" s="86"/>
      <c r="M4" s="86"/>
      <c r="N4" s="86"/>
      <c r="O4" s="86"/>
      <c r="P4" s="86"/>
      <c r="Q4" s="86"/>
      <c r="R4" s="86"/>
      <c r="S4" s="86"/>
      <c r="T4" s="35"/>
      <c r="U4" s="99" t="s">
        <v>144</v>
      </c>
      <c r="V4" s="122">
        <v>1</v>
      </c>
    </row>
    <row r="5" spans="2:25" ht="21.6">
      <c r="B5" s="94" t="s">
        <v>145</v>
      </c>
      <c r="C5" s="95"/>
      <c r="D5" s="86"/>
      <c r="E5" s="86"/>
      <c r="F5" s="86"/>
      <c r="G5" s="86"/>
      <c r="H5" s="86"/>
      <c r="I5" s="86"/>
      <c r="J5" s="86"/>
      <c r="K5" s="86"/>
      <c r="L5" s="86"/>
      <c r="M5" s="86"/>
      <c r="N5" s="86"/>
      <c r="O5" s="86"/>
      <c r="P5" s="86"/>
      <c r="Q5" s="86"/>
      <c r="R5" s="86"/>
      <c r="S5" s="86"/>
      <c r="T5" s="35"/>
      <c r="U5" s="99" t="s">
        <v>175</v>
      </c>
      <c r="V5" s="122">
        <v>0</v>
      </c>
    </row>
    <row r="6" spans="2:25">
      <c r="B6" s="228" t="s">
        <v>484</v>
      </c>
      <c r="C6" s="229"/>
      <c r="D6" s="229"/>
      <c r="E6" s="229"/>
      <c r="F6" s="229"/>
      <c r="G6" s="229"/>
      <c r="H6" s="229"/>
      <c r="I6" s="229"/>
      <c r="J6" s="229"/>
      <c r="K6" s="86"/>
      <c r="L6" s="86"/>
      <c r="M6" s="86"/>
      <c r="N6" s="86"/>
      <c r="O6" s="86"/>
      <c r="P6" s="86"/>
      <c r="Q6" s="86"/>
      <c r="R6" s="86"/>
      <c r="S6" s="86"/>
      <c r="T6" s="35"/>
      <c r="V6" s="122"/>
    </row>
    <row r="7" spans="2:25">
      <c r="B7" s="228"/>
      <c r="C7" s="229"/>
      <c r="D7" s="229"/>
      <c r="E7" s="229"/>
      <c r="F7" s="229"/>
      <c r="G7" s="229"/>
      <c r="H7" s="229"/>
      <c r="I7" s="229"/>
      <c r="J7" s="229"/>
      <c r="K7" s="86"/>
      <c r="L7" s="86"/>
      <c r="M7" s="86"/>
      <c r="N7" s="86"/>
      <c r="O7" s="86"/>
      <c r="P7" s="86"/>
      <c r="Q7" s="86"/>
      <c r="R7" s="86"/>
      <c r="S7" s="86"/>
      <c r="T7" s="35"/>
      <c r="U7" s="99" t="s">
        <v>173</v>
      </c>
      <c r="V7" s="122">
        <v>2</v>
      </c>
    </row>
    <row r="8" spans="2:25" s="40" customFormat="1" ht="21.6">
      <c r="B8" s="49" t="s">
        <v>321</v>
      </c>
      <c r="C8" s="50"/>
      <c r="D8" s="47"/>
      <c r="E8" s="47"/>
      <c r="F8" s="47"/>
      <c r="G8" s="47"/>
      <c r="H8" s="47"/>
      <c r="I8" s="47"/>
      <c r="J8" s="47"/>
      <c r="K8" s="47"/>
      <c r="L8" s="47"/>
      <c r="M8" s="47"/>
      <c r="N8" s="47"/>
      <c r="O8" s="47"/>
      <c r="P8" s="47"/>
      <c r="Q8" s="47"/>
      <c r="R8" s="47"/>
      <c r="S8" s="47"/>
      <c r="T8" s="48"/>
      <c r="U8" s="120" t="s">
        <v>144</v>
      </c>
      <c r="V8" s="121">
        <v>1</v>
      </c>
    </row>
    <row r="9" spans="2:25" s="40" customFormat="1" ht="18.75" hidden="1" customHeight="1" outlineLevel="1">
      <c r="B9" s="232" t="s">
        <v>146</v>
      </c>
      <c r="C9" s="233"/>
      <c r="D9" s="234" t="s">
        <v>147</v>
      </c>
      <c r="E9" s="235"/>
      <c r="F9" s="235"/>
      <c r="G9" s="235"/>
      <c r="H9" s="235"/>
      <c r="I9" s="235"/>
      <c r="J9" s="235"/>
      <c r="K9" s="235"/>
      <c r="L9" s="235"/>
      <c r="M9" s="235"/>
      <c r="N9" s="233"/>
      <c r="O9" s="240" t="s">
        <v>148</v>
      </c>
      <c r="P9" s="240"/>
      <c r="Q9" s="240"/>
      <c r="R9" s="240"/>
      <c r="S9" s="240"/>
      <c r="T9" s="241"/>
      <c r="U9" s="120" t="s">
        <v>176</v>
      </c>
      <c r="V9" s="121">
        <v>0</v>
      </c>
    </row>
    <row r="10" spans="2:25" s="40" customFormat="1" ht="96" hidden="1" customHeight="1" outlineLevel="1">
      <c r="B10" s="227" t="s">
        <v>196</v>
      </c>
      <c r="C10" s="226"/>
      <c r="D10" s="224" t="s">
        <v>197</v>
      </c>
      <c r="E10" s="238"/>
      <c r="F10" s="238"/>
      <c r="G10" s="238"/>
      <c r="H10" s="238"/>
      <c r="I10" s="238"/>
      <c r="J10" s="238"/>
      <c r="K10" s="238"/>
      <c r="L10" s="238"/>
      <c r="M10" s="238"/>
      <c r="N10" s="239"/>
      <c r="O10" s="236" t="s">
        <v>198</v>
      </c>
      <c r="P10" s="242"/>
      <c r="Q10" s="242"/>
      <c r="R10" s="242"/>
      <c r="S10" s="242"/>
      <c r="T10" s="243"/>
      <c r="U10" s="120"/>
      <c r="V10" s="121"/>
    </row>
    <row r="11" spans="2:25" s="40" customFormat="1" ht="65.25" hidden="1" customHeight="1" outlineLevel="1">
      <c r="B11" s="227" t="s">
        <v>199</v>
      </c>
      <c r="C11" s="226"/>
      <c r="D11" s="224" t="s">
        <v>200</v>
      </c>
      <c r="E11" s="225"/>
      <c r="F11" s="225"/>
      <c r="G11" s="225"/>
      <c r="H11" s="225"/>
      <c r="I11" s="225"/>
      <c r="J11" s="225"/>
      <c r="K11" s="225"/>
      <c r="L11" s="225"/>
      <c r="M11" s="225"/>
      <c r="N11" s="226"/>
      <c r="O11" s="236" t="s">
        <v>201</v>
      </c>
      <c r="P11" s="236"/>
      <c r="Q11" s="236"/>
      <c r="R11" s="236"/>
      <c r="S11" s="236"/>
      <c r="T11" s="237"/>
      <c r="U11" s="120" t="s">
        <v>169</v>
      </c>
      <c r="V11" s="121">
        <v>2</v>
      </c>
    </row>
    <row r="12" spans="2:25" s="40" customFormat="1" ht="49.5" hidden="1" customHeight="1" outlineLevel="1">
      <c r="B12" s="227" t="s">
        <v>202</v>
      </c>
      <c r="C12" s="226"/>
      <c r="D12" s="224" t="s">
        <v>203</v>
      </c>
      <c r="E12" s="225"/>
      <c r="F12" s="225"/>
      <c r="G12" s="225"/>
      <c r="H12" s="225"/>
      <c r="I12" s="225"/>
      <c r="J12" s="225"/>
      <c r="K12" s="225"/>
      <c r="L12" s="225"/>
      <c r="M12" s="225"/>
      <c r="N12" s="226"/>
      <c r="O12" s="236" t="s">
        <v>204</v>
      </c>
      <c r="P12" s="236"/>
      <c r="Q12" s="236"/>
      <c r="R12" s="236"/>
      <c r="S12" s="236"/>
      <c r="T12" s="237"/>
      <c r="U12" s="120" t="s">
        <v>144</v>
      </c>
      <c r="V12" s="121">
        <v>1</v>
      </c>
    </row>
    <row r="13" spans="2:25" collapsed="1">
      <c r="B13" s="34"/>
      <c r="C13" s="86"/>
      <c r="D13" s="86"/>
      <c r="E13" s="86"/>
      <c r="F13" s="86"/>
      <c r="G13" s="86"/>
      <c r="H13" s="86"/>
      <c r="I13" s="86"/>
      <c r="J13" s="86"/>
      <c r="K13" s="86"/>
      <c r="L13" s="86"/>
      <c r="M13" s="86"/>
      <c r="N13" s="86"/>
      <c r="O13" s="86"/>
      <c r="P13" s="86"/>
      <c r="Q13" s="86"/>
      <c r="R13" s="86"/>
      <c r="S13" s="86"/>
      <c r="T13" s="35"/>
      <c r="U13" s="99" t="s">
        <v>177</v>
      </c>
      <c r="V13" s="122">
        <v>0</v>
      </c>
    </row>
    <row r="14" spans="2:25">
      <c r="B14" s="34"/>
      <c r="C14" s="86"/>
      <c r="D14" s="86"/>
      <c r="E14" s="86"/>
      <c r="F14" s="86"/>
      <c r="G14" s="86"/>
      <c r="H14" s="86"/>
      <c r="I14" s="86"/>
      <c r="J14" s="86"/>
      <c r="K14" s="86"/>
      <c r="L14" s="86"/>
      <c r="M14" s="86"/>
      <c r="N14" s="86"/>
      <c r="O14" s="86"/>
      <c r="P14" s="86"/>
      <c r="Q14" s="86"/>
      <c r="R14" s="86"/>
      <c r="S14" s="86"/>
      <c r="T14" s="35"/>
    </row>
    <row r="15" spans="2:25" ht="17.399999999999999" thickBot="1">
      <c r="B15" s="34"/>
      <c r="C15" s="86"/>
      <c r="D15" s="86"/>
      <c r="E15" s="86"/>
      <c r="F15" s="86"/>
      <c r="G15" s="86"/>
      <c r="H15" s="86"/>
      <c r="I15" s="86"/>
      <c r="J15" s="86"/>
      <c r="K15" s="86"/>
      <c r="L15" s="86"/>
      <c r="M15" s="86"/>
      <c r="N15" s="86"/>
      <c r="O15" s="86"/>
      <c r="P15" s="86"/>
      <c r="Q15" s="86"/>
      <c r="R15" s="86"/>
      <c r="S15" s="86"/>
      <c r="T15" s="35"/>
    </row>
    <row r="16" spans="2:25" s="40" customFormat="1" ht="21.6">
      <c r="B16" s="51" t="s">
        <v>161</v>
      </c>
      <c r="C16" s="52"/>
      <c r="D16" s="53" t="str">
        <f>'EDI Framework Criteria'!B11</f>
        <v xml:space="preserve"> Theory of Change</v>
      </c>
      <c r="E16" s="53"/>
      <c r="F16" s="53"/>
      <c r="G16" s="53"/>
      <c r="H16" s="53"/>
      <c r="I16" s="53"/>
      <c r="J16" s="53"/>
      <c r="K16" s="53"/>
      <c r="L16" s="53"/>
      <c r="M16" s="53"/>
      <c r="N16" s="53"/>
      <c r="O16" s="53"/>
      <c r="P16" s="53"/>
      <c r="Q16" s="53"/>
      <c r="R16" s="53"/>
      <c r="S16" s="53"/>
      <c r="T16" s="54"/>
      <c r="U16" s="120"/>
      <c r="V16" s="120"/>
    </row>
    <row r="17" spans="2:22" s="40" customFormat="1">
      <c r="B17" s="55"/>
      <c r="C17" s="56"/>
      <c r="D17" s="56"/>
      <c r="E17" s="56"/>
      <c r="F17" s="56"/>
      <c r="G17" s="56"/>
      <c r="H17" s="56"/>
      <c r="I17" s="56"/>
      <c r="J17" s="56"/>
      <c r="K17" s="56"/>
      <c r="L17" s="56"/>
      <c r="M17" s="56"/>
      <c r="N17" s="56"/>
      <c r="O17" s="56"/>
      <c r="P17" s="56"/>
      <c r="Q17" s="56"/>
      <c r="R17" s="56"/>
      <c r="S17" s="56"/>
      <c r="T17" s="57"/>
      <c r="U17" s="120"/>
      <c r="V17" s="120"/>
    </row>
    <row r="18" spans="2:22" s="40" customFormat="1" ht="50.4">
      <c r="B18" s="55"/>
      <c r="C18" s="56"/>
      <c r="D18" s="56"/>
      <c r="E18" s="56"/>
      <c r="F18" s="56"/>
      <c r="G18" s="56"/>
      <c r="H18" s="56"/>
      <c r="I18" s="58" t="s">
        <v>162</v>
      </c>
      <c r="J18" s="58" t="s">
        <v>163</v>
      </c>
      <c r="K18" s="59" t="s">
        <v>164</v>
      </c>
      <c r="L18" s="60" t="s">
        <v>508</v>
      </c>
      <c r="M18" s="56"/>
      <c r="N18" s="56"/>
      <c r="O18" s="56"/>
      <c r="P18" s="56"/>
      <c r="Q18" s="56"/>
      <c r="R18" s="56"/>
      <c r="S18" s="56"/>
      <c r="T18" s="57"/>
      <c r="U18" s="120"/>
      <c r="V18" s="120" t="s">
        <v>165</v>
      </c>
    </row>
    <row r="19" spans="2:22" s="40" customFormat="1" ht="90" customHeight="1">
      <c r="B19" s="61" t="s">
        <v>166</v>
      </c>
      <c r="C19" s="62" t="str">
        <f>'EDI Framework Criteria'!C11</f>
        <v>1.C.1</v>
      </c>
      <c r="D19" s="224" t="str">
        <f>'EDI Framework Criteria'!D11</f>
        <v>We have committed to creating a Theory of Change for how EDI outcomes are created by our activities. This will include positive and negative outcomes; cover all our stakeholder groups; and include inputs and outputs.</v>
      </c>
      <c r="E19" s="225"/>
      <c r="F19" s="225"/>
      <c r="G19" s="225"/>
      <c r="H19" s="226"/>
      <c r="I19" s="63" t="s">
        <v>175</v>
      </c>
      <c r="J19" s="63"/>
      <c r="K19" s="47">
        <f>INDEX($U$3:$V$13,MATCH(I19,$U$3:$U$13,0),2)</f>
        <v>0</v>
      </c>
      <c r="L19" s="264"/>
      <c r="M19" s="264"/>
      <c r="N19" s="264"/>
      <c r="O19" s="264"/>
      <c r="P19" s="264"/>
      <c r="Q19" s="264"/>
      <c r="R19" s="264"/>
      <c r="S19" s="264"/>
      <c r="T19" s="265"/>
      <c r="U19" s="120"/>
      <c r="V19" s="120" t="str">
        <f>IF(K19=0,V18,"")</f>
        <v>Non commitment</v>
      </c>
    </row>
    <row r="20" spans="2:22" s="40" customFormat="1">
      <c r="B20" s="46"/>
      <c r="C20" s="47"/>
      <c r="D20" s="47"/>
      <c r="E20" s="47"/>
      <c r="F20" s="47"/>
      <c r="G20" s="47"/>
      <c r="H20" s="47"/>
      <c r="I20" s="47"/>
      <c r="J20" s="47"/>
      <c r="K20" s="47"/>
      <c r="L20" s="264"/>
      <c r="M20" s="264"/>
      <c r="N20" s="264"/>
      <c r="O20" s="264"/>
      <c r="P20" s="264"/>
      <c r="Q20" s="264"/>
      <c r="R20" s="264"/>
      <c r="S20" s="264"/>
      <c r="T20" s="265"/>
      <c r="U20" s="120"/>
      <c r="V20" s="120"/>
    </row>
    <row r="21" spans="2:22" s="40" customFormat="1" ht="90" customHeight="1">
      <c r="B21" s="61" t="s">
        <v>167</v>
      </c>
      <c r="C21" s="62" t="str">
        <f>'EDI Framework Criteria'!E11</f>
        <v>2.C.1</v>
      </c>
      <c r="D21" s="224" t="str">
        <f>'EDI Framework Criteria'!F11</f>
        <v>We have a Theory of Change for how EDI outcomes are created by our activities. This includes positive and negative outcomes; covers all our stakeholder groups; and includes inputs and outputs.</v>
      </c>
      <c r="E21" s="225"/>
      <c r="F21" s="225"/>
      <c r="G21" s="225"/>
      <c r="H21" s="226"/>
      <c r="I21" s="63" t="s">
        <v>176</v>
      </c>
      <c r="J21" s="63"/>
      <c r="K21" s="47">
        <f>INDEX($U$3:$V$13,MATCH(I21,$U$3:$U$13,0),2)</f>
        <v>0</v>
      </c>
      <c r="L21" s="264"/>
      <c r="M21" s="264"/>
      <c r="N21" s="264"/>
      <c r="O21" s="264"/>
      <c r="P21" s="264"/>
      <c r="Q21" s="264"/>
      <c r="R21" s="264"/>
      <c r="S21" s="264"/>
      <c r="T21" s="265"/>
      <c r="U21" s="120"/>
      <c r="V21" s="120"/>
    </row>
    <row r="22" spans="2:22" s="40" customFormat="1">
      <c r="B22" s="46"/>
      <c r="C22" s="47"/>
      <c r="D22" s="47"/>
      <c r="E22" s="47"/>
      <c r="F22" s="47"/>
      <c r="G22" s="47"/>
      <c r="H22" s="47"/>
      <c r="I22" s="47"/>
      <c r="J22" s="47"/>
      <c r="K22" s="47"/>
      <c r="L22" s="264"/>
      <c r="M22" s="264"/>
      <c r="N22" s="264"/>
      <c r="O22" s="264"/>
      <c r="P22" s="264"/>
      <c r="Q22" s="264"/>
      <c r="R22" s="264"/>
      <c r="S22" s="264"/>
      <c r="T22" s="265"/>
      <c r="U22" s="120"/>
      <c r="V22" s="120"/>
    </row>
    <row r="23" spans="2:22" s="40" customFormat="1" ht="90" customHeight="1" thickBot="1">
      <c r="B23" s="64" t="s">
        <v>168</v>
      </c>
      <c r="C23" s="65" t="str">
        <f>'EDI Framework Criteria'!G11</f>
        <v>3.C.1</v>
      </c>
      <c r="D23" s="221" t="str">
        <f>'EDI Framework Criteria'!H11</f>
        <v>We have a Theory of Change for how EDI outcomes are created by our activities. This includes positive and negative outcomes; covers all our stakeholder groups; and includes inputs and outputs. We collect relevant EDI data and use it to update the Theory of Change. We have reviewed it at least once, and will keep making updates as our EDI work goes on.</v>
      </c>
      <c r="E23" s="222"/>
      <c r="F23" s="222"/>
      <c r="G23" s="222"/>
      <c r="H23" s="223"/>
      <c r="I23" s="66" t="s">
        <v>177</v>
      </c>
      <c r="J23" s="66"/>
      <c r="K23" s="67">
        <f>INDEX($U$3:$V$13,MATCH(I23,$U$3:$U$13,0),2)</f>
        <v>0</v>
      </c>
      <c r="L23" s="266"/>
      <c r="M23" s="266"/>
      <c r="N23" s="266"/>
      <c r="O23" s="266"/>
      <c r="P23" s="266"/>
      <c r="Q23" s="266"/>
      <c r="R23" s="266"/>
      <c r="S23" s="266"/>
      <c r="T23" s="267"/>
      <c r="U23" s="120"/>
      <c r="V23" s="120"/>
    </row>
    <row r="24" spans="2:22">
      <c r="B24" s="34"/>
      <c r="C24" s="86"/>
      <c r="D24" s="86"/>
      <c r="E24" s="86"/>
      <c r="F24" s="86"/>
      <c r="G24" s="86"/>
      <c r="H24" s="86"/>
      <c r="I24" s="86"/>
      <c r="J24" s="86"/>
      <c r="K24" s="86"/>
      <c r="L24" s="86"/>
      <c r="M24" s="86"/>
      <c r="N24" s="86"/>
      <c r="O24" s="86"/>
      <c r="P24" s="86"/>
      <c r="Q24" s="86"/>
      <c r="R24" s="86"/>
      <c r="S24" s="86"/>
      <c r="T24" s="35"/>
    </row>
    <row r="25" spans="2:22">
      <c r="B25" s="34"/>
      <c r="C25" s="86"/>
      <c r="D25" s="86"/>
      <c r="E25" s="86"/>
      <c r="F25" s="86"/>
      <c r="G25" s="86"/>
      <c r="H25" s="86"/>
      <c r="I25" s="86"/>
      <c r="J25" s="86"/>
      <c r="K25" s="86"/>
      <c r="L25" s="86"/>
      <c r="M25" s="86"/>
      <c r="N25" s="86"/>
      <c r="O25" s="86"/>
      <c r="P25" s="86"/>
      <c r="Q25" s="86"/>
      <c r="R25" s="86"/>
      <c r="S25" s="86"/>
      <c r="T25" s="35"/>
    </row>
    <row r="26" spans="2:22" ht="17.399999999999999" thickBot="1">
      <c r="B26" s="34"/>
      <c r="C26" s="86"/>
      <c r="D26" s="86"/>
      <c r="E26" s="86"/>
      <c r="F26" s="86"/>
      <c r="G26" s="86"/>
      <c r="H26" s="86"/>
      <c r="I26" s="86"/>
      <c r="J26" s="86"/>
      <c r="K26" s="86"/>
      <c r="L26" s="86"/>
      <c r="M26" s="86"/>
      <c r="N26" s="86"/>
      <c r="O26" s="86"/>
      <c r="P26" s="86"/>
      <c r="Q26" s="86"/>
      <c r="R26" s="86"/>
      <c r="S26" s="86"/>
      <c r="T26" s="35"/>
    </row>
    <row r="27" spans="2:22" ht="31.5" customHeight="1">
      <c r="B27" s="87" t="s">
        <v>194</v>
      </c>
      <c r="C27" s="88"/>
      <c r="D27" s="88" t="s">
        <v>180</v>
      </c>
      <c r="E27" s="89"/>
      <c r="F27" s="89"/>
      <c r="G27" s="89"/>
      <c r="H27" s="89"/>
      <c r="I27" s="89"/>
      <c r="J27" s="89"/>
      <c r="K27" s="89"/>
      <c r="L27" s="89"/>
      <c r="M27" s="89"/>
      <c r="N27" s="89"/>
      <c r="O27" s="89"/>
      <c r="P27" s="89"/>
      <c r="Q27" s="89"/>
      <c r="R27" s="89"/>
      <c r="S27" s="89"/>
      <c r="T27" s="90"/>
    </row>
    <row r="28" spans="2:22" ht="25.2" thickBot="1">
      <c r="B28" s="91"/>
      <c r="C28" s="92"/>
      <c r="D28" s="92"/>
      <c r="E28" s="92"/>
      <c r="F28" s="92"/>
      <c r="G28" s="92"/>
      <c r="H28" s="92"/>
      <c r="I28" s="92"/>
      <c r="J28" s="92"/>
      <c r="K28" s="92"/>
      <c r="L28" s="92"/>
      <c r="M28" s="92"/>
      <c r="N28" s="92"/>
      <c r="O28" s="92"/>
      <c r="P28" s="92"/>
      <c r="Q28" s="92"/>
      <c r="R28" s="92"/>
      <c r="S28" s="92"/>
      <c r="T28" s="93"/>
    </row>
    <row r="29" spans="2:22" ht="17.399999999999999" thickBot="1">
      <c r="B29" s="163"/>
      <c r="C29" s="164"/>
      <c r="D29" s="164"/>
      <c r="E29" s="164"/>
      <c r="F29" s="164"/>
      <c r="G29" s="164"/>
      <c r="H29" s="164"/>
      <c r="I29" s="164"/>
      <c r="J29" s="164"/>
      <c r="K29" s="164"/>
      <c r="L29" s="164"/>
      <c r="M29" s="164"/>
      <c r="N29" s="164"/>
      <c r="O29" s="164"/>
      <c r="P29" s="164"/>
      <c r="Q29" s="164"/>
      <c r="R29" s="164"/>
      <c r="S29" s="164"/>
      <c r="T29" s="165"/>
    </row>
    <row r="30" spans="2:22"/>
    <row r="31" spans="2:22"/>
    <row r="32" spans="2:22"/>
  </sheetData>
  <mergeCells count="19">
    <mergeCell ref="D23:H23"/>
    <mergeCell ref="D21:H21"/>
    <mergeCell ref="L19:T23"/>
    <mergeCell ref="V1:Y1"/>
    <mergeCell ref="D10:N10"/>
    <mergeCell ref="D9:N9"/>
    <mergeCell ref="B3:T3"/>
    <mergeCell ref="D19:H19"/>
    <mergeCell ref="O10:T10"/>
    <mergeCell ref="O9:T9"/>
    <mergeCell ref="B9:C9"/>
    <mergeCell ref="B10:C10"/>
    <mergeCell ref="O12:T12"/>
    <mergeCell ref="O11:T11"/>
    <mergeCell ref="B12:C12"/>
    <mergeCell ref="B11:C11"/>
    <mergeCell ref="D12:N12"/>
    <mergeCell ref="D11:N11"/>
    <mergeCell ref="B6:J7"/>
  </mergeCells>
  <conditionalFormatting sqref="U5">
    <cfRule type="cellIs" dxfId="295" priority="10" operator="equal">
      <formula>$U$4</formula>
    </cfRule>
    <cfRule type="cellIs" dxfId="294" priority="11" operator="equal">
      <formula>$U$4</formula>
    </cfRule>
  </conditionalFormatting>
  <conditionalFormatting sqref="I19">
    <cfRule type="cellIs" dxfId="293" priority="1" operator="equal">
      <formula>$U$5</formula>
    </cfRule>
    <cfRule type="cellIs" dxfId="292" priority="2" operator="equal">
      <formula>$U$3</formula>
    </cfRule>
    <cfRule type="cellIs" dxfId="291" priority="3" operator="equal">
      <formula>$U$4</formula>
    </cfRule>
  </conditionalFormatting>
  <conditionalFormatting sqref="I21">
    <cfRule type="cellIs" dxfId="290" priority="4" operator="equal">
      <formula>$U$9</formula>
    </cfRule>
    <cfRule type="cellIs" dxfId="289" priority="5" operator="equal">
      <formula>$U$7</formula>
    </cfRule>
    <cfRule type="cellIs" dxfId="288" priority="6" operator="equal">
      <formula>$U$8</formula>
    </cfRule>
  </conditionalFormatting>
  <conditionalFormatting sqref="I23">
    <cfRule type="cellIs" dxfId="287" priority="7" operator="equal">
      <formula>$U$13</formula>
    </cfRule>
    <cfRule type="cellIs" dxfId="286" priority="8" operator="equal">
      <formula>$U$11</formula>
    </cfRule>
    <cfRule type="cellIs" dxfId="285" priority="9" operator="equal">
      <formula>$U$12</formula>
    </cfRule>
  </conditionalFormatting>
  <dataValidations count="3">
    <dataValidation type="list" allowBlank="1" showInputMessage="1" showErrorMessage="1" sqref="I19" xr:uid="{77887E68-DAF7-46E8-8796-934BE9E8D1E9}">
      <formula1>$U$3:$U$5</formula1>
    </dataValidation>
    <dataValidation type="list" allowBlank="1" showInputMessage="1" showErrorMessage="1" sqref="I21" xr:uid="{642138B2-26AF-4648-B5DB-1462AFC5DFB4}">
      <formula1>$U$7:$U$9</formula1>
    </dataValidation>
    <dataValidation type="list" allowBlank="1" showInputMessage="1" showErrorMessage="1" sqref="I23" xr:uid="{0ADBB252-B868-4713-B51C-534EE67DBAA8}">
      <formula1>$U$11:$U$13</formula1>
    </dataValidation>
  </dataValidations>
  <hyperlinks>
    <hyperlink ref="B27" location="'Section 2'!A1" display="Previous section" xr:uid="{F109A657-8B0C-40B7-852A-1F9B0A9B656E}"/>
    <hyperlink ref="D27" location="'Section 4'!A1" display="Next section" xr:uid="{C15D7254-B76E-40AD-BA6A-48FDC1112484}"/>
    <hyperlink ref="O10" r:id="rId1" xr:uid="{15AA70EC-D55E-49EC-A71D-990CAE514DFC}"/>
    <hyperlink ref="O11" r:id="rId2" xr:uid="{9F3E91F1-001F-4362-AF80-A550267C3E3B}"/>
    <hyperlink ref="O12" r:id="rId3" xr:uid="{C0FE417D-BC33-464C-8E56-8FE5BBBE2F77}"/>
  </hyperlinks>
  <pageMargins left="0.7" right="0.7" top="0.75" bottom="0.75" header="0.3" footer="0.3"/>
  <pageSetup paperSize="9" orientation="portrait" r:id="rId4"/>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F8A13A-85F0-4980-8332-5AD9CBF15301}">
  <sheetPr codeName="Sheet6"/>
  <dimension ref="A1:AI42"/>
  <sheetViews>
    <sheetView topLeftCell="B1" zoomScale="79" zoomScaleNormal="80" workbookViewId="0">
      <selection activeCell="B18" sqref="B18"/>
    </sheetView>
  </sheetViews>
  <sheetFormatPr defaultColWidth="0" defaultRowHeight="16.8" zeroHeight="1" outlineLevelRow="1"/>
  <cols>
    <col min="1" max="1" width="3.33203125" style="32" customWidth="1"/>
    <col min="2" max="2" width="19.5" style="32" customWidth="1"/>
    <col min="3" max="3" width="19.5" style="32" hidden="1" customWidth="1"/>
    <col min="4" max="4" width="27.08203125" style="32" customWidth="1"/>
    <col min="5" max="8" width="9.08203125" style="32" customWidth="1"/>
    <col min="9" max="9" width="26.83203125" style="32" customWidth="1"/>
    <col min="10" max="10" width="52.9140625" style="32" customWidth="1"/>
    <col min="11" max="11" width="12.5" style="32" hidden="1" customWidth="1"/>
    <col min="12" max="20" width="9.08203125" style="32" customWidth="1"/>
    <col min="21" max="21" width="12.4140625" style="99" customWidth="1"/>
    <col min="22" max="22" width="12.4140625" style="99" hidden="1" customWidth="1"/>
    <col min="23" max="30" width="12.4140625" style="32" hidden="1" customWidth="1"/>
    <col min="31" max="35" width="0" style="32" hidden="1" customWidth="1"/>
    <col min="36" max="16384" width="9.08203125" style="32" hidden="1"/>
  </cols>
  <sheetData>
    <row r="1" spans="2:25" ht="17.399999999999999" thickBot="1">
      <c r="V1" s="263"/>
      <c r="W1" s="263"/>
      <c r="X1" s="263"/>
      <c r="Y1" s="263"/>
    </row>
    <row r="2" spans="2:25" s="40" customFormat="1" ht="34.200000000000003" thickBot="1">
      <c r="B2" s="41" t="s">
        <v>205</v>
      </c>
      <c r="C2" s="42"/>
      <c r="D2" s="43"/>
      <c r="E2" s="43"/>
      <c r="F2" s="43"/>
      <c r="G2" s="43"/>
      <c r="H2" s="43"/>
      <c r="I2" s="43"/>
      <c r="J2" s="43"/>
      <c r="K2" s="43"/>
      <c r="L2" s="43"/>
      <c r="M2" s="43"/>
      <c r="N2" s="43"/>
      <c r="O2" s="43"/>
      <c r="P2" s="43"/>
      <c r="Q2" s="43"/>
      <c r="R2" s="43"/>
      <c r="S2" s="43"/>
      <c r="T2" s="166"/>
      <c r="U2" s="120"/>
      <c r="V2" s="160"/>
      <c r="W2" s="160"/>
      <c r="X2" s="160"/>
      <c r="Y2" s="160"/>
    </row>
    <row r="3" spans="2:25" s="40" customFormat="1" ht="48.6" customHeight="1" thickBot="1">
      <c r="B3" s="268" t="str">
        <f>'EDI Framework Criteria'!A12</f>
        <v>Equality, Diversity and Inclusion Advocacy</v>
      </c>
      <c r="C3" s="269"/>
      <c r="D3" s="269"/>
      <c r="E3" s="269"/>
      <c r="F3" s="269"/>
      <c r="G3" s="269"/>
      <c r="H3" s="269"/>
      <c r="I3" s="269"/>
      <c r="J3" s="269"/>
      <c r="K3" s="269"/>
      <c r="L3" s="269"/>
      <c r="M3" s="269"/>
      <c r="N3" s="269"/>
      <c r="O3" s="269"/>
      <c r="P3" s="269"/>
      <c r="Q3" s="269"/>
      <c r="R3" s="269"/>
      <c r="S3" s="269"/>
      <c r="T3" s="270"/>
      <c r="U3" s="120" t="s">
        <v>172</v>
      </c>
      <c r="V3" s="121">
        <v>2</v>
      </c>
    </row>
    <row r="4" spans="2:25">
      <c r="B4" s="192"/>
      <c r="C4" s="193"/>
      <c r="D4" s="193"/>
      <c r="E4" s="193"/>
      <c r="F4" s="193"/>
      <c r="G4" s="193"/>
      <c r="H4" s="193"/>
      <c r="I4" s="193"/>
      <c r="J4" s="193"/>
      <c r="K4" s="193"/>
      <c r="L4" s="193"/>
      <c r="M4" s="193"/>
      <c r="N4" s="193"/>
      <c r="O4" s="193"/>
      <c r="P4" s="193"/>
      <c r="Q4" s="193"/>
      <c r="R4" s="193"/>
      <c r="S4" s="193"/>
      <c r="T4" s="194"/>
      <c r="U4" s="99" t="s">
        <v>144</v>
      </c>
      <c r="V4" s="122">
        <v>1</v>
      </c>
    </row>
    <row r="5" spans="2:25" ht="21.6">
      <c r="B5" s="94" t="s">
        <v>145</v>
      </c>
      <c r="C5" s="95"/>
      <c r="D5" s="86"/>
      <c r="E5" s="86"/>
      <c r="F5" s="86"/>
      <c r="G5" s="86"/>
      <c r="H5" s="86"/>
      <c r="I5" s="86"/>
      <c r="J5" s="86"/>
      <c r="K5" s="86"/>
      <c r="L5" s="86"/>
      <c r="M5" s="86"/>
      <c r="N5" s="86"/>
      <c r="O5" s="86"/>
      <c r="P5" s="86"/>
      <c r="Q5" s="86"/>
      <c r="R5" s="86"/>
      <c r="S5" s="86"/>
      <c r="T5" s="35"/>
      <c r="U5" s="99" t="s">
        <v>175</v>
      </c>
      <c r="V5" s="122">
        <v>0</v>
      </c>
    </row>
    <row r="6" spans="2:25">
      <c r="B6" s="228" t="s">
        <v>485</v>
      </c>
      <c r="C6" s="229"/>
      <c r="D6" s="229"/>
      <c r="E6" s="229"/>
      <c r="F6" s="229"/>
      <c r="G6" s="229"/>
      <c r="H6" s="229"/>
      <c r="I6" s="229"/>
      <c r="J6" s="229"/>
      <c r="K6" s="86"/>
      <c r="L6" s="86"/>
      <c r="M6" s="86"/>
      <c r="N6" s="86"/>
      <c r="O6" s="86"/>
      <c r="P6" s="86"/>
      <c r="Q6" s="86"/>
      <c r="R6" s="86"/>
      <c r="S6" s="86"/>
      <c r="T6" s="35"/>
      <c r="V6" s="122"/>
    </row>
    <row r="7" spans="2:25">
      <c r="B7" s="228"/>
      <c r="C7" s="229"/>
      <c r="D7" s="229"/>
      <c r="E7" s="229"/>
      <c r="F7" s="229"/>
      <c r="G7" s="229"/>
      <c r="H7" s="229"/>
      <c r="I7" s="229"/>
      <c r="J7" s="229"/>
      <c r="K7" s="86"/>
      <c r="L7" s="86"/>
      <c r="M7" s="86"/>
      <c r="N7" s="86"/>
      <c r="O7" s="86"/>
      <c r="P7" s="86"/>
      <c r="Q7" s="86"/>
      <c r="R7" s="86"/>
      <c r="S7" s="86"/>
      <c r="T7" s="35"/>
      <c r="U7" s="99" t="s">
        <v>173</v>
      </c>
      <c r="V7" s="122">
        <v>2</v>
      </c>
    </row>
    <row r="8" spans="2:25" s="40" customFormat="1" ht="21.6">
      <c r="B8" s="49" t="s">
        <v>321</v>
      </c>
      <c r="C8" s="50"/>
      <c r="D8" s="47"/>
      <c r="E8" s="47"/>
      <c r="F8" s="47"/>
      <c r="G8" s="47"/>
      <c r="H8" s="47"/>
      <c r="I8" s="47"/>
      <c r="J8" s="47"/>
      <c r="K8" s="47"/>
      <c r="L8" s="47"/>
      <c r="M8" s="47"/>
      <c r="N8" s="47"/>
      <c r="O8" s="47"/>
      <c r="P8" s="47"/>
      <c r="Q8" s="47"/>
      <c r="R8" s="47"/>
      <c r="S8" s="47"/>
      <c r="T8" s="48"/>
      <c r="U8" s="120" t="s">
        <v>144</v>
      </c>
      <c r="V8" s="121">
        <v>1</v>
      </c>
    </row>
    <row r="9" spans="2:25" s="40" customFormat="1" ht="18.75" hidden="1" customHeight="1" outlineLevel="1">
      <c r="B9" s="275" t="s">
        <v>146</v>
      </c>
      <c r="C9" s="276"/>
      <c r="D9" s="276" t="s">
        <v>147</v>
      </c>
      <c r="E9" s="276"/>
      <c r="F9" s="276"/>
      <c r="G9" s="276"/>
      <c r="H9" s="276"/>
      <c r="I9" s="276"/>
      <c r="J9" s="276"/>
      <c r="K9" s="276"/>
      <c r="L9" s="276"/>
      <c r="M9" s="276"/>
      <c r="N9" s="276"/>
      <c r="O9" s="240" t="s">
        <v>148</v>
      </c>
      <c r="P9" s="240"/>
      <c r="Q9" s="240"/>
      <c r="R9" s="240"/>
      <c r="S9" s="240"/>
      <c r="T9" s="241"/>
      <c r="U9" s="120" t="s">
        <v>176</v>
      </c>
      <c r="V9" s="121">
        <v>0</v>
      </c>
    </row>
    <row r="10" spans="2:25" s="40" customFormat="1" ht="96" hidden="1" customHeight="1" outlineLevel="1">
      <c r="B10" s="274" t="s">
        <v>206</v>
      </c>
      <c r="C10" s="242"/>
      <c r="D10" s="242" t="s">
        <v>207</v>
      </c>
      <c r="E10" s="277"/>
      <c r="F10" s="277"/>
      <c r="G10" s="277"/>
      <c r="H10" s="277"/>
      <c r="I10" s="277"/>
      <c r="J10" s="277"/>
      <c r="K10" s="277"/>
      <c r="L10" s="277"/>
      <c r="M10" s="277"/>
      <c r="N10" s="277"/>
      <c r="O10" s="236" t="s">
        <v>208</v>
      </c>
      <c r="P10" s="242"/>
      <c r="Q10" s="242"/>
      <c r="R10" s="242"/>
      <c r="S10" s="242"/>
      <c r="T10" s="243"/>
      <c r="U10" s="120"/>
      <c r="V10" s="121"/>
    </row>
    <row r="11" spans="2:25" s="40" customFormat="1" ht="65.25" hidden="1" customHeight="1" outlineLevel="1">
      <c r="B11" s="274" t="s">
        <v>209</v>
      </c>
      <c r="C11" s="242"/>
      <c r="D11" s="242" t="s">
        <v>210</v>
      </c>
      <c r="E11" s="242"/>
      <c r="F11" s="242"/>
      <c r="G11" s="242"/>
      <c r="H11" s="242"/>
      <c r="I11" s="242"/>
      <c r="J11" s="242"/>
      <c r="K11" s="242"/>
      <c r="L11" s="242"/>
      <c r="M11" s="242"/>
      <c r="N11" s="242"/>
      <c r="O11" s="236" t="s">
        <v>211</v>
      </c>
      <c r="P11" s="236"/>
      <c r="Q11" s="236"/>
      <c r="R11" s="236"/>
      <c r="S11" s="236"/>
      <c r="T11" s="237"/>
      <c r="U11" s="120" t="s">
        <v>169</v>
      </c>
      <c r="V11" s="121">
        <v>2</v>
      </c>
    </row>
    <row r="12" spans="2:25" s="40" customFormat="1" ht="49.5" hidden="1" customHeight="1" outlineLevel="1">
      <c r="B12" s="274" t="s">
        <v>212</v>
      </c>
      <c r="C12" s="242"/>
      <c r="D12" s="242" t="s">
        <v>213</v>
      </c>
      <c r="E12" s="242"/>
      <c r="F12" s="242"/>
      <c r="G12" s="242"/>
      <c r="H12" s="242"/>
      <c r="I12" s="242"/>
      <c r="J12" s="242"/>
      <c r="K12" s="242"/>
      <c r="L12" s="242"/>
      <c r="M12" s="242"/>
      <c r="N12" s="242"/>
      <c r="O12" s="236" t="s">
        <v>214</v>
      </c>
      <c r="P12" s="236"/>
      <c r="Q12" s="236"/>
      <c r="R12" s="236"/>
      <c r="S12" s="236"/>
      <c r="T12" s="237"/>
      <c r="U12" s="120" t="s">
        <v>144</v>
      </c>
      <c r="V12" s="121">
        <v>1</v>
      </c>
    </row>
    <row r="13" spans="2:25" collapsed="1">
      <c r="B13" s="34"/>
      <c r="C13" s="86"/>
      <c r="D13" s="86"/>
      <c r="E13" s="86"/>
      <c r="F13" s="86"/>
      <c r="G13" s="86"/>
      <c r="H13" s="86"/>
      <c r="I13" s="86"/>
      <c r="J13" s="86"/>
      <c r="K13" s="86"/>
      <c r="L13" s="86"/>
      <c r="M13" s="86"/>
      <c r="N13" s="86"/>
      <c r="O13" s="86"/>
      <c r="P13" s="86"/>
      <c r="Q13" s="86"/>
      <c r="R13" s="86"/>
      <c r="S13" s="86"/>
      <c r="T13" s="35"/>
      <c r="U13" s="99" t="s">
        <v>177</v>
      </c>
      <c r="V13" s="122">
        <v>0</v>
      </c>
    </row>
    <row r="14" spans="2:25" ht="16.5" customHeight="1">
      <c r="B14" s="230"/>
      <c r="C14" s="231"/>
      <c r="D14" s="231"/>
      <c r="E14" s="231"/>
      <c r="F14" s="231"/>
      <c r="G14" s="231"/>
      <c r="H14" s="231"/>
      <c r="I14" s="231"/>
      <c r="J14" s="231"/>
      <c r="K14" s="47"/>
      <c r="L14" s="47"/>
      <c r="M14" s="47"/>
      <c r="N14" s="47"/>
      <c r="O14" s="47"/>
      <c r="P14" s="47"/>
      <c r="Q14" s="47"/>
      <c r="R14" s="47"/>
      <c r="S14" s="47"/>
      <c r="T14" s="48"/>
    </row>
    <row r="15" spans="2:25" ht="21.9" customHeight="1" thickBot="1">
      <c r="B15" s="97"/>
      <c r="C15" s="98"/>
      <c r="D15" s="98"/>
      <c r="E15" s="98"/>
      <c r="F15" s="98"/>
      <c r="G15" s="98"/>
      <c r="H15" s="98"/>
      <c r="I15" s="98"/>
      <c r="J15" s="98"/>
      <c r="K15" s="98"/>
      <c r="L15" s="98"/>
      <c r="M15" s="98"/>
      <c r="N15" s="98"/>
      <c r="O15" s="98"/>
      <c r="P15" s="98"/>
      <c r="Q15" s="98"/>
      <c r="R15" s="98"/>
      <c r="S15" s="98"/>
      <c r="T15" s="36"/>
    </row>
    <row r="16" spans="2:25" ht="21.6">
      <c r="B16" s="189" t="s">
        <v>161</v>
      </c>
      <c r="C16" s="190"/>
      <c r="D16" s="191" t="str">
        <f>'EDI Framework Criteria'!B12</f>
        <v>Equality, Diversity and Inclusion training</v>
      </c>
      <c r="E16" s="56"/>
      <c r="F16" s="56"/>
      <c r="G16" s="56"/>
      <c r="H16" s="56"/>
      <c r="I16" s="56"/>
      <c r="J16" s="56"/>
      <c r="K16" s="56"/>
      <c r="L16" s="56"/>
      <c r="M16" s="56"/>
      <c r="N16" s="56"/>
      <c r="O16" s="56"/>
      <c r="P16" s="56"/>
      <c r="Q16" s="56"/>
      <c r="R16" s="56"/>
      <c r="S16" s="56"/>
      <c r="T16" s="57"/>
    </row>
    <row r="17" spans="2:22">
      <c r="B17" s="55"/>
      <c r="C17" s="56"/>
      <c r="D17" s="56"/>
      <c r="E17" s="56"/>
      <c r="F17" s="56"/>
      <c r="G17" s="56"/>
      <c r="H17" s="56"/>
      <c r="I17" s="56"/>
      <c r="J17" s="56"/>
      <c r="K17" s="56"/>
      <c r="L17" s="56"/>
      <c r="M17" s="56"/>
      <c r="N17" s="56"/>
      <c r="O17" s="56"/>
      <c r="P17" s="56"/>
      <c r="Q17" s="56"/>
      <c r="R17" s="56"/>
      <c r="S17" s="56"/>
      <c r="T17" s="57"/>
    </row>
    <row r="18" spans="2:22" ht="51" thickBot="1">
      <c r="B18" s="55"/>
      <c r="C18" s="56"/>
      <c r="D18" s="56"/>
      <c r="E18" s="56"/>
      <c r="F18" s="56"/>
      <c r="G18" s="56"/>
      <c r="H18" s="56"/>
      <c r="I18" s="58" t="s">
        <v>162</v>
      </c>
      <c r="J18" s="58" t="s">
        <v>163</v>
      </c>
      <c r="K18" s="59" t="s">
        <v>164</v>
      </c>
      <c r="L18" s="60" t="s">
        <v>508</v>
      </c>
      <c r="M18" s="56"/>
      <c r="N18" s="56"/>
      <c r="O18" s="56"/>
      <c r="P18" s="56"/>
      <c r="Q18" s="56"/>
      <c r="R18" s="56"/>
      <c r="S18" s="56"/>
      <c r="T18" s="57"/>
      <c r="V18" s="99" t="s">
        <v>165</v>
      </c>
    </row>
    <row r="19" spans="2:22" ht="90" customHeight="1">
      <c r="B19" s="85" t="s">
        <v>166</v>
      </c>
      <c r="C19" s="198" t="str">
        <f>'EDI Framework Criteria'!C12</f>
        <v>1.D.1</v>
      </c>
      <c r="D19" s="271" t="str">
        <f>'EDI Framework Criteria'!D12</f>
        <v>We have committed to creating a training plan for staff across all levels including board level for embedding EDI practice into their organisational practice and decision making.</v>
      </c>
      <c r="E19" s="272"/>
      <c r="F19" s="272"/>
      <c r="G19" s="272"/>
      <c r="H19" s="273"/>
      <c r="I19" s="199" t="s">
        <v>175</v>
      </c>
      <c r="J19" s="199"/>
      <c r="K19" s="44">
        <f>INDEX($U$3:$V$13,MATCH(I19,$U$3:$U$13,0),2)</f>
        <v>0</v>
      </c>
      <c r="L19" s="278"/>
      <c r="M19" s="278"/>
      <c r="N19" s="278"/>
      <c r="O19" s="278"/>
      <c r="P19" s="278"/>
      <c r="Q19" s="278"/>
      <c r="R19" s="278"/>
      <c r="S19" s="278"/>
      <c r="T19" s="279"/>
      <c r="V19" s="99" t="str">
        <f>IF(K19=0,V18,"")</f>
        <v>Non commitment</v>
      </c>
    </row>
    <row r="20" spans="2:22">
      <c r="B20" s="46"/>
      <c r="C20" s="47"/>
      <c r="D20" s="47"/>
      <c r="E20" s="47"/>
      <c r="F20" s="47"/>
      <c r="G20" s="47"/>
      <c r="H20" s="47"/>
      <c r="I20" s="47"/>
      <c r="J20" s="47"/>
      <c r="K20" s="47"/>
      <c r="L20" s="264"/>
      <c r="M20" s="264"/>
      <c r="N20" s="264"/>
      <c r="O20" s="264"/>
      <c r="P20" s="264"/>
      <c r="Q20" s="264"/>
      <c r="R20" s="264"/>
      <c r="S20" s="264"/>
      <c r="T20" s="265"/>
    </row>
    <row r="21" spans="2:22" ht="90" customHeight="1">
      <c r="B21" s="61" t="s">
        <v>167</v>
      </c>
      <c r="C21" s="62" t="str">
        <f>'EDI Framework Criteria'!E12</f>
        <v>2.D.1</v>
      </c>
      <c r="D21" s="224" t="str">
        <f>'EDI Framework Criteria'!F12</f>
        <v>A training plan for staff across all levels including board level for embedding EDI practice into organisational practice has been developed. Some training activities have started.</v>
      </c>
      <c r="E21" s="225"/>
      <c r="F21" s="225"/>
      <c r="G21" s="225"/>
      <c r="H21" s="226"/>
      <c r="I21" s="63" t="s">
        <v>176</v>
      </c>
      <c r="J21" s="63"/>
      <c r="K21" s="47">
        <f>INDEX($U$3:$V$13,MATCH(I21,$U$3:$U$13,0),2)</f>
        <v>0</v>
      </c>
      <c r="L21" s="264"/>
      <c r="M21" s="264"/>
      <c r="N21" s="264"/>
      <c r="O21" s="264"/>
      <c r="P21" s="264"/>
      <c r="Q21" s="264"/>
      <c r="R21" s="264"/>
      <c r="S21" s="264"/>
      <c r="T21" s="265"/>
    </row>
    <row r="22" spans="2:22">
      <c r="B22" s="46"/>
      <c r="C22" s="47"/>
      <c r="D22" s="47"/>
      <c r="E22" s="47"/>
      <c r="F22" s="47"/>
      <c r="G22" s="47"/>
      <c r="H22" s="47"/>
      <c r="I22" s="47"/>
      <c r="J22" s="47"/>
      <c r="K22" s="47"/>
      <c r="L22" s="264"/>
      <c r="M22" s="264"/>
      <c r="N22" s="264"/>
      <c r="O22" s="264"/>
      <c r="P22" s="264"/>
      <c r="Q22" s="264"/>
      <c r="R22" s="264"/>
      <c r="S22" s="264"/>
      <c r="T22" s="265"/>
    </row>
    <row r="23" spans="2:22" ht="108" customHeight="1" thickBot="1">
      <c r="B23" s="64" t="s">
        <v>168</v>
      </c>
      <c r="C23" s="65" t="str">
        <f>'EDI Framework Criteria'!G12</f>
        <v>3.D.1</v>
      </c>
      <c r="D23" s="221" t="str">
        <f>'EDI Framework Criteria'!H12</f>
        <v xml:space="preserve">The training plan for staff across all levels including board level for embedding EDI practice into organisational practice is in place. The plan has been reviewed at least once, with plans to continue to review as needed. Activities for all levels are underway. Training around EDI practice is included in new staff induction or training at all levels of the organisation (in line with the needs of their role). </v>
      </c>
      <c r="E23" s="222"/>
      <c r="F23" s="222"/>
      <c r="G23" s="222"/>
      <c r="H23" s="223"/>
      <c r="I23" s="66" t="s">
        <v>177</v>
      </c>
      <c r="J23" s="66"/>
      <c r="K23" s="67">
        <f>INDEX($U$3:$V$13,MATCH(I23,$U$3:$U$13,0),2)</f>
        <v>0</v>
      </c>
      <c r="L23" s="266"/>
      <c r="M23" s="266"/>
      <c r="N23" s="266"/>
      <c r="O23" s="266"/>
      <c r="P23" s="266"/>
      <c r="Q23" s="266"/>
      <c r="R23" s="266"/>
      <c r="S23" s="266"/>
      <c r="T23" s="267"/>
    </row>
    <row r="24" spans="2:22">
      <c r="B24" s="34"/>
      <c r="C24" s="86"/>
      <c r="D24" s="86"/>
      <c r="E24" s="86"/>
      <c r="F24" s="86"/>
      <c r="G24" s="86"/>
      <c r="H24" s="86"/>
      <c r="I24" s="86"/>
      <c r="J24" s="86"/>
      <c r="K24" s="86"/>
      <c r="L24" s="86"/>
      <c r="M24" s="86"/>
      <c r="N24" s="86"/>
      <c r="O24" s="86"/>
      <c r="P24" s="86"/>
      <c r="Q24" s="86"/>
      <c r="R24" s="86"/>
      <c r="S24" s="86"/>
      <c r="T24" s="35"/>
    </row>
    <row r="25" spans="2:22" ht="17.399999999999999" thickBot="1">
      <c r="B25" s="34"/>
      <c r="C25" s="86"/>
      <c r="D25" s="86"/>
      <c r="E25" s="86"/>
      <c r="F25" s="86"/>
      <c r="G25" s="86"/>
      <c r="H25" s="86"/>
      <c r="I25" s="86"/>
      <c r="J25" s="86"/>
      <c r="K25" s="86"/>
      <c r="L25" s="86"/>
      <c r="M25" s="86"/>
      <c r="N25" s="86"/>
      <c r="O25" s="86"/>
      <c r="P25" s="86"/>
      <c r="Q25" s="86"/>
      <c r="R25" s="86"/>
      <c r="S25" s="86"/>
      <c r="T25" s="35"/>
    </row>
    <row r="26" spans="2:22" ht="21.6">
      <c r="B26" s="51" t="s">
        <v>170</v>
      </c>
      <c r="C26" s="52"/>
      <c r="D26" s="156" t="str">
        <f>'EDI Framework Criteria'!B13</f>
        <v>Equality, Diversity and Inclusion resourcing</v>
      </c>
      <c r="E26" s="53"/>
      <c r="F26" s="53"/>
      <c r="G26" s="53"/>
      <c r="H26" s="53"/>
      <c r="I26" s="53"/>
      <c r="J26" s="53"/>
      <c r="K26" s="53"/>
      <c r="L26" s="53"/>
      <c r="M26" s="53"/>
      <c r="N26" s="53"/>
      <c r="O26" s="53"/>
      <c r="P26" s="53"/>
      <c r="Q26" s="53"/>
      <c r="R26" s="53"/>
      <c r="S26" s="53"/>
      <c r="T26" s="54"/>
    </row>
    <row r="27" spans="2:22">
      <c r="B27" s="55"/>
      <c r="C27" s="56"/>
      <c r="D27" s="56"/>
      <c r="E27" s="56"/>
      <c r="F27" s="56"/>
      <c r="G27" s="56"/>
      <c r="H27" s="56"/>
      <c r="I27" s="56"/>
      <c r="J27" s="56"/>
      <c r="K27" s="56"/>
      <c r="L27" s="56"/>
      <c r="M27" s="56"/>
      <c r="N27" s="56"/>
      <c r="O27" s="56"/>
      <c r="P27" s="56"/>
      <c r="Q27" s="56"/>
      <c r="R27" s="56"/>
      <c r="S27" s="56"/>
      <c r="T27" s="57"/>
    </row>
    <row r="28" spans="2:22" ht="51" thickBot="1">
      <c r="B28" s="55"/>
      <c r="C28" s="56"/>
      <c r="D28" s="56"/>
      <c r="E28" s="56"/>
      <c r="F28" s="56"/>
      <c r="G28" s="56"/>
      <c r="H28" s="56"/>
      <c r="I28" s="58" t="s">
        <v>162</v>
      </c>
      <c r="J28" s="58" t="s">
        <v>163</v>
      </c>
      <c r="K28" s="59"/>
      <c r="L28" s="60" t="s">
        <v>508</v>
      </c>
      <c r="M28" s="56"/>
      <c r="N28" s="56"/>
      <c r="O28" s="56"/>
      <c r="P28" s="56"/>
      <c r="Q28" s="56"/>
      <c r="R28" s="56"/>
      <c r="S28" s="56"/>
      <c r="T28" s="57"/>
    </row>
    <row r="29" spans="2:22" ht="90" customHeight="1">
      <c r="B29" s="85" t="s">
        <v>166</v>
      </c>
      <c r="C29" s="198" t="str">
        <f>'EDI Framework Criteria'!C13</f>
        <v>1.D.2</v>
      </c>
      <c r="D29" s="271" t="str">
        <f>'EDI Framework Criteria'!D13</f>
        <v>We have committed to creating an organisational commitment to EDI by allocating resources for EDI management and capacity building.</v>
      </c>
      <c r="E29" s="272"/>
      <c r="F29" s="272"/>
      <c r="G29" s="272"/>
      <c r="H29" s="273"/>
      <c r="I29" s="199" t="s">
        <v>175</v>
      </c>
      <c r="J29" s="199"/>
      <c r="K29" s="44">
        <f>INDEX($U$3:$V$13,MATCH(I29,$U$3:$U$13,0),2)</f>
        <v>0</v>
      </c>
      <c r="L29" s="278"/>
      <c r="M29" s="278"/>
      <c r="N29" s="278"/>
      <c r="O29" s="278"/>
      <c r="P29" s="278"/>
      <c r="Q29" s="278"/>
      <c r="R29" s="278"/>
      <c r="S29" s="278"/>
      <c r="T29" s="279"/>
      <c r="V29" s="99">
        <f>IF(K29=0,V28,"")</f>
        <v>0</v>
      </c>
    </row>
    <row r="30" spans="2:22">
      <c r="B30" s="46"/>
      <c r="C30" s="47"/>
      <c r="D30" s="47"/>
      <c r="E30" s="47"/>
      <c r="F30" s="47"/>
      <c r="G30" s="47"/>
      <c r="H30" s="47"/>
      <c r="I30" s="47"/>
      <c r="J30" s="47"/>
      <c r="K30" s="47"/>
      <c r="L30" s="264"/>
      <c r="M30" s="264"/>
      <c r="N30" s="264"/>
      <c r="O30" s="264"/>
      <c r="P30" s="264"/>
      <c r="Q30" s="264"/>
      <c r="R30" s="264"/>
      <c r="S30" s="264"/>
      <c r="T30" s="265"/>
    </row>
    <row r="31" spans="2:22" ht="90" customHeight="1">
      <c r="B31" s="61" t="s">
        <v>167</v>
      </c>
      <c r="C31" s="62" t="str">
        <f>'EDI Framework Criteria'!E13</f>
        <v>2.D.2</v>
      </c>
      <c r="D31" s="224" t="str">
        <f>'EDI Framework Criteria'!F13</f>
        <v>Resources have been allocated for EDI management and capacity building.</v>
      </c>
      <c r="E31" s="225"/>
      <c r="F31" s="225"/>
      <c r="G31" s="225"/>
      <c r="H31" s="226"/>
      <c r="I31" s="63" t="s">
        <v>176</v>
      </c>
      <c r="J31" s="63"/>
      <c r="K31" s="47">
        <f>INDEX($U$3:$V$13,MATCH(I31,$U$3:$U$13,0),2)</f>
        <v>0</v>
      </c>
      <c r="L31" s="264"/>
      <c r="M31" s="264"/>
      <c r="N31" s="264"/>
      <c r="O31" s="264"/>
      <c r="P31" s="264"/>
      <c r="Q31" s="264"/>
      <c r="R31" s="264"/>
      <c r="S31" s="264"/>
      <c r="T31" s="265"/>
    </row>
    <row r="32" spans="2:22">
      <c r="B32" s="46"/>
      <c r="C32" s="47"/>
      <c r="D32" s="47"/>
      <c r="E32" s="47"/>
      <c r="F32" s="47"/>
      <c r="G32" s="47"/>
      <c r="H32" s="47"/>
      <c r="I32" s="47"/>
      <c r="J32" s="47"/>
      <c r="K32" s="47"/>
      <c r="L32" s="264"/>
      <c r="M32" s="264"/>
      <c r="N32" s="264"/>
      <c r="O32" s="264"/>
      <c r="P32" s="264"/>
      <c r="Q32" s="264"/>
      <c r="R32" s="264"/>
      <c r="S32" s="264"/>
      <c r="T32" s="265"/>
    </row>
    <row r="33" spans="2:20" ht="90" customHeight="1" thickBot="1">
      <c r="B33" s="64" t="s">
        <v>168</v>
      </c>
      <c r="C33" s="65" t="str">
        <f>'EDI Framework Criteria'!G13</f>
        <v>3.D.2</v>
      </c>
      <c r="D33" s="221" t="str">
        <f>'EDI Framework Criteria'!H13</f>
        <v>Resources continue to be allocated for EDI management and capacity building, and are reviewed and revised as necessary.</v>
      </c>
      <c r="E33" s="222"/>
      <c r="F33" s="222"/>
      <c r="G33" s="222"/>
      <c r="H33" s="223"/>
      <c r="I33" s="66" t="s">
        <v>177</v>
      </c>
      <c r="J33" s="66"/>
      <c r="K33" s="67">
        <f>INDEX($U$3:$V$13,MATCH(I33,$U$3:$U$13,0),2)</f>
        <v>0</v>
      </c>
      <c r="L33" s="266"/>
      <c r="M33" s="266"/>
      <c r="N33" s="266"/>
      <c r="O33" s="266"/>
      <c r="P33" s="266"/>
      <c r="Q33" s="266"/>
      <c r="R33" s="266"/>
      <c r="S33" s="266"/>
      <c r="T33" s="267"/>
    </row>
    <row r="34" spans="2:20">
      <c r="B34" s="34"/>
      <c r="C34" s="86"/>
      <c r="D34" s="86"/>
      <c r="E34" s="86"/>
      <c r="F34" s="86"/>
      <c r="G34" s="86"/>
      <c r="H34" s="86"/>
      <c r="I34" s="86"/>
      <c r="J34" s="86"/>
      <c r="K34" s="86"/>
      <c r="L34" s="86"/>
      <c r="M34" s="86"/>
      <c r="N34" s="86"/>
      <c r="O34" s="86"/>
      <c r="P34" s="86"/>
      <c r="Q34" s="86"/>
      <c r="R34" s="86"/>
      <c r="S34" s="86"/>
      <c r="T34" s="35"/>
    </row>
    <row r="35" spans="2:20">
      <c r="B35" s="34"/>
      <c r="C35" s="86"/>
      <c r="D35" s="86"/>
      <c r="E35" s="86"/>
      <c r="F35" s="86"/>
      <c r="G35" s="86"/>
      <c r="H35" s="86"/>
      <c r="I35" s="86"/>
      <c r="J35" s="86"/>
      <c r="K35" s="86"/>
      <c r="L35" s="86"/>
      <c r="M35" s="86"/>
      <c r="N35" s="86"/>
      <c r="O35" s="86"/>
      <c r="P35" s="86"/>
      <c r="Q35" s="86"/>
      <c r="R35" s="86"/>
      <c r="S35" s="86"/>
      <c r="T35" s="35"/>
    </row>
    <row r="36" spans="2:20" ht="17.399999999999999" thickBot="1">
      <c r="B36" s="34"/>
      <c r="C36" s="86"/>
      <c r="D36" s="86"/>
      <c r="E36" s="86"/>
      <c r="F36" s="86"/>
      <c r="G36" s="86"/>
      <c r="H36" s="86"/>
      <c r="I36" s="86"/>
      <c r="J36" s="86"/>
      <c r="K36" s="86"/>
      <c r="L36" s="86"/>
      <c r="M36" s="86"/>
      <c r="N36" s="86"/>
      <c r="O36" s="86"/>
      <c r="P36" s="86"/>
      <c r="Q36" s="86"/>
      <c r="R36" s="86"/>
      <c r="S36" s="86"/>
      <c r="T36" s="35"/>
    </row>
    <row r="37" spans="2:20" ht="31.5" customHeight="1">
      <c r="B37" s="87" t="s">
        <v>194</v>
      </c>
      <c r="C37" s="88"/>
      <c r="D37" s="88" t="s">
        <v>180</v>
      </c>
      <c r="E37" s="89"/>
      <c r="F37" s="89"/>
      <c r="G37" s="89"/>
      <c r="H37" s="89"/>
      <c r="I37" s="89"/>
      <c r="J37" s="89"/>
      <c r="K37" s="89"/>
      <c r="L37" s="89"/>
      <c r="M37" s="89"/>
      <c r="N37" s="89"/>
      <c r="O37" s="89"/>
      <c r="P37" s="89"/>
      <c r="Q37" s="89"/>
      <c r="R37" s="89"/>
      <c r="S37" s="89"/>
      <c r="T37" s="90"/>
    </row>
    <row r="38" spans="2:20" ht="25.2" thickBot="1">
      <c r="B38" s="91"/>
      <c r="C38" s="92"/>
      <c r="D38" s="92"/>
      <c r="E38" s="92"/>
      <c r="F38" s="92"/>
      <c r="G38" s="92"/>
      <c r="H38" s="92"/>
      <c r="I38" s="92"/>
      <c r="J38" s="92"/>
      <c r="K38" s="92"/>
      <c r="L38" s="92"/>
      <c r="M38" s="92"/>
      <c r="N38" s="92"/>
      <c r="O38" s="92"/>
      <c r="P38" s="92"/>
      <c r="Q38" s="92"/>
      <c r="R38" s="92"/>
      <c r="S38" s="92"/>
      <c r="T38" s="93"/>
    </row>
    <row r="39" spans="2:20" ht="17.399999999999999" thickBot="1">
      <c r="B39" s="97"/>
      <c r="C39" s="98"/>
      <c r="D39" s="98"/>
      <c r="E39" s="98"/>
      <c r="F39" s="98"/>
      <c r="G39" s="98"/>
      <c r="H39" s="98"/>
      <c r="I39" s="98"/>
      <c r="J39" s="98"/>
      <c r="K39" s="98"/>
      <c r="L39" s="98"/>
      <c r="M39" s="98"/>
      <c r="N39" s="98"/>
      <c r="O39" s="98"/>
      <c r="P39" s="98"/>
      <c r="Q39" s="98"/>
      <c r="R39" s="98"/>
      <c r="S39" s="98"/>
      <c r="T39" s="36"/>
    </row>
    <row r="40" spans="2:20"/>
    <row r="41" spans="2:20"/>
    <row r="42" spans="2:20"/>
  </sheetData>
  <mergeCells count="24">
    <mergeCell ref="D31:H31"/>
    <mergeCell ref="D33:H33"/>
    <mergeCell ref="D29:H29"/>
    <mergeCell ref="D10:N10"/>
    <mergeCell ref="D9:N9"/>
    <mergeCell ref="D23:H23"/>
    <mergeCell ref="L19:T23"/>
    <mergeCell ref="L29:T33"/>
    <mergeCell ref="V1:Y1"/>
    <mergeCell ref="B3:T3"/>
    <mergeCell ref="D19:H19"/>
    <mergeCell ref="D21:H21"/>
    <mergeCell ref="O12:T12"/>
    <mergeCell ref="O11:T11"/>
    <mergeCell ref="O10:T10"/>
    <mergeCell ref="O9:T9"/>
    <mergeCell ref="B12:C12"/>
    <mergeCell ref="B11:C11"/>
    <mergeCell ref="B10:C10"/>
    <mergeCell ref="B9:C9"/>
    <mergeCell ref="D12:N12"/>
    <mergeCell ref="D11:N11"/>
    <mergeCell ref="B6:J7"/>
    <mergeCell ref="B14:J14"/>
  </mergeCells>
  <conditionalFormatting sqref="U5">
    <cfRule type="cellIs" dxfId="284" priority="19" operator="equal">
      <formula>$U$4</formula>
    </cfRule>
    <cfRule type="cellIs" dxfId="283" priority="20" operator="equal">
      <formula>$U$4</formula>
    </cfRule>
  </conditionalFormatting>
  <conditionalFormatting sqref="I19">
    <cfRule type="cellIs" dxfId="282" priority="10" operator="equal">
      <formula>$U$5</formula>
    </cfRule>
    <cfRule type="cellIs" dxfId="281" priority="11" operator="equal">
      <formula>$U$3</formula>
    </cfRule>
    <cfRule type="cellIs" dxfId="280" priority="12" operator="equal">
      <formula>$U$4</formula>
    </cfRule>
  </conditionalFormatting>
  <conditionalFormatting sqref="I21">
    <cfRule type="cellIs" dxfId="279" priority="13" operator="equal">
      <formula>$U$9</formula>
    </cfRule>
    <cfRule type="cellIs" dxfId="278" priority="14" operator="equal">
      <formula>$U$7</formula>
    </cfRule>
    <cfRule type="cellIs" dxfId="277" priority="15" operator="equal">
      <formula>$U$8</formula>
    </cfRule>
  </conditionalFormatting>
  <conditionalFormatting sqref="I23">
    <cfRule type="cellIs" dxfId="276" priority="16" operator="equal">
      <formula>$U$13</formula>
    </cfRule>
    <cfRule type="cellIs" dxfId="275" priority="17" operator="equal">
      <formula>$U$11</formula>
    </cfRule>
    <cfRule type="cellIs" dxfId="274" priority="18" operator="equal">
      <formula>$U$12</formula>
    </cfRule>
  </conditionalFormatting>
  <conditionalFormatting sqref="I29">
    <cfRule type="cellIs" dxfId="273" priority="1" operator="equal">
      <formula>$U$5</formula>
    </cfRule>
    <cfRule type="cellIs" dxfId="272" priority="2" operator="equal">
      <formula>$U$3</formula>
    </cfRule>
    <cfRule type="cellIs" dxfId="271" priority="3" operator="equal">
      <formula>$U$4</formula>
    </cfRule>
  </conditionalFormatting>
  <conditionalFormatting sqref="I31">
    <cfRule type="cellIs" dxfId="270" priority="4" operator="equal">
      <formula>$U$9</formula>
    </cfRule>
    <cfRule type="cellIs" dxfId="269" priority="5" operator="equal">
      <formula>$U$7</formula>
    </cfRule>
    <cfRule type="cellIs" dxfId="268" priority="6" operator="equal">
      <formula>$U$8</formula>
    </cfRule>
  </conditionalFormatting>
  <conditionalFormatting sqref="I33">
    <cfRule type="cellIs" dxfId="267" priority="7" operator="equal">
      <formula>$U$13</formula>
    </cfRule>
    <cfRule type="cellIs" dxfId="266" priority="8" operator="equal">
      <formula>$U$11</formula>
    </cfRule>
    <cfRule type="cellIs" dxfId="265" priority="9" operator="equal">
      <formula>$U$12</formula>
    </cfRule>
  </conditionalFormatting>
  <dataValidations count="3">
    <dataValidation type="list" allowBlank="1" showInputMessage="1" showErrorMessage="1" sqref="I19 I29" xr:uid="{34E8A1CD-60FC-449E-9577-A3CC17216D9D}">
      <formula1>$U$3:$U$5</formula1>
    </dataValidation>
    <dataValidation type="list" allowBlank="1" showInputMessage="1" showErrorMessage="1" sqref="I21 I31" xr:uid="{F795431E-27E5-48B1-9B17-8F8E83B602D5}">
      <formula1>$U$7:$U$9</formula1>
    </dataValidation>
    <dataValidation type="list" allowBlank="1" showInputMessage="1" showErrorMessage="1" sqref="I23 I33" xr:uid="{FC47097A-D755-4299-8AB6-DC1D3EF783BE}">
      <formula1>$U$11:$U$13</formula1>
    </dataValidation>
  </dataValidations>
  <hyperlinks>
    <hyperlink ref="B37" location="'Section 3'!A1" display="Previous section" xr:uid="{5938925C-3B77-4835-BCDD-0463A1A879D3}"/>
    <hyperlink ref="D37" location="'Section 5'!A1" display="Next section" xr:uid="{3DCF77C8-91C0-4A8E-B549-499F15842CD3}"/>
    <hyperlink ref="O10" r:id="rId1" xr:uid="{369288F8-E711-42CF-801E-0437E2DF5D97}"/>
    <hyperlink ref="O11" r:id="rId2" xr:uid="{42DBAFBE-7349-4516-B7DB-E4BEFE6E8076}"/>
    <hyperlink ref="O12" r:id="rId3" xr:uid="{176AA043-F704-4596-9793-390628C6D7B0}"/>
  </hyperlinks>
  <pageMargins left="0.7" right="0.7" top="0.75" bottom="0.75" header="0.3" footer="0.3"/>
  <pageSetup paperSize="9" orientation="portrait" r:id="rId4"/>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169D70-FEA2-40EB-A1A0-111ACD891663}">
  <sheetPr codeName="Sheet7"/>
  <dimension ref="B1:AD82"/>
  <sheetViews>
    <sheetView zoomScale="56" zoomScaleNormal="85" workbookViewId="0">
      <selection activeCell="G16" sqref="G16"/>
    </sheetView>
  </sheetViews>
  <sheetFormatPr defaultColWidth="0" defaultRowHeight="16.8" zeroHeight="1" outlineLevelRow="1"/>
  <cols>
    <col min="1" max="1" width="3.33203125" style="32" customWidth="1"/>
    <col min="2" max="2" width="19.5" style="32" customWidth="1"/>
    <col min="3" max="3" width="19.5" style="32" hidden="1" customWidth="1"/>
    <col min="4" max="4" width="27.08203125" style="32" customWidth="1"/>
    <col min="5" max="8" width="9.08203125" style="32" customWidth="1"/>
    <col min="9" max="9" width="26.83203125" style="32" customWidth="1"/>
    <col min="10" max="10" width="52.9140625" style="32" customWidth="1"/>
    <col min="11" max="11" width="15.4140625" style="32" hidden="1" customWidth="1"/>
    <col min="12" max="20" width="9.08203125" style="32" customWidth="1"/>
    <col min="21" max="21" width="19.58203125" style="99" customWidth="1"/>
    <col min="22" max="22" width="19.58203125" style="99" hidden="1" customWidth="1"/>
    <col min="23" max="30" width="19.58203125" style="32" hidden="1" customWidth="1"/>
    <col min="31" max="16384" width="0" style="32" hidden="1"/>
  </cols>
  <sheetData>
    <row r="1" spans="2:25" ht="17.399999999999999" thickBot="1">
      <c r="V1" s="263"/>
      <c r="W1" s="263"/>
      <c r="X1" s="263"/>
      <c r="Y1" s="263"/>
    </row>
    <row r="2" spans="2:25" s="40" customFormat="1" ht="34.200000000000003" thickBot="1">
      <c r="B2" s="158" t="s">
        <v>215</v>
      </c>
      <c r="C2" s="159"/>
      <c r="D2" s="167"/>
      <c r="E2" s="167"/>
      <c r="F2" s="167"/>
      <c r="G2" s="167"/>
      <c r="H2" s="167"/>
      <c r="I2" s="167"/>
      <c r="J2" s="167"/>
      <c r="K2" s="167"/>
      <c r="L2" s="167"/>
      <c r="M2" s="167"/>
      <c r="N2" s="167"/>
      <c r="O2" s="167"/>
      <c r="P2" s="167"/>
      <c r="Q2" s="167"/>
      <c r="R2" s="167"/>
      <c r="S2" s="167"/>
      <c r="T2" s="168"/>
      <c r="U2" s="120"/>
      <c r="V2" s="160"/>
      <c r="W2" s="160"/>
      <c r="X2" s="160"/>
      <c r="Y2" s="160"/>
    </row>
    <row r="3" spans="2:25" s="40" customFormat="1" ht="48.6" customHeight="1" thickBot="1">
      <c r="B3" s="218" t="str">
        <f>'EDI Framework Criteria'!A14</f>
        <v>Equality, Diversity and Inclusion Data Analysis and Evaluation</v>
      </c>
      <c r="C3" s="219"/>
      <c r="D3" s="219"/>
      <c r="E3" s="219"/>
      <c r="F3" s="219"/>
      <c r="G3" s="219"/>
      <c r="H3" s="219"/>
      <c r="I3" s="219"/>
      <c r="J3" s="219"/>
      <c r="K3" s="219"/>
      <c r="L3" s="219"/>
      <c r="M3" s="219"/>
      <c r="N3" s="219"/>
      <c r="O3" s="219"/>
      <c r="P3" s="219"/>
      <c r="Q3" s="219"/>
      <c r="R3" s="219"/>
      <c r="S3" s="219"/>
      <c r="T3" s="220"/>
      <c r="U3" s="120" t="s">
        <v>172</v>
      </c>
      <c r="V3" s="121">
        <v>2</v>
      </c>
    </row>
    <row r="4" spans="2:25">
      <c r="B4" s="192"/>
      <c r="C4" s="193"/>
      <c r="D4" s="193"/>
      <c r="E4" s="193"/>
      <c r="F4" s="193"/>
      <c r="G4" s="193"/>
      <c r="H4" s="193"/>
      <c r="I4" s="193"/>
      <c r="J4" s="193"/>
      <c r="K4" s="193"/>
      <c r="L4" s="193"/>
      <c r="M4" s="193"/>
      <c r="N4" s="193"/>
      <c r="O4" s="193"/>
      <c r="P4" s="193"/>
      <c r="Q4" s="193"/>
      <c r="R4" s="193"/>
      <c r="S4" s="193"/>
      <c r="T4" s="194"/>
      <c r="U4" s="99" t="s">
        <v>144</v>
      </c>
      <c r="V4" s="122">
        <v>1</v>
      </c>
    </row>
    <row r="5" spans="2:25" ht="21.6">
      <c r="B5" s="94" t="s">
        <v>145</v>
      </c>
      <c r="C5" s="95"/>
      <c r="D5" s="86"/>
      <c r="E5" s="86"/>
      <c r="F5" s="86"/>
      <c r="G5" s="86"/>
      <c r="H5" s="86"/>
      <c r="I5" s="86"/>
      <c r="J5" s="86"/>
      <c r="K5" s="86"/>
      <c r="L5" s="86"/>
      <c r="M5" s="86"/>
      <c r="N5" s="86"/>
      <c r="O5" s="86"/>
      <c r="P5" s="86"/>
      <c r="Q5" s="86"/>
      <c r="R5" s="86"/>
      <c r="S5" s="86"/>
      <c r="T5" s="35"/>
      <c r="U5" s="99" t="s">
        <v>175</v>
      </c>
      <c r="V5" s="122">
        <v>0</v>
      </c>
    </row>
    <row r="6" spans="2:25">
      <c r="B6" s="228" t="s">
        <v>486</v>
      </c>
      <c r="C6" s="229"/>
      <c r="D6" s="229"/>
      <c r="E6" s="229"/>
      <c r="F6" s="229"/>
      <c r="G6" s="229"/>
      <c r="H6" s="229"/>
      <c r="I6" s="229"/>
      <c r="J6" s="229"/>
      <c r="K6" s="86"/>
      <c r="L6" s="86"/>
      <c r="M6" s="86"/>
      <c r="N6" s="86"/>
      <c r="O6" s="86"/>
      <c r="P6" s="86"/>
      <c r="Q6" s="86"/>
      <c r="R6" s="86"/>
      <c r="S6" s="86"/>
      <c r="T6" s="35"/>
      <c r="V6" s="122"/>
    </row>
    <row r="7" spans="2:25" ht="36.9" customHeight="1">
      <c r="B7" s="228"/>
      <c r="C7" s="229"/>
      <c r="D7" s="229"/>
      <c r="E7" s="229"/>
      <c r="F7" s="229"/>
      <c r="G7" s="229"/>
      <c r="H7" s="229"/>
      <c r="I7" s="229"/>
      <c r="J7" s="229"/>
      <c r="K7" s="86"/>
      <c r="L7" s="86"/>
      <c r="M7" s="86"/>
      <c r="N7" s="86"/>
      <c r="O7" s="86"/>
      <c r="P7" s="86"/>
      <c r="Q7" s="86"/>
      <c r="R7" s="86"/>
      <c r="S7" s="86"/>
      <c r="T7" s="35"/>
      <c r="U7" s="99" t="s">
        <v>173</v>
      </c>
      <c r="V7" s="122">
        <v>2</v>
      </c>
    </row>
    <row r="8" spans="2:25" s="40" customFormat="1" ht="21.6">
      <c r="B8" s="49" t="s">
        <v>321</v>
      </c>
      <c r="C8" s="50"/>
      <c r="D8" s="47"/>
      <c r="E8" s="47"/>
      <c r="F8" s="47"/>
      <c r="G8" s="47"/>
      <c r="H8" s="47"/>
      <c r="I8" s="47"/>
      <c r="J8" s="47"/>
      <c r="K8" s="47"/>
      <c r="L8" s="47"/>
      <c r="M8" s="47"/>
      <c r="N8" s="47"/>
      <c r="O8" s="47"/>
      <c r="P8" s="47"/>
      <c r="Q8" s="47"/>
      <c r="R8" s="47"/>
      <c r="S8" s="47"/>
      <c r="T8" s="48"/>
      <c r="U8" s="120" t="s">
        <v>144</v>
      </c>
      <c r="V8" s="121">
        <v>1</v>
      </c>
    </row>
    <row r="9" spans="2:25" s="40" customFormat="1" ht="18.75" hidden="1" customHeight="1" outlineLevel="1">
      <c r="B9" s="232" t="s">
        <v>146</v>
      </c>
      <c r="C9" s="233"/>
      <c r="D9" s="234" t="s">
        <v>147</v>
      </c>
      <c r="E9" s="235"/>
      <c r="F9" s="235"/>
      <c r="G9" s="235"/>
      <c r="H9" s="235"/>
      <c r="I9" s="235"/>
      <c r="J9" s="235"/>
      <c r="K9" s="235"/>
      <c r="L9" s="235"/>
      <c r="M9" s="235"/>
      <c r="N9" s="233"/>
      <c r="O9" s="240" t="s">
        <v>148</v>
      </c>
      <c r="P9" s="240"/>
      <c r="Q9" s="240"/>
      <c r="R9" s="240"/>
      <c r="S9" s="240"/>
      <c r="T9" s="241"/>
      <c r="U9" s="120" t="s">
        <v>176</v>
      </c>
      <c r="V9" s="121">
        <v>0</v>
      </c>
    </row>
    <row r="10" spans="2:25" s="40" customFormat="1" ht="96" hidden="1" customHeight="1" outlineLevel="1">
      <c r="B10" s="274" t="s">
        <v>216</v>
      </c>
      <c r="C10" s="242"/>
      <c r="D10" s="242" t="s">
        <v>217</v>
      </c>
      <c r="E10" s="277"/>
      <c r="F10" s="277"/>
      <c r="G10" s="277"/>
      <c r="H10" s="277"/>
      <c r="I10" s="277"/>
      <c r="J10" s="277"/>
      <c r="K10" s="277"/>
      <c r="L10" s="277"/>
      <c r="M10" s="277"/>
      <c r="N10" s="277"/>
      <c r="O10" s="236" t="s">
        <v>218</v>
      </c>
      <c r="P10" s="242"/>
      <c r="Q10" s="242"/>
      <c r="R10" s="242"/>
      <c r="S10" s="242"/>
      <c r="T10" s="243"/>
      <c r="U10" s="120"/>
      <c r="V10" s="121"/>
    </row>
    <row r="11" spans="2:25" s="40" customFormat="1" ht="65.25" hidden="1" customHeight="1" outlineLevel="1">
      <c r="B11" s="280"/>
      <c r="C11" s="281"/>
      <c r="D11" s="281"/>
      <c r="E11" s="281"/>
      <c r="F11" s="281"/>
      <c r="G11" s="281"/>
      <c r="H11" s="281"/>
      <c r="I11" s="281"/>
      <c r="J11" s="281"/>
      <c r="K11" s="281"/>
      <c r="L11" s="281"/>
      <c r="M11" s="281"/>
      <c r="N11" s="281"/>
      <c r="O11" s="282"/>
      <c r="P11" s="282"/>
      <c r="Q11" s="282"/>
      <c r="R11" s="282"/>
      <c r="S11" s="282"/>
      <c r="T11" s="283"/>
      <c r="U11" s="120" t="s">
        <v>169</v>
      </c>
      <c r="V11" s="121">
        <v>2</v>
      </c>
    </row>
    <row r="12" spans="2:25" s="40" customFormat="1" ht="49.5" hidden="1" customHeight="1" outlineLevel="1">
      <c r="B12" s="280"/>
      <c r="C12" s="281"/>
      <c r="D12" s="281"/>
      <c r="E12" s="281"/>
      <c r="F12" s="281"/>
      <c r="G12" s="281"/>
      <c r="H12" s="281"/>
      <c r="I12" s="281"/>
      <c r="J12" s="281"/>
      <c r="K12" s="281"/>
      <c r="L12" s="281"/>
      <c r="M12" s="281"/>
      <c r="N12" s="281"/>
      <c r="O12" s="282"/>
      <c r="P12" s="282"/>
      <c r="Q12" s="282"/>
      <c r="R12" s="282"/>
      <c r="S12" s="282"/>
      <c r="T12" s="283"/>
      <c r="U12" s="120" t="s">
        <v>144</v>
      </c>
      <c r="V12" s="121">
        <v>1</v>
      </c>
    </row>
    <row r="13" spans="2:25" collapsed="1">
      <c r="B13" s="34"/>
      <c r="C13" s="86"/>
      <c r="D13" s="86"/>
      <c r="E13" s="86"/>
      <c r="F13" s="86"/>
      <c r="G13" s="86"/>
      <c r="H13" s="86"/>
      <c r="I13" s="86"/>
      <c r="J13" s="86"/>
      <c r="K13" s="86"/>
      <c r="L13" s="86"/>
      <c r="M13" s="86"/>
      <c r="N13" s="86"/>
      <c r="O13" s="86"/>
      <c r="P13" s="86"/>
      <c r="Q13" s="86"/>
      <c r="R13" s="86"/>
      <c r="S13" s="86"/>
      <c r="T13" s="35"/>
      <c r="U13" s="99" t="s">
        <v>177</v>
      </c>
      <c r="V13" s="122">
        <v>0</v>
      </c>
    </row>
    <row r="14" spans="2:25">
      <c r="B14" s="34"/>
      <c r="C14" s="86"/>
      <c r="D14" s="86"/>
      <c r="E14" s="86"/>
      <c r="F14" s="86"/>
      <c r="G14" s="86"/>
      <c r="H14" s="86"/>
      <c r="I14" s="86"/>
      <c r="J14" s="86"/>
      <c r="K14" s="86"/>
      <c r="L14" s="86"/>
      <c r="M14" s="86"/>
      <c r="N14" s="86"/>
      <c r="O14" s="86"/>
      <c r="P14" s="86"/>
      <c r="Q14" s="86"/>
      <c r="R14" s="86"/>
      <c r="S14" s="86"/>
      <c r="T14" s="35"/>
    </row>
    <row r="15" spans="2:25" ht="17.399999999999999" thickBot="1">
      <c r="B15" s="97"/>
      <c r="C15" s="98"/>
      <c r="D15" s="98"/>
      <c r="E15" s="98"/>
      <c r="F15" s="98"/>
      <c r="G15" s="98"/>
      <c r="H15" s="98"/>
      <c r="I15" s="98"/>
      <c r="J15" s="98"/>
      <c r="K15" s="98"/>
      <c r="L15" s="98"/>
      <c r="M15" s="98"/>
      <c r="N15" s="98"/>
      <c r="O15" s="98"/>
      <c r="P15" s="98"/>
      <c r="Q15" s="98"/>
      <c r="R15" s="98"/>
      <c r="S15" s="98"/>
      <c r="T15" s="36"/>
    </row>
    <row r="16" spans="2:25" ht="21.6">
      <c r="B16" s="51" t="s">
        <v>161</v>
      </c>
      <c r="C16" s="52"/>
      <c r="D16" s="156" t="str">
        <f>'EDI Framework Criteria'!B14</f>
        <v>Collection of specific data, including outcomes</v>
      </c>
      <c r="E16" s="53"/>
      <c r="F16" s="53"/>
      <c r="G16" s="53"/>
      <c r="H16" s="53"/>
      <c r="I16" s="53"/>
      <c r="J16" s="53"/>
      <c r="K16" s="53" t="s">
        <v>219</v>
      </c>
      <c r="L16" s="53"/>
      <c r="M16" s="53"/>
      <c r="N16" s="53"/>
      <c r="O16" s="53"/>
      <c r="P16" s="53"/>
      <c r="Q16" s="53"/>
      <c r="R16" s="53"/>
      <c r="S16" s="53"/>
      <c r="T16" s="54"/>
    </row>
    <row r="17" spans="2:22">
      <c r="B17" s="55"/>
      <c r="C17" s="56"/>
      <c r="D17" s="56"/>
      <c r="E17" s="56"/>
      <c r="F17" s="56"/>
      <c r="G17" s="56"/>
      <c r="H17" s="56"/>
      <c r="I17" s="56"/>
      <c r="J17" s="56"/>
      <c r="K17" s="56"/>
      <c r="L17" s="56"/>
      <c r="M17" s="56"/>
      <c r="N17" s="56"/>
      <c r="O17" s="56"/>
      <c r="P17" s="56"/>
      <c r="Q17" s="56"/>
      <c r="R17" s="56"/>
      <c r="S17" s="56"/>
      <c r="T17" s="57"/>
    </row>
    <row r="18" spans="2:22" ht="50.4">
      <c r="B18" s="55"/>
      <c r="C18" s="56"/>
      <c r="D18" s="56"/>
      <c r="E18" s="56"/>
      <c r="F18" s="56"/>
      <c r="G18" s="56"/>
      <c r="H18" s="56"/>
      <c r="I18" s="58" t="s">
        <v>162</v>
      </c>
      <c r="J18" s="58" t="s">
        <v>163</v>
      </c>
      <c r="K18" s="59" t="s">
        <v>164</v>
      </c>
      <c r="L18" s="60" t="s">
        <v>508</v>
      </c>
      <c r="M18" s="56"/>
      <c r="N18" s="56"/>
      <c r="O18" s="56"/>
      <c r="P18" s="56"/>
      <c r="Q18" s="56"/>
      <c r="R18" s="56"/>
      <c r="S18" s="56"/>
      <c r="T18" s="57"/>
      <c r="V18" s="99" t="s">
        <v>165</v>
      </c>
    </row>
    <row r="19" spans="2:22" ht="90" customHeight="1">
      <c r="B19" s="61" t="s">
        <v>166</v>
      </c>
      <c r="C19" s="62" t="str">
        <f>'EDI Framework Criteria'!C14</f>
        <v>1.E.1</v>
      </c>
      <c r="D19" s="224" t="str">
        <f>'EDI Framework Criteria'!D14</f>
        <v>We have committed to tracking information from all stakeholder groups to collect the following data for outcomes measurement:
- Numbers of people experiencing each outcome (scale)
- Extent of change for each outcome (depth)
- The EDI characteristics of stakeholders</v>
      </c>
      <c r="E19" s="225"/>
      <c r="F19" s="225"/>
      <c r="G19" s="225"/>
      <c r="H19" s="226"/>
      <c r="I19" s="63" t="s">
        <v>175</v>
      </c>
      <c r="J19" s="63"/>
      <c r="K19" s="47">
        <f>INDEX($U$3:$V$13,MATCH(I19,$U$3:$U$13,0),2)</f>
        <v>0</v>
      </c>
      <c r="L19" s="264"/>
      <c r="M19" s="264"/>
      <c r="N19" s="264"/>
      <c r="O19" s="264"/>
      <c r="P19" s="264"/>
      <c r="Q19" s="264"/>
      <c r="R19" s="264"/>
      <c r="S19" s="264"/>
      <c r="T19" s="265"/>
      <c r="V19" s="99" t="str">
        <f>IF(K19=0,V18,"")</f>
        <v>Non commitment</v>
      </c>
    </row>
    <row r="20" spans="2:22">
      <c r="B20" s="46"/>
      <c r="C20" s="47"/>
      <c r="D20" s="47"/>
      <c r="E20" s="47"/>
      <c r="F20" s="47"/>
      <c r="G20" s="47"/>
      <c r="H20" s="47"/>
      <c r="I20" s="47"/>
      <c r="J20" s="47"/>
      <c r="K20" s="47"/>
      <c r="L20" s="264"/>
      <c r="M20" s="264"/>
      <c r="N20" s="264"/>
      <c r="O20" s="264"/>
      <c r="P20" s="264"/>
      <c r="Q20" s="264"/>
      <c r="R20" s="264"/>
      <c r="S20" s="264"/>
      <c r="T20" s="265"/>
    </row>
    <row r="21" spans="2:22" ht="90" customHeight="1">
      <c r="B21" s="61" t="s">
        <v>167</v>
      </c>
      <c r="C21" s="62" t="str">
        <f>'EDI Framework Criteria'!E14</f>
        <v>2.E.1</v>
      </c>
      <c r="D21" s="224" t="str">
        <f>'EDI Framework Criteria'!F14</f>
        <v>Outcomes are starting to be measured involving all stakeholder groups. The measurement includes:
- Numbers of people experiencing each outcome (scale)
- Extent of change for each outcome (depth)
- The EDI characteristics of stakeholders</v>
      </c>
      <c r="E21" s="225"/>
      <c r="F21" s="225"/>
      <c r="G21" s="225"/>
      <c r="H21" s="226"/>
      <c r="I21" s="63" t="s">
        <v>176</v>
      </c>
      <c r="J21" s="63"/>
      <c r="K21" s="47">
        <f>INDEX($U$3:$V$13,MATCH(I21,$U$3:$U$13,0),2)</f>
        <v>0</v>
      </c>
      <c r="L21" s="264"/>
      <c r="M21" s="264"/>
      <c r="N21" s="264"/>
      <c r="O21" s="264"/>
      <c r="P21" s="264"/>
      <c r="Q21" s="264"/>
      <c r="R21" s="264"/>
      <c r="S21" s="264"/>
      <c r="T21" s="265"/>
    </row>
    <row r="22" spans="2:22">
      <c r="B22" s="46"/>
      <c r="C22" s="47"/>
      <c r="D22" s="47"/>
      <c r="E22" s="47"/>
      <c r="F22" s="47"/>
      <c r="G22" s="47"/>
      <c r="H22" s="47"/>
      <c r="I22" s="47"/>
      <c r="J22" s="47"/>
      <c r="K22" s="47"/>
      <c r="L22" s="264"/>
      <c r="M22" s="264"/>
      <c r="N22" s="264"/>
      <c r="O22" s="264"/>
      <c r="P22" s="264"/>
      <c r="Q22" s="264"/>
      <c r="R22" s="264"/>
      <c r="S22" s="264"/>
      <c r="T22" s="265"/>
    </row>
    <row r="23" spans="2:22" ht="90" customHeight="1" thickBot="1">
      <c r="B23" s="64" t="s">
        <v>168</v>
      </c>
      <c r="C23" s="65" t="str">
        <f>'EDI Framework Criteria'!G14</f>
        <v>3.E.1</v>
      </c>
      <c r="D23" s="221" t="str">
        <f>'EDI Framework Criteria'!H14</f>
        <v>Outcomes are being measured on a regular basis. Measurement includes:
- Numbers of people experiencing each outcome (scale)
- Extent of change for each outcome (depth)
- The EDI characteristics of stakeholders</v>
      </c>
      <c r="E23" s="222"/>
      <c r="F23" s="222"/>
      <c r="G23" s="222"/>
      <c r="H23" s="223"/>
      <c r="I23" s="66" t="s">
        <v>177</v>
      </c>
      <c r="J23" s="66"/>
      <c r="K23" s="67">
        <f>INDEX($U$3:$V$13,MATCH(I23,$U$3:$U$13,0),2)</f>
        <v>0</v>
      </c>
      <c r="L23" s="266"/>
      <c r="M23" s="266"/>
      <c r="N23" s="266"/>
      <c r="O23" s="266"/>
      <c r="P23" s="266"/>
      <c r="Q23" s="266"/>
      <c r="R23" s="266"/>
      <c r="S23" s="266"/>
      <c r="T23" s="267"/>
    </row>
    <row r="24" spans="2:22">
      <c r="B24" s="34"/>
      <c r="C24" s="86"/>
      <c r="D24" s="86"/>
      <c r="E24" s="86"/>
      <c r="F24" s="86"/>
      <c r="G24" s="86"/>
      <c r="H24" s="86"/>
      <c r="I24" s="86"/>
      <c r="J24" s="86"/>
      <c r="K24" s="86"/>
      <c r="L24" s="86"/>
      <c r="M24" s="86"/>
      <c r="N24" s="86"/>
      <c r="O24" s="86"/>
      <c r="P24" s="86"/>
      <c r="Q24" s="86"/>
      <c r="R24" s="86"/>
      <c r="S24" s="86"/>
      <c r="T24" s="35"/>
    </row>
    <row r="25" spans="2:22" ht="17.399999999999999" thickBot="1">
      <c r="B25" s="34"/>
      <c r="C25" s="86"/>
      <c r="D25" s="86"/>
      <c r="E25" s="86"/>
      <c r="F25" s="86"/>
      <c r="G25" s="86"/>
      <c r="H25" s="86"/>
      <c r="I25" s="86"/>
      <c r="J25" s="86"/>
      <c r="K25" s="86"/>
      <c r="L25" s="86"/>
      <c r="M25" s="86"/>
      <c r="N25" s="86"/>
      <c r="O25" s="86"/>
      <c r="P25" s="86"/>
      <c r="Q25" s="86"/>
      <c r="R25" s="86"/>
      <c r="S25" s="86"/>
      <c r="T25" s="35"/>
    </row>
    <row r="26" spans="2:22" ht="21.6">
      <c r="B26" s="51" t="s">
        <v>170</v>
      </c>
      <c r="C26" s="52"/>
      <c r="D26" s="156" t="str">
        <f>'EDI Framework Criteria'!B14</f>
        <v>Collection of specific data, including outcomes</v>
      </c>
      <c r="E26" s="53"/>
      <c r="F26" s="53"/>
      <c r="G26" s="53"/>
      <c r="H26" s="53"/>
      <c r="I26" s="53"/>
      <c r="J26" s="53"/>
      <c r="K26" s="53" t="s">
        <v>220</v>
      </c>
      <c r="L26" s="53"/>
      <c r="M26" s="53"/>
      <c r="N26" s="53"/>
      <c r="O26" s="53"/>
      <c r="P26" s="53"/>
      <c r="Q26" s="53"/>
      <c r="R26" s="53"/>
      <c r="S26" s="53"/>
      <c r="T26" s="54"/>
    </row>
    <row r="27" spans="2:22">
      <c r="B27" s="55"/>
      <c r="C27" s="56"/>
      <c r="D27" s="56"/>
      <c r="E27" s="56"/>
      <c r="F27" s="56"/>
      <c r="G27" s="56"/>
      <c r="H27" s="56"/>
      <c r="I27" s="56"/>
      <c r="J27" s="56"/>
      <c r="K27" s="56"/>
      <c r="L27" s="56"/>
      <c r="M27" s="56"/>
      <c r="N27" s="56"/>
      <c r="O27" s="56"/>
      <c r="P27" s="56"/>
      <c r="Q27" s="56"/>
      <c r="R27" s="56"/>
      <c r="S27" s="56"/>
      <c r="T27" s="57"/>
    </row>
    <row r="28" spans="2:22" ht="50.4">
      <c r="B28" s="55"/>
      <c r="C28" s="56"/>
      <c r="D28" s="56"/>
      <c r="E28" s="56"/>
      <c r="F28" s="56"/>
      <c r="G28" s="56"/>
      <c r="H28" s="56"/>
      <c r="I28" s="58" t="s">
        <v>162</v>
      </c>
      <c r="J28" s="58" t="s">
        <v>163</v>
      </c>
      <c r="K28" s="59"/>
      <c r="L28" s="60" t="s">
        <v>508</v>
      </c>
      <c r="M28" s="56"/>
      <c r="N28" s="56"/>
      <c r="O28" s="56"/>
      <c r="P28" s="56"/>
      <c r="Q28" s="56"/>
      <c r="R28" s="56"/>
      <c r="S28" s="56"/>
      <c r="T28" s="57"/>
    </row>
    <row r="29" spans="2:22" ht="90" customHeight="1">
      <c r="B29" s="61" t="s">
        <v>166</v>
      </c>
      <c r="C29" s="62" t="str">
        <f>'EDI Framework Criteria'!C15</f>
        <v>1.E.7</v>
      </c>
      <c r="D29" s="224" t="str">
        <f>'EDI Framework Criteria'!D15</f>
        <v>We have committed to creating a plan for which EDI characteristics to track when we are measuring outcomes. We look at all 9 protected characteristics in the Equalities Act (2010) and more, for example, socioeconomic class.</v>
      </c>
      <c r="E29" s="225"/>
      <c r="F29" s="225"/>
      <c r="G29" s="225"/>
      <c r="H29" s="226"/>
      <c r="I29" s="63" t="s">
        <v>175</v>
      </c>
      <c r="J29" s="63"/>
      <c r="K29" s="47">
        <f>INDEX($U$3:$V$13,MATCH(I29,$U$3:$U$13,0),2)</f>
        <v>0</v>
      </c>
      <c r="L29" s="264"/>
      <c r="M29" s="264"/>
      <c r="N29" s="264"/>
      <c r="O29" s="264"/>
      <c r="P29" s="264"/>
      <c r="Q29" s="264"/>
      <c r="R29" s="264"/>
      <c r="S29" s="264"/>
      <c r="T29" s="265"/>
      <c r="V29" s="99">
        <f>IF(K29=0,V28,"")</f>
        <v>0</v>
      </c>
    </row>
    <row r="30" spans="2:22">
      <c r="B30" s="46"/>
      <c r="C30" s="47"/>
      <c r="D30" s="47"/>
      <c r="E30" s="47"/>
      <c r="F30" s="47"/>
      <c r="G30" s="47"/>
      <c r="H30" s="47"/>
      <c r="I30" s="47"/>
      <c r="J30" s="47"/>
      <c r="K30" s="47"/>
      <c r="L30" s="264"/>
      <c r="M30" s="264"/>
      <c r="N30" s="264"/>
      <c r="O30" s="264"/>
      <c r="P30" s="264"/>
      <c r="Q30" s="264"/>
      <c r="R30" s="264"/>
      <c r="S30" s="264"/>
      <c r="T30" s="265"/>
    </row>
    <row r="31" spans="2:22" ht="90" customHeight="1">
      <c r="B31" s="61" t="s">
        <v>167</v>
      </c>
      <c r="C31" s="62" t="str">
        <f>'EDI Framework Criteria'!E15</f>
        <v>2.E.7</v>
      </c>
      <c r="D31" s="224" t="str">
        <f>'EDI Framework Criteria'!F15</f>
        <v>We identified which EDI characteristics to track when we are measuring outcomes. We look at all 9 protected characteristics in the Equalities Act (2010) and more, for example, socioeconomic class. We are integrating these into our outcomes measurement.</v>
      </c>
      <c r="E31" s="225"/>
      <c r="F31" s="225"/>
      <c r="G31" s="225"/>
      <c r="H31" s="226"/>
      <c r="I31" s="63" t="s">
        <v>176</v>
      </c>
      <c r="J31" s="63"/>
      <c r="K31" s="47">
        <f>INDEX($U$3:$V$13,MATCH(I31,$U$3:$U$13,0),2)</f>
        <v>0</v>
      </c>
      <c r="L31" s="264"/>
      <c r="M31" s="264"/>
      <c r="N31" s="264"/>
      <c r="O31" s="264"/>
      <c r="P31" s="264"/>
      <c r="Q31" s="264"/>
      <c r="R31" s="264"/>
      <c r="S31" s="264"/>
      <c r="T31" s="265"/>
    </row>
    <row r="32" spans="2:22">
      <c r="B32" s="46"/>
      <c r="C32" s="47"/>
      <c r="D32" s="47"/>
      <c r="E32" s="47"/>
      <c r="F32" s="47"/>
      <c r="G32" s="47"/>
      <c r="H32" s="47"/>
      <c r="I32" s="47"/>
      <c r="J32" s="47"/>
      <c r="K32" s="47"/>
      <c r="L32" s="264"/>
      <c r="M32" s="264"/>
      <c r="N32" s="264"/>
      <c r="O32" s="264"/>
      <c r="P32" s="264"/>
      <c r="Q32" s="264"/>
      <c r="R32" s="264"/>
      <c r="S32" s="264"/>
      <c r="T32" s="265"/>
    </row>
    <row r="33" spans="2:22" ht="90" customHeight="1" thickBot="1">
      <c r="B33" s="64" t="s">
        <v>168</v>
      </c>
      <c r="C33" s="65" t="str">
        <f>'EDI Framework Criteria'!G15</f>
        <v>3.E.7</v>
      </c>
      <c r="D33" s="221" t="str">
        <f>'EDI Framework Criteria'!H15</f>
        <v>Our stakeholders’ EDI characteristics are included in our outcomes measurement. We look at all 9 protected characteristics in the Equalities Act (2010) and more, for example, socioeconomic class. We review and revise them regularly.</v>
      </c>
      <c r="E33" s="222"/>
      <c r="F33" s="222"/>
      <c r="G33" s="222"/>
      <c r="H33" s="223"/>
      <c r="I33" s="66" t="s">
        <v>177</v>
      </c>
      <c r="J33" s="66"/>
      <c r="K33" s="67">
        <f>INDEX($U$3:$V$13,MATCH(I33,$U$3:$U$13,0),2)</f>
        <v>0</v>
      </c>
      <c r="L33" s="266"/>
      <c r="M33" s="266"/>
      <c r="N33" s="266"/>
      <c r="O33" s="266"/>
      <c r="P33" s="266"/>
      <c r="Q33" s="266"/>
      <c r="R33" s="266"/>
      <c r="S33" s="266"/>
      <c r="T33" s="267"/>
    </row>
    <row r="34" spans="2:22">
      <c r="B34" s="34"/>
      <c r="C34" s="86"/>
      <c r="D34" s="86"/>
      <c r="E34" s="86"/>
      <c r="F34" s="86"/>
      <c r="G34" s="86"/>
      <c r="H34" s="86"/>
      <c r="I34" s="86"/>
      <c r="J34" s="86"/>
      <c r="K34" s="86"/>
      <c r="L34" s="86"/>
      <c r="M34" s="86"/>
      <c r="N34" s="86"/>
      <c r="O34" s="86"/>
      <c r="P34" s="86"/>
      <c r="Q34" s="86"/>
      <c r="R34" s="86"/>
      <c r="S34" s="86"/>
      <c r="T34" s="35"/>
    </row>
    <row r="35" spans="2:22" ht="17.399999999999999" thickBot="1">
      <c r="B35" s="34"/>
      <c r="C35" s="86"/>
      <c r="D35" s="86"/>
      <c r="E35" s="86"/>
      <c r="F35" s="86"/>
      <c r="G35" s="86"/>
      <c r="H35" s="86"/>
      <c r="I35" s="86"/>
      <c r="J35" s="86"/>
      <c r="K35" s="86"/>
      <c r="L35" s="86"/>
      <c r="M35" s="86"/>
      <c r="N35" s="86"/>
      <c r="O35" s="86"/>
      <c r="P35" s="86"/>
      <c r="Q35" s="86"/>
      <c r="R35" s="86"/>
      <c r="S35" s="86"/>
      <c r="T35" s="35"/>
    </row>
    <row r="36" spans="2:22" ht="21.6">
      <c r="B36" s="51" t="s">
        <v>171</v>
      </c>
      <c r="C36" s="52"/>
      <c r="D36" s="156" t="str">
        <f>'EDI Framework Criteria'!B16</f>
        <v>Social value verification</v>
      </c>
      <c r="E36" s="53"/>
      <c r="F36" s="53"/>
      <c r="G36" s="53"/>
      <c r="H36" s="53"/>
      <c r="I36" s="53"/>
      <c r="J36" s="53"/>
      <c r="K36" s="53"/>
      <c r="L36" s="53"/>
      <c r="M36" s="53"/>
      <c r="N36" s="53"/>
      <c r="O36" s="53"/>
      <c r="P36" s="53"/>
      <c r="Q36" s="53"/>
      <c r="R36" s="53"/>
      <c r="S36" s="53"/>
      <c r="T36" s="54"/>
    </row>
    <row r="37" spans="2:22">
      <c r="B37" s="55"/>
      <c r="C37" s="56"/>
      <c r="D37" s="56"/>
      <c r="E37" s="56"/>
      <c r="F37" s="56"/>
      <c r="G37" s="56"/>
      <c r="H37" s="56"/>
      <c r="I37" s="56"/>
      <c r="J37" s="56"/>
      <c r="K37" s="56"/>
      <c r="L37" s="56"/>
      <c r="M37" s="56"/>
      <c r="N37" s="56"/>
      <c r="O37" s="56"/>
      <c r="P37" s="56"/>
      <c r="Q37" s="56"/>
      <c r="R37" s="56"/>
      <c r="S37" s="56"/>
      <c r="T37" s="57"/>
    </row>
    <row r="38" spans="2:22" ht="50.4">
      <c r="B38" s="55"/>
      <c r="C38" s="56"/>
      <c r="D38" s="56"/>
      <c r="E38" s="56"/>
      <c r="F38" s="56"/>
      <c r="G38" s="56"/>
      <c r="H38" s="56"/>
      <c r="I38" s="58" t="s">
        <v>162</v>
      </c>
      <c r="J38" s="58" t="s">
        <v>163</v>
      </c>
      <c r="K38" s="59"/>
      <c r="L38" s="60" t="s">
        <v>508</v>
      </c>
      <c r="M38" s="56"/>
      <c r="N38" s="56"/>
      <c r="O38" s="56"/>
      <c r="P38" s="56"/>
      <c r="Q38" s="56"/>
      <c r="R38" s="56"/>
      <c r="S38" s="56"/>
      <c r="T38" s="57"/>
    </row>
    <row r="39" spans="2:22" ht="90" customHeight="1">
      <c r="B39" s="61" t="s">
        <v>166</v>
      </c>
      <c r="C39" s="62" t="str">
        <f>'EDI Framework Criteria'!C16</f>
        <v>1.E.3</v>
      </c>
      <c r="D39" s="224" t="str">
        <f>'EDI Framework Criteria'!D16</f>
        <v>We have committed to seeking feedback from a third-party on our EDI data collection and analysis. This could be through a critical friend, peer review, or through a more formal assurance provider.</v>
      </c>
      <c r="E39" s="225"/>
      <c r="F39" s="225"/>
      <c r="G39" s="225"/>
      <c r="H39" s="226"/>
      <c r="I39" s="63" t="s">
        <v>175</v>
      </c>
      <c r="J39" s="63"/>
      <c r="K39" s="47">
        <f>INDEX($U$3:$V$13,MATCH(I39,$U$3:$U$13,0),2)</f>
        <v>0</v>
      </c>
      <c r="L39" s="264"/>
      <c r="M39" s="264"/>
      <c r="N39" s="264"/>
      <c r="O39" s="264"/>
      <c r="P39" s="264"/>
      <c r="Q39" s="264"/>
      <c r="R39" s="264"/>
      <c r="S39" s="264"/>
      <c r="T39" s="265"/>
      <c r="V39" s="99">
        <f>IF(K39=0,V38,"")</f>
        <v>0</v>
      </c>
    </row>
    <row r="40" spans="2:22">
      <c r="B40" s="46"/>
      <c r="C40" s="47"/>
      <c r="D40" s="47"/>
      <c r="E40" s="47"/>
      <c r="F40" s="47"/>
      <c r="G40" s="47"/>
      <c r="H40" s="47"/>
      <c r="I40" s="47"/>
      <c r="J40" s="47"/>
      <c r="K40" s="47"/>
      <c r="L40" s="264"/>
      <c r="M40" s="264"/>
      <c r="N40" s="264"/>
      <c r="O40" s="264"/>
      <c r="P40" s="264"/>
      <c r="Q40" s="264"/>
      <c r="R40" s="264"/>
      <c r="S40" s="264"/>
      <c r="T40" s="265"/>
    </row>
    <row r="41" spans="2:22" ht="90" customHeight="1">
      <c r="B41" s="61" t="s">
        <v>167</v>
      </c>
      <c r="C41" s="62" t="str">
        <f>'EDI Framework Criteria'!E16</f>
        <v>2.E.3</v>
      </c>
      <c r="D41" s="224" t="str">
        <f>'EDI Framework Criteria'!F16</f>
        <v>We have had feedback from a third-party on our EDI data collection and analysis.
Explanation given about choice of third party and any associated risks of choice (this could be a critical friend, peer review or a more formal assurance provider).</v>
      </c>
      <c r="E41" s="225"/>
      <c r="F41" s="225"/>
      <c r="G41" s="225"/>
      <c r="H41" s="226"/>
      <c r="I41" s="63" t="s">
        <v>176</v>
      </c>
      <c r="J41" s="63"/>
      <c r="K41" s="47">
        <f>INDEX($U$3:$V$13,MATCH(I41,$U$3:$U$13,0),2)</f>
        <v>0</v>
      </c>
      <c r="L41" s="264"/>
      <c r="M41" s="264"/>
      <c r="N41" s="264"/>
      <c r="O41" s="264"/>
      <c r="P41" s="264"/>
      <c r="Q41" s="264"/>
      <c r="R41" s="264"/>
      <c r="S41" s="264"/>
      <c r="T41" s="265"/>
    </row>
    <row r="42" spans="2:22">
      <c r="B42" s="46"/>
      <c r="C42" s="47"/>
      <c r="D42" s="47"/>
      <c r="E42" s="47"/>
      <c r="F42" s="47"/>
      <c r="G42" s="47"/>
      <c r="H42" s="47"/>
      <c r="I42" s="47"/>
      <c r="J42" s="47"/>
      <c r="K42" s="47"/>
      <c r="L42" s="264"/>
      <c r="M42" s="264"/>
      <c r="N42" s="264"/>
      <c r="O42" s="264"/>
      <c r="P42" s="264"/>
      <c r="Q42" s="264"/>
      <c r="R42" s="264"/>
      <c r="S42" s="264"/>
      <c r="T42" s="265"/>
    </row>
    <row r="43" spans="2:22" ht="104.4" customHeight="1" thickBot="1">
      <c r="B43" s="64" t="s">
        <v>168</v>
      </c>
      <c r="C43" s="65" t="str">
        <f>'EDI Framework Criteria'!G16</f>
        <v>3.E.3</v>
      </c>
      <c r="D43" s="221" t="str">
        <f>'EDI Framework Criteria'!H16</f>
        <v>EDI data collection and analysis are continuing to be reviewed by a third party. Any issues identified by the third party have been recorded and action taken to address the issues.
Risks of choice of third party considered and addressed (this could be a critical friend, peer review or a more formal assurance provider).</v>
      </c>
      <c r="E43" s="222"/>
      <c r="F43" s="222"/>
      <c r="G43" s="222"/>
      <c r="H43" s="223"/>
      <c r="I43" s="66" t="s">
        <v>177</v>
      </c>
      <c r="J43" s="66"/>
      <c r="K43" s="67">
        <f>INDEX($U$3:$V$13,MATCH(I43,$U$3:$U$13,0),2)</f>
        <v>0</v>
      </c>
      <c r="L43" s="266"/>
      <c r="M43" s="266"/>
      <c r="N43" s="266"/>
      <c r="O43" s="266"/>
      <c r="P43" s="266"/>
      <c r="Q43" s="266"/>
      <c r="R43" s="266"/>
      <c r="S43" s="266"/>
      <c r="T43" s="267"/>
    </row>
    <row r="44" spans="2:22">
      <c r="B44" s="34"/>
      <c r="C44" s="86"/>
      <c r="D44" s="86"/>
      <c r="E44" s="86"/>
      <c r="F44" s="86"/>
      <c r="G44" s="86"/>
      <c r="H44" s="86"/>
      <c r="I44" s="86"/>
      <c r="J44" s="86"/>
      <c r="K44" s="86"/>
      <c r="L44" s="86"/>
      <c r="M44" s="86"/>
      <c r="N44" s="86"/>
      <c r="O44" s="86"/>
      <c r="P44" s="86"/>
      <c r="Q44" s="86"/>
      <c r="R44" s="86"/>
      <c r="S44" s="86"/>
      <c r="T44" s="35"/>
    </row>
    <row r="45" spans="2:22" ht="17.399999999999999" thickBot="1">
      <c r="B45" s="34"/>
      <c r="C45" s="86"/>
      <c r="D45" s="86"/>
      <c r="E45" s="86"/>
      <c r="F45" s="86"/>
      <c r="G45" s="86"/>
      <c r="H45" s="86"/>
      <c r="I45" s="86"/>
      <c r="J45" s="86"/>
      <c r="K45" s="86"/>
      <c r="L45" s="86"/>
      <c r="M45" s="86"/>
      <c r="N45" s="86"/>
      <c r="O45" s="86"/>
      <c r="P45" s="86"/>
      <c r="Q45" s="86"/>
      <c r="R45" s="86"/>
      <c r="S45" s="86"/>
      <c r="T45" s="35"/>
    </row>
    <row r="46" spans="2:22" ht="21.6">
      <c r="B46" s="51" t="s">
        <v>174</v>
      </c>
      <c r="C46" s="52"/>
      <c r="D46" s="156" t="str">
        <f>'EDI Framework Criteria'!B17</f>
        <v>Transparency around Equality, Diversity and Inclusion practice</v>
      </c>
      <c r="E46" s="53"/>
      <c r="F46" s="53"/>
      <c r="G46" s="53"/>
      <c r="H46" s="53"/>
      <c r="I46" s="53"/>
      <c r="J46" s="53"/>
      <c r="K46" s="53"/>
      <c r="L46" s="53"/>
      <c r="M46" s="53"/>
      <c r="N46" s="53"/>
      <c r="O46" s="53"/>
      <c r="P46" s="53"/>
      <c r="Q46" s="53"/>
      <c r="R46" s="53"/>
      <c r="S46" s="53"/>
      <c r="T46" s="54"/>
    </row>
    <row r="47" spans="2:22" ht="15" customHeight="1">
      <c r="B47" s="55"/>
      <c r="C47" s="56"/>
      <c r="D47" s="56"/>
      <c r="E47" s="56"/>
      <c r="F47" s="56"/>
      <c r="G47" s="56"/>
      <c r="H47" s="56"/>
      <c r="I47" s="56"/>
      <c r="J47" s="56"/>
      <c r="K47" s="56"/>
      <c r="L47" s="56"/>
      <c r="M47" s="56"/>
      <c r="N47" s="56"/>
      <c r="O47" s="56"/>
      <c r="P47" s="56"/>
      <c r="Q47" s="56"/>
      <c r="R47" s="56"/>
      <c r="S47" s="56"/>
      <c r="T47" s="57"/>
    </row>
    <row r="48" spans="2:22" ht="50.4">
      <c r="B48" s="55"/>
      <c r="C48" s="56"/>
      <c r="D48" s="56"/>
      <c r="E48" s="56"/>
      <c r="F48" s="56"/>
      <c r="G48" s="56"/>
      <c r="H48" s="56"/>
      <c r="I48" s="58" t="s">
        <v>162</v>
      </c>
      <c r="J48" s="58" t="s">
        <v>163</v>
      </c>
      <c r="K48" s="59"/>
      <c r="L48" s="60" t="s">
        <v>508</v>
      </c>
      <c r="M48" s="56"/>
      <c r="N48" s="56"/>
      <c r="O48" s="56"/>
      <c r="P48" s="56"/>
      <c r="Q48" s="56"/>
      <c r="R48" s="56"/>
      <c r="S48" s="56"/>
      <c r="T48" s="57"/>
    </row>
    <row r="49" spans="2:22" ht="156.75" customHeight="1">
      <c r="B49" s="61" t="s">
        <v>166</v>
      </c>
      <c r="C49" s="62" t="str">
        <f>'EDI Framework Criteria'!C17</f>
        <v>1.E.4</v>
      </c>
      <c r="D49" s="224" t="str">
        <f>'EDI Framework Criteria'!D17</f>
        <v>We have committed to creating reports on our EDI data and practices. These will cover: 
- Scope of the activities, 
- Our audience, 
- Why we’re conducting analysis, 
- Limitations or risks of using this data, 
- Performance against our targets, 
- Recommendations for improvement. 
We may use different types of reporting for internal and external audiences.</v>
      </c>
      <c r="E49" s="225"/>
      <c r="F49" s="225"/>
      <c r="G49" s="225"/>
      <c r="H49" s="226"/>
      <c r="I49" s="63" t="s">
        <v>175</v>
      </c>
      <c r="J49" s="63"/>
      <c r="K49" s="47">
        <f>INDEX($U$3:$V$13,MATCH(I49,$U$3:$U$13,0),2)</f>
        <v>0</v>
      </c>
      <c r="L49" s="242"/>
      <c r="M49" s="242"/>
      <c r="N49" s="242"/>
      <c r="O49" s="242"/>
      <c r="P49" s="242"/>
      <c r="Q49" s="242"/>
      <c r="R49" s="242"/>
      <c r="S49" s="242"/>
      <c r="T49" s="243"/>
      <c r="V49" s="99">
        <f>IF(K49=0,V48,"")</f>
        <v>0</v>
      </c>
    </row>
    <row r="50" spans="2:22">
      <c r="B50" s="46"/>
      <c r="C50" s="47"/>
      <c r="D50" s="47"/>
      <c r="E50" s="47"/>
      <c r="F50" s="47"/>
      <c r="G50" s="47"/>
      <c r="H50" s="47"/>
      <c r="I50" s="47"/>
      <c r="J50" s="47"/>
      <c r="K50" s="47"/>
      <c r="L50" s="47"/>
      <c r="M50" s="47"/>
      <c r="N50" s="47"/>
      <c r="O50" s="47"/>
      <c r="P50" s="47"/>
      <c r="Q50" s="47"/>
      <c r="R50" s="47"/>
      <c r="S50" s="47"/>
      <c r="T50" s="48"/>
    </row>
    <row r="51" spans="2:22" ht="156.75" customHeight="1">
      <c r="B51" s="61" t="s">
        <v>167</v>
      </c>
      <c r="C51" s="62" t="str">
        <f>'EDI Framework Criteria'!E17</f>
        <v>2.E.4</v>
      </c>
      <c r="D51" s="224" t="str">
        <f>'EDI Framework Criteria'!F17</f>
        <v>We are starting to create reports on our EDI data and practices. These cover:
- Scope of the activities, 
- Our audience, 
- Why we’re conducting analysis, 
- Limitations or risks of using this data, 
- Performance against our targets, 
- Recommendations for improvement. 
We may use different types of reporting for internal and external audiences.</v>
      </c>
      <c r="E51" s="225"/>
      <c r="F51" s="225"/>
      <c r="G51" s="225"/>
      <c r="H51" s="226"/>
      <c r="I51" s="63" t="s">
        <v>176</v>
      </c>
      <c r="J51" s="63"/>
      <c r="K51" s="47">
        <f>INDEX($U$3:$V$13,MATCH(I51,$U$3:$U$13,0),2)</f>
        <v>0</v>
      </c>
      <c r="L51" s="242"/>
      <c r="M51" s="242"/>
      <c r="N51" s="242"/>
      <c r="O51" s="242"/>
      <c r="P51" s="242"/>
      <c r="Q51" s="242"/>
      <c r="R51" s="242"/>
      <c r="S51" s="242"/>
      <c r="T51" s="243"/>
    </row>
    <row r="52" spans="2:22">
      <c r="B52" s="46"/>
      <c r="C52" s="47"/>
      <c r="D52" s="47"/>
      <c r="E52" s="47"/>
      <c r="F52" s="47"/>
      <c r="G52" s="47"/>
      <c r="H52" s="47"/>
      <c r="I52" s="47"/>
      <c r="J52" s="47"/>
      <c r="K52" s="47"/>
      <c r="L52" s="47"/>
      <c r="M52" s="47"/>
      <c r="N52" s="47"/>
      <c r="O52" s="47"/>
      <c r="P52" s="47"/>
      <c r="Q52" s="47"/>
      <c r="R52" s="47"/>
      <c r="S52" s="47"/>
      <c r="T52" s="48"/>
    </row>
    <row r="53" spans="2:22" ht="180" customHeight="1" thickBot="1">
      <c r="B53" s="64" t="s">
        <v>168</v>
      </c>
      <c r="C53" s="65" t="str">
        <f>'EDI Framework Criteria'!G17</f>
        <v>3.E.4</v>
      </c>
      <c r="D53" s="221" t="str">
        <f>'EDI Framework Criteria'!H17</f>
        <v>We regularly create reports on our EDI data and practices. These cover:
- Scope of the activities, 
- Our audience, 
- Why we’re conducting analysis, 
- Limitations or risks of using this data, 
- Performance against our targets, 
- Recommendations for improvement. 
We may use different types of reporting for internal and external audiences.</v>
      </c>
      <c r="E53" s="222"/>
      <c r="F53" s="222"/>
      <c r="G53" s="222"/>
      <c r="H53" s="223"/>
      <c r="I53" s="66" t="s">
        <v>177</v>
      </c>
      <c r="J53" s="66"/>
      <c r="K53" s="67">
        <f>INDEX($U$3:$V$13,MATCH(I53,$U$3:$U$13,0),2)</f>
        <v>0</v>
      </c>
      <c r="L53" s="284"/>
      <c r="M53" s="284"/>
      <c r="N53" s="284"/>
      <c r="O53" s="284"/>
      <c r="P53" s="284"/>
      <c r="Q53" s="284"/>
      <c r="R53" s="284"/>
      <c r="S53" s="284"/>
      <c r="T53" s="285"/>
    </row>
    <row r="54" spans="2:22">
      <c r="B54" s="34"/>
      <c r="C54" s="86"/>
      <c r="D54" s="86"/>
      <c r="E54" s="86"/>
      <c r="F54" s="86"/>
      <c r="G54" s="86"/>
      <c r="H54" s="86"/>
      <c r="I54" s="86"/>
      <c r="J54" s="86"/>
      <c r="K54" s="86"/>
      <c r="L54" s="86"/>
      <c r="M54" s="86"/>
      <c r="N54" s="86"/>
      <c r="O54" s="86"/>
      <c r="P54" s="86"/>
      <c r="Q54" s="86"/>
      <c r="R54" s="86"/>
      <c r="S54" s="86"/>
      <c r="T54" s="35"/>
    </row>
    <row r="55" spans="2:22" ht="17.399999999999999" thickBot="1">
      <c r="B55" s="34"/>
      <c r="C55" s="86"/>
      <c r="D55" s="86"/>
      <c r="E55" s="86"/>
      <c r="F55" s="86"/>
      <c r="G55" s="86"/>
      <c r="H55" s="86"/>
      <c r="I55" s="86"/>
      <c r="J55" s="86"/>
      <c r="K55" s="86"/>
      <c r="L55" s="86"/>
      <c r="M55" s="86"/>
      <c r="N55" s="86"/>
      <c r="O55" s="86"/>
      <c r="P55" s="86"/>
      <c r="Q55" s="86"/>
      <c r="R55" s="86"/>
      <c r="S55" s="86"/>
      <c r="T55" s="35"/>
    </row>
    <row r="56" spans="2:22" ht="21.6">
      <c r="B56" s="51" t="s">
        <v>178</v>
      </c>
      <c r="C56" s="52"/>
      <c r="D56" s="156" t="str">
        <f>'EDI Framework Criteria'!B17</f>
        <v>Transparency around Equality, Diversity and Inclusion practice</v>
      </c>
      <c r="E56" s="53"/>
      <c r="F56" s="53"/>
      <c r="G56" s="53"/>
      <c r="H56" s="53"/>
      <c r="I56" s="53"/>
      <c r="J56" s="53"/>
      <c r="K56" s="53"/>
      <c r="L56" s="53"/>
      <c r="M56" s="53"/>
      <c r="N56" s="53"/>
      <c r="O56" s="53"/>
      <c r="P56" s="53"/>
      <c r="Q56" s="53"/>
      <c r="R56" s="53"/>
      <c r="S56" s="53"/>
      <c r="T56" s="54"/>
    </row>
    <row r="57" spans="2:22" ht="15" customHeight="1">
      <c r="B57" s="55"/>
      <c r="C57" s="56"/>
      <c r="D57" s="56"/>
      <c r="E57" s="56"/>
      <c r="F57" s="56"/>
      <c r="G57" s="56"/>
      <c r="H57" s="56"/>
      <c r="I57" s="56"/>
      <c r="J57" s="56"/>
      <c r="K57" s="56"/>
      <c r="L57" s="56"/>
      <c r="M57" s="56"/>
      <c r="N57" s="56"/>
      <c r="O57" s="56"/>
      <c r="P57" s="56"/>
      <c r="Q57" s="56"/>
      <c r="R57" s="56"/>
      <c r="S57" s="56"/>
      <c r="T57" s="57"/>
    </row>
    <row r="58" spans="2:22" ht="50.4">
      <c r="B58" s="55"/>
      <c r="C58" s="56"/>
      <c r="D58" s="56"/>
      <c r="E58" s="56"/>
      <c r="F58" s="56"/>
      <c r="G58" s="56"/>
      <c r="H58" s="56"/>
      <c r="I58" s="58" t="s">
        <v>162</v>
      </c>
      <c r="J58" s="58" t="s">
        <v>163</v>
      </c>
      <c r="K58" s="59"/>
      <c r="L58" s="60" t="s">
        <v>508</v>
      </c>
      <c r="M58" s="56"/>
      <c r="N58" s="56"/>
      <c r="O58" s="56"/>
      <c r="P58" s="56"/>
      <c r="Q58" s="56"/>
      <c r="R58" s="56"/>
      <c r="S58" s="56"/>
      <c r="T58" s="57"/>
    </row>
    <row r="59" spans="2:22" ht="90" customHeight="1">
      <c r="B59" s="61" t="s">
        <v>166</v>
      </c>
      <c r="C59" s="62" t="str">
        <f>'EDI Framework Criteria'!C18</f>
        <v>1.E.5</v>
      </c>
      <c r="D59" s="224" t="str">
        <f>'EDI Framework Criteria'!D18</f>
        <v>We have committed to recording the limitations and risks of our EDI data collection and analysis. This will include gaps, sources of potential bias, and how far we’ve involved stakeholders. We will identify where other sources of data are needed, and how they can be compared.</v>
      </c>
      <c r="E59" s="225"/>
      <c r="F59" s="225"/>
      <c r="G59" s="225"/>
      <c r="H59" s="226"/>
      <c r="I59" s="63" t="s">
        <v>175</v>
      </c>
      <c r="J59" s="63"/>
      <c r="K59" s="47">
        <f>INDEX($U$3:$V$13,MATCH(I59,$U$3:$U$13,0),2)</f>
        <v>0</v>
      </c>
      <c r="L59" s="242"/>
      <c r="M59" s="242"/>
      <c r="N59" s="242"/>
      <c r="O59" s="242"/>
      <c r="P59" s="242"/>
      <c r="Q59" s="242"/>
      <c r="R59" s="242"/>
      <c r="S59" s="242"/>
      <c r="T59" s="243"/>
      <c r="V59" s="99">
        <f>IF(K59=0,V58,"")</f>
        <v>0</v>
      </c>
    </row>
    <row r="60" spans="2:22">
      <c r="B60" s="46"/>
      <c r="C60" s="47"/>
      <c r="D60" s="47"/>
      <c r="E60" s="47"/>
      <c r="F60" s="47"/>
      <c r="G60" s="47"/>
      <c r="H60" s="47"/>
      <c r="I60" s="47"/>
      <c r="J60" s="47"/>
      <c r="K60" s="47"/>
      <c r="L60" s="47"/>
      <c r="M60" s="47"/>
      <c r="N60" s="47"/>
      <c r="O60" s="47"/>
      <c r="P60" s="47"/>
      <c r="Q60" s="47"/>
      <c r="R60" s="47"/>
      <c r="S60" s="47"/>
      <c r="T60" s="48"/>
    </row>
    <row r="61" spans="2:22" ht="90" customHeight="1">
      <c r="B61" s="61" t="s">
        <v>167</v>
      </c>
      <c r="C61" s="62" t="str">
        <f>'EDI Framework Criteria'!E18</f>
        <v>2.E.5</v>
      </c>
      <c r="D61" s="224" t="str">
        <f>'EDI Framework Criteria'!F18</f>
        <v>We have recorded the limitations and risks of our EDI data collection and analysis. We have included gaps, sources of potential bias, and how far we’ve involved stakeholders. We have taken steps to identify and address limitations or risks around this data.</v>
      </c>
      <c r="E61" s="225"/>
      <c r="F61" s="225"/>
      <c r="G61" s="225"/>
      <c r="H61" s="226"/>
      <c r="I61" s="63" t="s">
        <v>176</v>
      </c>
      <c r="J61" s="63"/>
      <c r="K61" s="47">
        <f>INDEX($U$3:$V$13,MATCH(I61,$U$3:$U$13,0),2)</f>
        <v>0</v>
      </c>
      <c r="L61" s="242"/>
      <c r="M61" s="242"/>
      <c r="N61" s="242"/>
      <c r="O61" s="242"/>
      <c r="P61" s="242"/>
      <c r="Q61" s="242"/>
      <c r="R61" s="242"/>
      <c r="S61" s="242"/>
      <c r="T61" s="243"/>
    </row>
    <row r="62" spans="2:22">
      <c r="B62" s="46"/>
      <c r="C62" s="47"/>
      <c r="D62" s="47"/>
      <c r="E62" s="47"/>
      <c r="F62" s="47"/>
      <c r="G62" s="47"/>
      <c r="H62" s="47"/>
      <c r="I62" s="47"/>
      <c r="J62" s="47"/>
      <c r="K62" s="47"/>
      <c r="L62" s="47"/>
      <c r="M62" s="47"/>
      <c r="N62" s="47"/>
      <c r="O62" s="47"/>
      <c r="P62" s="47"/>
      <c r="Q62" s="47"/>
      <c r="R62" s="47"/>
      <c r="S62" s="47"/>
      <c r="T62" s="48"/>
    </row>
    <row r="63" spans="2:22" ht="90" customHeight="1" thickBot="1">
      <c r="B63" s="64" t="s">
        <v>168</v>
      </c>
      <c r="C63" s="65" t="str">
        <f>'EDI Framework Criteria'!G18</f>
        <v>3.E.5</v>
      </c>
      <c r="D63" s="221" t="str">
        <f>'EDI Framework Criteria'!H18</f>
        <v>We are continually checking for limitations and risks to our EDI data collection and analysis. We make any necessary changes to our data collection and analysis processes.</v>
      </c>
      <c r="E63" s="222"/>
      <c r="F63" s="222"/>
      <c r="G63" s="222"/>
      <c r="H63" s="223"/>
      <c r="I63" s="66" t="s">
        <v>177</v>
      </c>
      <c r="J63" s="66"/>
      <c r="K63" s="67">
        <f>INDEX($U$3:$V$13,MATCH(I63,$U$3:$U$13,0),2)</f>
        <v>0</v>
      </c>
      <c r="L63" s="284"/>
      <c r="M63" s="284"/>
      <c r="N63" s="284"/>
      <c r="O63" s="284"/>
      <c r="P63" s="284"/>
      <c r="Q63" s="284"/>
      <c r="R63" s="284"/>
      <c r="S63" s="284"/>
      <c r="T63" s="285"/>
    </row>
    <row r="64" spans="2:22">
      <c r="B64" s="34"/>
      <c r="C64" s="86"/>
      <c r="D64" s="86"/>
      <c r="E64" s="86"/>
      <c r="F64" s="86"/>
      <c r="G64" s="86"/>
      <c r="H64" s="86"/>
      <c r="I64" s="86"/>
      <c r="J64" s="86"/>
      <c r="K64" s="86"/>
      <c r="L64" s="86"/>
      <c r="M64" s="86"/>
      <c r="N64" s="86"/>
      <c r="O64" s="86"/>
      <c r="P64" s="86"/>
      <c r="Q64" s="86"/>
      <c r="R64" s="86"/>
      <c r="S64" s="86"/>
      <c r="T64" s="35"/>
    </row>
    <row r="65" spans="2:22" ht="17.399999999999999" thickBot="1">
      <c r="B65" s="34"/>
      <c r="C65" s="86"/>
      <c r="D65" s="86"/>
      <c r="E65" s="86"/>
      <c r="F65" s="86"/>
      <c r="G65" s="86"/>
      <c r="H65" s="86"/>
      <c r="I65" s="86"/>
      <c r="J65" s="86"/>
      <c r="K65" s="86"/>
      <c r="L65" s="86"/>
      <c r="M65" s="86"/>
      <c r="N65" s="86"/>
      <c r="O65" s="86"/>
      <c r="P65" s="86"/>
      <c r="Q65" s="86"/>
      <c r="R65" s="86"/>
      <c r="S65" s="86"/>
      <c r="T65" s="35"/>
    </row>
    <row r="66" spans="2:22" ht="21.6">
      <c r="B66" s="51" t="s">
        <v>221</v>
      </c>
      <c r="C66" s="52"/>
      <c r="D66" s="156" t="str">
        <f>'EDI Framework Criteria'!B19</f>
        <v>Measuring inclusion</v>
      </c>
      <c r="E66" s="53"/>
      <c r="F66" s="53"/>
      <c r="G66" s="53"/>
      <c r="H66" s="53"/>
      <c r="I66" s="53"/>
      <c r="J66" s="53"/>
      <c r="K66" s="53"/>
      <c r="L66" s="53"/>
      <c r="M66" s="53"/>
      <c r="N66" s="53"/>
      <c r="O66" s="53"/>
      <c r="P66" s="53"/>
      <c r="Q66" s="53"/>
      <c r="R66" s="53"/>
      <c r="S66" s="53"/>
      <c r="T66" s="54"/>
    </row>
    <row r="67" spans="2:22" ht="15" customHeight="1">
      <c r="B67" s="55"/>
      <c r="C67" s="56"/>
      <c r="D67" s="56"/>
      <c r="E67" s="56"/>
      <c r="F67" s="56"/>
      <c r="G67" s="56"/>
      <c r="H67" s="56"/>
      <c r="I67" s="56"/>
      <c r="J67" s="56"/>
      <c r="K67" s="56"/>
      <c r="L67" s="56"/>
      <c r="M67" s="56"/>
      <c r="N67" s="56"/>
      <c r="O67" s="56"/>
      <c r="P67" s="56"/>
      <c r="Q67" s="56"/>
      <c r="R67" s="56"/>
      <c r="S67" s="56"/>
      <c r="T67" s="57"/>
    </row>
    <row r="68" spans="2:22" ht="50.4">
      <c r="B68" s="55"/>
      <c r="C68" s="56"/>
      <c r="D68" s="56"/>
      <c r="E68" s="56"/>
      <c r="F68" s="56"/>
      <c r="G68" s="56"/>
      <c r="H68" s="56"/>
      <c r="I68" s="58" t="s">
        <v>162</v>
      </c>
      <c r="J68" s="58" t="s">
        <v>163</v>
      </c>
      <c r="K68" s="59"/>
      <c r="L68" s="60" t="s">
        <v>508</v>
      </c>
      <c r="M68" s="56"/>
      <c r="N68" s="56"/>
      <c r="O68" s="56"/>
      <c r="P68" s="56"/>
      <c r="Q68" s="56"/>
      <c r="R68" s="56"/>
      <c r="S68" s="56"/>
      <c r="T68" s="57"/>
    </row>
    <row r="69" spans="2:22" ht="90" customHeight="1">
      <c r="B69" s="61" t="s">
        <v>166</v>
      </c>
      <c r="C69" s="62" t="str">
        <f>'EDI Framework Criteria'!C19</f>
        <v>1.E.6</v>
      </c>
      <c r="D69" s="224" t="str">
        <f>'EDI Framework Criteria'!D19</f>
        <v>We have committed to setting up a strong system for collecting and recording information on inclusion. We will collect information on inclusion. We will break that data down by relevant EDI characteristics, going beyond the 9 protected characteristics to include other areas like class or neurodivergence.</v>
      </c>
      <c r="E69" s="225"/>
      <c r="F69" s="225"/>
      <c r="G69" s="225"/>
      <c r="H69" s="226"/>
      <c r="I69" s="63" t="s">
        <v>175</v>
      </c>
      <c r="J69" s="63"/>
      <c r="K69" s="47">
        <f>INDEX($U$3:$V$13,MATCH(I69,$U$3:$U$13,0),2)</f>
        <v>0</v>
      </c>
      <c r="L69" s="242"/>
      <c r="M69" s="242"/>
      <c r="N69" s="242"/>
      <c r="O69" s="242"/>
      <c r="P69" s="242"/>
      <c r="Q69" s="242"/>
      <c r="R69" s="242"/>
      <c r="S69" s="242"/>
      <c r="T69" s="243"/>
      <c r="V69" s="99">
        <f>IF(K69=0,V68,"")</f>
        <v>0</v>
      </c>
    </row>
    <row r="70" spans="2:22">
      <c r="B70" s="46"/>
      <c r="C70" s="47"/>
      <c r="D70" s="47"/>
      <c r="E70" s="47"/>
      <c r="F70" s="47"/>
      <c r="G70" s="47"/>
      <c r="H70" s="47"/>
      <c r="I70" s="47"/>
      <c r="J70" s="47"/>
      <c r="K70" s="47"/>
      <c r="L70" s="47"/>
      <c r="M70" s="47"/>
      <c r="N70" s="47"/>
      <c r="O70" s="47"/>
      <c r="P70" s="47"/>
      <c r="Q70" s="47"/>
      <c r="R70" s="47"/>
      <c r="S70" s="47"/>
      <c r="T70" s="48"/>
    </row>
    <row r="71" spans="2:22" ht="90" customHeight="1">
      <c r="B71" s="61" t="s">
        <v>167</v>
      </c>
      <c r="C71" s="62" t="str">
        <f>'EDI Framework Criteria'!E19</f>
        <v>2.E.6</v>
      </c>
      <c r="D71" s="224" t="str">
        <f>'EDI Framework Criteria'!F19</f>
        <v>A system for collecting and recording information on inclusion has been established. We are starting to collect information on inclusion. We are starting to break that data down by relevant EDI characteristics, going beyond the 9 protected characteristics to include other areas like class or neurodivergence.</v>
      </c>
      <c r="E71" s="225"/>
      <c r="F71" s="225"/>
      <c r="G71" s="225"/>
      <c r="H71" s="226"/>
      <c r="I71" s="63" t="s">
        <v>176</v>
      </c>
      <c r="J71" s="63"/>
      <c r="K71" s="47">
        <f>INDEX($U$3:$V$13,MATCH(I71,$U$3:$U$13,0),2)</f>
        <v>0</v>
      </c>
      <c r="L71" s="242"/>
      <c r="M71" s="242"/>
      <c r="N71" s="242"/>
      <c r="O71" s="242"/>
      <c r="P71" s="242"/>
      <c r="Q71" s="242"/>
      <c r="R71" s="242"/>
      <c r="S71" s="242"/>
      <c r="T71" s="243"/>
    </row>
    <row r="72" spans="2:22">
      <c r="B72" s="46"/>
      <c r="C72" s="47"/>
      <c r="D72" s="47"/>
      <c r="E72" s="47"/>
      <c r="F72" s="47"/>
      <c r="G72" s="47"/>
      <c r="H72" s="47"/>
      <c r="I72" s="47"/>
      <c r="J72" s="47"/>
      <c r="K72" s="47"/>
      <c r="L72" s="47"/>
      <c r="M72" s="47"/>
      <c r="N72" s="47"/>
      <c r="O72" s="47"/>
      <c r="P72" s="47"/>
      <c r="Q72" s="47"/>
      <c r="R72" s="47"/>
      <c r="S72" s="47"/>
      <c r="T72" s="48"/>
    </row>
    <row r="73" spans="2:22" ht="90" customHeight="1" thickBot="1">
      <c r="B73" s="64" t="s">
        <v>168</v>
      </c>
      <c r="C73" s="65" t="str">
        <f>'EDI Framework Criteria'!G19</f>
        <v>3.E.6</v>
      </c>
      <c r="D73" s="221" t="str">
        <f>'EDI Framework Criteria'!H19</f>
        <v xml:space="preserve">Our system for collecting and recording information on inclusion is in place. We collect information on inclusion, and break that data down by relevant EDI characteristics, going beyond the 9 protected characteristics to include other areas like class or neurodivergence. Not all groups have the same needs, so we make changes to our systems to make them more just and equitable. </v>
      </c>
      <c r="E73" s="222"/>
      <c r="F73" s="222"/>
      <c r="G73" s="222"/>
      <c r="H73" s="223"/>
      <c r="I73" s="66" t="s">
        <v>177</v>
      </c>
      <c r="J73" s="66"/>
      <c r="K73" s="67">
        <f>INDEX($U$3:$V$13,MATCH(I73,$U$3:$U$13,0),2)</f>
        <v>0</v>
      </c>
      <c r="L73" s="284"/>
      <c r="M73" s="284"/>
      <c r="N73" s="284"/>
      <c r="O73" s="284"/>
      <c r="P73" s="284"/>
      <c r="Q73" s="284"/>
      <c r="R73" s="284"/>
      <c r="S73" s="284"/>
      <c r="T73" s="285"/>
    </row>
    <row r="74" spans="2:22">
      <c r="B74" s="34"/>
      <c r="C74" s="86"/>
      <c r="D74" s="86"/>
      <c r="E74" s="86"/>
      <c r="F74" s="86"/>
      <c r="G74" s="86"/>
      <c r="H74" s="86"/>
      <c r="I74" s="86"/>
      <c r="J74" s="86"/>
      <c r="K74" s="86"/>
      <c r="L74" s="86"/>
      <c r="M74" s="86"/>
      <c r="N74" s="86"/>
      <c r="O74" s="86"/>
      <c r="P74" s="86"/>
      <c r="Q74" s="86"/>
      <c r="R74" s="86"/>
      <c r="S74" s="86"/>
      <c r="T74" s="35"/>
    </row>
    <row r="75" spans="2:22">
      <c r="B75" s="34"/>
      <c r="C75" s="86"/>
      <c r="D75" s="86"/>
      <c r="E75" s="86"/>
      <c r="F75" s="86"/>
      <c r="G75" s="86"/>
      <c r="H75" s="86"/>
      <c r="I75" s="86"/>
      <c r="J75" s="86"/>
      <c r="K75" s="86"/>
      <c r="L75" s="86"/>
      <c r="M75" s="86"/>
      <c r="N75" s="86"/>
      <c r="O75" s="86"/>
      <c r="P75" s="86"/>
      <c r="Q75" s="86"/>
      <c r="R75" s="86"/>
      <c r="S75" s="86"/>
      <c r="T75" s="35"/>
    </row>
    <row r="76" spans="2:22" ht="17.399999999999999" thickBot="1">
      <c r="B76" s="34"/>
      <c r="C76" s="86"/>
      <c r="D76" s="86"/>
      <c r="E76" s="86"/>
      <c r="F76" s="86"/>
      <c r="G76" s="86"/>
      <c r="H76" s="86"/>
      <c r="I76" s="86"/>
      <c r="J76" s="86"/>
      <c r="K76" s="86"/>
      <c r="L76" s="86"/>
      <c r="M76" s="86"/>
      <c r="N76" s="86"/>
      <c r="O76" s="86"/>
      <c r="P76" s="86"/>
      <c r="Q76" s="86"/>
      <c r="R76" s="86"/>
      <c r="S76" s="86"/>
      <c r="T76" s="35"/>
    </row>
    <row r="77" spans="2:22" ht="31.5" customHeight="1">
      <c r="B77" s="87" t="s">
        <v>194</v>
      </c>
      <c r="C77" s="88"/>
      <c r="D77" s="88" t="s">
        <v>180</v>
      </c>
      <c r="E77" s="89"/>
      <c r="F77" s="89"/>
      <c r="G77" s="89"/>
      <c r="H77" s="89"/>
      <c r="I77" s="89"/>
      <c r="J77" s="89"/>
      <c r="K77" s="89"/>
      <c r="L77" s="89"/>
      <c r="M77" s="89"/>
      <c r="N77" s="89"/>
      <c r="O77" s="89"/>
      <c r="P77" s="89"/>
      <c r="Q77" s="89"/>
      <c r="R77" s="89"/>
      <c r="S77" s="89"/>
      <c r="T77" s="90"/>
    </row>
    <row r="78" spans="2:22" ht="25.2" thickBot="1">
      <c r="B78" s="91"/>
      <c r="C78" s="92"/>
      <c r="D78" s="92"/>
      <c r="E78" s="92"/>
      <c r="F78" s="92"/>
      <c r="G78" s="92"/>
      <c r="H78" s="92"/>
      <c r="I78" s="92"/>
      <c r="J78" s="92"/>
      <c r="K78" s="92"/>
      <c r="L78" s="92"/>
      <c r="M78" s="92"/>
      <c r="N78" s="92"/>
      <c r="O78" s="92"/>
      <c r="P78" s="92"/>
      <c r="Q78" s="92"/>
      <c r="R78" s="92"/>
      <c r="S78" s="92"/>
      <c r="T78" s="93"/>
    </row>
    <row r="79" spans="2:22" ht="17.399999999999999" thickBot="1">
      <c r="B79" s="97"/>
      <c r="C79" s="98"/>
      <c r="D79" s="98"/>
      <c r="E79" s="98"/>
      <c r="F79" s="98"/>
      <c r="G79" s="98"/>
      <c r="H79" s="98"/>
      <c r="I79" s="98"/>
      <c r="J79" s="98"/>
      <c r="K79" s="98"/>
      <c r="L79" s="98"/>
      <c r="M79" s="98"/>
      <c r="N79" s="98"/>
      <c r="O79" s="98"/>
      <c r="P79" s="98"/>
      <c r="Q79" s="98"/>
      <c r="R79" s="98"/>
      <c r="S79" s="98"/>
      <c r="T79" s="36"/>
    </row>
    <row r="80" spans="2:22"/>
    <row r="81"/>
    <row r="82"/>
  </sheetData>
  <mergeCells count="45">
    <mergeCell ref="D71:H71"/>
    <mergeCell ref="L71:T71"/>
    <mergeCell ref="D73:H73"/>
    <mergeCell ref="L73:T73"/>
    <mergeCell ref="D61:H61"/>
    <mergeCell ref="L61:T61"/>
    <mergeCell ref="D63:H63"/>
    <mergeCell ref="L63:T63"/>
    <mergeCell ref="D69:H69"/>
    <mergeCell ref="L69:T69"/>
    <mergeCell ref="D39:H39"/>
    <mergeCell ref="L39:T43"/>
    <mergeCell ref="L59:T59"/>
    <mergeCell ref="D41:H41"/>
    <mergeCell ref="D43:H43"/>
    <mergeCell ref="D49:H49"/>
    <mergeCell ref="L49:T49"/>
    <mergeCell ref="D51:H51"/>
    <mergeCell ref="L51:T51"/>
    <mergeCell ref="D53:H53"/>
    <mergeCell ref="L53:T53"/>
    <mergeCell ref="D59:H59"/>
    <mergeCell ref="D29:H29"/>
    <mergeCell ref="O12:T12"/>
    <mergeCell ref="D23:H23"/>
    <mergeCell ref="L19:T23"/>
    <mergeCell ref="L29:T33"/>
    <mergeCell ref="D31:H31"/>
    <mergeCell ref="D33:H33"/>
    <mergeCell ref="V1:Y1"/>
    <mergeCell ref="B3:T3"/>
    <mergeCell ref="D19:H19"/>
    <mergeCell ref="D21:H21"/>
    <mergeCell ref="O9:T9"/>
    <mergeCell ref="O10:T10"/>
    <mergeCell ref="B10:C10"/>
    <mergeCell ref="B9:C9"/>
    <mergeCell ref="D10:N10"/>
    <mergeCell ref="D9:N9"/>
    <mergeCell ref="B11:C11"/>
    <mergeCell ref="D11:N11"/>
    <mergeCell ref="O11:T11"/>
    <mergeCell ref="B12:C12"/>
    <mergeCell ref="D12:N12"/>
    <mergeCell ref="B6:J7"/>
  </mergeCells>
  <conditionalFormatting sqref="U5">
    <cfRule type="cellIs" dxfId="264" priority="55" operator="equal">
      <formula>$U$4</formula>
    </cfRule>
    <cfRule type="cellIs" dxfId="263" priority="56" operator="equal">
      <formula>$U$4</formula>
    </cfRule>
  </conditionalFormatting>
  <conditionalFormatting sqref="I19">
    <cfRule type="cellIs" dxfId="262" priority="46" operator="equal">
      <formula>$U$5</formula>
    </cfRule>
    <cfRule type="cellIs" dxfId="261" priority="47" operator="equal">
      <formula>$U$3</formula>
    </cfRule>
    <cfRule type="cellIs" dxfId="260" priority="48" operator="equal">
      <formula>$U$4</formula>
    </cfRule>
  </conditionalFormatting>
  <conditionalFormatting sqref="I21">
    <cfRule type="cellIs" dxfId="259" priority="49" operator="equal">
      <formula>$U$9</formula>
    </cfRule>
    <cfRule type="cellIs" dxfId="258" priority="50" operator="equal">
      <formula>$U$7</formula>
    </cfRule>
    <cfRule type="cellIs" dxfId="257" priority="51" operator="equal">
      <formula>$U$8</formula>
    </cfRule>
  </conditionalFormatting>
  <conditionalFormatting sqref="I23">
    <cfRule type="cellIs" dxfId="256" priority="52" operator="equal">
      <formula>$U$13</formula>
    </cfRule>
    <cfRule type="cellIs" dxfId="255" priority="53" operator="equal">
      <formula>$U$11</formula>
    </cfRule>
    <cfRule type="cellIs" dxfId="254" priority="54" operator="equal">
      <formula>$U$12</formula>
    </cfRule>
  </conditionalFormatting>
  <conditionalFormatting sqref="I29">
    <cfRule type="cellIs" dxfId="253" priority="37" operator="equal">
      <formula>$U$5</formula>
    </cfRule>
    <cfRule type="cellIs" dxfId="252" priority="38" operator="equal">
      <formula>$U$3</formula>
    </cfRule>
    <cfRule type="cellIs" dxfId="251" priority="39" operator="equal">
      <formula>$U$4</formula>
    </cfRule>
  </conditionalFormatting>
  <conditionalFormatting sqref="I31">
    <cfRule type="cellIs" dxfId="250" priority="40" operator="equal">
      <formula>$U$9</formula>
    </cfRule>
    <cfRule type="cellIs" dxfId="249" priority="41" operator="equal">
      <formula>$U$7</formula>
    </cfRule>
    <cfRule type="cellIs" dxfId="248" priority="42" operator="equal">
      <formula>$U$8</formula>
    </cfRule>
  </conditionalFormatting>
  <conditionalFormatting sqref="I33">
    <cfRule type="cellIs" dxfId="247" priority="43" operator="equal">
      <formula>$U$13</formula>
    </cfRule>
    <cfRule type="cellIs" dxfId="246" priority="44" operator="equal">
      <formula>$U$11</formula>
    </cfRule>
    <cfRule type="cellIs" dxfId="245" priority="45" operator="equal">
      <formula>$U$12</formula>
    </cfRule>
  </conditionalFormatting>
  <conditionalFormatting sqref="I39">
    <cfRule type="cellIs" dxfId="244" priority="28" operator="equal">
      <formula>$U$5</formula>
    </cfRule>
    <cfRule type="cellIs" dxfId="243" priority="29" operator="equal">
      <formula>$U$3</formula>
    </cfRule>
    <cfRule type="cellIs" dxfId="242" priority="30" operator="equal">
      <formula>$U$4</formula>
    </cfRule>
  </conditionalFormatting>
  <conditionalFormatting sqref="I41">
    <cfRule type="cellIs" dxfId="241" priority="31" operator="equal">
      <formula>$U$9</formula>
    </cfRule>
    <cfRule type="cellIs" dxfId="240" priority="32" operator="equal">
      <formula>$U$7</formula>
    </cfRule>
    <cfRule type="cellIs" dxfId="239" priority="33" operator="equal">
      <formula>$U$8</formula>
    </cfRule>
  </conditionalFormatting>
  <conditionalFormatting sqref="I43">
    <cfRule type="cellIs" dxfId="238" priority="34" operator="equal">
      <formula>$U$13</formula>
    </cfRule>
    <cfRule type="cellIs" dxfId="237" priority="35" operator="equal">
      <formula>$U$11</formula>
    </cfRule>
    <cfRule type="cellIs" dxfId="236" priority="36" operator="equal">
      <formula>$U$12</formula>
    </cfRule>
  </conditionalFormatting>
  <conditionalFormatting sqref="I49">
    <cfRule type="cellIs" dxfId="235" priority="19" operator="equal">
      <formula>$U$5</formula>
    </cfRule>
    <cfRule type="cellIs" dxfId="234" priority="20" operator="equal">
      <formula>$U$3</formula>
    </cfRule>
    <cfRule type="cellIs" dxfId="233" priority="21" operator="equal">
      <formula>$U$4</formula>
    </cfRule>
  </conditionalFormatting>
  <conditionalFormatting sqref="I51">
    <cfRule type="cellIs" dxfId="232" priority="22" operator="equal">
      <formula>$U$9</formula>
    </cfRule>
    <cfRule type="cellIs" dxfId="231" priority="23" operator="equal">
      <formula>$U$7</formula>
    </cfRule>
    <cfRule type="cellIs" dxfId="230" priority="24" operator="equal">
      <formula>$U$8</formula>
    </cfRule>
  </conditionalFormatting>
  <conditionalFormatting sqref="I53">
    <cfRule type="cellIs" dxfId="229" priority="25" operator="equal">
      <formula>$U$13</formula>
    </cfRule>
    <cfRule type="cellIs" dxfId="228" priority="26" operator="equal">
      <formula>$U$11</formula>
    </cfRule>
    <cfRule type="cellIs" dxfId="227" priority="27" operator="equal">
      <formula>$U$12</formula>
    </cfRule>
  </conditionalFormatting>
  <conditionalFormatting sqref="I59">
    <cfRule type="cellIs" dxfId="226" priority="10" operator="equal">
      <formula>$U$5</formula>
    </cfRule>
    <cfRule type="cellIs" dxfId="225" priority="11" operator="equal">
      <formula>$U$3</formula>
    </cfRule>
    <cfRule type="cellIs" dxfId="224" priority="12" operator="equal">
      <formula>$U$4</formula>
    </cfRule>
  </conditionalFormatting>
  <conditionalFormatting sqref="I61">
    <cfRule type="cellIs" dxfId="223" priority="13" operator="equal">
      <formula>$U$9</formula>
    </cfRule>
    <cfRule type="cellIs" dxfId="222" priority="14" operator="equal">
      <formula>$U$7</formula>
    </cfRule>
    <cfRule type="cellIs" dxfId="221" priority="15" operator="equal">
      <formula>$U$8</formula>
    </cfRule>
  </conditionalFormatting>
  <conditionalFormatting sqref="I63">
    <cfRule type="cellIs" dxfId="220" priority="16" operator="equal">
      <formula>$U$13</formula>
    </cfRule>
    <cfRule type="cellIs" dxfId="219" priority="17" operator="equal">
      <formula>$U$11</formula>
    </cfRule>
    <cfRule type="cellIs" dxfId="218" priority="18" operator="equal">
      <formula>$U$12</formula>
    </cfRule>
  </conditionalFormatting>
  <conditionalFormatting sqref="I69">
    <cfRule type="cellIs" dxfId="217" priority="1" operator="equal">
      <formula>$U$5</formula>
    </cfRule>
    <cfRule type="cellIs" dxfId="216" priority="2" operator="equal">
      <formula>$U$3</formula>
    </cfRule>
    <cfRule type="cellIs" dxfId="215" priority="3" operator="equal">
      <formula>$U$4</formula>
    </cfRule>
  </conditionalFormatting>
  <conditionalFormatting sqref="I71">
    <cfRule type="cellIs" dxfId="214" priority="4" operator="equal">
      <formula>$U$9</formula>
    </cfRule>
    <cfRule type="cellIs" dxfId="213" priority="5" operator="equal">
      <formula>$U$7</formula>
    </cfRule>
    <cfRule type="cellIs" dxfId="212" priority="6" operator="equal">
      <formula>$U$8</formula>
    </cfRule>
  </conditionalFormatting>
  <conditionalFormatting sqref="I73">
    <cfRule type="cellIs" dxfId="211" priority="7" operator="equal">
      <formula>$U$13</formula>
    </cfRule>
    <cfRule type="cellIs" dxfId="210" priority="8" operator="equal">
      <formula>$U$11</formula>
    </cfRule>
    <cfRule type="cellIs" dxfId="209" priority="9" operator="equal">
      <formula>$U$12</formula>
    </cfRule>
  </conditionalFormatting>
  <dataValidations count="3">
    <dataValidation type="list" allowBlank="1" showInputMessage="1" showErrorMessage="1" sqref="I59 I69 I49 I39 I29 I19" xr:uid="{3CD3E3F4-EF75-48D7-8A27-049629FD965A}">
      <formula1>$U$3:$U$5</formula1>
    </dataValidation>
    <dataValidation type="list" allowBlank="1" showInputMessage="1" showErrorMessage="1" sqref="I61 I71 I51 I41 I31 I21" xr:uid="{D8CACA43-A8E2-41A1-8A8B-2EC7AA0B1D0C}">
      <formula1>$U$7:$U$9</formula1>
    </dataValidation>
    <dataValidation type="list" allowBlank="1" showInputMessage="1" showErrorMessage="1" sqref="I63 I73 I53 I43 I33 I23" xr:uid="{D161D974-47F7-4D45-95A3-09EADF7B542A}">
      <formula1>$U$11:$U$13</formula1>
    </dataValidation>
  </dataValidations>
  <hyperlinks>
    <hyperlink ref="B77" location="'Section 4'!A1" display="Previous section" xr:uid="{08E198C3-6641-4136-8E83-4A82FF2D85BF}"/>
    <hyperlink ref="D77" location="'Section 6'!A1" display="Next section" xr:uid="{4F1D0BDE-5509-458F-9CCB-551728E81FDC}"/>
    <hyperlink ref="O10" r:id="rId1" xr:uid="{719CDE51-2037-46F0-B9C3-0A64331ABD3B}"/>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80A48E-056C-4776-9E39-5947104C04A2}">
  <sheetPr codeName="Sheet8"/>
  <dimension ref="A1:Y62"/>
  <sheetViews>
    <sheetView zoomScale="68" zoomScaleNormal="10" workbookViewId="0">
      <selection activeCell="B14" sqref="B14"/>
    </sheetView>
  </sheetViews>
  <sheetFormatPr defaultColWidth="0" defaultRowHeight="16.8" zeroHeight="1" outlineLevelRow="1"/>
  <cols>
    <col min="1" max="1" width="3.33203125" style="32" customWidth="1"/>
    <col min="2" max="2" width="19.5" style="32" customWidth="1"/>
    <col min="3" max="3" width="19.5" style="32" hidden="1" customWidth="1"/>
    <col min="4" max="4" width="27.08203125" style="32" customWidth="1"/>
    <col min="5" max="8" width="9.08203125" style="32" customWidth="1"/>
    <col min="9" max="9" width="26.83203125" style="32" customWidth="1"/>
    <col min="10" max="10" width="52.9140625" style="32" customWidth="1"/>
    <col min="11" max="11" width="12.83203125" style="32" hidden="1" customWidth="1"/>
    <col min="12" max="20" width="9.08203125" style="32" customWidth="1"/>
    <col min="21" max="21" width="21.9140625" style="99" customWidth="1"/>
    <col min="22" max="22" width="9.08203125" style="99" hidden="1" customWidth="1"/>
    <col min="23" max="16384" width="9.08203125" style="32" hidden="1"/>
  </cols>
  <sheetData>
    <row r="1" spans="2:25" ht="17.399999999999999" thickBot="1">
      <c r="V1" s="263"/>
      <c r="W1" s="263"/>
      <c r="X1" s="263"/>
      <c r="Y1" s="263"/>
    </row>
    <row r="2" spans="2:25" s="40" customFormat="1" ht="34.200000000000003" thickBot="1">
      <c r="B2" s="41" t="s">
        <v>222</v>
      </c>
      <c r="C2" s="42"/>
      <c r="D2" s="43"/>
      <c r="E2" s="43"/>
      <c r="F2" s="43"/>
      <c r="G2" s="43"/>
      <c r="H2" s="43"/>
      <c r="I2" s="43"/>
      <c r="J2" s="43"/>
      <c r="K2" s="43"/>
      <c r="L2" s="43"/>
      <c r="M2" s="43"/>
      <c r="N2" s="43"/>
      <c r="O2" s="43"/>
      <c r="P2" s="43"/>
      <c r="Q2" s="43"/>
      <c r="R2" s="43"/>
      <c r="S2" s="43"/>
      <c r="T2" s="166"/>
      <c r="U2" s="120"/>
      <c r="V2" s="160"/>
      <c r="W2" s="160"/>
      <c r="X2" s="160"/>
      <c r="Y2" s="160"/>
    </row>
    <row r="3" spans="2:25" s="40" customFormat="1" ht="48.6" customHeight="1" thickBot="1">
      <c r="B3" s="218" t="str">
        <f>'EDI Framework Criteria'!A20</f>
        <v>Stakeholder engagement: Understanding approach towards previously omitted groups in service provision and activities</v>
      </c>
      <c r="C3" s="219"/>
      <c r="D3" s="219"/>
      <c r="E3" s="219"/>
      <c r="F3" s="219"/>
      <c r="G3" s="219"/>
      <c r="H3" s="219"/>
      <c r="I3" s="219"/>
      <c r="J3" s="219"/>
      <c r="K3" s="219"/>
      <c r="L3" s="219"/>
      <c r="M3" s="219"/>
      <c r="N3" s="219"/>
      <c r="O3" s="219"/>
      <c r="P3" s="219"/>
      <c r="Q3" s="219"/>
      <c r="R3" s="219"/>
      <c r="S3" s="219"/>
      <c r="T3" s="220"/>
      <c r="U3" s="120" t="s">
        <v>172</v>
      </c>
      <c r="V3" s="121">
        <v>2</v>
      </c>
    </row>
    <row r="4" spans="2:25">
      <c r="B4" s="34"/>
      <c r="C4" s="86"/>
      <c r="D4" s="86"/>
      <c r="E4" s="86"/>
      <c r="F4" s="86"/>
      <c r="G4" s="86"/>
      <c r="H4" s="86"/>
      <c r="I4" s="86"/>
      <c r="J4" s="86"/>
      <c r="K4" s="86"/>
      <c r="L4" s="86"/>
      <c r="M4" s="86"/>
      <c r="N4" s="86"/>
      <c r="O4" s="86"/>
      <c r="P4" s="86"/>
      <c r="Q4" s="86"/>
      <c r="R4" s="86"/>
      <c r="S4" s="86"/>
      <c r="T4" s="35"/>
      <c r="U4" s="99" t="s">
        <v>144</v>
      </c>
      <c r="V4" s="122">
        <v>1</v>
      </c>
    </row>
    <row r="5" spans="2:25" ht="21.6">
      <c r="B5" s="94" t="s">
        <v>145</v>
      </c>
      <c r="C5" s="95"/>
      <c r="D5" s="86"/>
      <c r="E5" s="86"/>
      <c r="F5" s="86"/>
      <c r="G5" s="86"/>
      <c r="H5" s="86"/>
      <c r="I5" s="86"/>
      <c r="J5" s="86"/>
      <c r="K5" s="86"/>
      <c r="L5" s="86"/>
      <c r="M5" s="86"/>
      <c r="N5" s="86"/>
      <c r="O5" s="86"/>
      <c r="P5" s="86"/>
      <c r="Q5" s="86"/>
      <c r="R5" s="86"/>
      <c r="S5" s="86"/>
      <c r="T5" s="35"/>
      <c r="U5" s="99" t="s">
        <v>175</v>
      </c>
      <c r="V5" s="122">
        <v>0</v>
      </c>
    </row>
    <row r="6" spans="2:25">
      <c r="B6" s="228" t="s">
        <v>487</v>
      </c>
      <c r="C6" s="229"/>
      <c r="D6" s="229"/>
      <c r="E6" s="229"/>
      <c r="F6" s="229"/>
      <c r="G6" s="229"/>
      <c r="H6" s="229"/>
      <c r="I6" s="229"/>
      <c r="J6" s="229"/>
      <c r="K6" s="86"/>
      <c r="L6" s="86"/>
      <c r="M6" s="86"/>
      <c r="N6" s="86"/>
      <c r="O6" s="86"/>
      <c r="P6" s="86"/>
      <c r="Q6" s="86"/>
      <c r="R6" s="86"/>
      <c r="S6" s="86"/>
      <c r="T6" s="35"/>
      <c r="V6" s="122"/>
    </row>
    <row r="7" spans="2:25">
      <c r="B7" s="228"/>
      <c r="C7" s="229"/>
      <c r="D7" s="229"/>
      <c r="E7" s="229"/>
      <c r="F7" s="229"/>
      <c r="G7" s="229"/>
      <c r="H7" s="229"/>
      <c r="I7" s="229"/>
      <c r="J7" s="229"/>
      <c r="K7" s="86"/>
      <c r="L7" s="86"/>
      <c r="M7" s="86"/>
      <c r="N7" s="86"/>
      <c r="O7" s="86"/>
      <c r="P7" s="86"/>
      <c r="Q7" s="86"/>
      <c r="R7" s="86"/>
      <c r="S7" s="86"/>
      <c r="T7" s="35"/>
      <c r="U7" s="99" t="s">
        <v>173</v>
      </c>
      <c r="V7" s="122">
        <v>2</v>
      </c>
    </row>
    <row r="8" spans="2:25" s="40" customFormat="1" ht="21.6">
      <c r="B8" s="49" t="s">
        <v>321</v>
      </c>
      <c r="C8" s="50"/>
      <c r="D8" s="47"/>
      <c r="E8" s="47"/>
      <c r="F8" s="47"/>
      <c r="G8" s="47"/>
      <c r="H8" s="47"/>
      <c r="I8" s="47"/>
      <c r="J8" s="47"/>
      <c r="K8" s="47"/>
      <c r="L8" s="47"/>
      <c r="M8" s="47"/>
      <c r="N8" s="47"/>
      <c r="O8" s="47"/>
      <c r="P8" s="47"/>
      <c r="Q8" s="47"/>
      <c r="R8" s="47"/>
      <c r="S8" s="47"/>
      <c r="T8" s="48"/>
      <c r="U8" s="120" t="s">
        <v>144</v>
      </c>
      <c r="V8" s="121">
        <v>1</v>
      </c>
    </row>
    <row r="9" spans="2:25" s="40" customFormat="1" ht="18.75" hidden="1" customHeight="1" outlineLevel="1">
      <c r="B9" s="232" t="s">
        <v>146</v>
      </c>
      <c r="C9" s="233"/>
      <c r="D9" s="234" t="s">
        <v>147</v>
      </c>
      <c r="E9" s="235"/>
      <c r="F9" s="235"/>
      <c r="G9" s="235"/>
      <c r="H9" s="235"/>
      <c r="I9" s="235"/>
      <c r="J9" s="235"/>
      <c r="K9" s="235"/>
      <c r="L9" s="235"/>
      <c r="M9" s="235"/>
      <c r="N9" s="233"/>
      <c r="O9" s="240" t="s">
        <v>148</v>
      </c>
      <c r="P9" s="240"/>
      <c r="Q9" s="240"/>
      <c r="R9" s="240"/>
      <c r="S9" s="240"/>
      <c r="T9" s="241"/>
      <c r="U9" s="120" t="s">
        <v>176</v>
      </c>
      <c r="V9" s="121">
        <v>0</v>
      </c>
    </row>
    <row r="10" spans="2:25" s="40" customFormat="1" ht="96" hidden="1" customHeight="1" outlineLevel="1">
      <c r="B10" s="227" t="s">
        <v>223</v>
      </c>
      <c r="C10" s="226"/>
      <c r="D10" s="224" t="s">
        <v>224</v>
      </c>
      <c r="E10" s="238"/>
      <c r="F10" s="238"/>
      <c r="G10" s="238"/>
      <c r="H10" s="238"/>
      <c r="I10" s="238"/>
      <c r="J10" s="238"/>
      <c r="K10" s="238"/>
      <c r="L10" s="238"/>
      <c r="M10" s="238"/>
      <c r="N10" s="239"/>
      <c r="O10" s="236" t="s">
        <v>225</v>
      </c>
      <c r="P10" s="242"/>
      <c r="Q10" s="242"/>
      <c r="R10" s="242"/>
      <c r="S10" s="242"/>
      <c r="T10" s="243"/>
      <c r="U10" s="120"/>
      <c r="V10" s="121"/>
    </row>
    <row r="11" spans="2:25" s="40" customFormat="1" ht="65.25" hidden="1" customHeight="1" outlineLevel="1">
      <c r="B11" s="227" t="s">
        <v>226</v>
      </c>
      <c r="C11" s="226"/>
      <c r="D11" s="224" t="s">
        <v>227</v>
      </c>
      <c r="E11" s="225"/>
      <c r="F11" s="225"/>
      <c r="G11" s="225"/>
      <c r="H11" s="225"/>
      <c r="I11" s="225"/>
      <c r="J11" s="225"/>
      <c r="K11" s="225"/>
      <c r="L11" s="225"/>
      <c r="M11" s="225"/>
      <c r="N11" s="226"/>
      <c r="O11" s="236" t="s">
        <v>228</v>
      </c>
      <c r="P11" s="236"/>
      <c r="Q11" s="236"/>
      <c r="R11" s="236"/>
      <c r="S11" s="236"/>
      <c r="T11" s="237"/>
      <c r="U11" s="120" t="s">
        <v>169</v>
      </c>
      <c r="V11" s="121">
        <v>2</v>
      </c>
    </row>
    <row r="12" spans="2:25" s="40" customFormat="1" ht="49.5" hidden="1" customHeight="1" outlineLevel="1">
      <c r="B12" s="227" t="s">
        <v>229</v>
      </c>
      <c r="C12" s="226"/>
      <c r="D12" s="224" t="s">
        <v>230</v>
      </c>
      <c r="E12" s="225"/>
      <c r="F12" s="225"/>
      <c r="G12" s="225"/>
      <c r="H12" s="225"/>
      <c r="I12" s="225"/>
      <c r="J12" s="225"/>
      <c r="K12" s="225"/>
      <c r="L12" s="225"/>
      <c r="M12" s="225"/>
      <c r="N12" s="226"/>
      <c r="O12" s="236" t="s">
        <v>231</v>
      </c>
      <c r="P12" s="236"/>
      <c r="Q12" s="236"/>
      <c r="R12" s="236"/>
      <c r="S12" s="236"/>
      <c r="T12" s="237"/>
      <c r="U12" s="120" t="s">
        <v>144</v>
      </c>
      <c r="V12" s="121">
        <v>1</v>
      </c>
    </row>
    <row r="13" spans="2:25" collapsed="1">
      <c r="B13" s="34"/>
      <c r="C13" s="86"/>
      <c r="D13" s="86"/>
      <c r="E13" s="86"/>
      <c r="F13" s="86"/>
      <c r="G13" s="86"/>
      <c r="H13" s="86"/>
      <c r="I13" s="86"/>
      <c r="J13" s="86"/>
      <c r="K13" s="86"/>
      <c r="L13" s="86"/>
      <c r="M13" s="86"/>
      <c r="N13" s="86"/>
      <c r="O13" s="86"/>
      <c r="P13" s="86"/>
      <c r="Q13" s="86"/>
      <c r="R13" s="86"/>
      <c r="S13" s="86"/>
      <c r="T13" s="35"/>
      <c r="U13" s="99" t="s">
        <v>177</v>
      </c>
      <c r="V13" s="122">
        <v>0</v>
      </c>
    </row>
    <row r="14" spans="2:25">
      <c r="B14" s="34"/>
      <c r="C14" s="86"/>
      <c r="D14" s="86"/>
      <c r="E14" s="86"/>
      <c r="F14" s="86"/>
      <c r="G14" s="86"/>
      <c r="H14" s="86"/>
      <c r="I14" s="86"/>
      <c r="J14" s="86"/>
      <c r="K14" s="86"/>
      <c r="L14" s="86"/>
      <c r="M14" s="86"/>
      <c r="N14" s="86"/>
      <c r="O14" s="86"/>
      <c r="P14" s="86"/>
      <c r="Q14" s="86"/>
      <c r="R14" s="86"/>
      <c r="S14" s="86"/>
      <c r="T14" s="35"/>
    </row>
    <row r="15" spans="2:25" ht="17.399999999999999" thickBot="1">
      <c r="B15" s="34"/>
      <c r="C15" s="86"/>
      <c r="D15" s="86"/>
      <c r="E15" s="86"/>
      <c r="F15" s="86"/>
      <c r="G15" s="86"/>
      <c r="H15" s="86"/>
      <c r="I15" s="86"/>
      <c r="J15" s="86"/>
      <c r="K15" s="86"/>
      <c r="L15" s="86"/>
      <c r="M15" s="86"/>
      <c r="N15" s="86"/>
      <c r="O15" s="86"/>
      <c r="P15" s="86"/>
      <c r="Q15" s="86"/>
      <c r="R15" s="86"/>
      <c r="S15" s="86"/>
      <c r="T15" s="35"/>
    </row>
    <row r="16" spans="2:25" ht="21.6">
      <c r="B16" s="51" t="s">
        <v>161</v>
      </c>
      <c r="C16" s="52"/>
      <c r="D16" s="156" t="str">
        <f>'EDI Framework Criteria'!B20</f>
        <v>Stakeholder mapping</v>
      </c>
      <c r="E16" s="53"/>
      <c r="F16" s="53"/>
      <c r="G16" s="53"/>
      <c r="H16" s="53"/>
      <c r="I16" s="53"/>
      <c r="J16" s="53"/>
      <c r="K16" s="53"/>
      <c r="L16" s="53"/>
      <c r="M16" s="53"/>
      <c r="N16" s="53"/>
      <c r="O16" s="53"/>
      <c r="P16" s="53"/>
      <c r="Q16" s="53"/>
      <c r="R16" s="53"/>
      <c r="S16" s="53"/>
      <c r="T16" s="54"/>
    </row>
    <row r="17" spans="2:22">
      <c r="B17" s="55"/>
      <c r="C17" s="56"/>
      <c r="D17" s="56"/>
      <c r="E17" s="56"/>
      <c r="F17" s="56"/>
      <c r="G17" s="56"/>
      <c r="H17" s="56"/>
      <c r="I17" s="56"/>
      <c r="J17" s="56"/>
      <c r="K17" s="56"/>
      <c r="L17" s="56"/>
      <c r="M17" s="56"/>
      <c r="N17" s="56"/>
      <c r="O17" s="56"/>
      <c r="P17" s="56"/>
      <c r="Q17" s="56"/>
      <c r="R17" s="56"/>
      <c r="S17" s="56"/>
      <c r="T17" s="57"/>
    </row>
    <row r="18" spans="2:22" ht="50.4">
      <c r="B18" s="55"/>
      <c r="C18" s="56"/>
      <c r="D18" s="56"/>
      <c r="E18" s="56"/>
      <c r="F18" s="56"/>
      <c r="G18" s="56"/>
      <c r="H18" s="56"/>
      <c r="I18" s="58" t="s">
        <v>162</v>
      </c>
      <c r="J18" s="58" t="s">
        <v>163</v>
      </c>
      <c r="K18" s="59" t="s">
        <v>164</v>
      </c>
      <c r="L18" s="60" t="s">
        <v>508</v>
      </c>
      <c r="M18" s="56"/>
      <c r="N18" s="56"/>
      <c r="O18" s="56"/>
      <c r="P18" s="56"/>
      <c r="Q18" s="56"/>
      <c r="R18" s="56"/>
      <c r="S18" s="56"/>
      <c r="T18" s="57"/>
      <c r="V18" s="99" t="s">
        <v>165</v>
      </c>
    </row>
    <row r="19" spans="2:22" ht="90" customHeight="1">
      <c r="B19" s="61" t="s">
        <v>166</v>
      </c>
      <c r="C19" s="62" t="str">
        <f>'EDI Framework Criteria'!C20</f>
        <v>1.F.1</v>
      </c>
      <c r="D19" s="224" t="str">
        <f>'EDI Framework Criteria'!D20</f>
        <v>We have committed to mapping out our stakeholder groups (and identify sub groups) for the activities that we plan to include in our EDI practice.</v>
      </c>
      <c r="E19" s="225"/>
      <c r="F19" s="225"/>
      <c r="G19" s="225"/>
      <c r="H19" s="226"/>
      <c r="I19" s="63" t="s">
        <v>175</v>
      </c>
      <c r="J19" s="63"/>
      <c r="K19" s="47">
        <f>INDEX($U$3:$V$13,MATCH(I19,$U$3:$U$13,0),2)</f>
        <v>0</v>
      </c>
      <c r="L19" s="264"/>
      <c r="M19" s="264"/>
      <c r="N19" s="264"/>
      <c r="O19" s="264"/>
      <c r="P19" s="264"/>
      <c r="Q19" s="264"/>
      <c r="R19" s="264"/>
      <c r="S19" s="264"/>
      <c r="T19" s="265"/>
      <c r="V19" s="99" t="str">
        <f>IF(K19=0,V18,"")</f>
        <v>Non commitment</v>
      </c>
    </row>
    <row r="20" spans="2:22">
      <c r="B20" s="46"/>
      <c r="C20" s="47"/>
      <c r="D20" s="47"/>
      <c r="E20" s="47"/>
      <c r="F20" s="47"/>
      <c r="G20" s="47"/>
      <c r="H20" s="47"/>
      <c r="I20" s="47"/>
      <c r="J20" s="47"/>
      <c r="K20" s="47"/>
      <c r="L20" s="264"/>
      <c r="M20" s="264"/>
      <c r="N20" s="264"/>
      <c r="O20" s="264"/>
      <c r="P20" s="264"/>
      <c r="Q20" s="264"/>
      <c r="R20" s="264"/>
      <c r="S20" s="264"/>
      <c r="T20" s="265"/>
    </row>
    <row r="21" spans="2:22" ht="90" customHeight="1">
      <c r="B21" s="61" t="s">
        <v>167</v>
      </c>
      <c r="C21" s="62" t="str">
        <f>'EDI Framework Criteria'!E20</f>
        <v>2.F.1</v>
      </c>
      <c r="D21" s="224" t="str">
        <f>'EDI Framework Criteria'!F20</f>
        <v>We have mapped out the stakeholder groups (and subgroups) affected by our EDI practice.</v>
      </c>
      <c r="E21" s="225"/>
      <c r="F21" s="225"/>
      <c r="G21" s="225"/>
      <c r="H21" s="226"/>
      <c r="I21" s="63" t="s">
        <v>176</v>
      </c>
      <c r="J21" s="63"/>
      <c r="K21" s="47">
        <f>INDEX($U$3:$V$13,MATCH(I21,$U$3:$U$13,0),2)</f>
        <v>0</v>
      </c>
      <c r="L21" s="264"/>
      <c r="M21" s="264"/>
      <c r="N21" s="264"/>
      <c r="O21" s="264"/>
      <c r="P21" s="264"/>
      <c r="Q21" s="264"/>
      <c r="R21" s="264"/>
      <c r="S21" s="264"/>
      <c r="T21" s="265"/>
    </row>
    <row r="22" spans="2:22">
      <c r="B22" s="46"/>
      <c r="C22" s="47"/>
      <c r="D22" s="47"/>
      <c r="E22" s="47"/>
      <c r="F22" s="47"/>
      <c r="G22" s="47"/>
      <c r="H22" s="47"/>
      <c r="I22" s="47"/>
      <c r="J22" s="47"/>
      <c r="K22" s="47"/>
      <c r="L22" s="264"/>
      <c r="M22" s="264"/>
      <c r="N22" s="264"/>
      <c r="O22" s="264"/>
      <c r="P22" s="264"/>
      <c r="Q22" s="264"/>
      <c r="R22" s="264"/>
      <c r="S22" s="264"/>
      <c r="T22" s="265"/>
    </row>
    <row r="23" spans="2:22" ht="90" customHeight="1" thickBot="1">
      <c r="B23" s="64" t="s">
        <v>168</v>
      </c>
      <c r="C23" s="65" t="str">
        <f>'EDI Framework Criteria'!G20</f>
        <v>3.F.1</v>
      </c>
      <c r="D23" s="221" t="str">
        <f>'EDI Framework Criteria'!H20</f>
        <v>We have mapped out the stakeholder groups (and subgroups) affected by our EDI practice. We review and revise this as needed.</v>
      </c>
      <c r="E23" s="222"/>
      <c r="F23" s="222"/>
      <c r="G23" s="222"/>
      <c r="H23" s="223"/>
      <c r="I23" s="66" t="s">
        <v>177</v>
      </c>
      <c r="J23" s="66"/>
      <c r="K23" s="67">
        <f>INDEX($U$3:$V$13,MATCH(I23,$U$3:$U$13,0),2)</f>
        <v>0</v>
      </c>
      <c r="L23" s="266"/>
      <c r="M23" s="266"/>
      <c r="N23" s="266"/>
      <c r="O23" s="266"/>
      <c r="P23" s="266"/>
      <c r="Q23" s="266"/>
      <c r="R23" s="266"/>
      <c r="S23" s="266"/>
      <c r="T23" s="267"/>
    </row>
    <row r="24" spans="2:22">
      <c r="B24" s="34"/>
      <c r="C24" s="86"/>
      <c r="D24" s="86"/>
      <c r="E24" s="86"/>
      <c r="F24" s="86"/>
      <c r="G24" s="86"/>
      <c r="H24" s="86"/>
      <c r="I24" s="86"/>
      <c r="J24" s="86"/>
      <c r="K24" s="86"/>
      <c r="L24" s="86"/>
      <c r="M24" s="86"/>
      <c r="N24" s="86"/>
      <c r="O24" s="86"/>
      <c r="P24" s="86"/>
      <c r="Q24" s="86"/>
      <c r="R24" s="86"/>
      <c r="S24" s="86"/>
      <c r="T24" s="35"/>
    </row>
    <row r="25" spans="2:22" ht="17.399999999999999" thickBot="1">
      <c r="B25" s="34"/>
      <c r="C25" s="86"/>
      <c r="D25" s="86"/>
      <c r="E25" s="86"/>
      <c r="F25" s="86"/>
      <c r="G25" s="86"/>
      <c r="H25" s="86"/>
      <c r="I25" s="86"/>
      <c r="J25" s="86"/>
      <c r="K25" s="86"/>
      <c r="L25" s="86"/>
      <c r="M25" s="86"/>
      <c r="N25" s="86"/>
      <c r="O25" s="86"/>
      <c r="P25" s="86"/>
      <c r="Q25" s="86"/>
      <c r="R25" s="86"/>
      <c r="S25" s="86"/>
      <c r="T25" s="35"/>
    </row>
    <row r="26" spans="2:22" ht="21.6">
      <c r="B26" s="51" t="s">
        <v>170</v>
      </c>
      <c r="C26" s="52"/>
      <c r="D26" s="156" t="str">
        <f>'EDI Framework Criteria'!B21</f>
        <v>Stakeholder engagement</v>
      </c>
      <c r="E26" s="53"/>
      <c r="F26" s="53"/>
      <c r="G26" s="53"/>
      <c r="H26" s="53"/>
      <c r="I26" s="53"/>
      <c r="J26" s="53"/>
      <c r="K26" s="53"/>
      <c r="L26" s="53"/>
      <c r="M26" s="53"/>
      <c r="N26" s="53"/>
      <c r="O26" s="53"/>
      <c r="P26" s="53"/>
      <c r="Q26" s="53"/>
      <c r="R26" s="53"/>
      <c r="S26" s="53"/>
      <c r="T26" s="54"/>
    </row>
    <row r="27" spans="2:22">
      <c r="B27" s="55"/>
      <c r="C27" s="56"/>
      <c r="D27" s="56"/>
      <c r="E27" s="56"/>
      <c r="F27" s="56"/>
      <c r="G27" s="56"/>
      <c r="H27" s="56"/>
      <c r="I27" s="56"/>
      <c r="J27" s="56"/>
      <c r="K27" s="56"/>
      <c r="L27" s="56"/>
      <c r="M27" s="56"/>
      <c r="N27" s="56"/>
      <c r="O27" s="56"/>
      <c r="P27" s="56"/>
      <c r="Q27" s="56"/>
      <c r="R27" s="56"/>
      <c r="S27" s="56"/>
      <c r="T27" s="57"/>
    </row>
    <row r="28" spans="2:22" ht="50.4">
      <c r="B28" s="55"/>
      <c r="C28" s="56"/>
      <c r="D28" s="56"/>
      <c r="E28" s="56"/>
      <c r="F28" s="56"/>
      <c r="G28" s="56"/>
      <c r="H28" s="56"/>
      <c r="I28" s="58" t="s">
        <v>162</v>
      </c>
      <c r="J28" s="58" t="s">
        <v>163</v>
      </c>
      <c r="K28" s="59"/>
      <c r="L28" s="60" t="s">
        <v>508</v>
      </c>
      <c r="M28" s="56"/>
      <c r="N28" s="56"/>
      <c r="O28" s="56"/>
      <c r="P28" s="56"/>
      <c r="Q28" s="56"/>
      <c r="R28" s="56"/>
      <c r="S28" s="56"/>
      <c r="T28" s="57"/>
    </row>
    <row r="29" spans="2:22" ht="90" customHeight="1">
      <c r="B29" s="61" t="s">
        <v>166</v>
      </c>
      <c r="C29" s="62" t="str">
        <f>'EDI Framework Criteria'!C21</f>
        <v>1.F.2</v>
      </c>
      <c r="D29" s="224" t="str">
        <f>'EDI Framework Criteria'!D21</f>
        <v>We have committed to creating a plan to engage with people from all stakeholder groups.</v>
      </c>
      <c r="E29" s="225"/>
      <c r="F29" s="225"/>
      <c r="G29" s="225"/>
      <c r="H29" s="226"/>
      <c r="I29" s="63" t="s">
        <v>175</v>
      </c>
      <c r="J29" s="63"/>
      <c r="K29" s="47">
        <f>INDEX($U$3:$V$13,MATCH(I29,$U$3:$U$13,0),2)</f>
        <v>0</v>
      </c>
      <c r="L29" s="264"/>
      <c r="M29" s="264"/>
      <c r="N29" s="264"/>
      <c r="O29" s="264"/>
      <c r="P29" s="264"/>
      <c r="Q29" s="264"/>
      <c r="R29" s="264"/>
      <c r="S29" s="264"/>
      <c r="T29" s="265"/>
      <c r="V29" s="99">
        <f>IF(K29=0,V28,"")</f>
        <v>0</v>
      </c>
    </row>
    <row r="30" spans="2:22">
      <c r="B30" s="46"/>
      <c r="C30" s="47"/>
      <c r="D30" s="47"/>
      <c r="E30" s="47"/>
      <c r="F30" s="47"/>
      <c r="G30" s="47"/>
      <c r="H30" s="47"/>
      <c r="I30" s="47"/>
      <c r="J30" s="47"/>
      <c r="K30" s="47"/>
      <c r="L30" s="264"/>
      <c r="M30" s="264"/>
      <c r="N30" s="264"/>
      <c r="O30" s="264"/>
      <c r="P30" s="264"/>
      <c r="Q30" s="264"/>
      <c r="R30" s="264"/>
      <c r="S30" s="264"/>
      <c r="T30" s="265"/>
    </row>
    <row r="31" spans="2:22" ht="90" customHeight="1">
      <c r="B31" s="61" t="s">
        <v>167</v>
      </c>
      <c r="C31" s="62" t="str">
        <f>'EDI Framework Criteria'!E21</f>
        <v>2.F.2</v>
      </c>
      <c r="D31" s="224" t="str">
        <f>'EDI Framework Criteria'!F21</f>
        <v>We have created a plan to engage with people from all stakeholder groups. We are collecting feedback from stakeholders on how effective this plan is in practice.</v>
      </c>
      <c r="E31" s="225"/>
      <c r="F31" s="225"/>
      <c r="G31" s="225"/>
      <c r="H31" s="226"/>
      <c r="I31" s="63" t="s">
        <v>176</v>
      </c>
      <c r="J31" s="63"/>
      <c r="K31" s="47">
        <f>INDEX($U$3:$V$13,MATCH(I31,$U$3:$U$13,0),2)</f>
        <v>0</v>
      </c>
      <c r="L31" s="264"/>
      <c r="M31" s="264"/>
      <c r="N31" s="264"/>
      <c r="O31" s="264"/>
      <c r="P31" s="264"/>
      <c r="Q31" s="264"/>
      <c r="R31" s="264"/>
      <c r="S31" s="264"/>
      <c r="T31" s="265"/>
    </row>
    <row r="32" spans="2:22">
      <c r="B32" s="46"/>
      <c r="C32" s="47"/>
      <c r="D32" s="47"/>
      <c r="E32" s="47"/>
      <c r="F32" s="47"/>
      <c r="G32" s="47"/>
      <c r="H32" s="47"/>
      <c r="I32" s="47"/>
      <c r="J32" s="47"/>
      <c r="K32" s="47"/>
      <c r="L32" s="264"/>
      <c r="M32" s="264"/>
      <c r="N32" s="264"/>
      <c r="O32" s="264"/>
      <c r="P32" s="264"/>
      <c r="Q32" s="264"/>
      <c r="R32" s="264"/>
      <c r="S32" s="264"/>
      <c r="T32" s="265"/>
    </row>
    <row r="33" spans="2:22" ht="90" customHeight="1" thickBot="1">
      <c r="B33" s="64" t="s">
        <v>168</v>
      </c>
      <c r="C33" s="65" t="str">
        <f>'EDI Framework Criteria'!G21</f>
        <v>3.F.2</v>
      </c>
      <c r="D33" s="221" t="str">
        <f>'EDI Framework Criteria'!H21</f>
        <v>A plan to engage with people from all stakeholder groups has been developed. We are collecting feedback from stakeholders on how effective this plan is in practice.</v>
      </c>
      <c r="E33" s="222"/>
      <c r="F33" s="222"/>
      <c r="G33" s="222"/>
      <c r="H33" s="223"/>
      <c r="I33" s="66" t="s">
        <v>177</v>
      </c>
      <c r="J33" s="66"/>
      <c r="K33" s="67">
        <f>INDEX($U$3:$V$13,MATCH(I33,$U$3:$U$13,0),2)</f>
        <v>0</v>
      </c>
      <c r="L33" s="266"/>
      <c r="M33" s="266"/>
      <c r="N33" s="266"/>
      <c r="O33" s="266"/>
      <c r="P33" s="266"/>
      <c r="Q33" s="266"/>
      <c r="R33" s="266"/>
      <c r="S33" s="266"/>
      <c r="T33" s="267"/>
    </row>
    <row r="34" spans="2:22">
      <c r="B34" s="34"/>
      <c r="C34" s="86"/>
      <c r="D34" s="86"/>
      <c r="E34" s="86"/>
      <c r="F34" s="86"/>
      <c r="G34" s="86"/>
      <c r="H34" s="86"/>
      <c r="I34" s="86"/>
      <c r="J34" s="86"/>
      <c r="K34" s="86"/>
      <c r="L34" s="86"/>
      <c r="M34" s="86"/>
      <c r="N34" s="86"/>
      <c r="O34" s="86"/>
      <c r="P34" s="86"/>
      <c r="Q34" s="86"/>
      <c r="R34" s="86"/>
      <c r="S34" s="86"/>
      <c r="T34" s="35"/>
    </row>
    <row r="35" spans="2:22" ht="17.399999999999999" thickBot="1">
      <c r="B35" s="34"/>
      <c r="C35" s="86"/>
      <c r="D35" s="86"/>
      <c r="E35" s="86"/>
      <c r="F35" s="86"/>
      <c r="G35" s="86"/>
      <c r="H35" s="86"/>
      <c r="I35" s="86"/>
      <c r="J35" s="86"/>
      <c r="K35" s="86"/>
      <c r="L35" s="86"/>
      <c r="M35" s="86"/>
      <c r="N35" s="86"/>
      <c r="O35" s="86"/>
      <c r="P35" s="86"/>
      <c r="Q35" s="86"/>
      <c r="R35" s="86"/>
      <c r="S35" s="86"/>
      <c r="T35" s="35"/>
    </row>
    <row r="36" spans="2:22" ht="21.6">
      <c r="B36" s="51" t="s">
        <v>171</v>
      </c>
      <c r="C36" s="52"/>
      <c r="D36" s="156" t="str">
        <f>'EDI Framework Criteria'!B22</f>
        <v>Defining outcomes</v>
      </c>
      <c r="E36" s="53"/>
      <c r="F36" s="53"/>
      <c r="G36" s="53"/>
      <c r="H36" s="53"/>
      <c r="I36" s="53"/>
      <c r="J36" s="53"/>
      <c r="K36" s="53"/>
      <c r="L36" s="53"/>
      <c r="M36" s="53"/>
      <c r="N36" s="53"/>
      <c r="O36" s="53"/>
      <c r="P36" s="53"/>
      <c r="Q36" s="53"/>
      <c r="R36" s="53"/>
      <c r="S36" s="53"/>
      <c r="T36" s="54"/>
    </row>
    <row r="37" spans="2:22">
      <c r="B37" s="55"/>
      <c r="C37" s="56"/>
      <c r="D37" s="56"/>
      <c r="E37" s="56"/>
      <c r="F37" s="56"/>
      <c r="G37" s="56"/>
      <c r="H37" s="56"/>
      <c r="I37" s="56"/>
      <c r="J37" s="56"/>
      <c r="K37" s="56"/>
      <c r="L37" s="56"/>
      <c r="M37" s="56"/>
      <c r="N37" s="56"/>
      <c r="O37" s="56"/>
      <c r="P37" s="56"/>
      <c r="Q37" s="56"/>
      <c r="R37" s="56"/>
      <c r="S37" s="56"/>
      <c r="T37" s="57"/>
    </row>
    <row r="38" spans="2:22" ht="50.4">
      <c r="B38" s="55"/>
      <c r="C38" s="56"/>
      <c r="D38" s="56"/>
      <c r="E38" s="56"/>
      <c r="F38" s="56"/>
      <c r="G38" s="56"/>
      <c r="H38" s="56"/>
      <c r="I38" s="58" t="s">
        <v>162</v>
      </c>
      <c r="J38" s="58" t="s">
        <v>163</v>
      </c>
      <c r="K38" s="59"/>
      <c r="L38" s="60" t="s">
        <v>508</v>
      </c>
      <c r="M38" s="56"/>
      <c r="N38" s="56"/>
      <c r="O38" s="56"/>
      <c r="P38" s="56"/>
      <c r="Q38" s="56"/>
      <c r="R38" s="56"/>
      <c r="S38" s="56"/>
      <c r="T38" s="57"/>
    </row>
    <row r="39" spans="2:22" ht="118.5" customHeight="1">
      <c r="B39" s="61" t="s">
        <v>166</v>
      </c>
      <c r="C39" s="62" t="str">
        <f>'EDI Framework Criteria'!C22</f>
        <v>1.F.3</v>
      </c>
      <c r="D39" s="224" t="str">
        <f>'EDI Framework Criteria'!D22</f>
        <v>We plan to involve stakeholder groups to  understand the outcomes they are experiencing, and why. We will use open-ended questions to identify outcomes which are positive, negative, intended, and unintended.</v>
      </c>
      <c r="E39" s="225"/>
      <c r="F39" s="225"/>
      <c r="G39" s="225"/>
      <c r="H39" s="226"/>
      <c r="I39" s="63" t="s">
        <v>175</v>
      </c>
      <c r="J39" s="63"/>
      <c r="K39" s="47">
        <f>INDEX($U$3:$V$13,MATCH(I39,$U$3:$U$13,0),2)</f>
        <v>0</v>
      </c>
      <c r="L39" s="264"/>
      <c r="M39" s="264"/>
      <c r="N39" s="264"/>
      <c r="O39" s="264"/>
      <c r="P39" s="264"/>
      <c r="Q39" s="264"/>
      <c r="R39" s="264"/>
      <c r="S39" s="264"/>
      <c r="T39" s="265"/>
      <c r="V39" s="99">
        <f>IF(K39=0,V38,"")</f>
        <v>0</v>
      </c>
    </row>
    <row r="40" spans="2:22">
      <c r="B40" s="46"/>
      <c r="C40" s="47"/>
      <c r="D40" s="47"/>
      <c r="E40" s="47"/>
      <c r="F40" s="47"/>
      <c r="G40" s="47"/>
      <c r="H40" s="47"/>
      <c r="I40" s="47"/>
      <c r="J40" s="47"/>
      <c r="K40" s="47"/>
      <c r="L40" s="264"/>
      <c r="M40" s="264"/>
      <c r="N40" s="264"/>
      <c r="O40" s="264"/>
      <c r="P40" s="264"/>
      <c r="Q40" s="264"/>
      <c r="R40" s="264"/>
      <c r="S40" s="264"/>
      <c r="T40" s="265"/>
    </row>
    <row r="41" spans="2:22" ht="98.25" customHeight="1">
      <c r="B41" s="61" t="s">
        <v>167</v>
      </c>
      <c r="C41" s="62" t="str">
        <f>'EDI Framework Criteria'!E22</f>
        <v>2.F.3</v>
      </c>
      <c r="D41" s="224" t="str">
        <f>'EDI Framework Criteria'!F22</f>
        <v>We have involved stakeholder groups to  understand the outcomes they are experiencing, and why. We have used use open-ended questions to identify outcomes which are positive, negative, intended, and unintended.</v>
      </c>
      <c r="E41" s="225"/>
      <c r="F41" s="225"/>
      <c r="G41" s="225"/>
      <c r="H41" s="226"/>
      <c r="I41" s="63" t="s">
        <v>176</v>
      </c>
      <c r="J41" s="63"/>
      <c r="K41" s="47">
        <f>INDEX($U$3:$V$13,MATCH(I41,$U$3:$U$13,0),2)</f>
        <v>0</v>
      </c>
      <c r="L41" s="264"/>
      <c r="M41" s="264"/>
      <c r="N41" s="264"/>
      <c r="O41" s="264"/>
      <c r="P41" s="264"/>
      <c r="Q41" s="264"/>
      <c r="R41" s="264"/>
      <c r="S41" s="264"/>
      <c r="T41" s="265"/>
    </row>
    <row r="42" spans="2:22">
      <c r="B42" s="46"/>
      <c r="C42" s="47"/>
      <c r="D42" s="47"/>
      <c r="E42" s="47"/>
      <c r="F42" s="47"/>
      <c r="G42" s="47"/>
      <c r="H42" s="47"/>
      <c r="I42" s="47"/>
      <c r="J42" s="47"/>
      <c r="K42" s="47"/>
      <c r="L42" s="264"/>
      <c r="M42" s="264"/>
      <c r="N42" s="264"/>
      <c r="O42" s="264"/>
      <c r="P42" s="264"/>
      <c r="Q42" s="264"/>
      <c r="R42" s="264"/>
      <c r="S42" s="264"/>
      <c r="T42" s="265"/>
    </row>
    <row r="43" spans="2:22" ht="90" customHeight="1" thickBot="1">
      <c r="B43" s="64" t="s">
        <v>168</v>
      </c>
      <c r="C43" s="65" t="str">
        <f>'EDI Framework Criteria'!G22</f>
        <v>3.F.3</v>
      </c>
      <c r="D43" s="221" t="str">
        <f>'EDI Framework Criteria'!H22</f>
        <v>Outcomes are reviewed and revised based on ongoing stakeholder engagement.</v>
      </c>
      <c r="E43" s="222"/>
      <c r="F43" s="222"/>
      <c r="G43" s="222"/>
      <c r="H43" s="223"/>
      <c r="I43" s="66" t="s">
        <v>177</v>
      </c>
      <c r="J43" s="66"/>
      <c r="K43" s="67">
        <f>INDEX($U$3:$V$13,MATCH(I43,$U$3:$U$13,0),2)</f>
        <v>0</v>
      </c>
      <c r="L43" s="266"/>
      <c r="M43" s="266"/>
      <c r="N43" s="266"/>
      <c r="O43" s="266"/>
      <c r="P43" s="266"/>
      <c r="Q43" s="266"/>
      <c r="R43" s="266"/>
      <c r="S43" s="266"/>
      <c r="T43" s="267"/>
    </row>
    <row r="44" spans="2:22">
      <c r="B44" s="34"/>
      <c r="C44" s="86"/>
      <c r="D44" s="86"/>
      <c r="E44" s="86"/>
      <c r="F44" s="86"/>
      <c r="G44" s="86"/>
      <c r="H44" s="86"/>
      <c r="I44" s="86"/>
      <c r="J44" s="86"/>
      <c r="K44" s="86"/>
      <c r="L44" s="86"/>
      <c r="M44" s="86"/>
      <c r="N44" s="86"/>
      <c r="O44" s="86"/>
      <c r="P44" s="86"/>
      <c r="Q44" s="86"/>
      <c r="R44" s="86"/>
      <c r="S44" s="86"/>
      <c r="T44" s="35"/>
    </row>
    <row r="45" spans="2:22" ht="17.399999999999999" thickBot="1">
      <c r="B45" s="34"/>
      <c r="C45" s="86"/>
      <c r="D45" s="86"/>
      <c r="E45" s="86"/>
      <c r="F45" s="86"/>
      <c r="G45" s="86"/>
      <c r="H45" s="86"/>
      <c r="I45" s="86"/>
      <c r="J45" s="86"/>
      <c r="K45" s="86"/>
      <c r="L45" s="86"/>
      <c r="M45" s="86"/>
      <c r="N45" s="86"/>
      <c r="O45" s="86"/>
      <c r="P45" s="86"/>
      <c r="Q45" s="86"/>
      <c r="R45" s="86"/>
      <c r="S45" s="86"/>
      <c r="T45" s="35"/>
    </row>
    <row r="46" spans="2:22" ht="21.6">
      <c r="B46" s="51" t="s">
        <v>174</v>
      </c>
      <c r="C46" s="52"/>
      <c r="D46" s="156" t="str">
        <f>'EDI Framework Criteria'!B23</f>
        <v>General feedback on Equality, Diversity and Inclusion</v>
      </c>
      <c r="E46" s="53"/>
      <c r="F46" s="53"/>
      <c r="G46" s="53"/>
      <c r="H46" s="53"/>
      <c r="I46" s="53"/>
      <c r="J46" s="53"/>
      <c r="K46" s="53"/>
      <c r="L46" s="53"/>
      <c r="M46" s="53"/>
      <c r="N46" s="53"/>
      <c r="O46" s="53"/>
      <c r="P46" s="53"/>
      <c r="Q46" s="53"/>
      <c r="R46" s="53"/>
      <c r="S46" s="53"/>
      <c r="T46" s="54"/>
    </row>
    <row r="47" spans="2:22" ht="15" customHeight="1">
      <c r="B47" s="55"/>
      <c r="C47" s="56"/>
      <c r="D47" s="56"/>
      <c r="E47" s="56"/>
      <c r="F47" s="56"/>
      <c r="G47" s="56"/>
      <c r="H47" s="56"/>
      <c r="I47" s="56"/>
      <c r="J47" s="56"/>
      <c r="K47" s="56"/>
      <c r="L47" s="56"/>
      <c r="M47" s="56"/>
      <c r="N47" s="56"/>
      <c r="O47" s="56"/>
      <c r="P47" s="56"/>
      <c r="Q47" s="56"/>
      <c r="R47" s="56"/>
      <c r="S47" s="56"/>
      <c r="T47" s="57"/>
    </row>
    <row r="48" spans="2:22" ht="50.4">
      <c r="B48" s="55"/>
      <c r="C48" s="56"/>
      <c r="D48" s="56"/>
      <c r="E48" s="56"/>
      <c r="F48" s="56"/>
      <c r="G48" s="56"/>
      <c r="H48" s="56"/>
      <c r="I48" s="58" t="s">
        <v>162</v>
      </c>
      <c r="J48" s="58" t="s">
        <v>163</v>
      </c>
      <c r="K48" s="59"/>
      <c r="L48" s="60" t="s">
        <v>508</v>
      </c>
      <c r="M48" s="56"/>
      <c r="N48" s="56"/>
      <c r="O48" s="56"/>
      <c r="P48" s="56"/>
      <c r="Q48" s="56"/>
      <c r="R48" s="56"/>
      <c r="S48" s="56"/>
      <c r="T48" s="57"/>
    </row>
    <row r="49" spans="2:22" ht="78" customHeight="1">
      <c r="B49" s="61" t="s">
        <v>166</v>
      </c>
      <c r="C49" s="62" t="str">
        <f>'EDI Framework Criteria'!C23</f>
        <v>1.F.4</v>
      </c>
      <c r="D49" s="224" t="str">
        <f>'EDI Framework Criteria'!D23</f>
        <v>We have committed to establishing or adapting mechanisms for collecting and recording feedback on EDI. This could include surveys, focus groups or suggestion schemes.</v>
      </c>
      <c r="E49" s="225"/>
      <c r="F49" s="225"/>
      <c r="G49" s="225"/>
      <c r="H49" s="226"/>
      <c r="I49" s="63" t="s">
        <v>175</v>
      </c>
      <c r="J49" s="63"/>
      <c r="K49" s="47">
        <f>INDEX($U$3:$V$13,MATCH(I49,$U$3:$U$13,0),2)</f>
        <v>0</v>
      </c>
      <c r="L49" s="264"/>
      <c r="M49" s="264"/>
      <c r="N49" s="264"/>
      <c r="O49" s="264"/>
      <c r="P49" s="264"/>
      <c r="Q49" s="264"/>
      <c r="R49" s="264"/>
      <c r="S49" s="264"/>
      <c r="T49" s="265"/>
      <c r="V49" s="99">
        <f>IF(K49=0,V48,"")</f>
        <v>0</v>
      </c>
    </row>
    <row r="50" spans="2:22">
      <c r="B50" s="46"/>
      <c r="C50" s="47"/>
      <c r="D50" s="47"/>
      <c r="E50" s="47"/>
      <c r="F50" s="47"/>
      <c r="G50" s="47"/>
      <c r="H50" s="47"/>
      <c r="I50" s="47"/>
      <c r="J50" s="47"/>
      <c r="K50" s="47"/>
      <c r="L50" s="264"/>
      <c r="M50" s="264"/>
      <c r="N50" s="264"/>
      <c r="O50" s="264"/>
      <c r="P50" s="264"/>
      <c r="Q50" s="264"/>
      <c r="R50" s="264"/>
      <c r="S50" s="264"/>
      <c r="T50" s="265"/>
    </row>
    <row r="51" spans="2:22" ht="88.5" customHeight="1">
      <c r="B51" s="61" t="s">
        <v>167</v>
      </c>
      <c r="C51" s="62" t="str">
        <f>'EDI Framework Criteria'!E23</f>
        <v>2.F.4</v>
      </c>
      <c r="D51" s="224" t="str">
        <f>'EDI Framework Criteria'!F23</f>
        <v>We have in place mechanisms for collecting and recording feedback on EDI. This could include surveys, focus groups or suggestion schemes.</v>
      </c>
      <c r="E51" s="225"/>
      <c r="F51" s="225"/>
      <c r="G51" s="225"/>
      <c r="H51" s="226"/>
      <c r="I51" s="63" t="s">
        <v>176</v>
      </c>
      <c r="J51" s="63"/>
      <c r="K51" s="47">
        <f>INDEX($U$3:$V$13,MATCH(I51,$U$3:$U$13,0),2)</f>
        <v>0</v>
      </c>
      <c r="L51" s="264"/>
      <c r="M51" s="264"/>
      <c r="N51" s="264"/>
      <c r="O51" s="264"/>
      <c r="P51" s="264"/>
      <c r="Q51" s="264"/>
      <c r="R51" s="264"/>
      <c r="S51" s="264"/>
      <c r="T51" s="265"/>
    </row>
    <row r="52" spans="2:22">
      <c r="B52" s="46"/>
      <c r="C52" s="47"/>
      <c r="D52" s="47"/>
      <c r="E52" s="47"/>
      <c r="F52" s="47"/>
      <c r="G52" s="47"/>
      <c r="H52" s="47"/>
      <c r="I52" s="47"/>
      <c r="J52" s="47"/>
      <c r="K52" s="47"/>
      <c r="L52" s="264"/>
      <c r="M52" s="264"/>
      <c r="N52" s="264"/>
      <c r="O52" s="264"/>
      <c r="P52" s="264"/>
      <c r="Q52" s="264"/>
      <c r="R52" s="264"/>
      <c r="S52" s="264"/>
      <c r="T52" s="265"/>
    </row>
    <row r="53" spans="2:22" ht="96.75" customHeight="1" thickBot="1">
      <c r="B53" s="64" t="s">
        <v>168</v>
      </c>
      <c r="C53" s="65" t="str">
        <f>'EDI Framework Criteria'!G23</f>
        <v>3.F.4</v>
      </c>
      <c r="D53" s="221" t="str">
        <f>'EDI Framework Criteria'!H23</f>
        <v>We have reviewed feedback mechanisms at least once. We kept a record of how feedback has been responded to</v>
      </c>
      <c r="E53" s="222"/>
      <c r="F53" s="222"/>
      <c r="G53" s="222"/>
      <c r="H53" s="223"/>
      <c r="I53" s="66" t="s">
        <v>177</v>
      </c>
      <c r="J53" s="66"/>
      <c r="K53" s="67">
        <f>INDEX($U$3:$V$13,MATCH(I53,$U$3:$U$13,0),2)</f>
        <v>0</v>
      </c>
      <c r="L53" s="266"/>
      <c r="M53" s="266"/>
      <c r="N53" s="266"/>
      <c r="O53" s="266"/>
      <c r="P53" s="266"/>
      <c r="Q53" s="266"/>
      <c r="R53" s="266"/>
      <c r="S53" s="266"/>
      <c r="T53" s="267"/>
    </row>
    <row r="54" spans="2:22">
      <c r="B54" s="34"/>
      <c r="C54" s="86"/>
      <c r="D54" s="86"/>
      <c r="E54" s="86"/>
      <c r="F54" s="86"/>
      <c r="G54" s="86"/>
      <c r="H54" s="86"/>
      <c r="I54" s="86"/>
      <c r="J54" s="86"/>
      <c r="K54" s="86"/>
      <c r="L54" s="86"/>
      <c r="M54" s="86"/>
      <c r="N54" s="86"/>
      <c r="O54" s="86"/>
      <c r="P54" s="86"/>
      <c r="Q54" s="86"/>
      <c r="R54" s="86"/>
      <c r="S54" s="86"/>
      <c r="T54" s="35"/>
    </row>
    <row r="55" spans="2:22">
      <c r="B55" s="34"/>
      <c r="C55" s="86"/>
      <c r="D55" s="86"/>
      <c r="E55" s="86"/>
      <c r="F55" s="86"/>
      <c r="G55" s="86"/>
      <c r="H55" s="86"/>
      <c r="I55" s="86"/>
      <c r="J55" s="86"/>
      <c r="K55" s="86"/>
      <c r="L55" s="86"/>
      <c r="M55" s="86"/>
      <c r="N55" s="86"/>
      <c r="O55" s="86"/>
      <c r="P55" s="86"/>
      <c r="Q55" s="86"/>
      <c r="R55" s="86"/>
      <c r="S55" s="86"/>
      <c r="T55" s="35"/>
    </row>
    <row r="56" spans="2:22" ht="17.399999999999999" thickBot="1">
      <c r="B56" s="34"/>
      <c r="C56" s="86"/>
      <c r="D56" s="86"/>
      <c r="E56" s="86"/>
      <c r="F56" s="86"/>
      <c r="G56" s="86"/>
      <c r="H56" s="86"/>
      <c r="I56" s="86"/>
      <c r="J56" s="86"/>
      <c r="K56" s="86"/>
      <c r="L56" s="86"/>
      <c r="M56" s="86"/>
      <c r="N56" s="86"/>
      <c r="O56" s="86"/>
      <c r="P56" s="86"/>
      <c r="Q56" s="86"/>
      <c r="R56" s="86"/>
      <c r="S56" s="86"/>
      <c r="T56" s="35"/>
    </row>
    <row r="57" spans="2:22" ht="31.5" customHeight="1">
      <c r="B57" s="87" t="s">
        <v>194</v>
      </c>
      <c r="C57" s="88"/>
      <c r="D57" s="88" t="s">
        <v>180</v>
      </c>
      <c r="E57" s="89"/>
      <c r="F57" s="89"/>
      <c r="G57" s="89"/>
      <c r="H57" s="89"/>
      <c r="I57" s="89"/>
      <c r="J57" s="89"/>
      <c r="K57" s="89"/>
      <c r="L57" s="89"/>
      <c r="M57" s="89"/>
      <c r="N57" s="89"/>
      <c r="O57" s="89"/>
      <c r="P57" s="89"/>
      <c r="Q57" s="89"/>
      <c r="R57" s="89"/>
      <c r="S57" s="89"/>
      <c r="T57" s="90"/>
    </row>
    <row r="58" spans="2:22" ht="25.2" thickBot="1">
      <c r="B58" s="91"/>
      <c r="C58" s="92"/>
      <c r="D58" s="92"/>
      <c r="E58" s="92"/>
      <c r="F58" s="92"/>
      <c r="G58" s="92"/>
      <c r="H58" s="92"/>
      <c r="I58" s="92"/>
      <c r="J58" s="92"/>
      <c r="K58" s="92"/>
      <c r="L58" s="92"/>
      <c r="M58" s="92"/>
      <c r="N58" s="92"/>
      <c r="O58" s="92"/>
      <c r="P58" s="92"/>
      <c r="Q58" s="92"/>
      <c r="R58" s="92"/>
      <c r="S58" s="92"/>
      <c r="T58" s="93"/>
    </row>
    <row r="59" spans="2:22" ht="17.399999999999999" thickBot="1">
      <c r="B59" s="97"/>
      <c r="C59" s="98"/>
      <c r="D59" s="98"/>
      <c r="E59" s="98"/>
      <c r="F59" s="98"/>
      <c r="G59" s="98"/>
      <c r="H59" s="98"/>
      <c r="I59" s="98"/>
      <c r="J59" s="98"/>
      <c r="K59" s="98"/>
      <c r="L59" s="98"/>
      <c r="M59" s="98"/>
      <c r="N59" s="98"/>
      <c r="O59" s="98"/>
      <c r="P59" s="98"/>
      <c r="Q59" s="98"/>
      <c r="R59" s="98"/>
      <c r="S59" s="98"/>
      <c r="T59" s="36"/>
    </row>
    <row r="60" spans="2:22"/>
    <row r="61" spans="2:22"/>
    <row r="62" spans="2:22"/>
  </sheetData>
  <mergeCells count="31">
    <mergeCell ref="L39:T43"/>
    <mergeCell ref="B6:J7"/>
    <mergeCell ref="D51:H51"/>
    <mergeCell ref="D53:H53"/>
    <mergeCell ref="D41:H41"/>
    <mergeCell ref="D43:H43"/>
    <mergeCell ref="D49:H49"/>
    <mergeCell ref="D31:H31"/>
    <mergeCell ref="D33:H33"/>
    <mergeCell ref="D39:H39"/>
    <mergeCell ref="D10:N10"/>
    <mergeCell ref="D9:N9"/>
    <mergeCell ref="D23:H23"/>
    <mergeCell ref="L19:T23"/>
    <mergeCell ref="L29:T33"/>
    <mergeCell ref="L49:T53"/>
    <mergeCell ref="D29:H29"/>
    <mergeCell ref="V1:Y1"/>
    <mergeCell ref="B3:T3"/>
    <mergeCell ref="D19:H19"/>
    <mergeCell ref="D21:H21"/>
    <mergeCell ref="O9:T9"/>
    <mergeCell ref="O10:T10"/>
    <mergeCell ref="O11:T11"/>
    <mergeCell ref="O12:T12"/>
    <mergeCell ref="B12:C12"/>
    <mergeCell ref="B11:C11"/>
    <mergeCell ref="B10:C10"/>
    <mergeCell ref="B9:C9"/>
    <mergeCell ref="D12:N12"/>
    <mergeCell ref="D11:N11"/>
  </mergeCells>
  <conditionalFormatting sqref="U5">
    <cfRule type="cellIs" dxfId="208" priority="37" operator="equal">
      <formula>$U$4</formula>
    </cfRule>
    <cfRule type="cellIs" dxfId="207" priority="38" operator="equal">
      <formula>$U$4</formula>
    </cfRule>
  </conditionalFormatting>
  <conditionalFormatting sqref="I19">
    <cfRule type="cellIs" dxfId="206" priority="28" operator="equal">
      <formula>$U$5</formula>
    </cfRule>
    <cfRule type="cellIs" dxfId="205" priority="29" operator="equal">
      <formula>$U$3</formula>
    </cfRule>
    <cfRule type="cellIs" dxfId="204" priority="30" operator="equal">
      <formula>$U$4</formula>
    </cfRule>
  </conditionalFormatting>
  <conditionalFormatting sqref="I21">
    <cfRule type="cellIs" dxfId="203" priority="31" operator="equal">
      <formula>$U$9</formula>
    </cfRule>
    <cfRule type="cellIs" dxfId="202" priority="32" operator="equal">
      <formula>$U$7</formula>
    </cfRule>
    <cfRule type="cellIs" dxfId="201" priority="33" operator="equal">
      <formula>$U$8</formula>
    </cfRule>
  </conditionalFormatting>
  <conditionalFormatting sqref="I23">
    <cfRule type="cellIs" dxfId="200" priority="34" operator="equal">
      <formula>$U$13</formula>
    </cfRule>
    <cfRule type="cellIs" dxfId="199" priority="35" operator="equal">
      <formula>$U$11</formula>
    </cfRule>
    <cfRule type="cellIs" dxfId="198" priority="36" operator="equal">
      <formula>$U$12</formula>
    </cfRule>
  </conditionalFormatting>
  <conditionalFormatting sqref="I29">
    <cfRule type="cellIs" dxfId="197" priority="19" operator="equal">
      <formula>$U$5</formula>
    </cfRule>
    <cfRule type="cellIs" dxfId="196" priority="20" operator="equal">
      <formula>$U$3</formula>
    </cfRule>
    <cfRule type="cellIs" dxfId="195" priority="21" operator="equal">
      <formula>$U$4</formula>
    </cfRule>
  </conditionalFormatting>
  <conditionalFormatting sqref="I31">
    <cfRule type="cellIs" dxfId="194" priority="22" operator="equal">
      <formula>$U$9</formula>
    </cfRule>
    <cfRule type="cellIs" dxfId="193" priority="23" operator="equal">
      <formula>$U$7</formula>
    </cfRule>
    <cfRule type="cellIs" dxfId="192" priority="24" operator="equal">
      <formula>$U$8</formula>
    </cfRule>
  </conditionalFormatting>
  <conditionalFormatting sqref="I33">
    <cfRule type="cellIs" dxfId="191" priority="25" operator="equal">
      <formula>$U$13</formula>
    </cfRule>
    <cfRule type="cellIs" dxfId="190" priority="26" operator="equal">
      <formula>$U$11</formula>
    </cfRule>
    <cfRule type="cellIs" dxfId="189" priority="27" operator="equal">
      <formula>$U$12</formula>
    </cfRule>
  </conditionalFormatting>
  <conditionalFormatting sqref="I39">
    <cfRule type="cellIs" dxfId="188" priority="10" operator="equal">
      <formula>$U$5</formula>
    </cfRule>
    <cfRule type="cellIs" dxfId="187" priority="11" operator="equal">
      <formula>$U$3</formula>
    </cfRule>
    <cfRule type="cellIs" dxfId="186" priority="12" operator="equal">
      <formula>$U$4</formula>
    </cfRule>
  </conditionalFormatting>
  <conditionalFormatting sqref="I41">
    <cfRule type="cellIs" dxfId="185" priority="13" operator="equal">
      <formula>$U$9</formula>
    </cfRule>
    <cfRule type="cellIs" dxfId="184" priority="14" operator="equal">
      <formula>$U$7</formula>
    </cfRule>
    <cfRule type="cellIs" dxfId="183" priority="15" operator="equal">
      <formula>$U$8</formula>
    </cfRule>
  </conditionalFormatting>
  <conditionalFormatting sqref="I43">
    <cfRule type="cellIs" dxfId="182" priority="16" operator="equal">
      <formula>$U$13</formula>
    </cfRule>
    <cfRule type="cellIs" dxfId="181" priority="17" operator="equal">
      <formula>$U$11</formula>
    </cfRule>
    <cfRule type="cellIs" dxfId="180" priority="18" operator="equal">
      <formula>$U$12</formula>
    </cfRule>
  </conditionalFormatting>
  <conditionalFormatting sqref="I49">
    <cfRule type="cellIs" dxfId="179" priority="1" operator="equal">
      <formula>$U$5</formula>
    </cfRule>
    <cfRule type="cellIs" dxfId="178" priority="2" operator="equal">
      <formula>$U$3</formula>
    </cfRule>
    <cfRule type="cellIs" dxfId="177" priority="3" operator="equal">
      <formula>$U$4</formula>
    </cfRule>
  </conditionalFormatting>
  <conditionalFormatting sqref="I51">
    <cfRule type="cellIs" dxfId="176" priority="4" operator="equal">
      <formula>$U$9</formula>
    </cfRule>
    <cfRule type="cellIs" dxfId="175" priority="5" operator="equal">
      <formula>$U$7</formula>
    </cfRule>
    <cfRule type="cellIs" dxfId="174" priority="6" operator="equal">
      <formula>$U$8</formula>
    </cfRule>
  </conditionalFormatting>
  <conditionalFormatting sqref="I53">
    <cfRule type="cellIs" dxfId="173" priority="7" operator="equal">
      <formula>$U$13</formula>
    </cfRule>
    <cfRule type="cellIs" dxfId="172" priority="8" operator="equal">
      <formula>$U$11</formula>
    </cfRule>
    <cfRule type="cellIs" dxfId="171" priority="9" operator="equal">
      <formula>$U$12</formula>
    </cfRule>
  </conditionalFormatting>
  <dataValidations count="3">
    <dataValidation type="list" allowBlank="1" showInputMessage="1" showErrorMessage="1" sqref="I43 I53 I33 I23" xr:uid="{258B0F81-A3A6-4BC1-981B-02A38DE72B13}">
      <formula1>$U$11:$U$13</formula1>
    </dataValidation>
    <dataValidation type="list" allowBlank="1" showInputMessage="1" showErrorMessage="1" sqref="I41 I51 I31 I21" xr:uid="{E570B2BE-4CCC-4938-B5BE-E851ACF709EF}">
      <formula1>$U$7:$U$9</formula1>
    </dataValidation>
    <dataValidation type="list" allowBlank="1" showInputMessage="1" showErrorMessage="1" sqref="I39 I49 I29 I19" xr:uid="{7662A3E4-AF09-4680-8EBA-DD06C03D9CA6}">
      <formula1>$U$3:$U$5</formula1>
    </dataValidation>
  </dataValidations>
  <hyperlinks>
    <hyperlink ref="B57" location="'Section 5'!A1" display="Previous section" xr:uid="{943BBA0C-25A2-4ED0-BFF2-43B526CE6D95}"/>
    <hyperlink ref="D57" location="'Section 7'!A1" display="Next section" xr:uid="{AA1EEEFC-84E1-4530-84CA-B71B4D1247AF}"/>
    <hyperlink ref="O10" r:id="rId1" xr:uid="{CFFF81E7-9550-497F-80B6-464930AA57B8}"/>
    <hyperlink ref="O12" r:id="rId2" xr:uid="{4405C99D-1922-41B6-A277-DD75EFA66438}"/>
    <hyperlink ref="O11" r:id="rId3" xr:uid="{E6AC335A-F24C-4122-8A4A-C970290E3D4D}"/>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6238E9-871B-430C-ADAE-D9BF05F4ABF1}">
  <sheetPr codeName="Sheet9"/>
  <dimension ref="B1:Z49"/>
  <sheetViews>
    <sheetView zoomScale="69" zoomScaleNormal="70" workbookViewId="0">
      <selection activeCell="I15" sqref="I15"/>
    </sheetView>
  </sheetViews>
  <sheetFormatPr defaultColWidth="9.08203125" defaultRowHeight="16.8" outlineLevelRow="1"/>
  <cols>
    <col min="1" max="1" width="3.33203125" style="32" customWidth="1"/>
    <col min="2" max="2" width="23.9140625" style="32" customWidth="1"/>
    <col min="3" max="3" width="19.5" style="32" hidden="1" customWidth="1"/>
    <col min="4" max="4" width="27.08203125" style="32" customWidth="1"/>
    <col min="5" max="8" width="9.08203125" style="32" customWidth="1"/>
    <col min="9" max="9" width="26.83203125" style="32" customWidth="1"/>
    <col min="10" max="10" width="52.9140625" style="32" customWidth="1"/>
    <col min="11" max="11" width="15.08203125" style="32" hidden="1" customWidth="1"/>
    <col min="12" max="20" width="9.08203125" style="32" customWidth="1"/>
    <col min="21" max="22" width="9.08203125" style="99" customWidth="1"/>
    <col min="23" max="25" width="9.08203125" style="32" customWidth="1"/>
    <col min="26" max="16384" width="9.08203125" style="32"/>
  </cols>
  <sheetData>
    <row r="1" spans="2:26" ht="17.399999999999999" thickBot="1">
      <c r="V1" s="263"/>
      <c r="W1" s="263"/>
      <c r="X1" s="263"/>
      <c r="Y1" s="263"/>
      <c r="Z1" s="99"/>
    </row>
    <row r="2" spans="2:26" s="40" customFormat="1" ht="34.200000000000003" thickBot="1">
      <c r="B2" s="158" t="s">
        <v>232</v>
      </c>
      <c r="C2" s="159"/>
      <c r="D2" s="167"/>
      <c r="E2" s="167"/>
      <c r="F2" s="167"/>
      <c r="G2" s="167"/>
      <c r="H2" s="167"/>
      <c r="I2" s="167"/>
      <c r="J2" s="167"/>
      <c r="K2" s="167"/>
      <c r="L2" s="167"/>
      <c r="M2" s="167"/>
      <c r="N2" s="167"/>
      <c r="O2" s="167"/>
      <c r="P2" s="167"/>
      <c r="Q2" s="167"/>
      <c r="R2" s="167"/>
      <c r="S2" s="167"/>
      <c r="T2" s="168"/>
      <c r="U2" s="120"/>
      <c r="V2" s="160"/>
      <c r="W2" s="160"/>
      <c r="X2" s="160"/>
      <c r="Y2" s="160"/>
      <c r="Z2" s="120"/>
    </row>
    <row r="3" spans="2:26" s="40" customFormat="1" ht="48.6" customHeight="1" thickBot="1">
      <c r="B3" s="218" t="str">
        <f>'EDI Framework Criteria'!A24</f>
        <v>Diversity management: EDI integrated into every part of the organisation’s work.</v>
      </c>
      <c r="C3" s="219"/>
      <c r="D3" s="219"/>
      <c r="E3" s="219"/>
      <c r="F3" s="219"/>
      <c r="G3" s="219"/>
      <c r="H3" s="219"/>
      <c r="I3" s="219"/>
      <c r="J3" s="219"/>
      <c r="K3" s="219"/>
      <c r="L3" s="219"/>
      <c r="M3" s="219"/>
      <c r="N3" s="219"/>
      <c r="O3" s="219"/>
      <c r="P3" s="219"/>
      <c r="Q3" s="219"/>
      <c r="R3" s="219"/>
      <c r="S3" s="219"/>
      <c r="T3" s="220"/>
      <c r="U3" s="120" t="s">
        <v>172</v>
      </c>
      <c r="V3" s="121">
        <v>2</v>
      </c>
      <c r="W3" s="120"/>
      <c r="X3" s="120"/>
      <c r="Y3" s="120"/>
      <c r="Z3" s="120"/>
    </row>
    <row r="4" spans="2:26">
      <c r="B4" s="192"/>
      <c r="C4" s="193"/>
      <c r="D4" s="193"/>
      <c r="E4" s="193"/>
      <c r="F4" s="193"/>
      <c r="G4" s="193"/>
      <c r="H4" s="193"/>
      <c r="I4" s="193"/>
      <c r="J4" s="193"/>
      <c r="K4" s="193"/>
      <c r="L4" s="193"/>
      <c r="M4" s="193"/>
      <c r="N4" s="193"/>
      <c r="O4" s="193"/>
      <c r="P4" s="193"/>
      <c r="Q4" s="193"/>
      <c r="R4" s="193"/>
      <c r="S4" s="193"/>
      <c r="T4" s="194"/>
      <c r="U4" s="99" t="s">
        <v>144</v>
      </c>
      <c r="V4" s="122">
        <v>1</v>
      </c>
    </row>
    <row r="5" spans="2:26" ht="21.6">
      <c r="B5" s="94" t="s">
        <v>145</v>
      </c>
      <c r="C5" s="95"/>
      <c r="D5" s="86"/>
      <c r="E5" s="86"/>
      <c r="F5" s="86"/>
      <c r="G5" s="86"/>
      <c r="H5" s="86"/>
      <c r="I5" s="86"/>
      <c r="J5" s="86"/>
      <c r="K5" s="86"/>
      <c r="L5" s="86"/>
      <c r="M5" s="86"/>
      <c r="N5" s="86"/>
      <c r="O5" s="86"/>
      <c r="P5" s="86"/>
      <c r="Q5" s="86"/>
      <c r="R5" s="86"/>
      <c r="S5" s="86"/>
      <c r="T5" s="35"/>
      <c r="U5" s="99" t="s">
        <v>175</v>
      </c>
      <c r="V5" s="122">
        <v>0</v>
      </c>
    </row>
    <row r="6" spans="2:26">
      <c r="B6" s="228" t="s">
        <v>488</v>
      </c>
      <c r="C6" s="229"/>
      <c r="D6" s="229"/>
      <c r="E6" s="229"/>
      <c r="F6" s="229"/>
      <c r="G6" s="229"/>
      <c r="H6" s="229"/>
      <c r="I6" s="229"/>
      <c r="J6" s="229"/>
      <c r="K6" s="86"/>
      <c r="L6" s="86"/>
      <c r="M6" s="86"/>
      <c r="N6" s="86"/>
      <c r="O6" s="86"/>
      <c r="P6" s="86"/>
      <c r="Q6" s="86"/>
      <c r="R6" s="86"/>
      <c r="S6" s="86"/>
      <c r="T6" s="35"/>
      <c r="V6" s="122"/>
    </row>
    <row r="7" spans="2:26">
      <c r="B7" s="228"/>
      <c r="C7" s="229"/>
      <c r="D7" s="229"/>
      <c r="E7" s="229"/>
      <c r="F7" s="229"/>
      <c r="G7" s="229"/>
      <c r="H7" s="229"/>
      <c r="I7" s="229"/>
      <c r="J7" s="229"/>
      <c r="K7" s="86"/>
      <c r="L7" s="86"/>
      <c r="M7" s="86"/>
      <c r="N7" s="86"/>
      <c r="O7" s="86"/>
      <c r="P7" s="86"/>
      <c r="Q7" s="86"/>
      <c r="R7" s="86"/>
      <c r="S7" s="86"/>
      <c r="T7" s="35"/>
      <c r="U7" s="99" t="s">
        <v>173</v>
      </c>
      <c r="V7" s="122">
        <v>2</v>
      </c>
    </row>
    <row r="8" spans="2:26" s="40" customFormat="1" ht="21.6">
      <c r="B8" s="49" t="s">
        <v>321</v>
      </c>
      <c r="C8" s="50"/>
      <c r="D8" s="47"/>
      <c r="E8" s="47"/>
      <c r="F8" s="47"/>
      <c r="G8" s="47"/>
      <c r="H8" s="47"/>
      <c r="I8" s="47"/>
      <c r="J8" s="47"/>
      <c r="K8" s="47"/>
      <c r="L8" s="47"/>
      <c r="M8" s="47"/>
      <c r="N8" s="47"/>
      <c r="O8" s="47"/>
      <c r="P8" s="47"/>
      <c r="Q8" s="47"/>
      <c r="R8" s="47"/>
      <c r="S8" s="47"/>
      <c r="T8" s="48"/>
      <c r="U8" s="120" t="s">
        <v>144</v>
      </c>
      <c r="V8" s="121">
        <v>1</v>
      </c>
    </row>
    <row r="9" spans="2:26" s="40" customFormat="1" ht="18.75" hidden="1" customHeight="1" outlineLevel="1">
      <c r="B9" s="232" t="s">
        <v>146</v>
      </c>
      <c r="C9" s="233"/>
      <c r="D9" s="234" t="s">
        <v>147</v>
      </c>
      <c r="E9" s="235"/>
      <c r="F9" s="235"/>
      <c r="G9" s="235"/>
      <c r="H9" s="235"/>
      <c r="I9" s="235"/>
      <c r="J9" s="235"/>
      <c r="K9" s="235"/>
      <c r="L9" s="235"/>
      <c r="M9" s="235"/>
      <c r="N9" s="233"/>
      <c r="O9" s="240" t="s">
        <v>148</v>
      </c>
      <c r="P9" s="240"/>
      <c r="Q9" s="240"/>
      <c r="R9" s="240"/>
      <c r="S9" s="240"/>
      <c r="T9" s="241"/>
      <c r="U9" s="120" t="s">
        <v>176</v>
      </c>
      <c r="V9" s="121">
        <v>0</v>
      </c>
    </row>
    <row r="10" spans="2:26" s="40" customFormat="1" ht="96" hidden="1" customHeight="1" outlineLevel="1">
      <c r="B10" s="274" t="s">
        <v>233</v>
      </c>
      <c r="C10" s="242"/>
      <c r="D10" s="242" t="s">
        <v>234</v>
      </c>
      <c r="E10" s="277"/>
      <c r="F10" s="277"/>
      <c r="G10" s="277"/>
      <c r="H10" s="277"/>
      <c r="I10" s="277"/>
      <c r="J10" s="277"/>
      <c r="K10" s="277"/>
      <c r="L10" s="277"/>
      <c r="M10" s="277"/>
      <c r="N10" s="277"/>
      <c r="O10" s="236" t="s">
        <v>235</v>
      </c>
      <c r="P10" s="242"/>
      <c r="Q10" s="242"/>
      <c r="R10" s="242"/>
      <c r="S10" s="242"/>
      <c r="T10" s="243"/>
      <c r="U10" s="120"/>
      <c r="V10" s="121"/>
    </row>
    <row r="11" spans="2:26" s="40" customFormat="1" ht="65.25" hidden="1" customHeight="1" outlineLevel="1">
      <c r="B11" s="280"/>
      <c r="C11" s="281"/>
      <c r="D11" s="281"/>
      <c r="E11" s="281"/>
      <c r="F11" s="281"/>
      <c r="G11" s="281"/>
      <c r="H11" s="281"/>
      <c r="I11" s="281"/>
      <c r="J11" s="281"/>
      <c r="K11" s="281"/>
      <c r="L11" s="281"/>
      <c r="M11" s="281"/>
      <c r="N11" s="281"/>
      <c r="O11" s="282"/>
      <c r="P11" s="282"/>
      <c r="Q11" s="282"/>
      <c r="R11" s="282"/>
      <c r="S11" s="282"/>
      <c r="T11" s="283"/>
      <c r="U11" s="120" t="s">
        <v>169</v>
      </c>
      <c r="V11" s="121">
        <v>2</v>
      </c>
    </row>
    <row r="12" spans="2:26" s="40" customFormat="1" ht="49.5" hidden="1" customHeight="1" outlineLevel="1">
      <c r="B12" s="280"/>
      <c r="C12" s="281"/>
      <c r="D12" s="281"/>
      <c r="E12" s="281"/>
      <c r="F12" s="281"/>
      <c r="G12" s="281"/>
      <c r="H12" s="281"/>
      <c r="I12" s="281"/>
      <c r="J12" s="281"/>
      <c r="K12" s="281"/>
      <c r="L12" s="281"/>
      <c r="M12" s="281"/>
      <c r="N12" s="281"/>
      <c r="O12" s="282"/>
      <c r="P12" s="282"/>
      <c r="Q12" s="282"/>
      <c r="R12" s="282"/>
      <c r="S12" s="282"/>
      <c r="T12" s="283"/>
      <c r="U12" s="120" t="s">
        <v>144</v>
      </c>
      <c r="V12" s="121">
        <v>1</v>
      </c>
    </row>
    <row r="13" spans="2:26" collapsed="1">
      <c r="B13" s="34"/>
      <c r="C13" s="86"/>
      <c r="D13" s="86"/>
      <c r="E13" s="86"/>
      <c r="F13" s="86"/>
      <c r="G13" s="86"/>
      <c r="H13" s="86"/>
      <c r="I13" s="86"/>
      <c r="J13" s="86"/>
      <c r="K13" s="86"/>
      <c r="L13" s="86"/>
      <c r="M13" s="86"/>
      <c r="N13" s="86"/>
      <c r="O13" s="86"/>
      <c r="P13" s="86"/>
      <c r="Q13" s="86"/>
      <c r="R13" s="86"/>
      <c r="S13" s="86"/>
      <c r="T13" s="35"/>
      <c r="U13" s="99" t="s">
        <v>177</v>
      </c>
      <c r="V13" s="122">
        <v>0</v>
      </c>
    </row>
    <row r="14" spans="2:26" ht="20.100000000000001" customHeight="1">
      <c r="B14" s="230"/>
      <c r="C14" s="231"/>
      <c r="D14" s="231"/>
      <c r="E14" s="231"/>
      <c r="F14" s="231"/>
      <c r="G14" s="231"/>
      <c r="H14" s="231"/>
      <c r="I14" s="231"/>
      <c r="J14" s="231"/>
      <c r="K14" s="86"/>
      <c r="L14" s="47"/>
      <c r="M14" s="47"/>
      <c r="N14" s="47"/>
      <c r="O14" s="47"/>
      <c r="P14" s="47"/>
      <c r="Q14" s="47"/>
      <c r="R14" s="47"/>
      <c r="S14" s="47"/>
      <c r="T14" s="48"/>
    </row>
    <row r="15" spans="2:26" ht="17.399999999999999" thickBot="1">
      <c r="B15" s="97"/>
      <c r="C15" s="98"/>
      <c r="D15" s="98"/>
      <c r="E15" s="98"/>
      <c r="F15" s="98"/>
      <c r="G15" s="98"/>
      <c r="H15" s="98"/>
      <c r="I15" s="98"/>
      <c r="J15" s="98"/>
      <c r="K15" s="98"/>
      <c r="L15" s="98"/>
      <c r="M15" s="98"/>
      <c r="N15" s="98"/>
      <c r="O15" s="98"/>
      <c r="P15" s="98"/>
      <c r="Q15" s="98"/>
      <c r="R15" s="98"/>
      <c r="S15" s="98"/>
      <c r="T15" s="36"/>
    </row>
    <row r="16" spans="2:26" ht="21.6">
      <c r="B16" s="51" t="s">
        <v>161</v>
      </c>
      <c r="C16" s="52"/>
      <c r="D16" s="156" t="str">
        <f>'EDI Framework Criteria'!B24</f>
        <v>Groups set up and tasked with Equality, Diversity and Inclusion</v>
      </c>
      <c r="E16" s="53"/>
      <c r="F16" s="53"/>
      <c r="G16" s="53"/>
      <c r="H16" s="53"/>
      <c r="I16" s="53"/>
      <c r="J16" s="53"/>
      <c r="K16" s="53"/>
      <c r="L16" s="53"/>
      <c r="M16" s="53"/>
      <c r="N16" s="53"/>
      <c r="O16" s="53"/>
      <c r="P16" s="53"/>
      <c r="Q16" s="53"/>
      <c r="R16" s="53"/>
      <c r="S16" s="53"/>
      <c r="T16" s="54"/>
    </row>
    <row r="17" spans="2:22">
      <c r="B17" s="55"/>
      <c r="C17" s="56"/>
      <c r="D17" s="56"/>
      <c r="E17" s="56"/>
      <c r="F17" s="56"/>
      <c r="G17" s="56"/>
      <c r="H17" s="56"/>
      <c r="I17" s="56"/>
      <c r="J17" s="56"/>
      <c r="K17" s="56"/>
      <c r="L17" s="56"/>
      <c r="M17" s="56"/>
      <c r="N17" s="56"/>
      <c r="O17" s="56"/>
      <c r="P17" s="56"/>
      <c r="Q17" s="56"/>
      <c r="R17" s="56"/>
      <c r="S17" s="56"/>
      <c r="T17" s="57"/>
    </row>
    <row r="18" spans="2:22" ht="50.4">
      <c r="B18" s="55"/>
      <c r="C18" s="56"/>
      <c r="D18" s="56"/>
      <c r="E18" s="56"/>
      <c r="F18" s="56"/>
      <c r="G18" s="56"/>
      <c r="H18" s="56"/>
      <c r="I18" s="58" t="s">
        <v>162</v>
      </c>
      <c r="J18" s="58" t="s">
        <v>163</v>
      </c>
      <c r="K18" s="59" t="s">
        <v>164</v>
      </c>
      <c r="L18" s="60" t="s">
        <v>508</v>
      </c>
      <c r="M18" s="56"/>
      <c r="N18" s="56"/>
      <c r="O18" s="56"/>
      <c r="P18" s="56"/>
      <c r="Q18" s="56"/>
      <c r="R18" s="56"/>
      <c r="S18" s="56"/>
      <c r="T18" s="57"/>
      <c r="V18" s="99" t="s">
        <v>165</v>
      </c>
    </row>
    <row r="19" spans="2:22" ht="90" customHeight="1">
      <c r="B19" s="61" t="s">
        <v>166</v>
      </c>
      <c r="C19" s="62" t="str">
        <f>'EDI Framework Criteria'!C24</f>
        <v>1.G.1</v>
      </c>
      <c r="D19" s="224" t="str">
        <f>'EDI Framework Criteria'!D24</f>
        <v>We have committed to identifying EDI lead/s and creating a working group or forum with representation from across the organisation. This should report to, and receive support from, the board or senior management.</v>
      </c>
      <c r="E19" s="225"/>
      <c r="F19" s="225"/>
      <c r="G19" s="225"/>
      <c r="H19" s="226"/>
      <c r="I19" s="63" t="s">
        <v>175</v>
      </c>
      <c r="J19" s="63"/>
      <c r="K19" s="47">
        <f>INDEX($U$3:$V$13,MATCH(I19,$U$3:$U$13,0),2)</f>
        <v>0</v>
      </c>
      <c r="L19" s="264"/>
      <c r="M19" s="264"/>
      <c r="N19" s="264"/>
      <c r="O19" s="264"/>
      <c r="P19" s="264"/>
      <c r="Q19" s="264"/>
      <c r="R19" s="264"/>
      <c r="S19" s="264"/>
      <c r="T19" s="265"/>
      <c r="V19" s="99" t="str">
        <f>IF(K19=0,V18,"")</f>
        <v>Non commitment</v>
      </c>
    </row>
    <row r="20" spans="2:22">
      <c r="B20" s="46"/>
      <c r="C20" s="47"/>
      <c r="D20" s="47"/>
      <c r="E20" s="47"/>
      <c r="F20" s="47"/>
      <c r="G20" s="47"/>
      <c r="H20" s="47"/>
      <c r="I20" s="47"/>
      <c r="J20" s="47"/>
      <c r="K20" s="47"/>
      <c r="L20" s="264"/>
      <c r="M20" s="264"/>
      <c r="N20" s="264"/>
      <c r="O20" s="264"/>
      <c r="P20" s="264"/>
      <c r="Q20" s="264"/>
      <c r="R20" s="264"/>
      <c r="S20" s="264"/>
      <c r="T20" s="265"/>
    </row>
    <row r="21" spans="2:22" ht="90" customHeight="1">
      <c r="B21" s="61" t="s">
        <v>167</v>
      </c>
      <c r="C21" s="62" t="str">
        <f>'EDI Framework Criteria'!E24</f>
        <v>2.G.1</v>
      </c>
      <c r="D21" s="224" t="str">
        <f>'EDI Framework Criteria'!F24</f>
        <v>EDI lead/s and a working group or forum with representation from across the organisation have started work. They report to, and receive support from, the board or senior management.</v>
      </c>
      <c r="E21" s="225"/>
      <c r="F21" s="225"/>
      <c r="G21" s="225"/>
      <c r="H21" s="226"/>
      <c r="I21" s="63" t="s">
        <v>176</v>
      </c>
      <c r="J21" s="63"/>
      <c r="K21" s="47">
        <f>INDEX($U$3:$V$13,MATCH(I21,$U$3:$U$13,0),2)</f>
        <v>0</v>
      </c>
      <c r="L21" s="264"/>
      <c r="M21" s="264"/>
      <c r="N21" s="264"/>
      <c r="O21" s="264"/>
      <c r="P21" s="264"/>
      <c r="Q21" s="264"/>
      <c r="R21" s="264"/>
      <c r="S21" s="264"/>
      <c r="T21" s="265"/>
    </row>
    <row r="22" spans="2:22">
      <c r="B22" s="46"/>
      <c r="C22" s="47"/>
      <c r="D22" s="47"/>
      <c r="E22" s="47"/>
      <c r="F22" s="47"/>
      <c r="G22" s="47"/>
      <c r="H22" s="47"/>
      <c r="I22" s="47"/>
      <c r="J22" s="47"/>
      <c r="K22" s="47"/>
      <c r="L22" s="264"/>
      <c r="M22" s="264"/>
      <c r="N22" s="264"/>
      <c r="O22" s="264"/>
      <c r="P22" s="264"/>
      <c r="Q22" s="264"/>
      <c r="R22" s="264"/>
      <c r="S22" s="264"/>
      <c r="T22" s="265"/>
    </row>
    <row r="23" spans="2:22" ht="90" customHeight="1" thickBot="1">
      <c r="B23" s="64" t="s">
        <v>168</v>
      </c>
      <c r="C23" s="65" t="str">
        <f>'EDI Framework Criteria'!G24</f>
        <v>3.G.1</v>
      </c>
      <c r="D23" s="221" t="str">
        <f>'EDI Framework Criteria'!H24</f>
        <v>EDI lead/s and working group or forum meet regularly. They are given support by the board or senior management, and also report on their activities.</v>
      </c>
      <c r="E23" s="222"/>
      <c r="F23" s="222"/>
      <c r="G23" s="222"/>
      <c r="H23" s="223"/>
      <c r="I23" s="66" t="s">
        <v>177</v>
      </c>
      <c r="J23" s="66"/>
      <c r="K23" s="67">
        <f>INDEX($U$3:$V$13,MATCH(I23,$U$3:$U$13,0),2)</f>
        <v>0</v>
      </c>
      <c r="L23" s="266"/>
      <c r="M23" s="266"/>
      <c r="N23" s="266"/>
      <c r="O23" s="266"/>
      <c r="P23" s="266"/>
      <c r="Q23" s="266"/>
      <c r="R23" s="266"/>
      <c r="S23" s="266"/>
      <c r="T23" s="267"/>
    </row>
    <row r="24" spans="2:22">
      <c r="B24" s="34"/>
      <c r="C24" s="86"/>
      <c r="D24" s="86"/>
      <c r="E24" s="86"/>
      <c r="F24" s="86"/>
      <c r="G24" s="86"/>
      <c r="H24" s="86"/>
      <c r="I24" s="86"/>
      <c r="J24" s="86"/>
      <c r="K24" s="86"/>
      <c r="L24" s="86"/>
      <c r="M24" s="86"/>
      <c r="N24" s="86"/>
      <c r="O24" s="86"/>
      <c r="P24" s="86"/>
      <c r="Q24" s="86"/>
      <c r="R24" s="86"/>
      <c r="S24" s="86"/>
      <c r="T24" s="86"/>
    </row>
    <row r="25" spans="2:22" ht="17.399999999999999" thickBot="1">
      <c r="B25" s="34"/>
      <c r="C25" s="86"/>
      <c r="D25" s="86"/>
      <c r="E25" s="86"/>
      <c r="F25" s="86"/>
      <c r="G25" s="86"/>
      <c r="H25" s="86"/>
      <c r="I25" s="86"/>
      <c r="J25" s="86"/>
      <c r="K25" s="86"/>
      <c r="L25" s="86"/>
      <c r="M25" s="86"/>
      <c r="N25" s="86"/>
      <c r="O25" s="86"/>
      <c r="P25" s="86"/>
      <c r="Q25" s="86"/>
      <c r="R25" s="86"/>
      <c r="S25" s="86"/>
      <c r="T25" s="86"/>
    </row>
    <row r="26" spans="2:22" ht="21.6">
      <c r="B26" s="51" t="s">
        <v>170</v>
      </c>
      <c r="C26" s="52"/>
      <c r="D26" s="156" t="str">
        <f>'EDI Framework Criteria'!B25</f>
        <v xml:space="preserve">Accountability mechanisms for Equality, Diversity and Inclusion issues </v>
      </c>
      <c r="E26" s="53"/>
      <c r="F26" s="53"/>
      <c r="G26" s="53"/>
      <c r="H26" s="53"/>
      <c r="I26" s="53"/>
      <c r="J26" s="53"/>
      <c r="K26" s="53"/>
      <c r="L26" s="53"/>
      <c r="M26" s="53"/>
      <c r="N26" s="53"/>
      <c r="O26" s="53"/>
      <c r="P26" s="53"/>
      <c r="Q26" s="53"/>
      <c r="R26" s="53"/>
      <c r="S26" s="53"/>
      <c r="T26" s="54"/>
    </row>
    <row r="27" spans="2:22">
      <c r="B27" s="55"/>
      <c r="C27" s="56"/>
      <c r="D27" s="56"/>
      <c r="E27" s="56"/>
      <c r="F27" s="56"/>
      <c r="G27" s="56"/>
      <c r="H27" s="56"/>
      <c r="I27" s="56"/>
      <c r="J27" s="56"/>
      <c r="K27" s="56"/>
      <c r="L27" s="56"/>
      <c r="M27" s="56"/>
      <c r="N27" s="56"/>
      <c r="O27" s="56"/>
      <c r="P27" s="56"/>
      <c r="Q27" s="56"/>
      <c r="R27" s="56"/>
      <c r="S27" s="56"/>
      <c r="T27" s="57"/>
    </row>
    <row r="28" spans="2:22" ht="50.4">
      <c r="B28" s="55"/>
      <c r="C28" s="56"/>
      <c r="D28" s="56"/>
      <c r="E28" s="56"/>
      <c r="F28" s="56"/>
      <c r="G28" s="56"/>
      <c r="H28" s="56"/>
      <c r="I28" s="58" t="s">
        <v>162</v>
      </c>
      <c r="J28" s="58" t="s">
        <v>163</v>
      </c>
      <c r="K28" s="59"/>
      <c r="L28" s="60" t="s">
        <v>508</v>
      </c>
      <c r="M28" s="56"/>
      <c r="N28" s="56"/>
      <c r="O28" s="56"/>
      <c r="P28" s="56"/>
      <c r="Q28" s="56"/>
      <c r="R28" s="56"/>
      <c r="S28" s="56"/>
      <c r="T28" s="57"/>
    </row>
    <row r="29" spans="2:22" ht="90" customHeight="1">
      <c r="B29" s="61" t="s">
        <v>166</v>
      </c>
      <c r="C29" s="62" t="str">
        <f>'EDI Framework Criteria'!C25</f>
        <v>1.G.2</v>
      </c>
      <c r="D29" s="224" t="str">
        <f>'EDI Framework Criteria'!D25</f>
        <v>We have committed to creating a policy or action plan to cover accountability mechanisms for EDI practice. This will outline the responsibilities of our governance, for example, our board.</v>
      </c>
      <c r="E29" s="225"/>
      <c r="F29" s="225"/>
      <c r="G29" s="225"/>
      <c r="H29" s="226"/>
      <c r="I29" s="63" t="s">
        <v>175</v>
      </c>
      <c r="J29" s="63"/>
      <c r="K29" s="47">
        <f>INDEX($U$3:$V$13,MATCH(I29,$U$3:$U$13,0),2)</f>
        <v>0</v>
      </c>
      <c r="L29" s="264"/>
      <c r="M29" s="264"/>
      <c r="N29" s="264"/>
      <c r="O29" s="264"/>
      <c r="P29" s="264"/>
      <c r="Q29" s="264"/>
      <c r="R29" s="264"/>
      <c r="S29" s="264"/>
      <c r="T29" s="265"/>
      <c r="V29" s="99">
        <f>IF(K29=0,V28,"")</f>
        <v>0</v>
      </c>
    </row>
    <row r="30" spans="2:22">
      <c r="B30" s="46"/>
      <c r="C30" s="47"/>
      <c r="D30" s="47"/>
      <c r="E30" s="47"/>
      <c r="F30" s="47"/>
      <c r="G30" s="47"/>
      <c r="H30" s="47"/>
      <c r="I30" s="47"/>
      <c r="J30" s="47"/>
      <c r="K30" s="47"/>
      <c r="L30" s="264"/>
      <c r="M30" s="264"/>
      <c r="N30" s="264"/>
      <c r="O30" s="264"/>
      <c r="P30" s="264"/>
      <c r="Q30" s="264"/>
      <c r="R30" s="264"/>
      <c r="S30" s="264"/>
      <c r="T30" s="265"/>
    </row>
    <row r="31" spans="2:22" ht="90" customHeight="1">
      <c r="B31" s="61" t="s">
        <v>167</v>
      </c>
      <c r="C31" s="62" t="str">
        <f>'EDI Framework Criteria'!E25</f>
        <v>2.G.2</v>
      </c>
      <c r="D31" s="224" t="str">
        <f>'EDI Framework Criteria'!F25</f>
        <v>We have created a policy or action plan to cover accountability mechanisms for EDI practice. This outlines the responsibilities of our governance, for example, our board.</v>
      </c>
      <c r="E31" s="225"/>
      <c r="F31" s="225"/>
      <c r="G31" s="225"/>
      <c r="H31" s="226"/>
      <c r="I31" s="63" t="s">
        <v>176</v>
      </c>
      <c r="J31" s="63"/>
      <c r="K31" s="47">
        <f>INDEX($U$3:$V$13,MATCH(I31,$U$3:$U$13,0),2)</f>
        <v>0</v>
      </c>
      <c r="L31" s="264"/>
      <c r="M31" s="264"/>
      <c r="N31" s="264"/>
      <c r="O31" s="264"/>
      <c r="P31" s="264"/>
      <c r="Q31" s="264"/>
      <c r="R31" s="264"/>
      <c r="S31" s="264"/>
      <c r="T31" s="265"/>
    </row>
    <row r="32" spans="2:22">
      <c r="B32" s="46"/>
      <c r="C32" s="47"/>
      <c r="D32" s="47"/>
      <c r="E32" s="47"/>
      <c r="F32" s="47"/>
      <c r="G32" s="47"/>
      <c r="H32" s="47"/>
      <c r="I32" s="47"/>
      <c r="J32" s="47"/>
      <c r="K32" s="47"/>
      <c r="L32" s="264"/>
      <c r="M32" s="264"/>
      <c r="N32" s="264"/>
      <c r="O32" s="264"/>
      <c r="P32" s="264"/>
      <c r="Q32" s="264"/>
      <c r="R32" s="264"/>
      <c r="S32" s="264"/>
      <c r="T32" s="265"/>
    </row>
    <row r="33" spans="2:22" ht="90" customHeight="1" thickBot="1">
      <c r="B33" s="64" t="s">
        <v>168</v>
      </c>
      <c r="C33" s="65" t="str">
        <f>'EDI Framework Criteria'!G25</f>
        <v>3.G.2</v>
      </c>
      <c r="D33" s="221" t="str">
        <f>'EDI Framework Criteria'!H25</f>
        <v>We have a policy or action plan in place to cover accountability mechanisms for EDI practice. It outlines the responsibilities of our governance, for example, our board. It has been reviewed at least once. We have plans to keep reviewing it as needed.</v>
      </c>
      <c r="E33" s="222"/>
      <c r="F33" s="222"/>
      <c r="G33" s="222"/>
      <c r="H33" s="223"/>
      <c r="I33" s="66" t="s">
        <v>177</v>
      </c>
      <c r="J33" s="66"/>
      <c r="K33" s="67">
        <f>INDEX($U$3:$V$13,MATCH(I33,$U$3:$U$13,0),2)</f>
        <v>0</v>
      </c>
      <c r="L33" s="266"/>
      <c r="M33" s="266"/>
      <c r="N33" s="266"/>
      <c r="O33" s="266"/>
      <c r="P33" s="266"/>
      <c r="Q33" s="266"/>
      <c r="R33" s="266"/>
      <c r="S33" s="266"/>
      <c r="T33" s="267"/>
    </row>
    <row r="34" spans="2:22">
      <c r="B34" s="34"/>
      <c r="C34" s="86"/>
      <c r="D34" s="86"/>
      <c r="E34" s="86"/>
      <c r="F34" s="86"/>
      <c r="G34" s="86"/>
      <c r="H34" s="86"/>
      <c r="I34" s="86"/>
      <c r="J34" s="86"/>
      <c r="K34" s="86"/>
      <c r="L34" s="86"/>
      <c r="M34" s="86"/>
      <c r="N34" s="86"/>
      <c r="O34" s="86"/>
      <c r="P34" s="86"/>
      <c r="Q34" s="86"/>
      <c r="R34" s="86"/>
      <c r="S34" s="86"/>
      <c r="T34" s="86"/>
    </row>
    <row r="35" spans="2:22" ht="17.399999999999999" thickBot="1">
      <c r="B35" s="34"/>
      <c r="C35" s="86"/>
      <c r="D35" s="86"/>
      <c r="E35" s="86"/>
      <c r="F35" s="86"/>
      <c r="G35" s="86"/>
      <c r="H35" s="86"/>
      <c r="I35" s="86"/>
      <c r="J35" s="86"/>
      <c r="K35" s="86"/>
      <c r="L35" s="86"/>
      <c r="M35" s="86"/>
      <c r="N35" s="86"/>
      <c r="O35" s="86"/>
      <c r="P35" s="86"/>
      <c r="Q35" s="86"/>
      <c r="R35" s="86"/>
      <c r="S35" s="86"/>
      <c r="T35" s="86"/>
    </row>
    <row r="36" spans="2:22" ht="21.6">
      <c r="B36" s="51" t="s">
        <v>171</v>
      </c>
      <c r="C36" s="52"/>
      <c r="D36" s="156" t="str">
        <f>'EDI Framework Criteria'!B26</f>
        <v>Mechanisms have been set up to address Equality, Diversity and Inclusion incidents</v>
      </c>
      <c r="E36" s="53"/>
      <c r="F36" s="53"/>
      <c r="G36" s="53"/>
      <c r="H36" s="53"/>
      <c r="I36" s="53"/>
      <c r="J36" s="53"/>
      <c r="K36" s="53"/>
      <c r="L36" s="53"/>
      <c r="M36" s="53"/>
      <c r="N36" s="53"/>
      <c r="O36" s="53"/>
      <c r="P36" s="53"/>
      <c r="Q36" s="53"/>
      <c r="R36" s="53"/>
      <c r="S36" s="53"/>
      <c r="T36" s="54"/>
    </row>
    <row r="37" spans="2:22">
      <c r="B37" s="55"/>
      <c r="C37" s="56"/>
      <c r="D37" s="56"/>
      <c r="E37" s="56"/>
      <c r="F37" s="56"/>
      <c r="G37" s="56"/>
      <c r="H37" s="56"/>
      <c r="I37" s="56"/>
      <c r="J37" s="56"/>
      <c r="K37" s="56"/>
      <c r="L37" s="56"/>
      <c r="M37" s="56"/>
      <c r="N37" s="56"/>
      <c r="O37" s="56"/>
      <c r="P37" s="56"/>
      <c r="Q37" s="56"/>
      <c r="R37" s="56"/>
      <c r="S37" s="56"/>
      <c r="T37" s="57"/>
    </row>
    <row r="38" spans="2:22" ht="50.4">
      <c r="B38" s="55"/>
      <c r="C38" s="56"/>
      <c r="D38" s="56"/>
      <c r="E38" s="56"/>
      <c r="F38" s="56"/>
      <c r="G38" s="56"/>
      <c r="H38" s="56"/>
      <c r="I38" s="58" t="s">
        <v>162</v>
      </c>
      <c r="J38" s="58" t="s">
        <v>163</v>
      </c>
      <c r="K38" s="59"/>
      <c r="L38" s="60" t="s">
        <v>508</v>
      </c>
      <c r="M38" s="56"/>
      <c r="N38" s="56"/>
      <c r="O38" s="56"/>
      <c r="P38" s="56"/>
      <c r="Q38" s="56"/>
      <c r="R38" s="56"/>
      <c r="S38" s="56"/>
      <c r="T38" s="57"/>
    </row>
    <row r="39" spans="2:22" ht="90" customHeight="1">
      <c r="B39" s="61" t="s">
        <v>166</v>
      </c>
      <c r="C39" s="62" t="str">
        <f>'EDI Framework Criteria'!C26</f>
        <v>1.G.3</v>
      </c>
      <c r="D39" s="224" t="str">
        <f>'EDI Framework Criteria'!D26</f>
        <v>We are committed to creating or adapting an existing complaint or whistleblowing process. These processes will include support for people making the complaint. The processes will be accessible to internal and external stakeholders.</v>
      </c>
      <c r="E39" s="225"/>
      <c r="F39" s="225"/>
      <c r="G39" s="225"/>
      <c r="H39" s="226"/>
      <c r="I39" s="63" t="s">
        <v>175</v>
      </c>
      <c r="J39" s="63"/>
      <c r="K39" s="47">
        <f>INDEX($U$3:$V$13,MATCH(I39,$U$3:$U$13,0),2)</f>
        <v>0</v>
      </c>
      <c r="L39" s="264"/>
      <c r="M39" s="264"/>
      <c r="N39" s="264"/>
      <c r="O39" s="264"/>
      <c r="P39" s="264"/>
      <c r="Q39" s="264"/>
      <c r="R39" s="264"/>
      <c r="S39" s="264"/>
      <c r="T39" s="265"/>
      <c r="V39" s="99">
        <f>IF(K39=0,V38,"")</f>
        <v>0</v>
      </c>
    </row>
    <row r="40" spans="2:22">
      <c r="B40" s="46"/>
      <c r="C40" s="47"/>
      <c r="D40" s="47"/>
      <c r="E40" s="47"/>
      <c r="F40" s="47"/>
      <c r="G40" s="47"/>
      <c r="H40" s="47"/>
      <c r="I40" s="47"/>
      <c r="J40" s="47"/>
      <c r="K40" s="47"/>
      <c r="L40" s="264"/>
      <c r="M40" s="264"/>
      <c r="N40" s="264"/>
      <c r="O40" s="264"/>
      <c r="P40" s="264"/>
      <c r="Q40" s="264"/>
      <c r="R40" s="264"/>
      <c r="S40" s="264"/>
      <c r="T40" s="265"/>
    </row>
    <row r="41" spans="2:22" ht="90" customHeight="1">
      <c r="B41" s="61" t="s">
        <v>167</v>
      </c>
      <c r="C41" s="62" t="str">
        <f>'EDI Framework Criteria'!E26</f>
        <v>2.G.3</v>
      </c>
      <c r="D41" s="224" t="str">
        <f>'EDI Framework Criteria'!F26</f>
        <v>We have created or adapted an existing complaint or whistleblowing process. These processes include support for people making the complaint. The processes are accessible to internal and external stakeholders.</v>
      </c>
      <c r="E41" s="225"/>
      <c r="F41" s="225"/>
      <c r="G41" s="225"/>
      <c r="H41" s="226"/>
      <c r="I41" s="63" t="s">
        <v>176</v>
      </c>
      <c r="J41" s="63"/>
      <c r="K41" s="47">
        <f>INDEX($U$3:$V$13,MATCH(I41,$U$3:$U$13,0),2)</f>
        <v>0</v>
      </c>
      <c r="L41" s="264"/>
      <c r="M41" s="264"/>
      <c r="N41" s="264"/>
      <c r="O41" s="264"/>
      <c r="P41" s="264"/>
      <c r="Q41" s="264"/>
      <c r="R41" s="264"/>
      <c r="S41" s="264"/>
      <c r="T41" s="265"/>
    </row>
    <row r="42" spans="2:22">
      <c r="B42" s="46"/>
      <c r="C42" s="47"/>
      <c r="D42" s="47"/>
      <c r="E42" s="47"/>
      <c r="F42" s="47"/>
      <c r="G42" s="47"/>
      <c r="H42" s="47"/>
      <c r="I42" s="47"/>
      <c r="J42" s="47"/>
      <c r="K42" s="47"/>
      <c r="L42" s="264"/>
      <c r="M42" s="264"/>
      <c r="N42" s="264"/>
      <c r="O42" s="264"/>
      <c r="P42" s="264"/>
      <c r="Q42" s="264"/>
      <c r="R42" s="264"/>
      <c r="S42" s="264"/>
      <c r="T42" s="265"/>
    </row>
    <row r="43" spans="2:22" ht="90" customHeight="1" thickBot="1">
      <c r="B43" s="64" t="s">
        <v>168</v>
      </c>
      <c r="C43" s="65" t="str">
        <f>'EDI Framework Criteria'!G26</f>
        <v>3.G.3</v>
      </c>
      <c r="D43" s="221" t="str">
        <f>'EDI Framework Criteria'!H26</f>
        <v>Our complaint or whistleblowing process is in place, and has been reviewed at least once. We keep a record of how incidents or concerns have been addressed.</v>
      </c>
      <c r="E43" s="222"/>
      <c r="F43" s="222"/>
      <c r="G43" s="222"/>
      <c r="H43" s="223"/>
      <c r="I43" s="66" t="s">
        <v>177</v>
      </c>
      <c r="J43" s="66"/>
      <c r="K43" s="67">
        <f>INDEX($U$3:$V$13,MATCH(I43,$U$3:$U$13,0),2)</f>
        <v>0</v>
      </c>
      <c r="L43" s="266"/>
      <c r="M43" s="266"/>
      <c r="N43" s="266"/>
      <c r="O43" s="266"/>
      <c r="P43" s="266"/>
      <c r="Q43" s="266"/>
      <c r="R43" s="266"/>
      <c r="S43" s="266"/>
      <c r="T43" s="267"/>
    </row>
    <row r="44" spans="2:22">
      <c r="B44" s="34"/>
      <c r="C44" s="86"/>
      <c r="D44" s="86"/>
      <c r="E44" s="86"/>
      <c r="F44" s="86"/>
      <c r="G44" s="86"/>
      <c r="H44" s="86"/>
      <c r="I44" s="86"/>
      <c r="J44" s="86"/>
      <c r="K44" s="86"/>
      <c r="L44" s="86"/>
      <c r="M44" s="86"/>
      <c r="N44" s="86"/>
      <c r="O44" s="86"/>
      <c r="P44" s="86"/>
      <c r="Q44" s="86"/>
      <c r="R44" s="86"/>
      <c r="S44" s="86"/>
      <c r="T44" s="86"/>
    </row>
    <row r="45" spans="2:22">
      <c r="B45" s="34"/>
      <c r="C45" s="86"/>
      <c r="D45" s="86"/>
      <c r="E45" s="86"/>
      <c r="F45" s="86"/>
      <c r="G45" s="86"/>
      <c r="H45" s="86"/>
      <c r="I45" s="86"/>
      <c r="J45" s="86"/>
      <c r="K45" s="86"/>
      <c r="L45" s="86"/>
      <c r="M45" s="86"/>
      <c r="N45" s="86"/>
      <c r="O45" s="86"/>
      <c r="P45" s="86"/>
      <c r="Q45" s="86"/>
      <c r="R45" s="86"/>
      <c r="S45" s="86"/>
      <c r="T45" s="86"/>
    </row>
    <row r="46" spans="2:22" ht="17.399999999999999" thickBot="1">
      <c r="B46" s="34"/>
      <c r="C46" s="86"/>
      <c r="D46" s="86"/>
      <c r="E46" s="86"/>
      <c r="F46" s="86"/>
      <c r="G46" s="86"/>
      <c r="H46" s="86"/>
      <c r="I46" s="86"/>
      <c r="J46" s="86"/>
      <c r="K46" s="86"/>
      <c r="L46" s="86"/>
      <c r="M46" s="86"/>
      <c r="N46" s="86"/>
      <c r="O46" s="86"/>
      <c r="P46" s="86"/>
      <c r="Q46" s="86"/>
      <c r="R46" s="86"/>
      <c r="S46" s="86"/>
      <c r="T46" s="86"/>
    </row>
    <row r="47" spans="2:22" ht="31.5" customHeight="1">
      <c r="B47" s="87" t="s">
        <v>194</v>
      </c>
      <c r="C47" s="88"/>
      <c r="D47" s="88" t="s">
        <v>180</v>
      </c>
      <c r="E47" s="89"/>
      <c r="F47" s="89"/>
      <c r="G47" s="89"/>
      <c r="H47" s="89"/>
      <c r="I47" s="89"/>
      <c r="J47" s="89"/>
      <c r="K47" s="89"/>
      <c r="L47" s="89"/>
      <c r="M47" s="89"/>
      <c r="N47" s="89"/>
      <c r="O47" s="89"/>
      <c r="P47" s="89"/>
      <c r="Q47" s="89"/>
      <c r="R47" s="89"/>
      <c r="S47" s="89"/>
      <c r="T47" s="89"/>
    </row>
    <row r="48" spans="2:22" ht="25.2" thickBot="1">
      <c r="B48" s="91"/>
      <c r="C48" s="92"/>
      <c r="D48" s="92"/>
      <c r="E48" s="92"/>
      <c r="F48" s="92"/>
      <c r="G48" s="92"/>
      <c r="H48" s="92"/>
      <c r="I48" s="92"/>
      <c r="J48" s="92"/>
      <c r="K48" s="92"/>
      <c r="L48" s="92"/>
      <c r="M48" s="92"/>
      <c r="N48" s="92"/>
      <c r="O48" s="92"/>
      <c r="P48" s="92"/>
      <c r="Q48" s="92"/>
      <c r="R48" s="92"/>
      <c r="S48" s="92"/>
      <c r="T48" s="92"/>
    </row>
    <row r="49" spans="2:20" ht="17.399999999999999" thickBot="1">
      <c r="B49" s="97"/>
      <c r="C49" s="98"/>
      <c r="D49" s="98"/>
      <c r="E49" s="98"/>
      <c r="F49" s="98"/>
      <c r="G49" s="98"/>
      <c r="H49" s="98"/>
      <c r="I49" s="98"/>
      <c r="J49" s="98"/>
      <c r="K49" s="98"/>
      <c r="L49" s="98"/>
      <c r="M49" s="98"/>
      <c r="N49" s="98"/>
      <c r="O49" s="98"/>
      <c r="P49" s="98"/>
      <c r="Q49" s="98"/>
      <c r="R49" s="98"/>
      <c r="S49" s="98"/>
      <c r="T49" s="98"/>
    </row>
  </sheetData>
  <mergeCells count="28">
    <mergeCell ref="D9:N9"/>
    <mergeCell ref="D43:H43"/>
    <mergeCell ref="D31:H31"/>
    <mergeCell ref="D33:H33"/>
    <mergeCell ref="D39:H39"/>
    <mergeCell ref="D41:H41"/>
    <mergeCell ref="D29:H29"/>
    <mergeCell ref="D12:N12"/>
    <mergeCell ref="D11:N11"/>
    <mergeCell ref="D23:H23"/>
    <mergeCell ref="L29:T33"/>
    <mergeCell ref="L39:T43"/>
    <mergeCell ref="V1:Y1"/>
    <mergeCell ref="B3:T3"/>
    <mergeCell ref="D19:H19"/>
    <mergeCell ref="D21:H21"/>
    <mergeCell ref="O12:T12"/>
    <mergeCell ref="O11:T11"/>
    <mergeCell ref="O10:T10"/>
    <mergeCell ref="O9:T9"/>
    <mergeCell ref="B12:C12"/>
    <mergeCell ref="B11:C11"/>
    <mergeCell ref="L19:T23"/>
    <mergeCell ref="B10:C10"/>
    <mergeCell ref="B9:C9"/>
    <mergeCell ref="B6:J7"/>
    <mergeCell ref="B14:J14"/>
    <mergeCell ref="D10:N10"/>
  </mergeCells>
  <conditionalFormatting sqref="U5">
    <cfRule type="cellIs" dxfId="170" priority="28" operator="equal">
      <formula>$U$4</formula>
    </cfRule>
    <cfRule type="cellIs" dxfId="169" priority="29" operator="equal">
      <formula>$U$4</formula>
    </cfRule>
  </conditionalFormatting>
  <conditionalFormatting sqref="I19">
    <cfRule type="cellIs" dxfId="168" priority="19" operator="equal">
      <formula>$U$5</formula>
    </cfRule>
    <cfRule type="cellIs" dxfId="167" priority="20" operator="equal">
      <formula>$U$3</formula>
    </cfRule>
    <cfRule type="cellIs" dxfId="166" priority="21" operator="equal">
      <formula>$U$4</formula>
    </cfRule>
  </conditionalFormatting>
  <conditionalFormatting sqref="I21">
    <cfRule type="cellIs" dxfId="165" priority="22" operator="equal">
      <formula>$U$9</formula>
    </cfRule>
    <cfRule type="cellIs" dxfId="164" priority="23" operator="equal">
      <formula>$U$7</formula>
    </cfRule>
    <cfRule type="cellIs" dxfId="163" priority="24" operator="equal">
      <formula>$U$8</formula>
    </cfRule>
  </conditionalFormatting>
  <conditionalFormatting sqref="I23">
    <cfRule type="cellIs" dxfId="162" priority="25" operator="equal">
      <formula>$U$13</formula>
    </cfRule>
    <cfRule type="cellIs" dxfId="161" priority="26" operator="equal">
      <formula>$U$11</formula>
    </cfRule>
    <cfRule type="cellIs" dxfId="160" priority="27" operator="equal">
      <formula>$U$12</formula>
    </cfRule>
  </conditionalFormatting>
  <conditionalFormatting sqref="I29">
    <cfRule type="cellIs" dxfId="159" priority="10" operator="equal">
      <formula>$U$5</formula>
    </cfRule>
    <cfRule type="cellIs" dxfId="158" priority="11" operator="equal">
      <formula>$U$3</formula>
    </cfRule>
    <cfRule type="cellIs" dxfId="157" priority="12" operator="equal">
      <formula>$U$4</formula>
    </cfRule>
  </conditionalFormatting>
  <conditionalFormatting sqref="I31">
    <cfRule type="cellIs" dxfId="156" priority="13" operator="equal">
      <formula>$U$9</formula>
    </cfRule>
    <cfRule type="cellIs" dxfId="155" priority="14" operator="equal">
      <formula>$U$7</formula>
    </cfRule>
    <cfRule type="cellIs" dxfId="154" priority="15" operator="equal">
      <formula>$U$8</formula>
    </cfRule>
  </conditionalFormatting>
  <conditionalFormatting sqref="I33">
    <cfRule type="cellIs" dxfId="153" priority="16" operator="equal">
      <formula>$U$13</formula>
    </cfRule>
    <cfRule type="cellIs" dxfId="152" priority="17" operator="equal">
      <formula>$U$11</formula>
    </cfRule>
    <cfRule type="cellIs" dxfId="151" priority="18" operator="equal">
      <formula>$U$12</formula>
    </cfRule>
  </conditionalFormatting>
  <conditionalFormatting sqref="I39">
    <cfRule type="cellIs" dxfId="150" priority="1" operator="equal">
      <formula>$U$5</formula>
    </cfRule>
    <cfRule type="cellIs" dxfId="149" priority="2" operator="equal">
      <formula>$U$3</formula>
    </cfRule>
    <cfRule type="cellIs" dxfId="148" priority="3" operator="equal">
      <formula>$U$4</formula>
    </cfRule>
  </conditionalFormatting>
  <conditionalFormatting sqref="I41">
    <cfRule type="cellIs" dxfId="147" priority="4" operator="equal">
      <formula>$U$9</formula>
    </cfRule>
    <cfRule type="cellIs" dxfId="146" priority="5" operator="equal">
      <formula>$U$7</formula>
    </cfRule>
    <cfRule type="cellIs" dxfId="145" priority="6" operator="equal">
      <formula>$U$8</formula>
    </cfRule>
  </conditionalFormatting>
  <conditionalFormatting sqref="I43">
    <cfRule type="cellIs" dxfId="144" priority="7" operator="equal">
      <formula>$U$13</formula>
    </cfRule>
    <cfRule type="cellIs" dxfId="143" priority="8" operator="equal">
      <formula>$U$11</formula>
    </cfRule>
    <cfRule type="cellIs" dxfId="142" priority="9" operator="equal">
      <formula>$U$12</formula>
    </cfRule>
  </conditionalFormatting>
  <dataValidations count="3">
    <dataValidation type="list" allowBlank="1" showInputMessage="1" showErrorMessage="1" sqref="I29 I39 I19" xr:uid="{60185BA0-2069-4157-AFCE-0212ACA1A233}">
      <formula1>$U$3:$U$5</formula1>
    </dataValidation>
    <dataValidation type="list" allowBlank="1" showInputMessage="1" showErrorMessage="1" sqref="I31 I41 I21" xr:uid="{7DBD4205-A68D-4788-A87D-DA7768650F04}">
      <formula1>$U$7:$U$9</formula1>
    </dataValidation>
    <dataValidation type="list" allowBlank="1" showInputMessage="1" showErrorMessage="1" sqref="I33 I43 I23" xr:uid="{0689E8F8-CBDD-4EB2-8F54-6B3E24D51B75}">
      <formula1>$U$11:$U$13</formula1>
    </dataValidation>
  </dataValidations>
  <hyperlinks>
    <hyperlink ref="B47" location="'Section 6'!A1" display="Previous section" xr:uid="{E154BF79-2C07-405D-91DB-93C80B709D14}"/>
    <hyperlink ref="D47" location="'Section 8'!A1" display="Next section" xr:uid="{33DAFE75-BA1F-4C84-8F49-78F4AC31D718}"/>
    <hyperlink ref="O10" r:id="rId1" xr:uid="{63950ED5-E2A3-49EF-BD2A-2CD1806BFD9E}"/>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B03313-5BF7-4CC6-ADD3-49A97B28FAC6}">
  <sheetPr codeName="Sheet10"/>
  <dimension ref="B1:Y67"/>
  <sheetViews>
    <sheetView zoomScale="55" zoomScaleNormal="55" workbookViewId="0">
      <selection activeCell="B6" sqref="B6:J7"/>
    </sheetView>
  </sheetViews>
  <sheetFormatPr defaultColWidth="0" defaultRowHeight="16.8" zeroHeight="1" outlineLevelRow="1"/>
  <cols>
    <col min="1" max="1" width="3.33203125" style="32" customWidth="1"/>
    <col min="2" max="2" width="30.4140625" style="32" customWidth="1"/>
    <col min="3" max="3" width="19.5" style="32" hidden="1" customWidth="1"/>
    <col min="4" max="4" width="27.08203125" style="32" customWidth="1"/>
    <col min="5" max="8" width="9.08203125" style="32" customWidth="1"/>
    <col min="9" max="9" width="26.83203125" style="32" customWidth="1"/>
    <col min="10" max="10" width="52.9140625" style="32" customWidth="1"/>
    <col min="11" max="11" width="12.5" style="32" hidden="1" customWidth="1"/>
    <col min="12" max="20" width="9.08203125" style="32" customWidth="1"/>
    <col min="21" max="21" width="12.5" style="99" customWidth="1"/>
    <col min="22" max="22" width="9.08203125" style="99" hidden="1" customWidth="1"/>
    <col min="23" max="25" width="9.08203125" style="32" hidden="1" customWidth="1"/>
    <col min="26" max="16384" width="0" style="32" hidden="1"/>
  </cols>
  <sheetData>
    <row r="1" spans="2:25" ht="17.399999999999999" thickBot="1">
      <c r="V1" s="263"/>
      <c r="W1" s="263"/>
      <c r="X1" s="263"/>
      <c r="Y1" s="263"/>
    </row>
    <row r="2" spans="2:25" s="40" customFormat="1" ht="34.200000000000003" thickBot="1">
      <c r="B2" s="41" t="s">
        <v>236</v>
      </c>
      <c r="C2" s="42"/>
      <c r="D2" s="43"/>
      <c r="E2" s="43"/>
      <c r="F2" s="43"/>
      <c r="G2" s="43"/>
      <c r="H2" s="43"/>
      <c r="I2" s="43"/>
      <c r="J2" s="43"/>
      <c r="K2" s="43"/>
      <c r="L2" s="43"/>
      <c r="M2" s="43"/>
      <c r="N2" s="43"/>
      <c r="O2" s="43"/>
      <c r="P2" s="43"/>
      <c r="Q2" s="43"/>
      <c r="R2" s="43"/>
      <c r="S2" s="43"/>
      <c r="T2" s="166"/>
      <c r="U2" s="120"/>
      <c r="V2" s="160"/>
      <c r="W2" s="160"/>
      <c r="X2" s="160"/>
      <c r="Y2" s="160"/>
    </row>
    <row r="3" spans="2:25" s="40" customFormat="1" ht="48.6" customHeight="1" thickBot="1">
      <c r="B3" s="218" t="str">
        <f>'EDI Framework Criteria'!A27</f>
        <v>Work integration: Managers and governance reflect diversity of wider workforce</v>
      </c>
      <c r="C3" s="219"/>
      <c r="D3" s="219"/>
      <c r="E3" s="219"/>
      <c r="F3" s="219"/>
      <c r="G3" s="219"/>
      <c r="H3" s="219"/>
      <c r="I3" s="219"/>
      <c r="J3" s="219"/>
      <c r="K3" s="219"/>
      <c r="L3" s="219"/>
      <c r="M3" s="219"/>
      <c r="N3" s="219"/>
      <c r="O3" s="219"/>
      <c r="P3" s="219"/>
      <c r="Q3" s="219"/>
      <c r="R3" s="219"/>
      <c r="S3" s="219"/>
      <c r="T3" s="220"/>
      <c r="U3" s="120" t="s">
        <v>172</v>
      </c>
      <c r="V3" s="121"/>
      <c r="W3" s="120"/>
      <c r="X3" s="120"/>
      <c r="Y3" s="120"/>
    </row>
    <row r="4" spans="2:25">
      <c r="B4" s="34"/>
      <c r="C4" s="86"/>
      <c r="D4" s="86"/>
      <c r="E4" s="86"/>
      <c r="F4" s="86"/>
      <c r="G4" s="86"/>
      <c r="H4" s="86"/>
      <c r="I4" s="86"/>
      <c r="J4" s="86"/>
      <c r="K4" s="86"/>
      <c r="L4" s="86"/>
      <c r="M4" s="86"/>
      <c r="N4" s="86"/>
      <c r="O4" s="86"/>
      <c r="P4" s="86"/>
      <c r="Q4" s="86"/>
      <c r="R4" s="86"/>
      <c r="S4" s="86"/>
      <c r="T4" s="35"/>
      <c r="U4" s="99" t="s">
        <v>144</v>
      </c>
      <c r="V4" s="122">
        <v>1</v>
      </c>
    </row>
    <row r="5" spans="2:25" ht="21.6">
      <c r="B5" s="94" t="s">
        <v>145</v>
      </c>
      <c r="C5" s="95"/>
      <c r="D5" s="86"/>
      <c r="E5" s="86"/>
      <c r="F5" s="86"/>
      <c r="G5" s="86"/>
      <c r="H5" s="86"/>
      <c r="I5" s="86"/>
      <c r="J5" s="86"/>
      <c r="K5" s="86"/>
      <c r="L5" s="86"/>
      <c r="M5" s="86"/>
      <c r="N5" s="86"/>
      <c r="O5" s="86"/>
      <c r="P5" s="86"/>
      <c r="Q5" s="86"/>
      <c r="R5" s="86"/>
      <c r="S5" s="86"/>
      <c r="T5" s="35"/>
      <c r="U5" s="99" t="s">
        <v>175</v>
      </c>
      <c r="V5" s="122">
        <v>0</v>
      </c>
    </row>
    <row r="6" spans="2:25">
      <c r="B6" s="228" t="s">
        <v>329</v>
      </c>
      <c r="C6" s="229"/>
      <c r="D6" s="229"/>
      <c r="E6" s="229"/>
      <c r="F6" s="229"/>
      <c r="G6" s="229"/>
      <c r="H6" s="229"/>
      <c r="I6" s="229"/>
      <c r="J6" s="229"/>
      <c r="K6" s="86"/>
      <c r="L6" s="86"/>
      <c r="M6" s="86"/>
      <c r="N6" s="86"/>
      <c r="O6" s="86"/>
      <c r="P6" s="86"/>
      <c r="Q6" s="86"/>
      <c r="R6" s="86"/>
      <c r="S6" s="86"/>
      <c r="T6" s="35"/>
      <c r="V6" s="122"/>
    </row>
    <row r="7" spans="2:25">
      <c r="B7" s="228"/>
      <c r="C7" s="229"/>
      <c r="D7" s="229"/>
      <c r="E7" s="229"/>
      <c r="F7" s="229"/>
      <c r="G7" s="229"/>
      <c r="H7" s="229"/>
      <c r="I7" s="229"/>
      <c r="J7" s="229"/>
      <c r="K7" s="86"/>
      <c r="L7" s="86"/>
      <c r="M7" s="86"/>
      <c r="N7" s="86"/>
      <c r="O7" s="86"/>
      <c r="P7" s="86"/>
      <c r="Q7" s="86"/>
      <c r="R7" s="86"/>
      <c r="S7" s="86"/>
      <c r="T7" s="35"/>
      <c r="U7" s="99" t="s">
        <v>173</v>
      </c>
      <c r="V7" s="122">
        <v>2</v>
      </c>
    </row>
    <row r="8" spans="2:25" s="40" customFormat="1" ht="21.6">
      <c r="B8" s="49" t="s">
        <v>321</v>
      </c>
      <c r="C8" s="50"/>
      <c r="D8" s="47"/>
      <c r="E8" s="47"/>
      <c r="F8" s="47"/>
      <c r="G8" s="47"/>
      <c r="H8" s="47"/>
      <c r="I8" s="47"/>
      <c r="J8" s="47"/>
      <c r="K8" s="47"/>
      <c r="L8" s="47"/>
      <c r="M8" s="47"/>
      <c r="N8" s="47"/>
      <c r="O8" s="47"/>
      <c r="P8" s="47"/>
      <c r="Q8" s="47"/>
      <c r="R8" s="47"/>
      <c r="S8" s="47"/>
      <c r="T8" s="48"/>
      <c r="U8" s="120" t="s">
        <v>144</v>
      </c>
      <c r="V8" s="121">
        <v>1</v>
      </c>
    </row>
    <row r="9" spans="2:25" s="40" customFormat="1" ht="18.75" hidden="1" customHeight="1" outlineLevel="1">
      <c r="B9" s="232" t="s">
        <v>146</v>
      </c>
      <c r="C9" s="233"/>
      <c r="D9" s="234" t="s">
        <v>147</v>
      </c>
      <c r="E9" s="235"/>
      <c r="F9" s="235"/>
      <c r="G9" s="235"/>
      <c r="H9" s="235"/>
      <c r="I9" s="235"/>
      <c r="J9" s="235"/>
      <c r="K9" s="235"/>
      <c r="L9" s="235"/>
      <c r="M9" s="235"/>
      <c r="N9" s="233"/>
      <c r="O9" s="240" t="s">
        <v>148</v>
      </c>
      <c r="P9" s="240"/>
      <c r="Q9" s="240"/>
      <c r="R9" s="240"/>
      <c r="S9" s="240"/>
      <c r="T9" s="241"/>
      <c r="U9" s="120" t="s">
        <v>176</v>
      </c>
      <c r="V9" s="121">
        <v>0</v>
      </c>
    </row>
    <row r="10" spans="2:25" s="40" customFormat="1" ht="96" hidden="1" customHeight="1" outlineLevel="1">
      <c r="B10" s="227"/>
      <c r="C10" s="226"/>
      <c r="D10" s="224"/>
      <c r="E10" s="238"/>
      <c r="F10" s="238"/>
      <c r="G10" s="238"/>
      <c r="H10" s="238"/>
      <c r="I10" s="238"/>
      <c r="J10" s="238"/>
      <c r="K10" s="238"/>
      <c r="L10" s="238"/>
      <c r="M10" s="238"/>
      <c r="N10" s="239"/>
      <c r="O10" s="236"/>
      <c r="P10" s="242"/>
      <c r="Q10" s="242"/>
      <c r="R10" s="242"/>
      <c r="S10" s="242"/>
      <c r="T10" s="243"/>
      <c r="U10" s="120"/>
      <c r="V10" s="121"/>
    </row>
    <row r="11" spans="2:25" s="40" customFormat="1" ht="65.25" hidden="1" customHeight="1" outlineLevel="1">
      <c r="B11" s="227"/>
      <c r="C11" s="226"/>
      <c r="D11" s="224"/>
      <c r="E11" s="225"/>
      <c r="F11" s="225"/>
      <c r="G11" s="225"/>
      <c r="H11" s="225"/>
      <c r="I11" s="225"/>
      <c r="J11" s="225"/>
      <c r="K11" s="225"/>
      <c r="L11" s="225"/>
      <c r="M11" s="225"/>
      <c r="N11" s="226"/>
      <c r="O11" s="236"/>
      <c r="P11" s="236"/>
      <c r="Q11" s="236"/>
      <c r="R11" s="236"/>
      <c r="S11" s="236"/>
      <c r="T11" s="237"/>
      <c r="U11" s="120" t="s">
        <v>169</v>
      </c>
      <c r="V11" s="121">
        <v>2</v>
      </c>
    </row>
    <row r="12" spans="2:25" s="40" customFormat="1" ht="49.5" hidden="1" customHeight="1" outlineLevel="1">
      <c r="B12" s="227"/>
      <c r="C12" s="226"/>
      <c r="D12" s="224"/>
      <c r="E12" s="225"/>
      <c r="F12" s="225"/>
      <c r="G12" s="225"/>
      <c r="H12" s="225"/>
      <c r="I12" s="225"/>
      <c r="J12" s="225"/>
      <c r="K12" s="225"/>
      <c r="L12" s="225"/>
      <c r="M12" s="225"/>
      <c r="N12" s="226"/>
      <c r="O12" s="236"/>
      <c r="P12" s="236"/>
      <c r="Q12" s="236"/>
      <c r="R12" s="236"/>
      <c r="S12" s="236"/>
      <c r="T12" s="237"/>
      <c r="U12" s="120" t="s">
        <v>144</v>
      </c>
      <c r="V12" s="121">
        <v>1</v>
      </c>
    </row>
    <row r="13" spans="2:25" collapsed="1">
      <c r="B13" s="34"/>
      <c r="C13" s="86"/>
      <c r="D13" s="86"/>
      <c r="E13" s="86"/>
      <c r="F13" s="86"/>
      <c r="G13" s="86"/>
      <c r="H13" s="86"/>
      <c r="I13" s="86"/>
      <c r="J13" s="86"/>
      <c r="K13" s="86"/>
      <c r="L13" s="86"/>
      <c r="M13" s="86"/>
      <c r="N13" s="86"/>
      <c r="O13" s="86"/>
      <c r="P13" s="86"/>
      <c r="Q13" s="86"/>
      <c r="R13" s="86"/>
      <c r="S13" s="86"/>
      <c r="T13" s="35"/>
      <c r="U13" s="99" t="s">
        <v>177</v>
      </c>
      <c r="V13" s="122">
        <v>0</v>
      </c>
    </row>
    <row r="14" spans="2:25" ht="20.100000000000001" customHeight="1">
      <c r="B14" s="230"/>
      <c r="C14" s="231"/>
      <c r="D14" s="231"/>
      <c r="E14" s="231"/>
      <c r="F14" s="231"/>
      <c r="G14" s="231"/>
      <c r="H14" s="231"/>
      <c r="I14" s="231"/>
      <c r="J14" s="231"/>
      <c r="K14" s="47"/>
      <c r="L14" s="47"/>
      <c r="M14" s="47"/>
      <c r="N14" s="47"/>
      <c r="O14" s="47"/>
      <c r="P14" s="47"/>
      <c r="Q14" s="47"/>
      <c r="R14" s="47"/>
      <c r="S14" s="47"/>
      <c r="T14" s="48"/>
    </row>
    <row r="15" spans="2:25" ht="17.399999999999999" thickBot="1">
      <c r="B15" s="97"/>
      <c r="C15" s="98"/>
      <c r="D15" s="98"/>
      <c r="E15" s="98"/>
      <c r="F15" s="98"/>
      <c r="G15" s="98"/>
      <c r="H15" s="98"/>
      <c r="I15" s="98"/>
      <c r="J15" s="98"/>
      <c r="K15" s="98"/>
      <c r="L15" s="98"/>
      <c r="M15" s="98"/>
      <c r="N15" s="98"/>
      <c r="O15" s="98"/>
      <c r="P15" s="98"/>
      <c r="Q15" s="98"/>
      <c r="R15" s="98"/>
      <c r="S15" s="98"/>
      <c r="T15" s="36"/>
    </row>
    <row r="16" spans="2:25" ht="21.6">
      <c r="B16" s="51" t="s">
        <v>161</v>
      </c>
      <c r="C16" s="52"/>
      <c r="D16" s="156" t="str">
        <f>'EDI Framework Criteria'!B27</f>
        <v>Staff diversity and hiring practices</v>
      </c>
      <c r="E16" s="53"/>
      <c r="F16" s="53"/>
      <c r="G16" s="53"/>
      <c r="H16" s="53"/>
      <c r="I16" s="53"/>
      <c r="J16" s="53"/>
      <c r="K16" s="53"/>
      <c r="L16" s="53"/>
      <c r="M16" s="53"/>
      <c r="N16" s="53"/>
      <c r="O16" s="53"/>
      <c r="P16" s="53"/>
      <c r="Q16" s="53"/>
      <c r="R16" s="53"/>
      <c r="S16" s="53"/>
      <c r="T16" s="54"/>
    </row>
    <row r="17" spans="2:22">
      <c r="B17" s="55"/>
      <c r="C17" s="56"/>
      <c r="D17" s="56"/>
      <c r="E17" s="56"/>
      <c r="F17" s="56"/>
      <c r="G17" s="56"/>
      <c r="H17" s="56"/>
      <c r="I17" s="56"/>
      <c r="J17" s="56"/>
      <c r="K17" s="56"/>
      <c r="L17" s="56"/>
      <c r="M17" s="56"/>
      <c r="N17" s="56"/>
      <c r="O17" s="56"/>
      <c r="P17" s="56"/>
      <c r="Q17" s="56"/>
      <c r="R17" s="56"/>
      <c r="S17" s="56"/>
      <c r="T17" s="57"/>
    </row>
    <row r="18" spans="2:22" ht="50.4">
      <c r="B18" s="55"/>
      <c r="C18" s="56"/>
      <c r="D18" s="56"/>
      <c r="E18" s="56"/>
      <c r="F18" s="56"/>
      <c r="G18" s="56"/>
      <c r="H18" s="56"/>
      <c r="I18" s="58" t="s">
        <v>162</v>
      </c>
      <c r="J18" s="58" t="s">
        <v>163</v>
      </c>
      <c r="K18" s="59" t="s">
        <v>164</v>
      </c>
      <c r="L18" s="60" t="s">
        <v>508</v>
      </c>
      <c r="M18" s="56"/>
      <c r="N18" s="56"/>
      <c r="O18" s="56"/>
      <c r="P18" s="56"/>
      <c r="Q18" s="56"/>
      <c r="R18" s="56"/>
      <c r="S18" s="56"/>
      <c r="T18" s="57"/>
    </row>
    <row r="19" spans="2:22" ht="90" customHeight="1">
      <c r="B19" s="61" t="s">
        <v>166</v>
      </c>
      <c r="C19" s="62" t="str">
        <f>'EDI Framework Criteria'!C27</f>
        <v>1.H.1</v>
      </c>
      <c r="D19" s="224" t="str">
        <f>'EDI Framework Criteria'!D27</f>
        <v>We are committed to creating a plan to improve EDI within our recruitment. This may include adapting language used in job adverts, promoting flexible and remote working, and reaching out to diverse networks.</v>
      </c>
      <c r="E19" s="225"/>
      <c r="F19" s="225"/>
      <c r="G19" s="225"/>
      <c r="H19" s="226"/>
      <c r="I19" s="63" t="s">
        <v>175</v>
      </c>
      <c r="J19" s="63"/>
      <c r="K19" s="47">
        <f>INDEX($U$3:$V$13,MATCH(I19,$U$3:$U$13,0),2)</f>
        <v>0</v>
      </c>
      <c r="L19" s="264"/>
      <c r="M19" s="264"/>
      <c r="N19" s="264"/>
      <c r="O19" s="264"/>
      <c r="P19" s="264"/>
      <c r="Q19" s="264"/>
      <c r="R19" s="264"/>
      <c r="S19" s="264"/>
      <c r="T19" s="265"/>
    </row>
    <row r="20" spans="2:22">
      <c r="B20" s="46"/>
      <c r="C20" s="47"/>
      <c r="D20" s="47"/>
      <c r="E20" s="47"/>
      <c r="F20" s="47"/>
      <c r="G20" s="47"/>
      <c r="H20" s="47"/>
      <c r="I20" s="47"/>
      <c r="J20" s="47"/>
      <c r="K20" s="47"/>
      <c r="L20" s="264"/>
      <c r="M20" s="264"/>
      <c r="N20" s="264"/>
      <c r="O20" s="264"/>
      <c r="P20" s="264"/>
      <c r="Q20" s="264"/>
      <c r="R20" s="264"/>
      <c r="S20" s="264"/>
      <c r="T20" s="265"/>
    </row>
    <row r="21" spans="2:22" ht="90" customHeight="1">
      <c r="B21" s="61" t="s">
        <v>167</v>
      </c>
      <c r="C21" s="62" t="str">
        <f>'EDI Framework Criteria'!E27</f>
        <v>2.H.1</v>
      </c>
      <c r="D21" s="224" t="str">
        <f>'EDI Framework Criteria'!F27</f>
        <v>We have a plan to improve EDI within our recruitment. This can include adapting language used in job adverts, promoting flexible and remote working, and reaching out to diverse networks.</v>
      </c>
      <c r="E21" s="225"/>
      <c r="F21" s="225"/>
      <c r="G21" s="225"/>
      <c r="H21" s="226"/>
      <c r="I21" s="63" t="s">
        <v>176</v>
      </c>
      <c r="J21" s="63"/>
      <c r="K21" s="47">
        <f>INDEX($U$3:$V$13,MATCH(I21,$U$3:$U$13,0),2)</f>
        <v>0</v>
      </c>
      <c r="L21" s="264"/>
      <c r="M21" s="264"/>
      <c r="N21" s="264"/>
      <c r="O21" s="264"/>
      <c r="P21" s="264"/>
      <c r="Q21" s="264"/>
      <c r="R21" s="264"/>
      <c r="S21" s="264"/>
      <c r="T21" s="265"/>
    </row>
    <row r="22" spans="2:22">
      <c r="B22" s="46"/>
      <c r="C22" s="47"/>
      <c r="D22" s="47"/>
      <c r="E22" s="47"/>
      <c r="F22" s="47"/>
      <c r="G22" s="47"/>
      <c r="H22" s="47"/>
      <c r="I22" s="47"/>
      <c r="J22" s="47"/>
      <c r="K22" s="47"/>
      <c r="L22" s="264"/>
      <c r="M22" s="264"/>
      <c r="N22" s="264"/>
      <c r="O22" s="264"/>
      <c r="P22" s="264"/>
      <c r="Q22" s="264"/>
      <c r="R22" s="264"/>
      <c r="S22" s="264"/>
      <c r="T22" s="265"/>
    </row>
    <row r="23" spans="2:22" ht="90" customHeight="1" thickBot="1">
      <c r="B23" s="64" t="s">
        <v>168</v>
      </c>
      <c r="C23" s="65" t="str">
        <f>'EDI Framework Criteria'!G27</f>
        <v>3.H.1</v>
      </c>
      <c r="D23" s="221" t="str">
        <f>'EDI Framework Criteria'!H27</f>
        <v>A plan to improve EDI within our recruitment is in place. We have reviewed our practices at least once, and made changes. We will continue to review and make changes as needed.</v>
      </c>
      <c r="E23" s="222"/>
      <c r="F23" s="222"/>
      <c r="G23" s="222"/>
      <c r="H23" s="223"/>
      <c r="I23" s="66" t="s">
        <v>177</v>
      </c>
      <c r="J23" s="66"/>
      <c r="K23" s="67">
        <f>INDEX($U$3:$V$13,MATCH(I23,$U$3:$U$13,0),2)</f>
        <v>0</v>
      </c>
      <c r="L23" s="266"/>
      <c r="M23" s="266"/>
      <c r="N23" s="266"/>
      <c r="O23" s="266"/>
      <c r="P23" s="266"/>
      <c r="Q23" s="266"/>
      <c r="R23" s="266"/>
      <c r="S23" s="266"/>
      <c r="T23" s="267"/>
    </row>
    <row r="24" spans="2:22">
      <c r="B24" s="34"/>
      <c r="C24" s="86"/>
      <c r="D24" s="86"/>
      <c r="E24" s="86"/>
      <c r="F24" s="86"/>
      <c r="G24" s="86"/>
      <c r="H24" s="86"/>
      <c r="I24" s="86"/>
      <c r="J24" s="86"/>
      <c r="K24" s="86"/>
      <c r="L24" s="86"/>
      <c r="M24" s="86"/>
      <c r="N24" s="86"/>
      <c r="O24" s="86"/>
      <c r="P24" s="86"/>
      <c r="Q24" s="86"/>
      <c r="R24" s="86"/>
      <c r="S24" s="86"/>
      <c r="T24" s="35"/>
    </row>
    <row r="25" spans="2:22" ht="17.399999999999999" thickBot="1">
      <c r="B25" s="34"/>
      <c r="C25" s="86"/>
      <c r="D25" s="86"/>
      <c r="E25" s="86"/>
      <c r="F25" s="86"/>
      <c r="G25" s="86"/>
      <c r="H25" s="86"/>
      <c r="I25" s="86"/>
      <c r="J25" s="86"/>
      <c r="K25" s="86"/>
      <c r="L25" s="86"/>
      <c r="M25" s="86"/>
      <c r="N25" s="86"/>
      <c r="O25" s="86"/>
      <c r="P25" s="86"/>
      <c r="Q25" s="86"/>
      <c r="R25" s="86"/>
      <c r="S25" s="86"/>
      <c r="T25" s="35"/>
    </row>
    <row r="26" spans="2:22" ht="21.6">
      <c r="B26" s="51" t="s">
        <v>170</v>
      </c>
      <c r="C26" s="52"/>
      <c r="D26" s="156" t="str">
        <f>'EDI Framework Criteria'!B28</f>
        <v>Career progression</v>
      </c>
      <c r="E26" s="53"/>
      <c r="F26" s="53"/>
      <c r="G26" s="53"/>
      <c r="H26" s="53"/>
      <c r="I26" s="53"/>
      <c r="J26" s="53"/>
      <c r="K26" s="53"/>
      <c r="L26" s="53"/>
      <c r="M26" s="53"/>
      <c r="N26" s="53"/>
      <c r="O26" s="53"/>
      <c r="P26" s="53"/>
      <c r="Q26" s="53"/>
      <c r="R26" s="53"/>
      <c r="S26" s="53"/>
      <c r="T26" s="54"/>
    </row>
    <row r="27" spans="2:22">
      <c r="B27" s="55"/>
      <c r="C27" s="56"/>
      <c r="D27" s="56"/>
      <c r="E27" s="56"/>
      <c r="F27" s="56"/>
      <c r="G27" s="56"/>
      <c r="H27" s="56"/>
      <c r="I27" s="56"/>
      <c r="J27" s="56"/>
      <c r="K27" s="56"/>
      <c r="L27" s="56"/>
      <c r="M27" s="56"/>
      <c r="N27" s="56"/>
      <c r="O27" s="56"/>
      <c r="P27" s="56"/>
      <c r="Q27" s="56"/>
      <c r="R27" s="56"/>
      <c r="S27" s="56"/>
      <c r="T27" s="57"/>
    </row>
    <row r="28" spans="2:22" ht="50.4">
      <c r="B28" s="55"/>
      <c r="C28" s="56"/>
      <c r="D28" s="56"/>
      <c r="E28" s="56"/>
      <c r="F28" s="56"/>
      <c r="G28" s="56"/>
      <c r="H28" s="56"/>
      <c r="I28" s="58" t="s">
        <v>162</v>
      </c>
      <c r="J28" s="58" t="s">
        <v>163</v>
      </c>
      <c r="K28" s="59"/>
      <c r="L28" s="60" t="s">
        <v>508</v>
      </c>
      <c r="M28" s="56"/>
      <c r="N28" s="56"/>
      <c r="O28" s="56"/>
      <c r="P28" s="56"/>
      <c r="Q28" s="56"/>
      <c r="R28" s="56"/>
      <c r="S28" s="56"/>
      <c r="T28" s="57"/>
    </row>
    <row r="29" spans="2:22" ht="90" customHeight="1">
      <c r="B29" s="61" t="s">
        <v>166</v>
      </c>
      <c r="C29" s="62" t="str">
        <f>'EDI Framework Criteria'!C28</f>
        <v>1.H.2</v>
      </c>
      <c r="D29" s="224" t="str">
        <f>'EDI Framework Criteria'!D28</f>
        <v xml:space="preserve">We are committed to creating a plan to improve EDI within career progression. This should include tracking and recording changes (including who is joining, progressing, and leaving the organisation), and possible reasons.	</v>
      </c>
      <c r="E29" s="225"/>
      <c r="F29" s="225"/>
      <c r="G29" s="225"/>
      <c r="H29" s="226"/>
      <c r="I29" s="63" t="s">
        <v>175</v>
      </c>
      <c r="J29" s="63"/>
      <c r="K29" s="47">
        <f>INDEX($U$3:$V$13,MATCH(I29,$U$3:$U$13,0),2)</f>
        <v>0</v>
      </c>
      <c r="L29" s="264"/>
      <c r="M29" s="264"/>
      <c r="N29" s="264"/>
      <c r="O29" s="264"/>
      <c r="P29" s="264"/>
      <c r="Q29" s="264"/>
      <c r="R29" s="264"/>
      <c r="S29" s="264"/>
      <c r="T29" s="265"/>
      <c r="V29" s="99">
        <f>IF(K29=0,V28,"")</f>
        <v>0</v>
      </c>
    </row>
    <row r="30" spans="2:22">
      <c r="B30" s="46"/>
      <c r="C30" s="47"/>
      <c r="D30" s="47"/>
      <c r="E30" s="47"/>
      <c r="F30" s="47"/>
      <c r="G30" s="47"/>
      <c r="H30" s="47"/>
      <c r="I30" s="47"/>
      <c r="J30" s="47"/>
      <c r="K30" s="47"/>
      <c r="L30" s="264"/>
      <c r="M30" s="264"/>
      <c r="N30" s="264"/>
      <c r="O30" s="264"/>
      <c r="P30" s="264"/>
      <c r="Q30" s="264"/>
      <c r="R30" s="264"/>
      <c r="S30" s="264"/>
      <c r="T30" s="265"/>
    </row>
    <row r="31" spans="2:22" ht="90" customHeight="1">
      <c r="B31" s="61" t="s">
        <v>167</v>
      </c>
      <c r="C31" s="62" t="str">
        <f>'EDI Framework Criteria'!E28</f>
        <v>2.H.2</v>
      </c>
      <c r="D31" s="224" t="str">
        <f>'EDI Framework Criteria'!F28</f>
        <v>We have a plan to improve EDI within career progression. We are tracking information to understand how employees progress, and what structural barriers exist. We are making changes based on this.</v>
      </c>
      <c r="E31" s="225"/>
      <c r="F31" s="225"/>
      <c r="G31" s="225"/>
      <c r="H31" s="226"/>
      <c r="I31" s="63" t="s">
        <v>176</v>
      </c>
      <c r="J31" s="63"/>
      <c r="K31" s="47">
        <f>INDEX($U$3:$V$13,MATCH(I31,$U$3:$U$13,0),2)</f>
        <v>0</v>
      </c>
      <c r="L31" s="264"/>
      <c r="M31" s="264"/>
      <c r="N31" s="264"/>
      <c r="O31" s="264"/>
      <c r="P31" s="264"/>
      <c r="Q31" s="264"/>
      <c r="R31" s="264"/>
      <c r="S31" s="264"/>
      <c r="T31" s="265"/>
    </row>
    <row r="32" spans="2:22">
      <c r="B32" s="46"/>
      <c r="C32" s="47"/>
      <c r="D32" s="47"/>
      <c r="E32" s="47"/>
      <c r="F32" s="47"/>
      <c r="G32" s="47"/>
      <c r="H32" s="47"/>
      <c r="I32" s="47"/>
      <c r="J32" s="47"/>
      <c r="K32" s="47"/>
      <c r="L32" s="264"/>
      <c r="M32" s="264"/>
      <c r="N32" s="264"/>
      <c r="O32" s="264"/>
      <c r="P32" s="264"/>
      <c r="Q32" s="264"/>
      <c r="R32" s="264"/>
      <c r="S32" s="264"/>
      <c r="T32" s="265"/>
    </row>
    <row r="33" spans="2:22" ht="90" customHeight="1" thickBot="1">
      <c r="B33" s="64" t="s">
        <v>168</v>
      </c>
      <c r="C33" s="65" t="str">
        <f>'EDI Framework Criteria'!G28</f>
        <v>3.H.2</v>
      </c>
      <c r="D33" s="221" t="str">
        <f>'EDI Framework Criteria'!H28</f>
        <v>We have put in place our plan to improve EDI within career progression. We have recorded information on how our employees progress, and what structural barriers exist. We have made changes based on this, and will keep doing so.</v>
      </c>
      <c r="E33" s="222"/>
      <c r="F33" s="222"/>
      <c r="G33" s="222"/>
      <c r="H33" s="223"/>
      <c r="I33" s="66" t="s">
        <v>177</v>
      </c>
      <c r="J33" s="66"/>
      <c r="K33" s="67">
        <f>INDEX($U$3:$V$13,MATCH(I33,$U$3:$U$13,0),2)</f>
        <v>0</v>
      </c>
      <c r="L33" s="266"/>
      <c r="M33" s="266"/>
      <c r="N33" s="266"/>
      <c r="O33" s="266"/>
      <c r="P33" s="266"/>
      <c r="Q33" s="266"/>
      <c r="R33" s="266"/>
      <c r="S33" s="266"/>
      <c r="T33" s="267"/>
    </row>
    <row r="34" spans="2:22">
      <c r="B34" s="34"/>
      <c r="C34" s="86"/>
      <c r="D34" s="86"/>
      <c r="E34" s="86"/>
      <c r="F34" s="86"/>
      <c r="G34" s="86"/>
      <c r="H34" s="86"/>
      <c r="I34" s="86"/>
      <c r="J34" s="86"/>
      <c r="K34" s="86"/>
      <c r="L34" s="86"/>
      <c r="M34" s="86"/>
      <c r="N34" s="86"/>
      <c r="O34" s="86"/>
      <c r="P34" s="86"/>
      <c r="Q34" s="86"/>
      <c r="R34" s="86"/>
      <c r="S34" s="86"/>
      <c r="T34" s="35"/>
    </row>
    <row r="35" spans="2:22" ht="17.399999999999999" thickBot="1">
      <c r="B35" s="34"/>
      <c r="C35" s="86"/>
      <c r="D35" s="86"/>
      <c r="E35" s="86"/>
      <c r="F35" s="86"/>
      <c r="G35" s="86"/>
      <c r="H35" s="86"/>
      <c r="I35" s="86"/>
      <c r="J35" s="86"/>
      <c r="K35" s="86"/>
      <c r="L35" s="86"/>
      <c r="M35" s="86"/>
      <c r="N35" s="86"/>
      <c r="O35" s="86"/>
      <c r="P35" s="86"/>
      <c r="Q35" s="86"/>
      <c r="R35" s="86"/>
      <c r="S35" s="86"/>
      <c r="T35" s="35"/>
    </row>
    <row r="36" spans="2:22" ht="21.6">
      <c r="B36" s="51" t="s">
        <v>171</v>
      </c>
      <c r="C36" s="52"/>
      <c r="D36" s="156" t="str">
        <f>'EDI Framework Criteria'!B29</f>
        <v>Board diversity</v>
      </c>
      <c r="E36" s="53"/>
      <c r="F36" s="53"/>
      <c r="G36" s="53"/>
      <c r="H36" s="53"/>
      <c r="I36" s="53"/>
      <c r="J36" s="53"/>
      <c r="K36" s="53"/>
      <c r="L36" s="53"/>
      <c r="M36" s="53"/>
      <c r="N36" s="53"/>
      <c r="O36" s="53"/>
      <c r="P36" s="53"/>
      <c r="Q36" s="53"/>
      <c r="R36" s="53"/>
      <c r="S36" s="53"/>
      <c r="T36" s="54"/>
    </row>
    <row r="37" spans="2:22">
      <c r="B37" s="55"/>
      <c r="C37" s="56"/>
      <c r="D37" s="56"/>
      <c r="E37" s="56"/>
      <c r="F37" s="56"/>
      <c r="G37" s="56"/>
      <c r="H37" s="56"/>
      <c r="I37" s="56"/>
      <c r="J37" s="56"/>
      <c r="K37" s="56"/>
      <c r="L37" s="56"/>
      <c r="M37" s="56"/>
      <c r="N37" s="56"/>
      <c r="O37" s="56"/>
      <c r="P37" s="56"/>
      <c r="Q37" s="56"/>
      <c r="R37" s="56"/>
      <c r="S37" s="56"/>
      <c r="T37" s="57"/>
    </row>
    <row r="38" spans="2:22" ht="50.4">
      <c r="B38" s="55"/>
      <c r="C38" s="56"/>
      <c r="D38" s="56"/>
      <c r="E38" s="56"/>
      <c r="F38" s="56"/>
      <c r="G38" s="56"/>
      <c r="H38" s="56"/>
      <c r="I38" s="58" t="s">
        <v>162</v>
      </c>
      <c r="J38" s="58" t="s">
        <v>163</v>
      </c>
      <c r="K38" s="59"/>
      <c r="L38" s="60" t="s">
        <v>508</v>
      </c>
      <c r="M38" s="56"/>
      <c r="N38" s="56"/>
      <c r="O38" s="56"/>
      <c r="P38" s="56"/>
      <c r="Q38" s="56"/>
      <c r="R38" s="56"/>
      <c r="S38" s="56"/>
      <c r="T38" s="57"/>
    </row>
    <row r="39" spans="2:22" ht="90" customHeight="1">
      <c r="B39" s="61" t="s">
        <v>166</v>
      </c>
      <c r="C39" s="62" t="str">
        <f>'EDI Framework Criteria'!C29</f>
        <v>1.H.3</v>
      </c>
      <c r="D39" s="224" t="str">
        <f>'EDI Framework Criteria'!D29</f>
        <v>We are committed to creating a plan or policy to improve EDI within our board and senior leadership team. This will include an understanding of changes (like who is joining and leaving the board and senior leadership positions), and reasons why.</v>
      </c>
      <c r="E39" s="225"/>
      <c r="F39" s="225"/>
      <c r="G39" s="225"/>
      <c r="H39" s="226"/>
      <c r="I39" s="63" t="s">
        <v>175</v>
      </c>
      <c r="J39" s="63"/>
      <c r="K39" s="47">
        <f>INDEX($U$3:$V$13,MATCH(I39,$U$3:$U$13,0),2)</f>
        <v>0</v>
      </c>
      <c r="L39" s="264"/>
      <c r="M39" s="264"/>
      <c r="N39" s="264"/>
      <c r="O39" s="264"/>
      <c r="P39" s="264"/>
      <c r="Q39" s="264"/>
      <c r="R39" s="264"/>
      <c r="S39" s="264"/>
      <c r="T39" s="265"/>
      <c r="V39" s="99">
        <f>IF(K39=0,V38,"")</f>
        <v>0</v>
      </c>
    </row>
    <row r="40" spans="2:22">
      <c r="B40" s="46"/>
      <c r="C40" s="47"/>
      <c r="D40" s="47"/>
      <c r="E40" s="47"/>
      <c r="F40" s="47"/>
      <c r="G40" s="47"/>
      <c r="H40" s="47"/>
      <c r="I40" s="47"/>
      <c r="J40" s="47"/>
      <c r="K40" s="47"/>
      <c r="L40" s="264"/>
      <c r="M40" s="264"/>
      <c r="N40" s="264"/>
      <c r="O40" s="264"/>
      <c r="P40" s="264"/>
      <c r="Q40" s="264"/>
      <c r="R40" s="264"/>
      <c r="S40" s="264"/>
      <c r="T40" s="265"/>
    </row>
    <row r="41" spans="2:22" ht="90" customHeight="1">
      <c r="B41" s="61" t="s">
        <v>167</v>
      </c>
      <c r="C41" s="62" t="str">
        <f>'EDI Framework Criteria'!E29</f>
        <v>2.H.3</v>
      </c>
      <c r="D41" s="224" t="str">
        <f>'EDI Framework Criteria'!F29</f>
        <v>We have created a plan or policy to improve EDI within our board and senior leadership team. This includes an understanding of changes (like who is joining and leaving the board and senior leadership positions), and reasons why. We are starting to make changes based on this.</v>
      </c>
      <c r="E41" s="225"/>
      <c r="F41" s="225"/>
      <c r="G41" s="225"/>
      <c r="H41" s="226"/>
      <c r="I41" s="63" t="s">
        <v>176</v>
      </c>
      <c r="J41" s="63"/>
      <c r="K41" s="47">
        <f>INDEX($U$3:$V$13,MATCH(I41,$U$3:$U$13,0),2)</f>
        <v>0</v>
      </c>
      <c r="L41" s="264"/>
      <c r="M41" s="264"/>
      <c r="N41" s="264"/>
      <c r="O41" s="264"/>
      <c r="P41" s="264"/>
      <c r="Q41" s="264"/>
      <c r="R41" s="264"/>
      <c r="S41" s="264"/>
      <c r="T41" s="265"/>
    </row>
    <row r="42" spans="2:22">
      <c r="B42" s="46"/>
      <c r="C42" s="47"/>
      <c r="D42" s="47"/>
      <c r="E42" s="47"/>
      <c r="F42" s="47"/>
      <c r="G42" s="47"/>
      <c r="H42" s="47"/>
      <c r="I42" s="47"/>
      <c r="J42" s="47"/>
      <c r="K42" s="47"/>
      <c r="L42" s="264"/>
      <c r="M42" s="264"/>
      <c r="N42" s="264"/>
      <c r="O42" s="264"/>
      <c r="P42" s="264"/>
      <c r="Q42" s="264"/>
      <c r="R42" s="264"/>
      <c r="S42" s="264"/>
      <c r="T42" s="265"/>
    </row>
    <row r="43" spans="2:22" ht="90" customHeight="1" thickBot="1">
      <c r="B43" s="64" t="s">
        <v>168</v>
      </c>
      <c r="C43" s="65" t="str">
        <f>'EDI Framework Criteria'!G29</f>
        <v>3.H.3</v>
      </c>
      <c r="D43" s="221" t="str">
        <f>'EDI Framework Criteria'!H29</f>
        <v>We have a plan or policy in place to improve EDI within our board and senior leadership team. We are using our understanding of changes (like who is joining and leaving the board and senior leadership positions), and reasons why to address structural barriers.</v>
      </c>
      <c r="E43" s="222"/>
      <c r="F43" s="222"/>
      <c r="G43" s="222"/>
      <c r="H43" s="223"/>
      <c r="I43" s="66" t="s">
        <v>177</v>
      </c>
      <c r="J43" s="66"/>
      <c r="K43" s="67">
        <f>INDEX($U$3:$V$13,MATCH(I43,$U$3:$U$13,0),2)</f>
        <v>0</v>
      </c>
      <c r="L43" s="266"/>
      <c r="M43" s="266"/>
      <c r="N43" s="266"/>
      <c r="O43" s="266"/>
      <c r="P43" s="266"/>
      <c r="Q43" s="266"/>
      <c r="R43" s="266"/>
      <c r="S43" s="266"/>
      <c r="T43" s="267"/>
    </row>
    <row r="44" spans="2:22">
      <c r="B44" s="34"/>
      <c r="C44" s="86"/>
      <c r="D44" s="86"/>
      <c r="E44" s="86"/>
      <c r="F44" s="86"/>
      <c r="G44" s="86"/>
      <c r="H44" s="86"/>
      <c r="I44" s="86"/>
      <c r="J44" s="86"/>
      <c r="K44" s="86"/>
      <c r="L44" s="86"/>
      <c r="M44" s="86"/>
      <c r="N44" s="86"/>
      <c r="O44" s="86"/>
      <c r="P44" s="86"/>
      <c r="Q44" s="86"/>
      <c r="R44" s="86"/>
      <c r="S44" s="86"/>
      <c r="T44" s="35"/>
    </row>
    <row r="45" spans="2:22" ht="17.399999999999999" thickBot="1">
      <c r="B45" s="34"/>
      <c r="C45" s="86"/>
      <c r="D45" s="86"/>
      <c r="E45" s="86"/>
      <c r="F45" s="86"/>
      <c r="G45" s="86"/>
      <c r="H45" s="86"/>
      <c r="I45" s="86"/>
      <c r="J45" s="86"/>
      <c r="K45" s="86"/>
      <c r="L45" s="86"/>
      <c r="M45" s="86"/>
      <c r="N45" s="86"/>
      <c r="O45" s="86"/>
      <c r="P45" s="86"/>
      <c r="Q45" s="86"/>
      <c r="R45" s="86"/>
      <c r="S45" s="86"/>
      <c r="T45" s="35"/>
    </row>
    <row r="46" spans="2:22" ht="21.6">
      <c r="B46" s="51" t="s">
        <v>174</v>
      </c>
      <c r="C46" s="52"/>
      <c r="D46" s="52" t="str">
        <f>'EDI Framework Criteria'!B30</f>
        <v>Mentoring</v>
      </c>
      <c r="E46" s="53"/>
      <c r="F46" s="53"/>
      <c r="G46" s="53"/>
      <c r="H46" s="53"/>
      <c r="I46" s="53"/>
      <c r="J46" s="53"/>
      <c r="K46" s="53"/>
      <c r="L46" s="53"/>
      <c r="M46" s="53"/>
      <c r="N46" s="53"/>
      <c r="O46" s="53"/>
      <c r="P46" s="53"/>
      <c r="Q46" s="53"/>
      <c r="R46" s="53"/>
      <c r="S46" s="53"/>
      <c r="T46" s="54"/>
    </row>
    <row r="47" spans="2:22" ht="15" customHeight="1">
      <c r="B47" s="55"/>
      <c r="C47" s="56"/>
      <c r="D47" s="56"/>
      <c r="E47" s="56"/>
      <c r="F47" s="56"/>
      <c r="G47" s="56"/>
      <c r="H47" s="56"/>
      <c r="I47" s="56"/>
      <c r="J47" s="56"/>
      <c r="K47" s="56"/>
      <c r="L47" s="56"/>
      <c r="M47" s="56"/>
      <c r="N47" s="56"/>
      <c r="O47" s="56"/>
      <c r="P47" s="56"/>
      <c r="Q47" s="56"/>
      <c r="R47" s="56"/>
      <c r="S47" s="56"/>
      <c r="T47" s="57"/>
    </row>
    <row r="48" spans="2:22" ht="50.4">
      <c r="B48" s="55"/>
      <c r="C48" s="56"/>
      <c r="D48" s="56"/>
      <c r="E48" s="56"/>
      <c r="F48" s="56"/>
      <c r="G48" s="56"/>
      <c r="H48" s="56"/>
      <c r="I48" s="58" t="s">
        <v>162</v>
      </c>
      <c r="J48" s="58" t="s">
        <v>163</v>
      </c>
      <c r="K48" s="59"/>
      <c r="L48" s="60" t="s">
        <v>508</v>
      </c>
      <c r="M48" s="56"/>
      <c r="N48" s="56"/>
      <c r="O48" s="56"/>
      <c r="P48" s="56"/>
      <c r="Q48" s="56"/>
      <c r="R48" s="56"/>
      <c r="S48" s="56"/>
      <c r="T48" s="57"/>
    </row>
    <row r="49" spans="2:22" ht="90" customHeight="1">
      <c r="B49" s="61" t="s">
        <v>166</v>
      </c>
      <c r="C49" s="62" t="str">
        <f>'EDI Framework Criteria'!C30</f>
        <v>1.H.4</v>
      </c>
      <c r="D49" s="224" t="str">
        <f>'EDI Framework Criteria'!D30</f>
        <v>We are committed to creating a mentoring scheme to help improve EDI. We will consider who is involved in the scheme, what their EDI characteristics are, and what outcomes they experience.</v>
      </c>
      <c r="E49" s="225"/>
      <c r="F49" s="225"/>
      <c r="G49" s="225"/>
      <c r="H49" s="226"/>
      <c r="I49" s="63" t="s">
        <v>175</v>
      </c>
      <c r="J49" s="63"/>
      <c r="K49" s="47">
        <f>INDEX($U$3:$V$13,MATCH(I49,$U$3:$U$13,0),2)</f>
        <v>0</v>
      </c>
      <c r="L49" s="264"/>
      <c r="M49" s="264"/>
      <c r="N49" s="264"/>
      <c r="O49" s="264"/>
      <c r="P49" s="264"/>
      <c r="Q49" s="264"/>
      <c r="R49" s="264"/>
      <c r="S49" s="264"/>
      <c r="T49" s="265"/>
    </row>
    <row r="50" spans="2:22">
      <c r="B50" s="46"/>
      <c r="C50" s="47"/>
      <c r="D50" s="47"/>
      <c r="E50" s="47"/>
      <c r="F50" s="47"/>
      <c r="G50" s="47"/>
      <c r="H50" s="47"/>
      <c r="I50" s="47"/>
      <c r="J50" s="47"/>
      <c r="K50" s="47"/>
      <c r="L50" s="264"/>
      <c r="M50" s="264"/>
      <c r="N50" s="264"/>
      <c r="O50" s="264"/>
      <c r="P50" s="264"/>
      <c r="Q50" s="264"/>
      <c r="R50" s="264"/>
      <c r="S50" s="264"/>
      <c r="T50" s="265"/>
    </row>
    <row r="51" spans="2:22" ht="90" customHeight="1">
      <c r="B51" s="61" t="s">
        <v>167</v>
      </c>
      <c r="C51" s="62" t="str">
        <f>'EDI Framework Criteria'!E30</f>
        <v>2.H.4</v>
      </c>
      <c r="D51" s="224" t="str">
        <f>'EDI Framework Criteria'!F30</f>
        <v>We have a mentoring scheme to help improve EDI. We have considered who is involved in the scheme, what their EDI characteristics are, and what outcomes they experience. We are collecting information to track this.</v>
      </c>
      <c r="E51" s="225"/>
      <c r="F51" s="225"/>
      <c r="G51" s="225"/>
      <c r="H51" s="226"/>
      <c r="I51" s="63" t="s">
        <v>176</v>
      </c>
      <c r="J51" s="63"/>
      <c r="K51" s="47">
        <f>INDEX($U$3:$V$13,MATCH(I51,$U$3:$U$13,0),2)</f>
        <v>0</v>
      </c>
      <c r="L51" s="264"/>
      <c r="M51" s="264"/>
      <c r="N51" s="264"/>
      <c r="O51" s="264"/>
      <c r="P51" s="264"/>
      <c r="Q51" s="264"/>
      <c r="R51" s="264"/>
      <c r="S51" s="264"/>
      <c r="T51" s="265"/>
    </row>
    <row r="52" spans="2:22">
      <c r="B52" s="46"/>
      <c r="C52" s="47"/>
      <c r="D52" s="47"/>
      <c r="E52" s="47"/>
      <c r="F52" s="47"/>
      <c r="G52" s="47"/>
      <c r="H52" s="47"/>
      <c r="I52" s="47"/>
      <c r="J52" s="47"/>
      <c r="K52" s="47"/>
      <c r="L52" s="264"/>
      <c r="M52" s="264"/>
      <c r="N52" s="264"/>
      <c r="O52" s="264"/>
      <c r="P52" s="264"/>
      <c r="Q52" s="264"/>
      <c r="R52" s="264"/>
      <c r="S52" s="264"/>
      <c r="T52" s="265"/>
    </row>
    <row r="53" spans="2:22" ht="90" customHeight="1" thickBot="1">
      <c r="B53" s="64" t="s">
        <v>168</v>
      </c>
      <c r="C53" s="65" t="str">
        <f>'EDI Framework Criteria'!G30</f>
        <v>3.H.4</v>
      </c>
      <c r="D53" s="221" t="str">
        <f>'EDI Framework Criteria'!H30</f>
        <v>We have put in place our plan for improving EDI through a mentoring scheme for staff. We used our understanding of who is participating and what outcomes they experience to maximise positive impact. We will continue to review and make changes.</v>
      </c>
      <c r="E53" s="222"/>
      <c r="F53" s="222"/>
      <c r="G53" s="222"/>
      <c r="H53" s="223"/>
      <c r="I53" s="66" t="s">
        <v>177</v>
      </c>
      <c r="J53" s="66"/>
      <c r="K53" s="67">
        <f>INDEX($U$3:$V$13,MATCH(I53,$U$3:$U$13,0),2)</f>
        <v>0</v>
      </c>
      <c r="L53" s="266"/>
      <c r="M53" s="266"/>
      <c r="N53" s="266"/>
      <c r="O53" s="266"/>
      <c r="P53" s="266"/>
      <c r="Q53" s="266"/>
      <c r="R53" s="266"/>
      <c r="S53" s="266"/>
      <c r="T53" s="267"/>
    </row>
    <row r="54" spans="2:22">
      <c r="B54" s="34"/>
      <c r="C54" s="86"/>
      <c r="D54" s="86"/>
      <c r="E54" s="86"/>
      <c r="F54" s="86"/>
      <c r="G54" s="86"/>
      <c r="H54" s="86"/>
      <c r="I54" s="86"/>
      <c r="J54" s="86"/>
      <c r="K54" s="86"/>
      <c r="L54" s="86"/>
      <c r="M54" s="86"/>
      <c r="N54" s="86"/>
      <c r="O54" s="86"/>
      <c r="P54" s="86"/>
      <c r="Q54" s="86"/>
      <c r="R54" s="86"/>
      <c r="S54" s="86"/>
      <c r="T54" s="35"/>
    </row>
    <row r="55" spans="2:22">
      <c r="B55" s="34"/>
      <c r="C55" s="86"/>
      <c r="D55" s="86"/>
      <c r="E55" s="86"/>
      <c r="F55" s="86"/>
      <c r="G55" s="86"/>
      <c r="H55" s="86"/>
      <c r="I55" s="86"/>
      <c r="J55" s="86"/>
      <c r="K55" s="86"/>
      <c r="L55" s="86"/>
      <c r="M55" s="86"/>
      <c r="N55" s="86"/>
      <c r="O55" s="86"/>
      <c r="P55" s="86"/>
      <c r="Q55" s="86"/>
      <c r="R55" s="86"/>
      <c r="S55" s="86"/>
      <c r="T55" s="35"/>
    </row>
    <row r="56" spans="2:22" ht="17.399999999999999" thickBot="1">
      <c r="B56" s="34"/>
      <c r="C56" s="86"/>
      <c r="D56" s="86"/>
      <c r="E56" s="86"/>
      <c r="F56" s="86"/>
      <c r="G56" s="86"/>
      <c r="H56" s="86"/>
      <c r="I56" s="86"/>
      <c r="J56" s="86"/>
      <c r="K56" s="86"/>
      <c r="L56" s="86"/>
      <c r="M56" s="86"/>
      <c r="N56" s="86"/>
      <c r="O56" s="86"/>
      <c r="P56" s="86"/>
      <c r="Q56" s="86"/>
      <c r="R56" s="86"/>
      <c r="S56" s="86"/>
      <c r="T56" s="35"/>
    </row>
    <row r="57" spans="2:22" ht="31.5" customHeight="1">
      <c r="B57" s="87" t="s">
        <v>194</v>
      </c>
      <c r="C57" s="88"/>
      <c r="D57" s="88" t="s">
        <v>180</v>
      </c>
      <c r="E57" s="89"/>
      <c r="F57" s="89"/>
      <c r="G57" s="89"/>
      <c r="H57" s="89"/>
      <c r="I57" s="89"/>
      <c r="J57" s="89"/>
      <c r="K57" s="89"/>
      <c r="L57" s="89"/>
      <c r="M57" s="89"/>
      <c r="N57" s="89"/>
      <c r="O57" s="89"/>
      <c r="P57" s="89"/>
      <c r="Q57" s="89"/>
      <c r="R57" s="89"/>
      <c r="S57" s="89"/>
      <c r="T57" s="90"/>
    </row>
    <row r="58" spans="2:22" ht="25.2" thickBot="1">
      <c r="B58" s="91"/>
      <c r="C58" s="92"/>
      <c r="D58" s="92"/>
      <c r="E58" s="92"/>
      <c r="F58" s="92"/>
      <c r="G58" s="92"/>
      <c r="H58" s="92"/>
      <c r="I58" s="92"/>
      <c r="J58" s="92"/>
      <c r="K58" s="92"/>
      <c r="L58" s="92"/>
      <c r="M58" s="92"/>
      <c r="N58" s="92"/>
      <c r="O58" s="92"/>
      <c r="P58" s="92"/>
      <c r="Q58" s="92"/>
      <c r="R58" s="92"/>
      <c r="S58" s="92"/>
      <c r="T58" s="93"/>
    </row>
    <row r="59" spans="2:22" ht="18.75" customHeight="1" thickBot="1">
      <c r="B59" s="97"/>
      <c r="C59" s="98"/>
      <c r="D59" s="98"/>
      <c r="E59" s="98"/>
      <c r="F59" s="98"/>
      <c r="G59" s="98"/>
      <c r="H59" s="98"/>
      <c r="I59" s="98"/>
      <c r="J59" s="98"/>
      <c r="K59" s="98"/>
      <c r="L59" s="98"/>
      <c r="M59" s="98"/>
      <c r="N59" s="98"/>
      <c r="O59" s="98"/>
      <c r="P59" s="98"/>
      <c r="Q59" s="98"/>
      <c r="R59" s="98"/>
      <c r="S59" s="98"/>
      <c r="T59" s="36"/>
      <c r="V59" s="99">
        <f>IF(K49=0,V58,"")</f>
        <v>0</v>
      </c>
    </row>
    <row r="60" spans="2:22"/>
    <row r="61" spans="2:22" ht="19.5" customHeight="1"/>
    <row r="62" spans="2:22"/>
    <row r="63" spans="2:22" ht="23.25" hidden="1" customHeight="1"/>
    <row r="67" ht="19.5" hidden="1" customHeight="1"/>
  </sheetData>
  <mergeCells count="32">
    <mergeCell ref="L39:T43"/>
    <mergeCell ref="B6:J7"/>
    <mergeCell ref="B14:J14"/>
    <mergeCell ref="D51:H51"/>
    <mergeCell ref="D53:H53"/>
    <mergeCell ref="D41:H41"/>
    <mergeCell ref="D43:H43"/>
    <mergeCell ref="D49:H49"/>
    <mergeCell ref="D31:H31"/>
    <mergeCell ref="D33:H33"/>
    <mergeCell ref="D29:H29"/>
    <mergeCell ref="B12:C12"/>
    <mergeCell ref="D12:N12"/>
    <mergeCell ref="D23:H23"/>
    <mergeCell ref="L19:T23"/>
    <mergeCell ref="L29:T33"/>
    <mergeCell ref="L49:T53"/>
    <mergeCell ref="V1:Y1"/>
    <mergeCell ref="B3:T3"/>
    <mergeCell ref="D19:H19"/>
    <mergeCell ref="D21:H21"/>
    <mergeCell ref="O9:T9"/>
    <mergeCell ref="O10:T10"/>
    <mergeCell ref="O11:T11"/>
    <mergeCell ref="O12:T12"/>
    <mergeCell ref="B9:C9"/>
    <mergeCell ref="D9:N9"/>
    <mergeCell ref="B10:C10"/>
    <mergeCell ref="D10:N10"/>
    <mergeCell ref="B11:C11"/>
    <mergeCell ref="D11:N11"/>
    <mergeCell ref="D39:H39"/>
  </mergeCells>
  <conditionalFormatting sqref="U5">
    <cfRule type="cellIs" dxfId="141" priority="37" operator="equal">
      <formula>$U$4</formula>
    </cfRule>
    <cfRule type="cellIs" dxfId="140" priority="38" operator="equal">
      <formula>$U$4</formula>
    </cfRule>
  </conditionalFormatting>
  <conditionalFormatting sqref="I19">
    <cfRule type="cellIs" dxfId="139" priority="28" operator="equal">
      <formula>$U$5</formula>
    </cfRule>
    <cfRule type="cellIs" dxfId="138" priority="29" operator="equal">
      <formula>$U$3</formula>
    </cfRule>
    <cfRule type="cellIs" dxfId="137" priority="30" operator="equal">
      <formula>$U$4</formula>
    </cfRule>
  </conditionalFormatting>
  <conditionalFormatting sqref="I21">
    <cfRule type="cellIs" dxfId="136" priority="31" operator="equal">
      <formula>$U$9</formula>
    </cfRule>
    <cfRule type="cellIs" dxfId="135" priority="32" operator="equal">
      <formula>$U$7</formula>
    </cfRule>
    <cfRule type="cellIs" dxfId="134" priority="33" operator="equal">
      <formula>$U$8</formula>
    </cfRule>
  </conditionalFormatting>
  <conditionalFormatting sqref="I23">
    <cfRule type="cellIs" dxfId="133" priority="34" operator="equal">
      <formula>$U$13</formula>
    </cfRule>
    <cfRule type="cellIs" dxfId="132" priority="35" operator="equal">
      <formula>$U$11</formula>
    </cfRule>
    <cfRule type="cellIs" dxfId="131" priority="36" operator="equal">
      <formula>$U$12</formula>
    </cfRule>
  </conditionalFormatting>
  <conditionalFormatting sqref="I29">
    <cfRule type="cellIs" dxfId="130" priority="19" operator="equal">
      <formula>$U$5</formula>
    </cfRule>
    <cfRule type="cellIs" dxfId="129" priority="20" operator="equal">
      <formula>$U$3</formula>
    </cfRule>
    <cfRule type="cellIs" dxfId="128" priority="21" operator="equal">
      <formula>$U$4</formula>
    </cfRule>
  </conditionalFormatting>
  <conditionalFormatting sqref="I31">
    <cfRule type="cellIs" dxfId="127" priority="22" operator="equal">
      <formula>$U$9</formula>
    </cfRule>
    <cfRule type="cellIs" dxfId="126" priority="23" operator="equal">
      <formula>$U$7</formula>
    </cfRule>
    <cfRule type="cellIs" dxfId="125" priority="24" operator="equal">
      <formula>$U$8</formula>
    </cfRule>
  </conditionalFormatting>
  <conditionalFormatting sqref="I33">
    <cfRule type="cellIs" dxfId="124" priority="25" operator="equal">
      <formula>$U$13</formula>
    </cfRule>
    <cfRule type="cellIs" dxfId="123" priority="26" operator="equal">
      <formula>$U$11</formula>
    </cfRule>
    <cfRule type="cellIs" dxfId="122" priority="27" operator="equal">
      <formula>$U$12</formula>
    </cfRule>
  </conditionalFormatting>
  <conditionalFormatting sqref="I39">
    <cfRule type="cellIs" dxfId="121" priority="10" operator="equal">
      <formula>$U$5</formula>
    </cfRule>
    <cfRule type="cellIs" dxfId="120" priority="11" operator="equal">
      <formula>$U$3</formula>
    </cfRule>
    <cfRule type="cellIs" dxfId="119" priority="12" operator="equal">
      <formula>$U$4</formula>
    </cfRule>
  </conditionalFormatting>
  <conditionalFormatting sqref="I41">
    <cfRule type="cellIs" dxfId="118" priority="13" operator="equal">
      <formula>$U$9</formula>
    </cfRule>
    <cfRule type="cellIs" dxfId="117" priority="14" operator="equal">
      <formula>$U$7</formula>
    </cfRule>
    <cfRule type="cellIs" dxfId="116" priority="15" operator="equal">
      <formula>$U$8</formula>
    </cfRule>
  </conditionalFormatting>
  <conditionalFormatting sqref="I43">
    <cfRule type="cellIs" dxfId="115" priority="16" operator="equal">
      <formula>$U$13</formula>
    </cfRule>
    <cfRule type="cellIs" dxfId="114" priority="17" operator="equal">
      <formula>$U$11</formula>
    </cfRule>
    <cfRule type="cellIs" dxfId="113" priority="18" operator="equal">
      <formula>$U$12</formula>
    </cfRule>
  </conditionalFormatting>
  <conditionalFormatting sqref="I49">
    <cfRule type="cellIs" dxfId="112" priority="1" operator="equal">
      <formula>$U$5</formula>
    </cfRule>
    <cfRule type="cellIs" dxfId="111" priority="2" operator="equal">
      <formula>$U$3</formula>
    </cfRule>
    <cfRule type="cellIs" dxfId="110" priority="3" operator="equal">
      <formula>$U$4</formula>
    </cfRule>
  </conditionalFormatting>
  <conditionalFormatting sqref="I51">
    <cfRule type="cellIs" dxfId="109" priority="4" operator="equal">
      <formula>$U$9</formula>
    </cfRule>
    <cfRule type="cellIs" dxfId="108" priority="5" operator="equal">
      <formula>$U$7</formula>
    </cfRule>
    <cfRule type="cellIs" dxfId="107" priority="6" operator="equal">
      <formula>$U$8</formula>
    </cfRule>
  </conditionalFormatting>
  <conditionalFormatting sqref="I53">
    <cfRule type="cellIs" dxfId="106" priority="7" operator="equal">
      <formula>$U$13</formula>
    </cfRule>
    <cfRule type="cellIs" dxfId="105" priority="8" operator="equal">
      <formula>$U$11</formula>
    </cfRule>
    <cfRule type="cellIs" dxfId="104" priority="9" operator="equal">
      <formula>$U$12</formula>
    </cfRule>
  </conditionalFormatting>
  <dataValidations count="3">
    <dataValidation type="list" allowBlank="1" showInputMessage="1" showErrorMessage="1" sqref="I39 I19 I29 I49" xr:uid="{7D8E830B-4540-46BA-957F-2B342E2BDB39}">
      <formula1>$U$3:$U$5</formula1>
    </dataValidation>
    <dataValidation type="list" allowBlank="1" showInputMessage="1" showErrorMessage="1" sqref="I41 I21 I31 I51" xr:uid="{96C959ED-5928-42F6-9FE0-1435132774EF}">
      <formula1>$U$7:$U$9</formula1>
    </dataValidation>
    <dataValidation type="list" allowBlank="1" showInputMessage="1" showErrorMessage="1" sqref="I43 I23 I33 I53" xr:uid="{0E734486-5C46-4932-B07C-82E9C756E041}">
      <formula1>$U$11:$U$13</formula1>
    </dataValidation>
  </dataValidations>
  <hyperlinks>
    <hyperlink ref="B57" location="'Section 7'!A1" display="Previous section" xr:uid="{9F687A8E-AD87-4893-B9E0-C44AC3F4C843}"/>
    <hyperlink ref="D57" location="'Section 9'!A1" display="Next section" xr:uid="{93BE4E37-F494-461C-B5AE-09D860907805}"/>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AD1E15-E7D0-4E37-9566-1DB3305B50F5}">
  <sheetPr codeName="Sheet11"/>
  <dimension ref="A1:AI37"/>
  <sheetViews>
    <sheetView zoomScale="74" zoomScaleNormal="100" workbookViewId="0">
      <selection activeCell="D4" sqref="D4"/>
    </sheetView>
  </sheetViews>
  <sheetFormatPr defaultColWidth="0" defaultRowHeight="16.8" zeroHeight="1" outlineLevelRow="1"/>
  <cols>
    <col min="1" max="1" width="3.33203125" style="32" customWidth="1"/>
    <col min="2" max="2" width="19.5" style="32" customWidth="1"/>
    <col min="3" max="3" width="19.5" style="32" hidden="1" customWidth="1"/>
    <col min="4" max="4" width="27.08203125" style="32" customWidth="1"/>
    <col min="5" max="8" width="9.08203125" style="32" customWidth="1"/>
    <col min="9" max="9" width="26.83203125" style="32" customWidth="1"/>
    <col min="10" max="10" width="52.9140625" style="32" customWidth="1"/>
    <col min="11" max="11" width="12.5" style="32" hidden="1" customWidth="1"/>
    <col min="12" max="20" width="9.08203125" style="32" customWidth="1"/>
    <col min="21" max="21" width="16.08203125" style="99" customWidth="1"/>
    <col min="22" max="22" width="9.08203125" style="99" hidden="1" customWidth="1"/>
    <col min="23" max="25" width="9.08203125" style="32" hidden="1" customWidth="1"/>
    <col min="26" max="35" width="0" style="32" hidden="1" customWidth="1"/>
    <col min="36" max="16384" width="9.08203125" style="32" hidden="1"/>
  </cols>
  <sheetData>
    <row r="1" spans="2:25" ht="17.399999999999999" thickBot="1">
      <c r="V1" s="263"/>
      <c r="W1" s="263"/>
      <c r="X1" s="263"/>
      <c r="Y1" s="263"/>
    </row>
    <row r="2" spans="2:25" s="40" customFormat="1" ht="34.200000000000003" thickBot="1">
      <c r="B2" s="41" t="s">
        <v>237</v>
      </c>
      <c r="C2" s="42"/>
      <c r="D2" s="43"/>
      <c r="E2" s="43"/>
      <c r="F2" s="43"/>
      <c r="G2" s="43"/>
      <c r="H2" s="43"/>
      <c r="I2" s="43"/>
      <c r="J2" s="43"/>
      <c r="K2" s="43"/>
      <c r="L2" s="43"/>
      <c r="M2" s="43"/>
      <c r="N2" s="43"/>
      <c r="O2" s="43"/>
      <c r="P2" s="43"/>
      <c r="Q2" s="43"/>
      <c r="R2" s="43"/>
      <c r="S2" s="43"/>
      <c r="T2" s="166"/>
      <c r="U2" s="120"/>
      <c r="V2" s="160"/>
      <c r="W2" s="160"/>
      <c r="X2" s="160"/>
      <c r="Y2" s="160"/>
    </row>
    <row r="3" spans="2:25" s="40" customFormat="1" ht="48.6" customHeight="1" thickBot="1">
      <c r="B3" s="218" t="str">
        <f>'EDI Framework Criteria'!A31</f>
        <v>Support</v>
      </c>
      <c r="C3" s="219"/>
      <c r="D3" s="219"/>
      <c r="E3" s="219"/>
      <c r="F3" s="219"/>
      <c r="G3" s="219"/>
      <c r="H3" s="219"/>
      <c r="I3" s="219"/>
      <c r="J3" s="219"/>
      <c r="K3" s="219"/>
      <c r="L3" s="219"/>
      <c r="M3" s="219"/>
      <c r="N3" s="219"/>
      <c r="O3" s="219"/>
      <c r="P3" s="219"/>
      <c r="Q3" s="219"/>
      <c r="R3" s="219"/>
      <c r="S3" s="219"/>
      <c r="T3" s="220"/>
      <c r="U3" s="120" t="s">
        <v>172</v>
      </c>
      <c r="V3" s="121">
        <v>2</v>
      </c>
    </row>
    <row r="4" spans="2:25">
      <c r="B4" s="34"/>
      <c r="C4" s="86"/>
      <c r="D4" s="86"/>
      <c r="E4" s="86"/>
      <c r="F4" s="86"/>
      <c r="G4" s="86"/>
      <c r="H4" s="86"/>
      <c r="I4" s="86"/>
      <c r="J4" s="86"/>
      <c r="K4" s="86"/>
      <c r="L4" s="86"/>
      <c r="M4" s="86"/>
      <c r="N4" s="86"/>
      <c r="O4" s="86"/>
      <c r="P4" s="86"/>
      <c r="Q4" s="86"/>
      <c r="R4" s="86"/>
      <c r="S4" s="86"/>
      <c r="T4" s="35"/>
      <c r="U4" s="99" t="s">
        <v>144</v>
      </c>
      <c r="V4" s="122">
        <v>1</v>
      </c>
    </row>
    <row r="5" spans="2:25" ht="21.6">
      <c r="B5" s="94" t="s">
        <v>145</v>
      </c>
      <c r="C5" s="95"/>
      <c r="D5" s="86"/>
      <c r="E5" s="86"/>
      <c r="F5" s="86"/>
      <c r="G5" s="86"/>
      <c r="H5" s="86"/>
      <c r="I5" s="86"/>
      <c r="J5" s="86"/>
      <c r="K5" s="86"/>
      <c r="L5" s="86"/>
      <c r="M5" s="86"/>
      <c r="N5" s="86"/>
      <c r="O5" s="86"/>
      <c r="P5" s="86"/>
      <c r="Q5" s="86"/>
      <c r="R5" s="86"/>
      <c r="S5" s="86"/>
      <c r="T5" s="35"/>
      <c r="U5" s="99" t="s">
        <v>175</v>
      </c>
      <c r="V5" s="122">
        <v>0</v>
      </c>
    </row>
    <row r="6" spans="2:25">
      <c r="B6" s="228" t="s">
        <v>489</v>
      </c>
      <c r="C6" s="229"/>
      <c r="D6" s="229"/>
      <c r="E6" s="229"/>
      <c r="F6" s="229"/>
      <c r="G6" s="229"/>
      <c r="H6" s="229"/>
      <c r="I6" s="229"/>
      <c r="J6" s="229"/>
      <c r="K6" s="86"/>
      <c r="L6" s="86"/>
      <c r="M6" s="86"/>
      <c r="N6" s="86"/>
      <c r="O6" s="86"/>
      <c r="P6" s="86"/>
      <c r="Q6" s="86"/>
      <c r="R6" s="86"/>
      <c r="S6" s="86"/>
      <c r="T6" s="35"/>
      <c r="V6" s="122"/>
    </row>
    <row r="7" spans="2:25">
      <c r="B7" s="228"/>
      <c r="C7" s="229"/>
      <c r="D7" s="229"/>
      <c r="E7" s="229"/>
      <c r="F7" s="229"/>
      <c r="G7" s="229"/>
      <c r="H7" s="229"/>
      <c r="I7" s="229"/>
      <c r="J7" s="229"/>
      <c r="K7" s="86"/>
      <c r="L7" s="86"/>
      <c r="M7" s="86"/>
      <c r="N7" s="86"/>
      <c r="O7" s="86"/>
      <c r="P7" s="86"/>
      <c r="Q7" s="86"/>
      <c r="R7" s="86"/>
      <c r="S7" s="86"/>
      <c r="T7" s="35"/>
      <c r="U7" s="99" t="s">
        <v>173</v>
      </c>
      <c r="V7" s="122">
        <v>2</v>
      </c>
    </row>
    <row r="8" spans="2:25" s="40" customFormat="1" ht="21.6">
      <c r="B8" s="49" t="s">
        <v>321</v>
      </c>
      <c r="C8" s="50"/>
      <c r="D8" s="47"/>
      <c r="E8" s="47"/>
      <c r="F8" s="47"/>
      <c r="G8" s="47"/>
      <c r="H8" s="47"/>
      <c r="I8" s="47"/>
      <c r="J8" s="47"/>
      <c r="K8" s="47"/>
      <c r="L8" s="47"/>
      <c r="M8" s="47"/>
      <c r="N8" s="47"/>
      <c r="O8" s="47"/>
      <c r="P8" s="47"/>
      <c r="Q8" s="47"/>
      <c r="R8" s="47"/>
      <c r="S8" s="47"/>
      <c r="T8" s="48"/>
      <c r="U8" s="120" t="s">
        <v>144</v>
      </c>
      <c r="V8" s="121">
        <v>1</v>
      </c>
    </row>
    <row r="9" spans="2:25" s="40" customFormat="1" ht="18.75" hidden="1" customHeight="1" outlineLevel="1">
      <c r="B9" s="232" t="s">
        <v>146</v>
      </c>
      <c r="C9" s="233"/>
      <c r="D9" s="234" t="s">
        <v>147</v>
      </c>
      <c r="E9" s="235"/>
      <c r="F9" s="235"/>
      <c r="G9" s="235"/>
      <c r="H9" s="235"/>
      <c r="I9" s="235"/>
      <c r="J9" s="235"/>
      <c r="K9" s="235"/>
      <c r="L9" s="235"/>
      <c r="M9" s="235"/>
      <c r="N9" s="233"/>
      <c r="O9" s="240" t="s">
        <v>148</v>
      </c>
      <c r="P9" s="240"/>
      <c r="Q9" s="240"/>
      <c r="R9" s="240"/>
      <c r="S9" s="240"/>
      <c r="T9" s="241"/>
      <c r="U9" s="120" t="s">
        <v>176</v>
      </c>
      <c r="V9" s="121">
        <v>0</v>
      </c>
    </row>
    <row r="10" spans="2:25" s="40" customFormat="1" ht="96" hidden="1" customHeight="1" outlineLevel="1">
      <c r="B10" s="227"/>
      <c r="C10" s="226"/>
      <c r="D10" s="224"/>
      <c r="E10" s="238"/>
      <c r="F10" s="238"/>
      <c r="G10" s="238"/>
      <c r="H10" s="238"/>
      <c r="I10" s="238"/>
      <c r="J10" s="238"/>
      <c r="K10" s="238"/>
      <c r="L10" s="238"/>
      <c r="M10" s="238"/>
      <c r="N10" s="239"/>
      <c r="O10" s="236"/>
      <c r="P10" s="242"/>
      <c r="Q10" s="242"/>
      <c r="R10" s="242"/>
      <c r="S10" s="242"/>
      <c r="T10" s="243"/>
      <c r="U10" s="120"/>
      <c r="V10" s="121"/>
    </row>
    <row r="11" spans="2:25" s="40" customFormat="1" ht="65.25" hidden="1" customHeight="1" outlineLevel="1">
      <c r="B11" s="227"/>
      <c r="C11" s="226"/>
      <c r="D11" s="224"/>
      <c r="E11" s="225"/>
      <c r="F11" s="225"/>
      <c r="G11" s="225"/>
      <c r="H11" s="225"/>
      <c r="I11" s="225"/>
      <c r="J11" s="225"/>
      <c r="K11" s="225"/>
      <c r="L11" s="225"/>
      <c r="M11" s="225"/>
      <c r="N11" s="226"/>
      <c r="O11" s="236"/>
      <c r="P11" s="236"/>
      <c r="Q11" s="236"/>
      <c r="R11" s="236"/>
      <c r="S11" s="236"/>
      <c r="T11" s="237"/>
      <c r="U11" s="120" t="s">
        <v>169</v>
      </c>
      <c r="V11" s="121">
        <v>2</v>
      </c>
    </row>
    <row r="12" spans="2:25" s="40" customFormat="1" ht="49.5" hidden="1" customHeight="1" outlineLevel="1">
      <c r="B12" s="227"/>
      <c r="C12" s="226"/>
      <c r="D12" s="224"/>
      <c r="E12" s="225"/>
      <c r="F12" s="225"/>
      <c r="G12" s="225"/>
      <c r="H12" s="225"/>
      <c r="I12" s="225"/>
      <c r="J12" s="225"/>
      <c r="K12" s="225"/>
      <c r="L12" s="225"/>
      <c r="M12" s="225"/>
      <c r="N12" s="226"/>
      <c r="O12" s="236"/>
      <c r="P12" s="236"/>
      <c r="Q12" s="236"/>
      <c r="R12" s="236"/>
      <c r="S12" s="236"/>
      <c r="T12" s="237"/>
      <c r="U12" s="120" t="s">
        <v>144</v>
      </c>
      <c r="V12" s="121">
        <v>1</v>
      </c>
    </row>
    <row r="13" spans="2:25" collapsed="1">
      <c r="B13" s="34"/>
      <c r="C13" s="86"/>
      <c r="D13" s="86"/>
      <c r="E13" s="86"/>
      <c r="F13" s="86"/>
      <c r="G13" s="86"/>
      <c r="H13" s="86"/>
      <c r="I13" s="86"/>
      <c r="J13" s="86"/>
      <c r="K13" s="86"/>
      <c r="L13" s="86"/>
      <c r="M13" s="86"/>
      <c r="N13" s="86"/>
      <c r="O13" s="86"/>
      <c r="P13" s="86"/>
      <c r="Q13" s="86"/>
      <c r="R13" s="86"/>
      <c r="S13" s="86"/>
      <c r="T13" s="35"/>
      <c r="U13" s="99" t="s">
        <v>177</v>
      </c>
      <c r="V13" s="122">
        <v>0</v>
      </c>
    </row>
    <row r="14" spans="2:25">
      <c r="B14" s="34"/>
      <c r="C14" s="86"/>
      <c r="D14" s="86"/>
      <c r="E14" s="86"/>
      <c r="F14" s="86"/>
      <c r="G14" s="86"/>
      <c r="H14" s="86"/>
      <c r="I14" s="86"/>
      <c r="J14" s="86"/>
      <c r="K14" s="86"/>
      <c r="L14" s="86"/>
      <c r="M14" s="86"/>
      <c r="N14" s="86"/>
      <c r="O14" s="86"/>
      <c r="P14" s="86"/>
      <c r="Q14" s="86"/>
      <c r="R14" s="86"/>
      <c r="S14" s="86"/>
      <c r="T14" s="35"/>
    </row>
    <row r="15" spans="2:25" ht="17.399999999999999" thickBot="1">
      <c r="B15" s="34"/>
      <c r="C15" s="86"/>
      <c r="D15" s="86"/>
      <c r="E15" s="86"/>
      <c r="F15" s="86"/>
      <c r="G15" s="86"/>
      <c r="H15" s="86"/>
      <c r="I15" s="86"/>
      <c r="J15" s="86"/>
      <c r="K15" s="86"/>
      <c r="L15" s="86"/>
      <c r="M15" s="86"/>
      <c r="N15" s="86"/>
      <c r="O15" s="86"/>
      <c r="P15" s="86"/>
      <c r="Q15" s="86"/>
      <c r="R15" s="86"/>
      <c r="S15" s="86"/>
      <c r="T15" s="35"/>
    </row>
    <row r="16" spans="2:25" ht="21.6">
      <c r="B16" s="51" t="s">
        <v>161</v>
      </c>
      <c r="C16" s="52"/>
      <c r="D16" s="156" t="str">
        <f>'EDI Framework Criteria'!B31</f>
        <v>Professional support</v>
      </c>
      <c r="E16" s="53"/>
      <c r="F16" s="53"/>
      <c r="G16" s="53"/>
      <c r="H16" s="53"/>
      <c r="I16" s="53"/>
      <c r="J16" s="53"/>
      <c r="K16" s="53"/>
      <c r="L16" s="53"/>
      <c r="M16" s="53"/>
      <c r="N16" s="53"/>
      <c r="O16" s="53"/>
      <c r="P16" s="53"/>
      <c r="Q16" s="53"/>
      <c r="R16" s="53"/>
      <c r="S16" s="53"/>
      <c r="T16" s="54"/>
    </row>
    <row r="17" spans="2:20">
      <c r="B17" s="55"/>
      <c r="C17" s="56"/>
      <c r="D17" s="56"/>
      <c r="E17" s="56"/>
      <c r="F17" s="56"/>
      <c r="G17" s="56"/>
      <c r="H17" s="56"/>
      <c r="I17" s="56"/>
      <c r="J17" s="56"/>
      <c r="K17" s="56"/>
      <c r="L17" s="56"/>
      <c r="M17" s="56"/>
      <c r="N17" s="56"/>
      <c r="O17" s="56"/>
      <c r="P17" s="56"/>
      <c r="Q17" s="56"/>
      <c r="R17" s="56"/>
      <c r="S17" s="56"/>
      <c r="T17" s="57"/>
    </row>
    <row r="18" spans="2:20" ht="50.4">
      <c r="B18" s="55"/>
      <c r="C18" s="56"/>
      <c r="D18" s="56"/>
      <c r="E18" s="56"/>
      <c r="F18" s="56"/>
      <c r="G18" s="56"/>
      <c r="H18" s="56"/>
      <c r="I18" s="58" t="s">
        <v>162</v>
      </c>
      <c r="J18" s="58" t="s">
        <v>163</v>
      </c>
      <c r="K18" s="59" t="s">
        <v>164</v>
      </c>
      <c r="L18" s="60" t="s">
        <v>508</v>
      </c>
      <c r="M18" s="56"/>
      <c r="N18" s="56"/>
      <c r="O18" s="56"/>
      <c r="P18" s="56"/>
      <c r="Q18" s="56"/>
      <c r="R18" s="56"/>
      <c r="S18" s="56"/>
      <c r="T18" s="57"/>
    </row>
    <row r="19" spans="2:20" ht="90" customHeight="1">
      <c r="B19" s="61" t="s">
        <v>166</v>
      </c>
      <c r="C19" s="62" t="str">
        <f>'EDI Framework Criteria'!C31</f>
        <v>1.I.1</v>
      </c>
      <c r="D19" s="224" t="str">
        <f>'EDI Framework Criteria'!D31</f>
        <v xml:space="preserve">We are committed to creating a plan for identifying experts, organisations, associations, or membership bodies that can help us improve our EDI practice.	</v>
      </c>
      <c r="E19" s="225"/>
      <c r="F19" s="225"/>
      <c r="G19" s="225"/>
      <c r="H19" s="226"/>
      <c r="I19" s="63" t="s">
        <v>175</v>
      </c>
      <c r="J19" s="63"/>
      <c r="K19" s="47">
        <f>INDEX($U$3:$V$13,MATCH(I19,$U$3:$U$13,0),2)</f>
        <v>0</v>
      </c>
      <c r="L19" s="242" t="s">
        <v>509</v>
      </c>
      <c r="M19" s="242"/>
      <c r="N19" s="242"/>
      <c r="O19" s="242"/>
      <c r="P19" s="242"/>
      <c r="Q19" s="242"/>
      <c r="R19" s="242"/>
      <c r="S19" s="242"/>
      <c r="T19" s="243"/>
    </row>
    <row r="20" spans="2:20">
      <c r="B20" s="46"/>
      <c r="C20" s="47"/>
      <c r="D20" s="47"/>
      <c r="E20" s="47"/>
      <c r="F20" s="47"/>
      <c r="G20" s="47"/>
      <c r="H20" s="47"/>
      <c r="I20" s="47"/>
      <c r="J20" s="47"/>
      <c r="K20" s="47"/>
      <c r="L20" s="242"/>
      <c r="M20" s="242"/>
      <c r="N20" s="242"/>
      <c r="O20" s="242"/>
      <c r="P20" s="242"/>
      <c r="Q20" s="242"/>
      <c r="R20" s="242"/>
      <c r="S20" s="242"/>
      <c r="T20" s="243"/>
    </row>
    <row r="21" spans="2:20" ht="90" customHeight="1">
      <c r="B21" s="61" t="s">
        <v>167</v>
      </c>
      <c r="C21" s="62" t="str">
        <f>'EDI Framework Criteria'!E31</f>
        <v>2.I.1</v>
      </c>
      <c r="D21" s="224" t="str">
        <f>'EDI Framework Criteria'!F31</f>
        <v>We have identified experts, organisations, associations, or membership bodies that can help us improve our EDI practice. We have engaged with them in some way.</v>
      </c>
      <c r="E21" s="225"/>
      <c r="F21" s="225"/>
      <c r="G21" s="225"/>
      <c r="H21" s="226"/>
      <c r="I21" s="63" t="s">
        <v>176</v>
      </c>
      <c r="J21" s="63"/>
      <c r="K21" s="47">
        <f>INDEX($U$3:$V$13,MATCH(I21,$U$3:$U$13,0),2)</f>
        <v>0</v>
      </c>
      <c r="L21" s="242"/>
      <c r="M21" s="242"/>
      <c r="N21" s="242"/>
      <c r="O21" s="242"/>
      <c r="P21" s="242"/>
      <c r="Q21" s="242"/>
      <c r="R21" s="242"/>
      <c r="S21" s="242"/>
      <c r="T21" s="243"/>
    </row>
    <row r="22" spans="2:20">
      <c r="B22" s="46"/>
      <c r="C22" s="47"/>
      <c r="D22" s="47"/>
      <c r="E22" s="47"/>
      <c r="F22" s="47"/>
      <c r="G22" s="47"/>
      <c r="H22" s="47"/>
      <c r="I22" s="47"/>
      <c r="J22" s="47"/>
      <c r="K22" s="47"/>
      <c r="L22" s="242"/>
      <c r="M22" s="242"/>
      <c r="N22" s="242"/>
      <c r="O22" s="242"/>
      <c r="P22" s="242"/>
      <c r="Q22" s="242"/>
      <c r="R22" s="242"/>
      <c r="S22" s="242"/>
      <c r="T22" s="243"/>
    </row>
    <row r="23" spans="2:20" ht="108" customHeight="1" thickBot="1">
      <c r="B23" s="64" t="s">
        <v>168</v>
      </c>
      <c r="C23" s="65" t="str">
        <f>'EDI Framework Criteria'!G31</f>
        <v>3.I.1</v>
      </c>
      <c r="D23" s="221" t="str">
        <f>'EDI Framework Criteria'!H31</f>
        <v>We’re in continuing contact with experts, organisations, associations, or membership bodies that can help us improve our EDI practice. Where possible, we are sharing our practice with other organisations. This helps create a community of practice, which we can all learn from.</v>
      </c>
      <c r="E23" s="222"/>
      <c r="F23" s="222"/>
      <c r="G23" s="222"/>
      <c r="H23" s="223"/>
      <c r="I23" s="66" t="s">
        <v>177</v>
      </c>
      <c r="J23" s="66"/>
      <c r="K23" s="67">
        <f>INDEX($U$3:$V$13,MATCH(I23,$U$3:$U$13,0),2)</f>
        <v>0</v>
      </c>
      <c r="L23" s="284"/>
      <c r="M23" s="284"/>
      <c r="N23" s="284"/>
      <c r="O23" s="284"/>
      <c r="P23" s="284"/>
      <c r="Q23" s="284"/>
      <c r="R23" s="284"/>
      <c r="S23" s="284"/>
      <c r="T23" s="285"/>
    </row>
    <row r="24" spans="2:20">
      <c r="B24" s="34"/>
      <c r="C24" s="86"/>
      <c r="D24" s="86"/>
      <c r="E24" s="86"/>
      <c r="F24" s="86"/>
      <c r="G24" s="86"/>
      <c r="H24" s="86"/>
      <c r="I24" s="86"/>
      <c r="J24" s="86"/>
      <c r="K24" s="86"/>
      <c r="L24" s="86"/>
      <c r="M24" s="86"/>
      <c r="N24" s="86"/>
      <c r="O24" s="86"/>
      <c r="P24" s="86"/>
      <c r="Q24" s="86"/>
      <c r="R24" s="86"/>
      <c r="S24" s="86"/>
      <c r="T24" s="35"/>
    </row>
    <row r="25" spans="2:20">
      <c r="B25" s="34"/>
      <c r="C25" s="86"/>
      <c r="D25" s="86"/>
      <c r="E25" s="86"/>
      <c r="F25" s="86"/>
      <c r="G25" s="86"/>
      <c r="H25" s="86"/>
      <c r="I25" s="86"/>
      <c r="J25" s="86"/>
      <c r="K25" s="86"/>
      <c r="L25" s="86"/>
      <c r="M25" s="86"/>
      <c r="N25" s="86"/>
      <c r="O25" s="86"/>
      <c r="P25" s="86"/>
      <c r="Q25" s="86"/>
      <c r="R25" s="86"/>
      <c r="S25" s="86"/>
      <c r="T25" s="35"/>
    </row>
    <row r="26" spans="2:20" ht="17.399999999999999" thickBot="1">
      <c r="B26" s="34"/>
      <c r="C26" s="86"/>
      <c r="D26" s="86"/>
      <c r="E26" s="86"/>
      <c r="F26" s="86"/>
      <c r="G26" s="86"/>
      <c r="H26" s="86"/>
      <c r="I26" s="86"/>
      <c r="J26" s="86"/>
      <c r="K26" s="86"/>
      <c r="L26" s="86"/>
      <c r="M26" s="86"/>
      <c r="N26" s="86"/>
      <c r="O26" s="86"/>
      <c r="P26" s="86"/>
      <c r="Q26" s="86"/>
      <c r="R26" s="86"/>
      <c r="S26" s="86"/>
      <c r="T26" s="35"/>
    </row>
    <row r="27" spans="2:20" ht="31.5" customHeight="1">
      <c r="B27" s="87" t="s">
        <v>194</v>
      </c>
      <c r="C27" s="88"/>
      <c r="D27" s="88" t="s">
        <v>180</v>
      </c>
      <c r="E27" s="89"/>
      <c r="F27" s="89"/>
      <c r="G27" s="89"/>
      <c r="H27" s="89"/>
      <c r="I27" s="89"/>
      <c r="J27" s="89"/>
      <c r="K27" s="89"/>
      <c r="L27" s="89"/>
      <c r="M27" s="89"/>
      <c r="N27" s="89"/>
      <c r="O27" s="89"/>
      <c r="P27" s="89"/>
      <c r="Q27" s="89"/>
      <c r="R27" s="89"/>
      <c r="S27" s="89"/>
      <c r="T27" s="90"/>
    </row>
    <row r="28" spans="2:20" ht="25.2" thickBot="1">
      <c r="B28" s="91"/>
      <c r="C28" s="92"/>
      <c r="D28" s="92"/>
      <c r="E28" s="92"/>
      <c r="F28" s="92"/>
      <c r="G28" s="92"/>
      <c r="H28" s="92"/>
      <c r="I28" s="92"/>
      <c r="J28" s="92"/>
      <c r="K28" s="92"/>
      <c r="L28" s="92"/>
      <c r="M28" s="92"/>
      <c r="N28" s="92"/>
      <c r="O28" s="92"/>
      <c r="P28" s="92"/>
      <c r="Q28" s="92"/>
      <c r="R28" s="92"/>
      <c r="S28" s="92"/>
      <c r="T28" s="93"/>
    </row>
    <row r="29" spans="2:20" ht="24" customHeight="1" thickBot="1">
      <c r="B29" s="97"/>
      <c r="C29" s="98"/>
      <c r="D29" s="98"/>
      <c r="E29" s="98"/>
      <c r="F29" s="98"/>
      <c r="G29" s="98"/>
      <c r="H29" s="98"/>
      <c r="I29" s="98"/>
      <c r="J29" s="98"/>
      <c r="K29" s="98"/>
      <c r="L29" s="98"/>
      <c r="M29" s="98"/>
      <c r="N29" s="98"/>
      <c r="O29" s="98"/>
      <c r="P29" s="98"/>
      <c r="Q29" s="98"/>
      <c r="R29" s="98"/>
      <c r="S29" s="98"/>
      <c r="T29" s="36"/>
    </row>
    <row r="30" spans="2:20"/>
    <row r="31" spans="2:20" ht="22.5" customHeight="1"/>
    <row r="32" spans="2:20"/>
    <row r="33" ht="24" hidden="1" customHeight="1"/>
    <row r="37" ht="25.5" hidden="1" customHeight="1"/>
  </sheetData>
  <mergeCells count="19">
    <mergeCell ref="V1:Y1"/>
    <mergeCell ref="B3:T3"/>
    <mergeCell ref="D19:H19"/>
    <mergeCell ref="O9:T9"/>
    <mergeCell ref="O10:T10"/>
    <mergeCell ref="O11:T11"/>
    <mergeCell ref="O12:T12"/>
    <mergeCell ref="B9:C9"/>
    <mergeCell ref="D9:N9"/>
    <mergeCell ref="B10:C10"/>
    <mergeCell ref="D10:N10"/>
    <mergeCell ref="B11:C11"/>
    <mergeCell ref="D11:N11"/>
    <mergeCell ref="B12:C12"/>
    <mergeCell ref="D12:N12"/>
    <mergeCell ref="B6:J7"/>
    <mergeCell ref="D23:H23"/>
    <mergeCell ref="D21:H21"/>
    <mergeCell ref="L19:T23"/>
  </mergeCells>
  <conditionalFormatting sqref="U5">
    <cfRule type="cellIs" dxfId="103" priority="10" operator="equal">
      <formula>$U$4</formula>
    </cfRule>
    <cfRule type="cellIs" dxfId="102" priority="11" operator="equal">
      <formula>$U$4</formula>
    </cfRule>
  </conditionalFormatting>
  <conditionalFormatting sqref="I19">
    <cfRule type="cellIs" dxfId="101" priority="1" operator="equal">
      <formula>$U$5</formula>
    </cfRule>
    <cfRule type="cellIs" dxfId="100" priority="2" operator="equal">
      <formula>$U$3</formula>
    </cfRule>
    <cfRule type="cellIs" dxfId="99" priority="3" operator="equal">
      <formula>$U$4</formula>
    </cfRule>
  </conditionalFormatting>
  <conditionalFormatting sqref="I21">
    <cfRule type="cellIs" dxfId="98" priority="4" operator="equal">
      <formula>$U$9</formula>
    </cfRule>
    <cfRule type="cellIs" dxfId="97" priority="5" operator="equal">
      <formula>$U$7</formula>
    </cfRule>
    <cfRule type="cellIs" dxfId="96" priority="6" operator="equal">
      <formula>$U$8</formula>
    </cfRule>
  </conditionalFormatting>
  <conditionalFormatting sqref="I23">
    <cfRule type="cellIs" dxfId="95" priority="7" operator="equal">
      <formula>$U$13</formula>
    </cfRule>
    <cfRule type="cellIs" dxfId="94" priority="8" operator="equal">
      <formula>$U$11</formula>
    </cfRule>
    <cfRule type="cellIs" dxfId="93" priority="9" operator="equal">
      <formula>$U$12</formula>
    </cfRule>
  </conditionalFormatting>
  <dataValidations count="3">
    <dataValidation type="list" allowBlank="1" showInputMessage="1" showErrorMessage="1" sqref="I23" xr:uid="{8ABA0C56-EC2A-4F41-B1C4-F83F4D8091B5}">
      <formula1>$U$11:$U$13</formula1>
    </dataValidation>
    <dataValidation type="list" allowBlank="1" showInputMessage="1" showErrorMessage="1" sqref="I21" xr:uid="{383BC084-6A5C-4D65-B9BF-2A1B5068CEA5}">
      <formula1>$U$7:$U$9</formula1>
    </dataValidation>
    <dataValidation type="list" allowBlank="1" showInputMessage="1" showErrorMessage="1" sqref="I19" xr:uid="{5E36AC05-D01D-4FDC-8D74-B1B6DBB7B120}">
      <formula1>$U$3:$U$5</formula1>
    </dataValidation>
  </dataValidations>
  <hyperlinks>
    <hyperlink ref="B27" location="'Section 8'!A1" display="Previous section" xr:uid="{1C4186D0-6A1C-4F0C-96A3-C5CF8E13D91E}"/>
    <hyperlink ref="D27" location="'Section 10'!A1" display="Next section" xr:uid="{B7B00981-0B5D-46AA-B407-394FB3863581}"/>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2E50A4-FDDE-4A5C-B372-241FBB74EEE8}">
  <sheetPr codeName="Sheet12"/>
  <dimension ref="A1:AI225"/>
  <sheetViews>
    <sheetView zoomScale="81" zoomScaleNormal="47" workbookViewId="0">
      <selection activeCell="N24" sqref="N24"/>
    </sheetView>
  </sheetViews>
  <sheetFormatPr defaultColWidth="0" defaultRowHeight="16.8" zeroHeight="1" outlineLevelRow="1"/>
  <cols>
    <col min="1" max="1" width="3.33203125" style="32" customWidth="1"/>
    <col min="2" max="2" width="19.5" style="32" customWidth="1"/>
    <col min="3" max="3" width="19.5" style="32" hidden="1" customWidth="1"/>
    <col min="4" max="4" width="27.08203125" style="32" customWidth="1"/>
    <col min="5" max="8" width="9.08203125" style="32" customWidth="1"/>
    <col min="9" max="9" width="26.83203125" style="32" customWidth="1"/>
    <col min="10" max="10" width="52.9140625" style="32" customWidth="1"/>
    <col min="11" max="11" width="21.4140625" style="32" hidden="1" customWidth="1"/>
    <col min="12" max="20" width="9.08203125" style="32" customWidth="1"/>
    <col min="21" max="21" width="13.5" style="99" customWidth="1"/>
    <col min="22" max="22" width="9.08203125" style="99" hidden="1" customWidth="1"/>
    <col min="23" max="25" width="9.08203125" style="32" hidden="1" customWidth="1"/>
    <col min="26" max="35" width="0" style="32" hidden="1" customWidth="1"/>
    <col min="36" max="16384" width="9.08203125" style="32" hidden="1"/>
  </cols>
  <sheetData>
    <row r="1" spans="2:25" ht="17.399999999999999" thickBot="1">
      <c r="V1" s="263"/>
      <c r="W1" s="263"/>
      <c r="X1" s="263"/>
      <c r="Y1" s="263"/>
    </row>
    <row r="2" spans="2:25" s="40" customFormat="1" ht="34.200000000000003" thickBot="1">
      <c r="B2" s="41" t="s">
        <v>238</v>
      </c>
      <c r="C2" s="42"/>
      <c r="D2" s="43"/>
      <c r="E2" s="43"/>
      <c r="F2" s="43"/>
      <c r="G2" s="43"/>
      <c r="H2" s="43"/>
      <c r="I2" s="43"/>
      <c r="J2" s="43"/>
      <c r="K2" s="43"/>
      <c r="L2" s="43"/>
      <c r="M2" s="43"/>
      <c r="N2" s="43"/>
      <c r="O2" s="43"/>
      <c r="P2" s="43"/>
      <c r="Q2" s="43"/>
      <c r="R2" s="43"/>
      <c r="S2" s="43"/>
      <c r="T2" s="166"/>
      <c r="U2" s="120"/>
      <c r="V2" s="160"/>
      <c r="W2" s="160"/>
      <c r="X2" s="160"/>
      <c r="Y2" s="160"/>
    </row>
    <row r="3" spans="2:25" s="40" customFormat="1" ht="48.6" customHeight="1" thickBot="1">
      <c r="B3" s="218" t="str">
        <f>'EDI Framework Criteria'!A32</f>
        <v>Business Model</v>
      </c>
      <c r="C3" s="219"/>
      <c r="D3" s="219"/>
      <c r="E3" s="219"/>
      <c r="F3" s="219"/>
      <c r="G3" s="219"/>
      <c r="H3" s="219"/>
      <c r="I3" s="219"/>
      <c r="J3" s="219"/>
      <c r="K3" s="219"/>
      <c r="L3" s="219"/>
      <c r="M3" s="219"/>
      <c r="N3" s="219"/>
      <c r="O3" s="219"/>
      <c r="P3" s="219"/>
      <c r="Q3" s="219"/>
      <c r="R3" s="219"/>
      <c r="S3" s="219"/>
      <c r="T3" s="220"/>
      <c r="U3" s="120" t="s">
        <v>172</v>
      </c>
      <c r="V3" s="121"/>
      <c r="W3" s="120"/>
      <c r="X3" s="120"/>
      <c r="Y3" s="120"/>
    </row>
    <row r="4" spans="2:25">
      <c r="B4" s="34"/>
      <c r="C4" s="86"/>
      <c r="D4" s="86"/>
      <c r="E4" s="86"/>
      <c r="F4" s="86"/>
      <c r="G4" s="86"/>
      <c r="H4" s="86"/>
      <c r="I4" s="86"/>
      <c r="J4" s="86"/>
      <c r="K4" s="86"/>
      <c r="L4" s="86"/>
      <c r="M4" s="86"/>
      <c r="N4" s="86"/>
      <c r="O4" s="86"/>
      <c r="P4" s="86"/>
      <c r="Q4" s="86"/>
      <c r="R4" s="86"/>
      <c r="S4" s="86"/>
      <c r="T4" s="35"/>
      <c r="U4" s="99" t="s">
        <v>144</v>
      </c>
      <c r="V4" s="122">
        <v>1</v>
      </c>
    </row>
    <row r="5" spans="2:25" ht="21.6">
      <c r="B5" s="94" t="s">
        <v>145</v>
      </c>
      <c r="C5" s="95"/>
      <c r="D5" s="86"/>
      <c r="E5" s="86"/>
      <c r="F5" s="86"/>
      <c r="G5" s="86"/>
      <c r="H5" s="86"/>
      <c r="I5" s="86"/>
      <c r="J5" s="86"/>
      <c r="K5" s="86"/>
      <c r="L5" s="86"/>
      <c r="M5" s="86"/>
      <c r="N5" s="86"/>
      <c r="O5" s="86"/>
      <c r="P5" s="86"/>
      <c r="Q5" s="86"/>
      <c r="R5" s="86"/>
      <c r="S5" s="86"/>
      <c r="T5" s="35"/>
      <c r="U5" s="99" t="s">
        <v>175</v>
      </c>
      <c r="V5" s="122">
        <v>0</v>
      </c>
    </row>
    <row r="6" spans="2:25">
      <c r="B6" s="34" t="s">
        <v>490</v>
      </c>
      <c r="C6" s="86"/>
      <c r="D6" s="86"/>
      <c r="E6" s="86"/>
      <c r="F6" s="86"/>
      <c r="G6" s="86"/>
      <c r="H6" s="86"/>
      <c r="I6" s="86"/>
      <c r="J6" s="86"/>
      <c r="K6" s="86"/>
      <c r="L6" s="86"/>
      <c r="M6" s="86"/>
      <c r="N6" s="86"/>
      <c r="O6" s="86"/>
      <c r="P6" s="86"/>
      <c r="Q6" s="86"/>
      <c r="R6" s="86"/>
      <c r="S6" s="86"/>
      <c r="T6" s="35"/>
      <c r="V6" s="122"/>
    </row>
    <row r="7" spans="2:25">
      <c r="B7" s="34"/>
      <c r="C7" s="86"/>
      <c r="D7" s="86"/>
      <c r="E7" s="86"/>
      <c r="F7" s="86"/>
      <c r="G7" s="86"/>
      <c r="H7" s="86"/>
      <c r="I7" s="86"/>
      <c r="J7" s="86"/>
      <c r="K7" s="86"/>
      <c r="L7" s="86"/>
      <c r="M7" s="86"/>
      <c r="N7" s="86"/>
      <c r="O7" s="86"/>
      <c r="P7" s="86"/>
      <c r="Q7" s="86"/>
      <c r="R7" s="86"/>
      <c r="S7" s="86"/>
      <c r="T7" s="35"/>
      <c r="U7" s="99" t="s">
        <v>173</v>
      </c>
      <c r="V7" s="122">
        <v>2</v>
      </c>
    </row>
    <row r="8" spans="2:25" s="40" customFormat="1" ht="21.6">
      <c r="B8" s="49" t="s">
        <v>321</v>
      </c>
      <c r="C8" s="50"/>
      <c r="D8" s="47"/>
      <c r="E8" s="47"/>
      <c r="F8" s="47"/>
      <c r="G8" s="47"/>
      <c r="H8" s="47"/>
      <c r="I8" s="47"/>
      <c r="J8" s="47"/>
      <c r="K8" s="47"/>
      <c r="L8" s="47"/>
      <c r="M8" s="47"/>
      <c r="N8" s="47"/>
      <c r="O8" s="47"/>
      <c r="P8" s="47"/>
      <c r="Q8" s="47"/>
      <c r="R8" s="47"/>
      <c r="S8" s="47"/>
      <c r="T8" s="48"/>
      <c r="U8" s="120" t="s">
        <v>144</v>
      </c>
      <c r="V8" s="121">
        <v>1</v>
      </c>
    </row>
    <row r="9" spans="2:25" s="40" customFormat="1" ht="18.75" hidden="1" customHeight="1" outlineLevel="1">
      <c r="B9" s="232" t="s">
        <v>146</v>
      </c>
      <c r="C9" s="233"/>
      <c r="D9" s="234" t="s">
        <v>147</v>
      </c>
      <c r="E9" s="235"/>
      <c r="F9" s="235"/>
      <c r="G9" s="235"/>
      <c r="H9" s="235"/>
      <c r="I9" s="235"/>
      <c r="J9" s="235"/>
      <c r="K9" s="235"/>
      <c r="L9" s="235"/>
      <c r="M9" s="235"/>
      <c r="N9" s="233"/>
      <c r="O9" s="240" t="s">
        <v>148</v>
      </c>
      <c r="P9" s="240"/>
      <c r="Q9" s="240"/>
      <c r="R9" s="240"/>
      <c r="S9" s="240"/>
      <c r="T9" s="241"/>
      <c r="U9" s="120" t="s">
        <v>176</v>
      </c>
      <c r="V9" s="121">
        <v>0</v>
      </c>
    </row>
    <row r="10" spans="2:25" s="40" customFormat="1" ht="96" hidden="1" customHeight="1" outlineLevel="1">
      <c r="B10" s="227"/>
      <c r="C10" s="226"/>
      <c r="D10" s="224"/>
      <c r="E10" s="238"/>
      <c r="F10" s="238"/>
      <c r="G10" s="238"/>
      <c r="H10" s="238"/>
      <c r="I10" s="238"/>
      <c r="J10" s="238"/>
      <c r="K10" s="238"/>
      <c r="L10" s="238"/>
      <c r="M10" s="238"/>
      <c r="N10" s="239"/>
      <c r="O10" s="236"/>
      <c r="P10" s="242"/>
      <c r="Q10" s="242"/>
      <c r="R10" s="242"/>
      <c r="S10" s="242"/>
      <c r="T10" s="243"/>
      <c r="U10" s="120"/>
      <c r="V10" s="121"/>
    </row>
    <row r="11" spans="2:25" s="40" customFormat="1" ht="65.25" hidden="1" customHeight="1" outlineLevel="1">
      <c r="B11" s="227"/>
      <c r="C11" s="226"/>
      <c r="D11" s="224"/>
      <c r="E11" s="225"/>
      <c r="F11" s="225"/>
      <c r="G11" s="225"/>
      <c r="H11" s="225"/>
      <c r="I11" s="225"/>
      <c r="J11" s="225"/>
      <c r="K11" s="225"/>
      <c r="L11" s="225"/>
      <c r="M11" s="225"/>
      <c r="N11" s="226"/>
      <c r="O11" s="236"/>
      <c r="P11" s="236"/>
      <c r="Q11" s="236"/>
      <c r="R11" s="236"/>
      <c r="S11" s="236"/>
      <c r="T11" s="237"/>
      <c r="U11" s="120" t="s">
        <v>169</v>
      </c>
      <c r="V11" s="121">
        <v>2</v>
      </c>
    </row>
    <row r="12" spans="2:25" s="40" customFormat="1" ht="49.5" hidden="1" customHeight="1" outlineLevel="1">
      <c r="B12" s="227"/>
      <c r="C12" s="226"/>
      <c r="D12" s="224"/>
      <c r="E12" s="225"/>
      <c r="F12" s="225"/>
      <c r="G12" s="225"/>
      <c r="H12" s="225"/>
      <c r="I12" s="225"/>
      <c r="J12" s="225"/>
      <c r="K12" s="225"/>
      <c r="L12" s="225"/>
      <c r="M12" s="225"/>
      <c r="N12" s="226"/>
      <c r="O12" s="236"/>
      <c r="P12" s="236"/>
      <c r="Q12" s="236"/>
      <c r="R12" s="236"/>
      <c r="S12" s="236"/>
      <c r="T12" s="237"/>
      <c r="U12" s="120" t="s">
        <v>144</v>
      </c>
      <c r="V12" s="121">
        <v>1</v>
      </c>
    </row>
    <row r="13" spans="2:25" collapsed="1">
      <c r="B13" s="34"/>
      <c r="C13" s="86"/>
      <c r="D13" s="86"/>
      <c r="E13" s="86"/>
      <c r="F13" s="86"/>
      <c r="G13" s="86"/>
      <c r="H13" s="86"/>
      <c r="I13" s="86"/>
      <c r="J13" s="86"/>
      <c r="K13" s="86"/>
      <c r="L13" s="86"/>
      <c r="M13" s="86"/>
      <c r="N13" s="86"/>
      <c r="O13" s="86"/>
      <c r="P13" s="86"/>
      <c r="Q13" s="86"/>
      <c r="R13" s="86"/>
      <c r="S13" s="86"/>
      <c r="T13" s="35"/>
      <c r="U13" s="99" t="s">
        <v>177</v>
      </c>
      <c r="V13" s="122">
        <v>0</v>
      </c>
    </row>
    <row r="14" spans="2:25" ht="25.5" customHeight="1">
      <c r="B14" s="286" t="s">
        <v>507</v>
      </c>
      <c r="C14" s="287"/>
      <c r="D14" s="287"/>
      <c r="E14" s="287"/>
      <c r="F14" s="287"/>
      <c r="G14" s="287"/>
      <c r="H14" s="287"/>
      <c r="I14" s="287"/>
      <c r="J14" s="287"/>
      <c r="K14" s="170"/>
      <c r="L14" s="171"/>
      <c r="M14" s="171"/>
      <c r="N14" s="171"/>
      <c r="O14" s="171"/>
      <c r="P14" s="171"/>
      <c r="Q14" s="171"/>
      <c r="R14" s="171"/>
      <c r="S14" s="171"/>
      <c r="T14" s="172"/>
    </row>
    <row r="15" spans="2:25" ht="17.399999999999999" thickBot="1">
      <c r="B15" s="97"/>
      <c r="C15" s="98"/>
      <c r="D15" s="98"/>
      <c r="E15" s="98"/>
      <c r="F15" s="98"/>
      <c r="G15" s="98"/>
      <c r="H15" s="98"/>
      <c r="I15" s="98"/>
      <c r="J15" s="98"/>
      <c r="K15" s="98"/>
      <c r="L15" s="98"/>
      <c r="M15" s="98"/>
      <c r="N15" s="98"/>
      <c r="O15" s="98"/>
      <c r="P15" s="98"/>
      <c r="Q15" s="98"/>
      <c r="R15" s="98"/>
      <c r="S15" s="98"/>
      <c r="T15" s="36"/>
    </row>
    <row r="16" spans="2:25" ht="21.6">
      <c r="B16" s="51" t="s">
        <v>161</v>
      </c>
      <c r="C16" s="52"/>
      <c r="D16" s="156" t="str">
        <f>'EDI Framework Criteria'!B32</f>
        <v>Value proposition</v>
      </c>
      <c r="E16" s="53"/>
      <c r="F16" s="53"/>
      <c r="G16" s="53"/>
      <c r="H16" s="53"/>
      <c r="I16" s="53"/>
      <c r="J16" s="53"/>
      <c r="K16" s="53"/>
      <c r="L16" s="53"/>
      <c r="M16" s="53"/>
      <c r="N16" s="53"/>
      <c r="O16" s="53"/>
      <c r="P16" s="53"/>
      <c r="Q16" s="53"/>
      <c r="R16" s="53"/>
      <c r="S16" s="53"/>
      <c r="T16" s="54"/>
    </row>
    <row r="17" spans="2:20">
      <c r="B17" s="55"/>
      <c r="C17" s="56"/>
      <c r="D17" s="56"/>
      <c r="E17" s="56"/>
      <c r="F17" s="56"/>
      <c r="G17" s="56"/>
      <c r="H17" s="56"/>
      <c r="I17" s="56"/>
      <c r="J17" s="56"/>
      <c r="K17" s="56"/>
      <c r="L17" s="56"/>
      <c r="M17" s="56"/>
      <c r="N17" s="56"/>
      <c r="O17" s="56"/>
      <c r="P17" s="56"/>
      <c r="Q17" s="56"/>
      <c r="R17" s="56"/>
      <c r="S17" s="56"/>
      <c r="T17" s="57"/>
    </row>
    <row r="18" spans="2:20" ht="50.4">
      <c r="B18" s="55"/>
      <c r="C18" s="56"/>
      <c r="D18" s="56"/>
      <c r="E18" s="56"/>
      <c r="F18" s="56"/>
      <c r="G18" s="56"/>
      <c r="H18" s="56"/>
      <c r="I18" s="58" t="s">
        <v>162</v>
      </c>
      <c r="J18" s="58" t="s">
        <v>163</v>
      </c>
      <c r="K18" s="59" t="s">
        <v>164</v>
      </c>
      <c r="L18" s="60" t="s">
        <v>508</v>
      </c>
      <c r="M18" s="56"/>
      <c r="N18" s="56"/>
      <c r="O18" s="56"/>
      <c r="P18" s="56"/>
      <c r="Q18" s="56"/>
      <c r="R18" s="56"/>
      <c r="S18" s="56"/>
      <c r="T18" s="57"/>
    </row>
    <row r="19" spans="2:20" ht="90" customHeight="1">
      <c r="B19" s="61" t="s">
        <v>166</v>
      </c>
      <c r="C19" s="62" t="str">
        <f>'EDI Framework Criteria'!C32</f>
        <v>1.J.1</v>
      </c>
      <c r="D19" s="224" t="str">
        <f>'EDI Framework Criteria'!D32</f>
        <v>We are committed to creating a plan to assess whether products and services are designed and delivered in a way that is accessible to our stakeholders e.g. taking into account step free access to a location.</v>
      </c>
      <c r="E19" s="225"/>
      <c r="F19" s="225"/>
      <c r="G19" s="225"/>
      <c r="H19" s="226"/>
      <c r="I19" s="63" t="s">
        <v>175</v>
      </c>
      <c r="J19" s="63"/>
      <c r="K19" s="47">
        <f>INDEX($U$3:$V$13,MATCH(I19,$U$3:$U$13,0),2)</f>
        <v>0</v>
      </c>
      <c r="L19" s="254"/>
      <c r="M19" s="255"/>
      <c r="N19" s="255"/>
      <c r="O19" s="255"/>
      <c r="P19" s="255"/>
      <c r="Q19" s="255"/>
      <c r="R19" s="255"/>
      <c r="S19" s="255"/>
      <c r="T19" s="256"/>
    </row>
    <row r="20" spans="2:20">
      <c r="B20" s="46"/>
      <c r="C20" s="47"/>
      <c r="D20" s="47"/>
      <c r="E20" s="47"/>
      <c r="F20" s="47"/>
      <c r="G20" s="47"/>
      <c r="H20" s="47"/>
      <c r="I20" s="47"/>
      <c r="J20" s="47"/>
      <c r="K20" s="47"/>
      <c r="L20" s="257"/>
      <c r="M20" s="258"/>
      <c r="N20" s="258"/>
      <c r="O20" s="258"/>
      <c r="P20" s="258"/>
      <c r="Q20" s="258"/>
      <c r="R20" s="258"/>
      <c r="S20" s="258"/>
      <c r="T20" s="259"/>
    </row>
    <row r="21" spans="2:20" ht="90" customHeight="1">
      <c r="B21" s="61" t="s">
        <v>167</v>
      </c>
      <c r="C21" s="62" t="str">
        <f>'EDI Framework Criteria'!E32</f>
        <v>2.J.1</v>
      </c>
      <c r="D21" s="224" t="str">
        <f>'EDI Framework Criteria'!F32</f>
        <v>We have developed a plan to assess whether products and services are designed and delivered in a way that is accessible to our stakeholders. We have a way to respond to feedback and action changes.</v>
      </c>
      <c r="E21" s="225"/>
      <c r="F21" s="225"/>
      <c r="G21" s="225"/>
      <c r="H21" s="226"/>
      <c r="I21" s="63" t="s">
        <v>176</v>
      </c>
      <c r="J21" s="63"/>
      <c r="K21" s="47">
        <f>INDEX($U$3:$V$13,MATCH(I21,$U$3:$U$13,0),2)</f>
        <v>0</v>
      </c>
      <c r="L21" s="257"/>
      <c r="M21" s="258"/>
      <c r="N21" s="258"/>
      <c r="O21" s="258"/>
      <c r="P21" s="258"/>
      <c r="Q21" s="258"/>
      <c r="R21" s="258"/>
      <c r="S21" s="258"/>
      <c r="T21" s="259"/>
    </row>
    <row r="22" spans="2:20">
      <c r="B22" s="46"/>
      <c r="C22" s="47"/>
      <c r="D22" s="47"/>
      <c r="E22" s="47"/>
      <c r="F22" s="47"/>
      <c r="G22" s="47"/>
      <c r="H22" s="47"/>
      <c r="I22" s="47"/>
      <c r="J22" s="47"/>
      <c r="K22" s="47"/>
      <c r="L22" s="257"/>
      <c r="M22" s="258"/>
      <c r="N22" s="258"/>
      <c r="O22" s="258"/>
      <c r="P22" s="258"/>
      <c r="Q22" s="258"/>
      <c r="R22" s="258"/>
      <c r="S22" s="258"/>
      <c r="T22" s="259"/>
    </row>
    <row r="23" spans="2:20" ht="90" customHeight="1" thickBot="1">
      <c r="B23" s="64" t="s">
        <v>168</v>
      </c>
      <c r="C23" s="65" t="str">
        <f>'EDI Framework Criteria'!G32</f>
        <v>3.J.1</v>
      </c>
      <c r="D23" s="221" t="str">
        <f>'EDI Framework Criteria'!H32</f>
        <v>We have in place a plan to assess whether products and services are designed and delivered in a way that is accessible to our stakeholders. Accessibility and inclusion are top considerations when we are creating products and services.</v>
      </c>
      <c r="E23" s="222"/>
      <c r="F23" s="222"/>
      <c r="G23" s="222"/>
      <c r="H23" s="223"/>
      <c r="I23" s="66" t="s">
        <v>177</v>
      </c>
      <c r="J23" s="66"/>
      <c r="K23" s="67">
        <f>INDEX($U$3:$V$13,MATCH(I23,$U$3:$U$13,0),2)</f>
        <v>0</v>
      </c>
      <c r="L23" s="260"/>
      <c r="M23" s="261"/>
      <c r="N23" s="261"/>
      <c r="O23" s="261"/>
      <c r="P23" s="261"/>
      <c r="Q23" s="261"/>
      <c r="R23" s="261"/>
      <c r="S23" s="261"/>
      <c r="T23" s="262"/>
    </row>
    <row r="24" spans="2:20">
      <c r="B24" s="34"/>
      <c r="C24" s="86"/>
      <c r="D24" s="86"/>
      <c r="E24" s="86"/>
      <c r="F24" s="86"/>
      <c r="G24" s="86"/>
      <c r="H24" s="86"/>
      <c r="I24" s="86"/>
      <c r="J24" s="86"/>
      <c r="K24" s="86"/>
      <c r="L24" s="86"/>
      <c r="M24" s="86"/>
      <c r="N24" s="86"/>
      <c r="O24" s="86"/>
      <c r="P24" s="86"/>
      <c r="Q24" s="86"/>
      <c r="R24" s="86"/>
      <c r="S24" s="86"/>
      <c r="T24" s="35"/>
    </row>
    <row r="25" spans="2:20" ht="17.399999999999999" thickBot="1">
      <c r="B25" s="34"/>
      <c r="C25" s="86"/>
      <c r="D25" s="86"/>
      <c r="E25" s="86"/>
      <c r="F25" s="86"/>
      <c r="G25" s="86"/>
      <c r="H25" s="86"/>
      <c r="I25" s="86"/>
      <c r="J25" s="86"/>
      <c r="K25" s="86"/>
      <c r="L25" s="86"/>
      <c r="M25" s="86"/>
      <c r="N25" s="86"/>
      <c r="O25" s="86"/>
      <c r="P25" s="86"/>
      <c r="Q25" s="86"/>
      <c r="R25" s="86"/>
      <c r="S25" s="86"/>
      <c r="T25" s="35"/>
    </row>
    <row r="26" spans="2:20" ht="21.6">
      <c r="B26" s="51" t="s">
        <v>170</v>
      </c>
      <c r="C26" s="52"/>
      <c r="D26" s="156" t="str">
        <f>'EDI Framework Criteria'!B33</f>
        <v>Customer/ user preferences</v>
      </c>
      <c r="E26" s="53"/>
      <c r="F26" s="53"/>
      <c r="G26" s="53"/>
      <c r="H26" s="53"/>
      <c r="I26" s="53"/>
      <c r="J26" s="53"/>
      <c r="K26" s="53"/>
      <c r="L26" s="53"/>
      <c r="M26" s="53"/>
      <c r="N26" s="53"/>
      <c r="O26" s="53"/>
      <c r="P26" s="53"/>
      <c r="Q26" s="53"/>
      <c r="R26" s="53"/>
      <c r="S26" s="53"/>
      <c r="T26" s="54"/>
    </row>
    <row r="27" spans="2:20">
      <c r="B27" s="55"/>
      <c r="C27" s="56"/>
      <c r="D27" s="56"/>
      <c r="E27" s="56"/>
      <c r="F27" s="56"/>
      <c r="G27" s="56"/>
      <c r="H27" s="56"/>
      <c r="I27" s="56"/>
      <c r="J27" s="56"/>
      <c r="K27" s="56"/>
      <c r="L27" s="56"/>
      <c r="M27" s="56"/>
      <c r="N27" s="56"/>
      <c r="O27" s="56"/>
      <c r="P27" s="56"/>
      <c r="Q27" s="56"/>
      <c r="R27" s="56"/>
      <c r="S27" s="56"/>
      <c r="T27" s="57"/>
    </row>
    <row r="28" spans="2:20" ht="50.4">
      <c r="B28" s="55"/>
      <c r="C28" s="56"/>
      <c r="D28" s="56"/>
      <c r="E28" s="56"/>
      <c r="F28" s="56"/>
      <c r="G28" s="56"/>
      <c r="H28" s="56"/>
      <c r="I28" s="58" t="s">
        <v>162</v>
      </c>
      <c r="J28" s="58" t="s">
        <v>163</v>
      </c>
      <c r="K28" s="59"/>
      <c r="L28" s="60" t="s">
        <v>508</v>
      </c>
      <c r="M28" s="56"/>
      <c r="N28" s="56"/>
      <c r="O28" s="56"/>
      <c r="P28" s="56"/>
      <c r="Q28" s="56"/>
      <c r="R28" s="56"/>
      <c r="S28" s="56"/>
      <c r="T28" s="57"/>
    </row>
    <row r="29" spans="2:20" ht="90" customHeight="1">
      <c r="B29" s="61" t="s">
        <v>166</v>
      </c>
      <c r="C29" s="62" t="str">
        <f>'EDI Framework Criteria'!C33</f>
        <v>1.J.2</v>
      </c>
      <c r="D29" s="224" t="str">
        <f>'EDI Framework Criteria'!D33</f>
        <v xml:space="preserve">We are committed to collecting data on our users’ wants and needs regarding pricing of products and or services. </v>
      </c>
      <c r="E29" s="225"/>
      <c r="F29" s="225"/>
      <c r="G29" s="225"/>
      <c r="H29" s="226"/>
      <c r="I29" s="63" t="s">
        <v>175</v>
      </c>
      <c r="J29" s="63"/>
      <c r="K29" s="47">
        <f>INDEX($U$3:$V$13,MATCH(I29,$U$3:$U$13,0),2)</f>
        <v>0</v>
      </c>
      <c r="L29" s="254"/>
      <c r="M29" s="255"/>
      <c r="N29" s="255"/>
      <c r="O29" s="255"/>
      <c r="P29" s="255"/>
      <c r="Q29" s="255"/>
      <c r="R29" s="255"/>
      <c r="S29" s="255"/>
      <c r="T29" s="256"/>
    </row>
    <row r="30" spans="2:20">
      <c r="B30" s="46"/>
      <c r="C30" s="47"/>
      <c r="D30" s="47"/>
      <c r="E30" s="47"/>
      <c r="F30" s="47"/>
      <c r="G30" s="47"/>
      <c r="H30" s="47"/>
      <c r="I30" s="47"/>
      <c r="J30" s="47"/>
      <c r="K30" s="47"/>
      <c r="L30" s="257"/>
      <c r="M30" s="258"/>
      <c r="N30" s="258"/>
      <c r="O30" s="258"/>
      <c r="P30" s="258"/>
      <c r="Q30" s="258"/>
      <c r="R30" s="258"/>
      <c r="S30" s="258"/>
      <c r="T30" s="259"/>
    </row>
    <row r="31" spans="2:20" ht="90" customHeight="1">
      <c r="B31" s="61" t="s">
        <v>167</v>
      </c>
      <c r="C31" s="62" t="str">
        <f>'EDI Framework Criteria'!E33</f>
        <v>2.J.2</v>
      </c>
      <c r="D31" s="224" t="str">
        <f>'EDI Framework Criteria'!F33</f>
        <v xml:space="preserve">We have collected data on our users’ wants and needs regarding pricing of products and or services and use this information in pricing model decisions. </v>
      </c>
      <c r="E31" s="225"/>
      <c r="F31" s="225"/>
      <c r="G31" s="225"/>
      <c r="H31" s="226"/>
      <c r="I31" s="63" t="s">
        <v>176</v>
      </c>
      <c r="J31" s="63"/>
      <c r="K31" s="47">
        <f>INDEX($U$3:$V$13,MATCH(I31,$U$3:$U$13,0),2)</f>
        <v>0</v>
      </c>
      <c r="L31" s="257"/>
      <c r="M31" s="258"/>
      <c r="N31" s="258"/>
      <c r="O31" s="258"/>
      <c r="P31" s="258"/>
      <c r="Q31" s="258"/>
      <c r="R31" s="258"/>
      <c r="S31" s="258"/>
      <c r="T31" s="259"/>
    </row>
    <row r="32" spans="2:20">
      <c r="B32" s="46"/>
      <c r="C32" s="47"/>
      <c r="D32" s="47"/>
      <c r="E32" s="47"/>
      <c r="F32" s="47"/>
      <c r="G32" s="47"/>
      <c r="H32" s="47"/>
      <c r="I32" s="47"/>
      <c r="J32" s="47"/>
      <c r="K32" s="47"/>
      <c r="L32" s="257"/>
      <c r="M32" s="258"/>
      <c r="N32" s="258"/>
      <c r="O32" s="258"/>
      <c r="P32" s="258"/>
      <c r="Q32" s="258"/>
      <c r="R32" s="258"/>
      <c r="S32" s="258"/>
      <c r="T32" s="259"/>
    </row>
    <row r="33" spans="2:20" ht="90" customHeight="1" thickBot="1">
      <c r="B33" s="64" t="s">
        <v>168</v>
      </c>
      <c r="C33" s="65" t="str">
        <f>'EDI Framework Criteria'!G33</f>
        <v>3.J.2</v>
      </c>
      <c r="D33" s="221" t="str">
        <f>'EDI Framework Criteria'!H33</f>
        <v xml:space="preserve">We have a pricing model that makes affordability a key consideration. We use this to make products and services affordable to our users e.g. using a subsidy model for low-income individuals where appropriate. Our pricing model has been reviewed at least once. </v>
      </c>
      <c r="E33" s="222"/>
      <c r="F33" s="222"/>
      <c r="G33" s="222"/>
      <c r="H33" s="223"/>
      <c r="I33" s="66" t="s">
        <v>177</v>
      </c>
      <c r="J33" s="66"/>
      <c r="K33" s="67">
        <f>INDEX($U$3:$V$13,MATCH(I33,$U$3:$U$13,0),2)</f>
        <v>0</v>
      </c>
      <c r="L33" s="260"/>
      <c r="M33" s="261"/>
      <c r="N33" s="261"/>
      <c r="O33" s="261"/>
      <c r="P33" s="261"/>
      <c r="Q33" s="261"/>
      <c r="R33" s="261"/>
      <c r="S33" s="261"/>
      <c r="T33" s="262"/>
    </row>
    <row r="34" spans="2:20">
      <c r="B34" s="34"/>
      <c r="C34" s="86"/>
      <c r="D34" s="86"/>
      <c r="E34" s="86"/>
      <c r="F34" s="86"/>
      <c r="G34" s="86"/>
      <c r="H34" s="86"/>
      <c r="I34" s="86"/>
      <c r="J34" s="86"/>
      <c r="K34" s="86"/>
      <c r="L34" s="86"/>
      <c r="M34" s="86"/>
      <c r="N34" s="86"/>
      <c r="O34" s="86"/>
      <c r="P34" s="86"/>
      <c r="Q34" s="86"/>
      <c r="R34" s="86"/>
      <c r="S34" s="86"/>
      <c r="T34" s="35"/>
    </row>
    <row r="35" spans="2:20" ht="17.399999999999999" thickBot="1">
      <c r="B35" s="34"/>
      <c r="C35" s="86"/>
      <c r="D35" s="86"/>
      <c r="E35" s="86"/>
      <c r="F35" s="86"/>
      <c r="G35" s="86"/>
      <c r="H35" s="86"/>
      <c r="I35" s="86"/>
      <c r="J35" s="86"/>
      <c r="K35" s="86"/>
      <c r="L35" s="86"/>
      <c r="M35" s="86"/>
      <c r="N35" s="86"/>
      <c r="O35" s="86"/>
      <c r="P35" s="86"/>
      <c r="Q35" s="86"/>
      <c r="R35" s="86"/>
      <c r="S35" s="86"/>
      <c r="T35" s="35"/>
    </row>
    <row r="36" spans="2:20" ht="21.6">
      <c r="B36" s="51" t="s">
        <v>171</v>
      </c>
      <c r="C36" s="52"/>
      <c r="D36" s="156" t="str">
        <f>'EDI Framework Criteria'!B34</f>
        <v>Customer/ user data collection preferences</v>
      </c>
      <c r="E36" s="53"/>
      <c r="F36" s="53"/>
      <c r="G36" s="53"/>
      <c r="H36" s="53"/>
      <c r="I36" s="53"/>
      <c r="J36" s="53"/>
      <c r="K36" s="53"/>
      <c r="L36" s="53"/>
      <c r="M36" s="53"/>
      <c r="N36" s="53"/>
      <c r="O36" s="53"/>
      <c r="P36" s="53"/>
      <c r="Q36" s="53"/>
      <c r="R36" s="53"/>
      <c r="S36" s="53"/>
      <c r="T36" s="54"/>
    </row>
    <row r="37" spans="2:20">
      <c r="B37" s="55"/>
      <c r="C37" s="56"/>
      <c r="D37" s="56"/>
      <c r="E37" s="56"/>
      <c r="F37" s="56"/>
      <c r="G37" s="56"/>
      <c r="H37" s="56"/>
      <c r="I37" s="56"/>
      <c r="J37" s="56"/>
      <c r="K37" s="56"/>
      <c r="L37" s="56"/>
      <c r="M37" s="56"/>
      <c r="N37" s="56"/>
      <c r="O37" s="56"/>
      <c r="P37" s="56"/>
      <c r="Q37" s="56"/>
      <c r="R37" s="56"/>
      <c r="S37" s="56"/>
      <c r="T37" s="57"/>
    </row>
    <row r="38" spans="2:20" ht="50.4">
      <c r="B38" s="55"/>
      <c r="C38" s="56"/>
      <c r="D38" s="56"/>
      <c r="E38" s="56"/>
      <c r="F38" s="56"/>
      <c r="G38" s="56"/>
      <c r="H38" s="56"/>
      <c r="I38" s="58" t="s">
        <v>162</v>
      </c>
      <c r="J38" s="58" t="s">
        <v>163</v>
      </c>
      <c r="K38" s="59"/>
      <c r="L38" s="60" t="s">
        <v>508</v>
      </c>
      <c r="M38" s="56"/>
      <c r="N38" s="56"/>
      <c r="O38" s="56"/>
      <c r="P38" s="56"/>
      <c r="Q38" s="56"/>
      <c r="R38" s="56"/>
      <c r="S38" s="56"/>
      <c r="T38" s="57"/>
    </row>
    <row r="39" spans="2:20" ht="90" customHeight="1">
      <c r="B39" s="61" t="s">
        <v>166</v>
      </c>
      <c r="C39" s="62" t="str">
        <f>'EDI Framework Criteria'!C34</f>
        <v>1.J.3</v>
      </c>
      <c r="D39" s="224" t="str">
        <f>'EDI Framework Criteria'!D34</f>
        <v xml:space="preserve">We are committed to developing systems to collect user data in a regular, timely and safe way. Included in this is a plan to gather feedback from customers/ users on their data collection preferences through formats such as advisory groups or anonymous surveys. </v>
      </c>
      <c r="E39" s="225"/>
      <c r="F39" s="225"/>
      <c r="G39" s="225"/>
      <c r="H39" s="226"/>
      <c r="I39" s="63" t="s">
        <v>175</v>
      </c>
      <c r="J39" s="63"/>
      <c r="K39" s="47">
        <f>INDEX($U$3:$V$13,MATCH(I39,$U$3:$U$13,0),2)</f>
        <v>0</v>
      </c>
      <c r="L39" s="254"/>
      <c r="M39" s="255"/>
      <c r="N39" s="255"/>
      <c r="O39" s="255"/>
      <c r="P39" s="255"/>
      <c r="Q39" s="255"/>
      <c r="R39" s="255"/>
      <c r="S39" s="255"/>
      <c r="T39" s="256"/>
    </row>
    <row r="40" spans="2:20">
      <c r="B40" s="46"/>
      <c r="C40" s="47"/>
      <c r="D40" s="47"/>
      <c r="E40" s="47"/>
      <c r="F40" s="47"/>
      <c r="G40" s="47"/>
      <c r="H40" s="47"/>
      <c r="I40" s="47"/>
      <c r="J40" s="47"/>
      <c r="K40" s="47"/>
      <c r="L40" s="257"/>
      <c r="M40" s="258"/>
      <c r="N40" s="258"/>
      <c r="O40" s="258"/>
      <c r="P40" s="258"/>
      <c r="Q40" s="258"/>
      <c r="R40" s="258"/>
      <c r="S40" s="258"/>
      <c r="T40" s="259"/>
    </row>
    <row r="41" spans="2:20" ht="90" customHeight="1">
      <c r="B41" s="61" t="s">
        <v>167</v>
      </c>
      <c r="C41" s="62" t="str">
        <f>'EDI Framework Criteria'!E34</f>
        <v>2.J.3</v>
      </c>
      <c r="D41" s="224" t="str">
        <f>'EDI Framework Criteria'!F34</f>
        <v xml:space="preserve">We have processes in place to collect user data in a regular, timely and safe way. This is supported by feedback from customers/ users around their data collection preferences. </v>
      </c>
      <c r="E41" s="225"/>
      <c r="F41" s="225"/>
      <c r="G41" s="225"/>
      <c r="H41" s="226"/>
      <c r="I41" s="63" t="s">
        <v>176</v>
      </c>
      <c r="J41" s="63"/>
      <c r="K41" s="47">
        <f>INDEX($U$3:$V$13,MATCH(I41,$U$3:$U$13,0),2)</f>
        <v>0</v>
      </c>
      <c r="L41" s="257"/>
      <c r="M41" s="258"/>
      <c r="N41" s="258"/>
      <c r="O41" s="258"/>
      <c r="P41" s="258"/>
      <c r="Q41" s="258"/>
      <c r="R41" s="258"/>
      <c r="S41" s="258"/>
      <c r="T41" s="259"/>
    </row>
    <row r="42" spans="2:20">
      <c r="B42" s="46"/>
      <c r="C42" s="47"/>
      <c r="D42" s="47"/>
      <c r="E42" s="47"/>
      <c r="F42" s="47"/>
      <c r="G42" s="47"/>
      <c r="H42" s="47"/>
      <c r="I42" s="47"/>
      <c r="J42" s="47"/>
      <c r="K42" s="47"/>
      <c r="L42" s="257"/>
      <c r="M42" s="258"/>
      <c r="N42" s="258"/>
      <c r="O42" s="258"/>
      <c r="P42" s="258"/>
      <c r="Q42" s="258"/>
      <c r="R42" s="258"/>
      <c r="S42" s="258"/>
      <c r="T42" s="259"/>
    </row>
    <row r="43" spans="2:20" ht="90" customHeight="1" thickBot="1">
      <c r="B43" s="64" t="s">
        <v>168</v>
      </c>
      <c r="C43" s="65" t="str">
        <f>'EDI Framework Criteria'!G34</f>
        <v>3.J.3</v>
      </c>
      <c r="D43" s="221" t="str">
        <f>'EDI Framework Criteria'!H34</f>
        <v xml:space="preserve">We have processes in place to collect user data in a regular, timely and safe way. These processes have been reviewed at least once and we continue to gather user feedback about our data collection. </v>
      </c>
      <c r="E43" s="222"/>
      <c r="F43" s="222"/>
      <c r="G43" s="222"/>
      <c r="H43" s="223"/>
      <c r="I43" s="66" t="s">
        <v>177</v>
      </c>
      <c r="J43" s="66"/>
      <c r="K43" s="67">
        <f>INDEX($U$3:$V$13,MATCH(I43,$U$3:$U$13,0),2)</f>
        <v>0</v>
      </c>
      <c r="L43" s="260"/>
      <c r="M43" s="261"/>
      <c r="N43" s="261"/>
      <c r="O43" s="261"/>
      <c r="P43" s="261"/>
      <c r="Q43" s="261"/>
      <c r="R43" s="261"/>
      <c r="S43" s="261"/>
      <c r="T43" s="262"/>
    </row>
    <row r="44" spans="2:20">
      <c r="B44" s="34"/>
      <c r="C44" s="86"/>
      <c r="D44" s="86"/>
      <c r="E44" s="86"/>
      <c r="F44" s="86"/>
      <c r="G44" s="86"/>
      <c r="H44" s="86"/>
      <c r="I44" s="86"/>
      <c r="J44" s="86"/>
      <c r="K44" s="86"/>
      <c r="L44" s="86"/>
      <c r="M44" s="86"/>
      <c r="N44" s="86"/>
      <c r="O44" s="86"/>
      <c r="P44" s="86"/>
      <c r="Q44" s="86"/>
      <c r="R44" s="86"/>
      <c r="S44" s="86"/>
      <c r="T44" s="35"/>
    </row>
    <row r="45" spans="2:20" ht="17.399999999999999" thickBot="1">
      <c r="B45" s="34"/>
      <c r="C45" s="86"/>
      <c r="D45" s="86"/>
      <c r="E45" s="86"/>
      <c r="F45" s="86"/>
      <c r="G45" s="86"/>
      <c r="H45" s="86"/>
      <c r="I45" s="86"/>
      <c r="J45" s="86"/>
      <c r="K45" s="86"/>
      <c r="L45" s="86"/>
      <c r="M45" s="86"/>
      <c r="N45" s="86"/>
      <c r="O45" s="86"/>
      <c r="P45" s="86"/>
      <c r="Q45" s="86"/>
      <c r="R45" s="86"/>
      <c r="S45" s="86"/>
      <c r="T45" s="35"/>
    </row>
    <row r="46" spans="2:20" ht="21.6">
      <c r="B46" s="51" t="s">
        <v>174</v>
      </c>
      <c r="C46" s="52"/>
      <c r="D46" s="156" t="str">
        <f>'EDI Framework Criteria'!B35</f>
        <v>Cultural needs</v>
      </c>
      <c r="E46" s="53"/>
      <c r="F46" s="53"/>
      <c r="G46" s="53"/>
      <c r="H46" s="53"/>
      <c r="I46" s="53"/>
      <c r="J46" s="53"/>
      <c r="K46" s="53"/>
      <c r="L46" s="53"/>
      <c r="M46" s="53"/>
      <c r="N46" s="53"/>
      <c r="O46" s="53"/>
      <c r="P46" s="53"/>
      <c r="Q46" s="53"/>
      <c r="R46" s="53"/>
      <c r="S46" s="53"/>
      <c r="T46" s="54"/>
    </row>
    <row r="47" spans="2:20" ht="15" customHeight="1">
      <c r="B47" s="55"/>
      <c r="C47" s="56"/>
      <c r="D47" s="56"/>
      <c r="E47" s="56"/>
      <c r="F47" s="56"/>
      <c r="G47" s="56"/>
      <c r="H47" s="56"/>
      <c r="I47" s="56"/>
      <c r="J47" s="56"/>
      <c r="K47" s="56"/>
      <c r="L47" s="56"/>
      <c r="M47" s="56"/>
      <c r="N47" s="56"/>
      <c r="O47" s="56"/>
      <c r="P47" s="56"/>
      <c r="Q47" s="56"/>
      <c r="R47" s="56"/>
      <c r="S47" s="56"/>
      <c r="T47" s="57"/>
    </row>
    <row r="48" spans="2:20" ht="50.4">
      <c r="B48" s="55"/>
      <c r="C48" s="56"/>
      <c r="D48" s="56"/>
      <c r="E48" s="56"/>
      <c r="F48" s="56"/>
      <c r="G48" s="56"/>
      <c r="H48" s="56"/>
      <c r="I48" s="58" t="s">
        <v>162</v>
      </c>
      <c r="J48" s="58" t="s">
        <v>163</v>
      </c>
      <c r="K48" s="59"/>
      <c r="L48" s="60" t="s">
        <v>508</v>
      </c>
      <c r="M48" s="56"/>
      <c r="N48" s="56"/>
      <c r="O48" s="56"/>
      <c r="P48" s="56"/>
      <c r="Q48" s="56"/>
      <c r="R48" s="56"/>
      <c r="S48" s="56"/>
      <c r="T48" s="57"/>
    </row>
    <row r="49" spans="2:20" ht="90" customHeight="1">
      <c r="B49" s="61" t="s">
        <v>166</v>
      </c>
      <c r="C49" s="62" t="str">
        <f>'EDI Framework Criteria'!C35</f>
        <v>1.J.4</v>
      </c>
      <c r="D49" s="224" t="str">
        <f>'EDI Framework Criteria'!D35</f>
        <v xml:space="preserve">We understand that some customers/user groups have culturally specific needs. We are committed to identifying cultural needs where users consent to sharing this information and adapting processes to account for these cultural needs. </v>
      </c>
      <c r="E49" s="225"/>
      <c r="F49" s="225"/>
      <c r="G49" s="225"/>
      <c r="H49" s="226"/>
      <c r="I49" s="63" t="s">
        <v>175</v>
      </c>
      <c r="J49" s="63"/>
      <c r="K49" s="47">
        <f>INDEX($U$3:$V$13,MATCH(I49,$U$3:$U$13,0),2)</f>
        <v>0</v>
      </c>
      <c r="L49" s="254"/>
      <c r="M49" s="255"/>
      <c r="N49" s="255"/>
      <c r="O49" s="255"/>
      <c r="P49" s="255"/>
      <c r="Q49" s="255"/>
      <c r="R49" s="255"/>
      <c r="S49" s="255"/>
      <c r="T49" s="256"/>
    </row>
    <row r="50" spans="2:20">
      <c r="B50" s="46"/>
      <c r="C50" s="47"/>
      <c r="D50" s="47"/>
      <c r="E50" s="47"/>
      <c r="F50" s="47"/>
      <c r="G50" s="47"/>
      <c r="H50" s="47"/>
      <c r="I50" s="47"/>
      <c r="J50" s="47"/>
      <c r="K50" s="47"/>
      <c r="L50" s="257"/>
      <c r="M50" s="258"/>
      <c r="N50" s="258"/>
      <c r="O50" s="258"/>
      <c r="P50" s="258"/>
      <c r="Q50" s="258"/>
      <c r="R50" s="258"/>
      <c r="S50" s="258"/>
      <c r="T50" s="259"/>
    </row>
    <row r="51" spans="2:20" ht="90" customHeight="1">
      <c r="B51" s="61" t="s">
        <v>167</v>
      </c>
      <c r="C51" s="62" t="str">
        <f>'EDI Framework Criteria'!E35</f>
        <v>2.J.4</v>
      </c>
      <c r="D51" s="224" t="str">
        <f>'EDI Framework Criteria'!F35</f>
        <v xml:space="preserve">We have identified cultural needs and have processes in place that prioritise cultural competency in response to these needs. For example, we make interpretation available, create our content in other languages, write in plain English. </v>
      </c>
      <c r="E51" s="225"/>
      <c r="F51" s="225"/>
      <c r="G51" s="225"/>
      <c r="H51" s="226"/>
      <c r="I51" s="63" t="s">
        <v>176</v>
      </c>
      <c r="J51" s="63"/>
      <c r="K51" s="47">
        <f>INDEX($U$3:$V$13,MATCH(I51,$U$3:$U$13,0),2)</f>
        <v>0</v>
      </c>
      <c r="L51" s="257"/>
      <c r="M51" s="258"/>
      <c r="N51" s="258"/>
      <c r="O51" s="258"/>
      <c r="P51" s="258"/>
      <c r="Q51" s="258"/>
      <c r="R51" s="258"/>
      <c r="S51" s="258"/>
      <c r="T51" s="259"/>
    </row>
    <row r="52" spans="2:20">
      <c r="B52" s="46"/>
      <c r="C52" s="47"/>
      <c r="D52" s="47"/>
      <c r="E52" s="47"/>
      <c r="F52" s="47"/>
      <c r="G52" s="47"/>
      <c r="H52" s="47"/>
      <c r="I52" s="47"/>
      <c r="J52" s="47"/>
      <c r="K52" s="47"/>
      <c r="L52" s="257"/>
      <c r="M52" s="258"/>
      <c r="N52" s="258"/>
      <c r="O52" s="258"/>
      <c r="P52" s="258"/>
      <c r="Q52" s="258"/>
      <c r="R52" s="258"/>
      <c r="S52" s="258"/>
      <c r="T52" s="259"/>
    </row>
    <row r="53" spans="2:20" ht="90" customHeight="1" thickBot="1">
      <c r="B53" s="64" t="s">
        <v>168</v>
      </c>
      <c r="C53" s="65" t="str">
        <f>'EDI Framework Criteria'!G35</f>
        <v>3.J.4</v>
      </c>
      <c r="D53" s="221" t="str">
        <f>'EDI Framework Criteria'!H35</f>
        <v xml:space="preserve">We have processes in place to make sure cultural needs are valued. We continuously update these based on information gathered around cultural needs. </v>
      </c>
      <c r="E53" s="222"/>
      <c r="F53" s="222"/>
      <c r="G53" s="222"/>
      <c r="H53" s="223"/>
      <c r="I53" s="66" t="s">
        <v>177</v>
      </c>
      <c r="J53" s="66"/>
      <c r="K53" s="67">
        <f>INDEX($U$3:$V$13,MATCH(I53,$U$3:$U$13,0),2)</f>
        <v>0</v>
      </c>
      <c r="L53" s="260"/>
      <c r="M53" s="261"/>
      <c r="N53" s="261"/>
      <c r="O53" s="261"/>
      <c r="P53" s="261"/>
      <c r="Q53" s="261"/>
      <c r="R53" s="261"/>
      <c r="S53" s="261"/>
      <c r="T53" s="262"/>
    </row>
    <row r="54" spans="2:20">
      <c r="B54" s="34"/>
      <c r="C54" s="86"/>
      <c r="D54" s="86"/>
      <c r="E54" s="86"/>
      <c r="F54" s="86"/>
      <c r="G54" s="86"/>
      <c r="H54" s="86"/>
      <c r="I54" s="86"/>
      <c r="J54" s="86"/>
      <c r="K54" s="86"/>
      <c r="L54" s="86"/>
      <c r="M54" s="86"/>
      <c r="N54" s="86"/>
      <c r="O54" s="86"/>
      <c r="P54" s="86"/>
      <c r="Q54" s="86"/>
      <c r="R54" s="86"/>
      <c r="S54" s="86"/>
      <c r="T54" s="35"/>
    </row>
    <row r="55" spans="2:20" ht="17.399999999999999" thickBot="1">
      <c r="B55" s="34"/>
      <c r="C55" s="86"/>
      <c r="D55" s="86"/>
      <c r="E55" s="86"/>
      <c r="F55" s="86"/>
      <c r="G55" s="86"/>
      <c r="H55" s="86"/>
      <c r="I55" s="86"/>
      <c r="J55" s="86"/>
      <c r="K55" s="86"/>
      <c r="L55" s="86"/>
      <c r="M55" s="86"/>
      <c r="N55" s="86"/>
      <c r="O55" s="86"/>
      <c r="P55" s="86"/>
      <c r="Q55" s="86"/>
      <c r="R55" s="86"/>
      <c r="S55" s="86"/>
      <c r="T55" s="35"/>
    </row>
    <row r="56" spans="2:20" ht="21.6">
      <c r="B56" s="51" t="s">
        <v>178</v>
      </c>
      <c r="C56" s="52"/>
      <c r="D56" s="156" t="str">
        <f>'EDI Framework Criteria'!B36</f>
        <v>Sales EDI audits</v>
      </c>
      <c r="E56" s="53"/>
      <c r="F56" s="53"/>
      <c r="G56" s="53"/>
      <c r="H56" s="53"/>
      <c r="I56" s="53"/>
      <c r="J56" s="53"/>
      <c r="K56" s="53"/>
      <c r="L56" s="53"/>
      <c r="M56" s="53"/>
      <c r="N56" s="53"/>
      <c r="O56" s="53"/>
      <c r="P56" s="53"/>
      <c r="Q56" s="53"/>
      <c r="R56" s="53"/>
      <c r="S56" s="53"/>
      <c r="T56" s="54"/>
    </row>
    <row r="57" spans="2:20" ht="15" customHeight="1">
      <c r="B57" s="55"/>
      <c r="C57" s="56"/>
      <c r="D57" s="56"/>
      <c r="E57" s="56"/>
      <c r="F57" s="56"/>
      <c r="G57" s="56"/>
      <c r="H57" s="56"/>
      <c r="I57" s="56"/>
      <c r="J57" s="56"/>
      <c r="K57" s="56"/>
      <c r="L57" s="56"/>
      <c r="M57" s="56"/>
      <c r="N57" s="56"/>
      <c r="O57" s="56"/>
      <c r="P57" s="56"/>
      <c r="Q57" s="56"/>
      <c r="R57" s="56"/>
      <c r="S57" s="56"/>
      <c r="T57" s="57"/>
    </row>
    <row r="58" spans="2:20" ht="50.4">
      <c r="B58" s="55"/>
      <c r="C58" s="56"/>
      <c r="D58" s="56"/>
      <c r="E58" s="56"/>
      <c r="F58" s="56"/>
      <c r="G58" s="56"/>
      <c r="H58" s="56"/>
      <c r="I58" s="58" t="s">
        <v>162</v>
      </c>
      <c r="J58" s="58" t="s">
        <v>163</v>
      </c>
      <c r="K58" s="59"/>
      <c r="L58" s="60" t="s">
        <v>508</v>
      </c>
      <c r="M58" s="56"/>
      <c r="N58" s="56"/>
      <c r="O58" s="56"/>
      <c r="P58" s="56"/>
      <c r="Q58" s="56"/>
      <c r="R58" s="56"/>
      <c r="S58" s="56"/>
      <c r="T58" s="57"/>
    </row>
    <row r="59" spans="2:20" ht="90" customHeight="1">
      <c r="B59" s="61" t="s">
        <v>166</v>
      </c>
      <c r="C59" s="62" t="str">
        <f>'EDI Framework Criteria'!C36</f>
        <v>1.J.5</v>
      </c>
      <c r="D59" s="224" t="str">
        <f>'EDI Framework Criteria'!D36</f>
        <v xml:space="preserve">We are committed to auditing our sales channels for inclusive language and accessibility. We will train our staff to make sure our communication to users is up to the highest EDI standards and gather feedback on inclusive language and accessibility. </v>
      </c>
      <c r="E59" s="225"/>
      <c r="F59" s="225"/>
      <c r="G59" s="225"/>
      <c r="H59" s="226"/>
      <c r="I59" s="63" t="s">
        <v>175</v>
      </c>
      <c r="J59" s="63"/>
      <c r="K59" s="47">
        <f>INDEX($U$3:$V$13,MATCH(I59,$U$3:$U$13,0),2)</f>
        <v>0</v>
      </c>
      <c r="L59" s="254"/>
      <c r="M59" s="255"/>
      <c r="N59" s="255"/>
      <c r="O59" s="255"/>
      <c r="P59" s="255"/>
      <c r="Q59" s="255"/>
      <c r="R59" s="255"/>
      <c r="S59" s="255"/>
      <c r="T59" s="256"/>
    </row>
    <row r="60" spans="2:20">
      <c r="B60" s="46"/>
      <c r="C60" s="47"/>
      <c r="D60" s="47"/>
      <c r="E60" s="47"/>
      <c r="F60" s="47"/>
      <c r="G60" s="47"/>
      <c r="H60" s="47"/>
      <c r="I60" s="47"/>
      <c r="J60" s="47"/>
      <c r="K60" s="47"/>
      <c r="L60" s="257"/>
      <c r="M60" s="258"/>
      <c r="N60" s="258"/>
      <c r="O60" s="258"/>
      <c r="P60" s="258"/>
      <c r="Q60" s="258"/>
      <c r="R60" s="258"/>
      <c r="S60" s="258"/>
      <c r="T60" s="259"/>
    </row>
    <row r="61" spans="2:20" ht="90" customHeight="1">
      <c r="B61" s="61" t="s">
        <v>167</v>
      </c>
      <c r="C61" s="62" t="str">
        <f>'EDI Framework Criteria'!E36</f>
        <v>2.J.5</v>
      </c>
      <c r="D61" s="224" t="str">
        <f>'EDI Framework Criteria'!F36</f>
        <v xml:space="preserve">We audit our sales channels for inclusive language and accessibility. We train our staff to make sure our communication to users is up to the highest EDI standards and gather feedback on inclusive language and accessibility. </v>
      </c>
      <c r="E61" s="225"/>
      <c r="F61" s="225"/>
      <c r="G61" s="225"/>
      <c r="H61" s="226"/>
      <c r="I61" s="63" t="s">
        <v>176</v>
      </c>
      <c r="J61" s="63"/>
      <c r="K61" s="47">
        <f>INDEX($U$3:$V$13,MATCH(I61,$U$3:$U$13,0),2)</f>
        <v>0</v>
      </c>
      <c r="L61" s="257"/>
      <c r="M61" s="258"/>
      <c r="N61" s="258"/>
      <c r="O61" s="258"/>
      <c r="P61" s="258"/>
      <c r="Q61" s="258"/>
      <c r="R61" s="258"/>
      <c r="S61" s="258"/>
      <c r="T61" s="259"/>
    </row>
    <row r="62" spans="2:20">
      <c r="B62" s="46"/>
      <c r="C62" s="47"/>
      <c r="D62" s="47"/>
      <c r="E62" s="47"/>
      <c r="F62" s="47"/>
      <c r="G62" s="47"/>
      <c r="H62" s="47"/>
      <c r="I62" s="47"/>
      <c r="J62" s="47"/>
      <c r="K62" s="47"/>
      <c r="L62" s="257"/>
      <c r="M62" s="258"/>
      <c r="N62" s="258"/>
      <c r="O62" s="258"/>
      <c r="P62" s="258"/>
      <c r="Q62" s="258"/>
      <c r="R62" s="258"/>
      <c r="S62" s="258"/>
      <c r="T62" s="259"/>
    </row>
    <row r="63" spans="2:20" ht="90" customHeight="1" thickBot="1">
      <c r="B63" s="64" t="s">
        <v>168</v>
      </c>
      <c r="C63" s="65" t="str">
        <f>'EDI Framework Criteria'!G36</f>
        <v>3.J.5</v>
      </c>
      <c r="D63" s="221" t="str">
        <f>'EDI Framework Criteria'!H36</f>
        <v xml:space="preserve">We regularly audit our sales channels for inclusive language and accessibility. Our staff training has been reviewed at least once to ensure our communication to users is up to the highest EDI standards and we continue to gather feedback on inclusive language and accessibility. </v>
      </c>
      <c r="E63" s="222"/>
      <c r="F63" s="222"/>
      <c r="G63" s="222"/>
      <c r="H63" s="223"/>
      <c r="I63" s="66" t="s">
        <v>177</v>
      </c>
      <c r="J63" s="66"/>
      <c r="K63" s="67">
        <f>INDEX($U$3:$V$13,MATCH(I63,$U$3:$U$13,0),2)</f>
        <v>0</v>
      </c>
      <c r="L63" s="260"/>
      <c r="M63" s="261"/>
      <c r="N63" s="261"/>
      <c r="O63" s="261"/>
      <c r="P63" s="261"/>
      <c r="Q63" s="261"/>
      <c r="R63" s="261"/>
      <c r="S63" s="261"/>
      <c r="T63" s="262"/>
    </row>
    <row r="64" spans="2:20">
      <c r="B64" s="34"/>
      <c r="C64" s="86"/>
      <c r="D64" s="86"/>
      <c r="E64" s="86"/>
      <c r="F64" s="86"/>
      <c r="G64" s="86"/>
      <c r="H64" s="86"/>
      <c r="I64" s="86"/>
      <c r="J64" s="86"/>
      <c r="K64" s="86"/>
      <c r="L64" s="86"/>
      <c r="M64" s="86"/>
      <c r="N64" s="86"/>
      <c r="O64" s="86"/>
      <c r="P64" s="86"/>
      <c r="Q64" s="86"/>
      <c r="R64" s="86"/>
      <c r="S64" s="86"/>
      <c r="T64" s="35"/>
    </row>
    <row r="65" spans="2:20" ht="17.399999999999999" thickBot="1">
      <c r="B65" s="34"/>
      <c r="C65" s="86"/>
      <c r="D65" s="86"/>
      <c r="E65" s="86"/>
      <c r="F65" s="86"/>
      <c r="G65" s="86"/>
      <c r="H65" s="86"/>
      <c r="I65" s="86"/>
      <c r="J65" s="86"/>
      <c r="K65" s="86"/>
      <c r="L65" s="86"/>
      <c r="M65" s="86"/>
      <c r="N65" s="86"/>
      <c r="O65" s="86"/>
      <c r="P65" s="86"/>
      <c r="Q65" s="86"/>
      <c r="R65" s="86"/>
      <c r="S65" s="86"/>
      <c r="T65" s="35"/>
    </row>
    <row r="66" spans="2:20" ht="21.6">
      <c r="B66" s="51" t="s">
        <v>221</v>
      </c>
      <c r="C66" s="52"/>
      <c r="D66" s="156" t="str">
        <f>'EDI Framework Criteria'!B37</f>
        <v>Sales funnel</v>
      </c>
      <c r="E66" s="53"/>
      <c r="F66" s="53"/>
      <c r="G66" s="53"/>
      <c r="H66" s="53"/>
      <c r="I66" s="53"/>
      <c r="J66" s="53"/>
      <c r="K66" s="53"/>
      <c r="L66" s="53"/>
      <c r="M66" s="53"/>
      <c r="N66" s="53"/>
      <c r="O66" s="53"/>
      <c r="P66" s="53"/>
      <c r="Q66" s="53"/>
      <c r="R66" s="53"/>
      <c r="S66" s="53"/>
      <c r="T66" s="54"/>
    </row>
    <row r="67" spans="2:20" ht="15" customHeight="1">
      <c r="B67" s="55"/>
      <c r="C67" s="56"/>
      <c r="D67" s="56"/>
      <c r="E67" s="56"/>
      <c r="F67" s="56"/>
      <c r="G67" s="56"/>
      <c r="H67" s="56"/>
      <c r="I67" s="56"/>
      <c r="J67" s="56"/>
      <c r="K67" s="56"/>
      <c r="L67" s="56"/>
      <c r="M67" s="56"/>
      <c r="N67" s="56"/>
      <c r="O67" s="56"/>
      <c r="P67" s="56"/>
      <c r="Q67" s="56"/>
      <c r="R67" s="56"/>
      <c r="S67" s="56"/>
      <c r="T67" s="57"/>
    </row>
    <row r="68" spans="2:20" ht="50.4">
      <c r="B68" s="55"/>
      <c r="C68" s="56"/>
      <c r="D68" s="56"/>
      <c r="E68" s="56"/>
      <c r="F68" s="56"/>
      <c r="G68" s="56"/>
      <c r="H68" s="56"/>
      <c r="I68" s="58" t="s">
        <v>162</v>
      </c>
      <c r="J68" s="58" t="s">
        <v>163</v>
      </c>
      <c r="K68" s="59"/>
      <c r="L68" s="60" t="s">
        <v>508</v>
      </c>
      <c r="M68" s="56"/>
      <c r="N68" s="56"/>
      <c r="O68" s="56"/>
      <c r="P68" s="56"/>
      <c r="Q68" s="56"/>
      <c r="R68" s="56"/>
      <c r="S68" s="56"/>
      <c r="T68" s="57"/>
    </row>
    <row r="69" spans="2:20" ht="90" customHeight="1">
      <c r="B69" s="61" t="s">
        <v>166</v>
      </c>
      <c r="C69" s="62" t="str">
        <f>'EDI Framework Criteria'!C37</f>
        <v>1.J.6</v>
      </c>
      <c r="D69" s="224" t="str">
        <f>'EDI Framework Criteria'!D37</f>
        <v>We are committed to making sure our sales pipeline and/ or outreach and referral pathways target marginalised groups. This includes going beyond our existing networks to reach a diverse range of people.</v>
      </c>
      <c r="E69" s="225"/>
      <c r="F69" s="225"/>
      <c r="G69" s="225"/>
      <c r="H69" s="226"/>
      <c r="I69" s="63" t="s">
        <v>175</v>
      </c>
      <c r="J69" s="63"/>
      <c r="K69" s="47">
        <f>INDEX($U$3:$V$13,MATCH(I69,$U$3:$U$13,0),2)</f>
        <v>0</v>
      </c>
      <c r="L69" s="254"/>
      <c r="M69" s="255"/>
      <c r="N69" s="255"/>
      <c r="O69" s="255"/>
      <c r="P69" s="255"/>
      <c r="Q69" s="255"/>
      <c r="R69" s="255"/>
      <c r="S69" s="255"/>
      <c r="T69" s="256"/>
    </row>
    <row r="70" spans="2:20">
      <c r="B70" s="46"/>
      <c r="C70" s="47"/>
      <c r="D70" s="47"/>
      <c r="E70" s="47"/>
      <c r="F70" s="47"/>
      <c r="G70" s="47"/>
      <c r="H70" s="47"/>
      <c r="I70" s="47"/>
      <c r="J70" s="47"/>
      <c r="K70" s="47"/>
      <c r="L70" s="257"/>
      <c r="M70" s="258"/>
      <c r="N70" s="258"/>
      <c r="O70" s="258"/>
      <c r="P70" s="258"/>
      <c r="Q70" s="258"/>
      <c r="R70" s="258"/>
      <c r="S70" s="258"/>
      <c r="T70" s="259"/>
    </row>
    <row r="71" spans="2:20" ht="90" customHeight="1">
      <c r="B71" s="61" t="s">
        <v>167</v>
      </c>
      <c r="C71" s="62" t="str">
        <f>'EDI Framework Criteria'!E37</f>
        <v>2.J.6</v>
      </c>
      <c r="D71" s="224" t="str">
        <f>'EDI Framework Criteria'!F37</f>
        <v>We have a sales funnel and/ or outreach and referral pathways that target marginalised groups. This includes going beyond our existing networks to reach a diverse range of people.</v>
      </c>
      <c r="E71" s="225"/>
      <c r="F71" s="225"/>
      <c r="G71" s="225"/>
      <c r="H71" s="226"/>
      <c r="I71" s="63" t="s">
        <v>176</v>
      </c>
      <c r="J71" s="63"/>
      <c r="K71" s="47">
        <f>INDEX($U$3:$V$13,MATCH(I71,$U$3:$U$13,0),2)</f>
        <v>0</v>
      </c>
      <c r="L71" s="257"/>
      <c r="M71" s="258"/>
      <c r="N71" s="258"/>
      <c r="O71" s="258"/>
      <c r="P71" s="258"/>
      <c r="Q71" s="258"/>
      <c r="R71" s="258"/>
      <c r="S71" s="258"/>
      <c r="T71" s="259"/>
    </row>
    <row r="72" spans="2:20">
      <c r="B72" s="46"/>
      <c r="C72" s="47"/>
      <c r="D72" s="47"/>
      <c r="E72" s="47"/>
      <c r="F72" s="47"/>
      <c r="G72" s="47"/>
      <c r="H72" s="47"/>
      <c r="I72" s="47"/>
      <c r="J72" s="47"/>
      <c r="K72" s="47"/>
      <c r="L72" s="257"/>
      <c r="M72" s="258"/>
      <c r="N72" s="258"/>
      <c r="O72" s="258"/>
      <c r="P72" s="258"/>
      <c r="Q72" s="258"/>
      <c r="R72" s="258"/>
      <c r="S72" s="258"/>
      <c r="T72" s="259"/>
    </row>
    <row r="73" spans="2:20" ht="90" customHeight="1" thickBot="1">
      <c r="B73" s="64" t="s">
        <v>168</v>
      </c>
      <c r="C73" s="65" t="str">
        <f>'EDI Framework Criteria'!G37</f>
        <v>3.J.6</v>
      </c>
      <c r="D73" s="221" t="str">
        <f>'EDI Framework Criteria'!H37</f>
        <v>Our sales funnel and/ or outreach and referral pathways target marginalised groups. We adapt them using the information we collect about the affected groups.</v>
      </c>
      <c r="E73" s="222"/>
      <c r="F73" s="222"/>
      <c r="G73" s="222"/>
      <c r="H73" s="223"/>
      <c r="I73" s="66" t="s">
        <v>177</v>
      </c>
      <c r="J73" s="66"/>
      <c r="K73" s="67">
        <f>INDEX($U$3:$V$13,MATCH(I73,$U$3:$U$13,0),2)</f>
        <v>0</v>
      </c>
      <c r="L73" s="260"/>
      <c r="M73" s="261"/>
      <c r="N73" s="261"/>
      <c r="O73" s="261"/>
      <c r="P73" s="261"/>
      <c r="Q73" s="261"/>
      <c r="R73" s="261"/>
      <c r="S73" s="261"/>
      <c r="T73" s="262"/>
    </row>
    <row r="74" spans="2:20">
      <c r="B74" s="34"/>
      <c r="C74" s="86"/>
      <c r="D74" s="86"/>
      <c r="E74" s="86"/>
      <c r="F74" s="86"/>
      <c r="G74" s="86"/>
      <c r="H74" s="86"/>
      <c r="I74" s="86"/>
      <c r="J74" s="86"/>
      <c r="K74" s="86"/>
      <c r="L74" s="86"/>
      <c r="M74" s="86"/>
      <c r="N74" s="86"/>
      <c r="O74" s="86"/>
      <c r="P74" s="86"/>
      <c r="Q74" s="86"/>
      <c r="R74" s="86"/>
      <c r="S74" s="86"/>
      <c r="T74" s="35"/>
    </row>
    <row r="75" spans="2:20" ht="17.399999999999999" thickBot="1">
      <c r="B75" s="34"/>
      <c r="C75" s="86"/>
      <c r="D75" s="86"/>
      <c r="E75" s="86"/>
      <c r="F75" s="86"/>
      <c r="G75" s="86"/>
      <c r="H75" s="86"/>
      <c r="I75" s="86"/>
      <c r="J75" s="86"/>
      <c r="K75" s="86"/>
      <c r="L75" s="86"/>
      <c r="M75" s="86"/>
      <c r="N75" s="86"/>
      <c r="O75" s="86"/>
      <c r="P75" s="86"/>
      <c r="Q75" s="86"/>
      <c r="R75" s="86"/>
      <c r="S75" s="86"/>
      <c r="T75" s="35"/>
    </row>
    <row r="76" spans="2:20" ht="21.6">
      <c r="B76" s="51" t="s">
        <v>239</v>
      </c>
      <c r="C76" s="52"/>
      <c r="D76" s="156" t="str">
        <f>'EDI Framework Criteria'!B38</f>
        <v>Representative marketing materials</v>
      </c>
      <c r="E76" s="53"/>
      <c r="F76" s="53"/>
      <c r="G76" s="53"/>
      <c r="H76" s="53"/>
      <c r="I76" s="53"/>
      <c r="J76" s="53"/>
      <c r="K76" s="53"/>
      <c r="L76" s="53"/>
      <c r="M76" s="53"/>
      <c r="N76" s="53"/>
      <c r="O76" s="53"/>
      <c r="P76" s="53"/>
      <c r="Q76" s="53"/>
      <c r="R76" s="53"/>
      <c r="S76" s="53"/>
      <c r="T76" s="54"/>
    </row>
    <row r="77" spans="2:20" ht="15" customHeight="1">
      <c r="B77" s="55"/>
      <c r="C77" s="56"/>
      <c r="D77" s="56"/>
      <c r="E77" s="56"/>
      <c r="F77" s="56"/>
      <c r="G77" s="56"/>
      <c r="H77" s="56"/>
      <c r="I77" s="56"/>
      <c r="J77" s="56"/>
      <c r="K77" s="56"/>
      <c r="L77" s="56"/>
      <c r="M77" s="56"/>
      <c r="N77" s="56"/>
      <c r="O77" s="56"/>
      <c r="P77" s="56"/>
      <c r="Q77" s="56"/>
      <c r="R77" s="56"/>
      <c r="S77" s="56"/>
      <c r="T77" s="57"/>
    </row>
    <row r="78" spans="2:20" ht="50.4">
      <c r="B78" s="55"/>
      <c r="C78" s="56"/>
      <c r="D78" s="56"/>
      <c r="E78" s="56"/>
      <c r="F78" s="56"/>
      <c r="G78" s="56"/>
      <c r="H78" s="56"/>
      <c r="I78" s="58" t="s">
        <v>162</v>
      </c>
      <c r="J78" s="58" t="s">
        <v>163</v>
      </c>
      <c r="K78" s="59"/>
      <c r="L78" s="60" t="s">
        <v>508</v>
      </c>
      <c r="M78" s="56"/>
      <c r="N78" s="56"/>
      <c r="O78" s="56"/>
      <c r="P78" s="56"/>
      <c r="Q78" s="56"/>
      <c r="R78" s="56"/>
      <c r="S78" s="56"/>
      <c r="T78" s="57"/>
    </row>
    <row r="79" spans="2:20" ht="90" customHeight="1">
      <c r="B79" s="61" t="s">
        <v>166</v>
      </c>
      <c r="C79" s="62" t="str">
        <f>'EDI Framework Criteria'!C38</f>
        <v>1.J.7</v>
      </c>
      <c r="D79" s="224" t="str">
        <f>'EDI Framework Criteria'!D38</f>
        <v>We are committed to using representative case studies and imagery in our marketing materials and website.</v>
      </c>
      <c r="E79" s="225"/>
      <c r="F79" s="225"/>
      <c r="G79" s="225"/>
      <c r="H79" s="226"/>
      <c r="I79" s="63" t="s">
        <v>175</v>
      </c>
      <c r="J79" s="63"/>
      <c r="K79" s="47">
        <f>INDEX($U$3:$V$13,MATCH(I79,$U$3:$U$13,0),2)</f>
        <v>0</v>
      </c>
      <c r="L79" s="255"/>
      <c r="M79" s="255"/>
      <c r="N79" s="255"/>
      <c r="O79" s="255"/>
      <c r="P79" s="255"/>
      <c r="Q79" s="255"/>
      <c r="R79" s="255"/>
      <c r="S79" s="255"/>
      <c r="T79" s="256"/>
    </row>
    <row r="80" spans="2:20">
      <c r="B80" s="46"/>
      <c r="C80" s="47"/>
      <c r="D80" s="47"/>
      <c r="E80" s="47"/>
      <c r="F80" s="47"/>
      <c r="G80" s="47"/>
      <c r="H80" s="47"/>
      <c r="I80" s="47"/>
      <c r="J80" s="47"/>
      <c r="K80" s="47"/>
      <c r="L80" s="258"/>
      <c r="M80" s="258"/>
      <c r="N80" s="258"/>
      <c r="O80" s="258"/>
      <c r="P80" s="258"/>
      <c r="Q80" s="258"/>
      <c r="R80" s="258"/>
      <c r="S80" s="258"/>
      <c r="T80" s="259"/>
    </row>
    <row r="81" spans="2:20" ht="90" customHeight="1">
      <c r="B81" s="61" t="s">
        <v>167</v>
      </c>
      <c r="C81" s="62" t="str">
        <f>'EDI Framework Criteria'!E38</f>
        <v>2.J.7</v>
      </c>
      <c r="D81" s="224" t="str">
        <f>'EDI Framework Criteria'!F38</f>
        <v xml:space="preserve">We are starting to use representative case studies and imagery in all our marketing and website content.	</v>
      </c>
      <c r="E81" s="225"/>
      <c r="F81" s="225"/>
      <c r="G81" s="225"/>
      <c r="H81" s="226"/>
      <c r="I81" s="63" t="s">
        <v>176</v>
      </c>
      <c r="J81" s="63"/>
      <c r="K81" s="47">
        <f>INDEX($U$3:$V$13,MATCH(I81,$U$3:$U$13,0),2)</f>
        <v>0</v>
      </c>
      <c r="L81" s="258"/>
      <c r="M81" s="258"/>
      <c r="N81" s="258"/>
      <c r="O81" s="258"/>
      <c r="P81" s="258"/>
      <c r="Q81" s="258"/>
      <c r="R81" s="258"/>
      <c r="S81" s="258"/>
      <c r="T81" s="259"/>
    </row>
    <row r="82" spans="2:20">
      <c r="B82" s="46"/>
      <c r="C82" s="47"/>
      <c r="D82" s="47"/>
      <c r="E82" s="47"/>
      <c r="F82" s="47"/>
      <c r="G82" s="47"/>
      <c r="H82" s="47"/>
      <c r="I82" s="47"/>
      <c r="J82" s="47"/>
      <c r="K82" s="47"/>
      <c r="L82" s="258"/>
      <c r="M82" s="258"/>
      <c r="N82" s="258"/>
      <c r="O82" s="258"/>
      <c r="P82" s="258"/>
      <c r="Q82" s="258"/>
      <c r="R82" s="258"/>
      <c r="S82" s="258"/>
      <c r="T82" s="259"/>
    </row>
    <row r="83" spans="2:20" ht="90" customHeight="1" thickBot="1">
      <c r="B83" s="64" t="s">
        <v>168</v>
      </c>
      <c r="C83" s="65" t="str">
        <f>'EDI Framework Criteria'!G38</f>
        <v>3.J.7</v>
      </c>
      <c r="D83" s="221" t="str">
        <f>'EDI Framework Criteria'!H38</f>
        <v xml:space="preserve">We consistently use representative case studies and imagery in all our marketing and website content. We regularly review our content. </v>
      </c>
      <c r="E83" s="222"/>
      <c r="F83" s="222"/>
      <c r="G83" s="222"/>
      <c r="H83" s="223"/>
      <c r="I83" s="66" t="s">
        <v>177</v>
      </c>
      <c r="J83" s="66"/>
      <c r="K83" s="67">
        <f>INDEX($U$3:$V$13,MATCH(I83,$U$3:$U$13,0),2)</f>
        <v>0</v>
      </c>
      <c r="L83" s="261"/>
      <c r="M83" s="261"/>
      <c r="N83" s="261"/>
      <c r="O83" s="261"/>
      <c r="P83" s="261"/>
      <c r="Q83" s="261"/>
      <c r="R83" s="261"/>
      <c r="S83" s="261"/>
      <c r="T83" s="262"/>
    </row>
    <row r="84" spans="2:20">
      <c r="B84" s="34"/>
      <c r="C84" s="86"/>
      <c r="D84" s="86"/>
      <c r="E84" s="86"/>
      <c r="F84" s="86"/>
      <c r="G84" s="86"/>
      <c r="H84" s="86"/>
      <c r="I84" s="86"/>
      <c r="J84" s="86"/>
      <c r="K84" s="86"/>
      <c r="L84" s="86"/>
      <c r="M84" s="86"/>
      <c r="N84" s="86"/>
      <c r="O84" s="86"/>
      <c r="P84" s="86"/>
      <c r="Q84" s="86"/>
      <c r="R84" s="86"/>
      <c r="S84" s="86"/>
      <c r="T84" s="35"/>
    </row>
    <row r="85" spans="2:20" ht="17.399999999999999" thickBot="1">
      <c r="B85" s="34"/>
      <c r="C85" s="86"/>
      <c r="D85" s="86"/>
      <c r="E85" s="86"/>
      <c r="F85" s="86"/>
      <c r="G85" s="86"/>
      <c r="H85" s="86"/>
      <c r="I85" s="86"/>
      <c r="J85" s="86"/>
      <c r="K85" s="86"/>
      <c r="L85" s="86"/>
      <c r="M85" s="86"/>
      <c r="N85" s="86"/>
      <c r="O85" s="86"/>
      <c r="P85" s="86"/>
      <c r="Q85" s="86"/>
      <c r="R85" s="86"/>
      <c r="S85" s="86"/>
      <c r="T85" s="35"/>
    </row>
    <row r="86" spans="2:20" ht="21.6">
      <c r="B86" s="51" t="s">
        <v>240</v>
      </c>
      <c r="C86" s="52"/>
      <c r="D86" s="156" t="str">
        <f>'EDI Framework Criteria'!B39</f>
        <v>Accessible external communications</v>
      </c>
      <c r="E86" s="53"/>
      <c r="F86" s="53"/>
      <c r="G86" s="53"/>
      <c r="H86" s="53"/>
      <c r="I86" s="53"/>
      <c r="J86" s="53"/>
      <c r="K86" s="53"/>
      <c r="L86" s="53"/>
      <c r="M86" s="53"/>
      <c r="N86" s="53"/>
      <c r="O86" s="53"/>
      <c r="P86" s="53"/>
      <c r="Q86" s="53"/>
      <c r="R86" s="53"/>
      <c r="S86" s="53"/>
      <c r="T86" s="54"/>
    </row>
    <row r="87" spans="2:20" ht="15" customHeight="1">
      <c r="B87" s="55"/>
      <c r="C87" s="56"/>
      <c r="D87" s="56"/>
      <c r="E87" s="56"/>
      <c r="F87" s="56"/>
      <c r="G87" s="56"/>
      <c r="H87" s="56"/>
      <c r="I87" s="56"/>
      <c r="J87" s="56"/>
      <c r="K87" s="56"/>
      <c r="L87" s="56"/>
      <c r="M87" s="56"/>
      <c r="N87" s="56"/>
      <c r="O87" s="56"/>
      <c r="P87" s="56"/>
      <c r="Q87" s="56"/>
      <c r="R87" s="56"/>
      <c r="S87" s="56"/>
      <c r="T87" s="57"/>
    </row>
    <row r="88" spans="2:20" ht="50.4">
      <c r="B88" s="55"/>
      <c r="C88" s="56"/>
      <c r="D88" s="56"/>
      <c r="E88" s="56"/>
      <c r="F88" s="56"/>
      <c r="G88" s="56"/>
      <c r="H88" s="56"/>
      <c r="I88" s="58" t="s">
        <v>162</v>
      </c>
      <c r="J88" s="58" t="s">
        <v>163</v>
      </c>
      <c r="K88" s="59"/>
      <c r="L88" s="60" t="s">
        <v>508</v>
      </c>
      <c r="M88" s="56"/>
      <c r="N88" s="56"/>
      <c r="O88" s="56"/>
      <c r="P88" s="56"/>
      <c r="Q88" s="56"/>
      <c r="R88" s="56"/>
      <c r="S88" s="56"/>
      <c r="T88" s="57"/>
    </row>
    <row r="89" spans="2:20" ht="90" customHeight="1">
      <c r="B89" s="61" t="s">
        <v>166</v>
      </c>
      <c r="C89" s="62" t="str">
        <f>'EDI Framework Criteria'!C39</f>
        <v>1.J.8</v>
      </c>
      <c r="D89" s="224" t="str">
        <f>'EDI Framework Criteria'!D39</f>
        <v xml:space="preserve">We are committed to assessing our external communications content (such as our website and marketing materials) for accessibility by auditing it through an accessibility checker, or an accessibility expert. </v>
      </c>
      <c r="E89" s="225"/>
      <c r="F89" s="225"/>
      <c r="G89" s="225"/>
      <c r="H89" s="226"/>
      <c r="I89" s="63" t="s">
        <v>175</v>
      </c>
      <c r="J89" s="63"/>
      <c r="K89" s="47">
        <f>INDEX($U$3:$V$13,MATCH(I89,$U$3:$U$13,0),2)</f>
        <v>0</v>
      </c>
      <c r="L89" s="254"/>
      <c r="M89" s="255"/>
      <c r="N89" s="255"/>
      <c r="O89" s="255"/>
      <c r="P89" s="255"/>
      <c r="Q89" s="255"/>
      <c r="R89" s="255"/>
      <c r="S89" s="255"/>
      <c r="T89" s="256"/>
    </row>
    <row r="90" spans="2:20">
      <c r="B90" s="46"/>
      <c r="C90" s="47"/>
      <c r="D90" s="47"/>
      <c r="E90" s="47"/>
      <c r="F90" s="47"/>
      <c r="G90" s="47"/>
      <c r="H90" s="47"/>
      <c r="I90" s="47"/>
      <c r="J90" s="47"/>
      <c r="K90" s="47"/>
      <c r="L90" s="257"/>
      <c r="M90" s="258"/>
      <c r="N90" s="258"/>
      <c r="O90" s="258"/>
      <c r="P90" s="258"/>
      <c r="Q90" s="258"/>
      <c r="R90" s="258"/>
      <c r="S90" s="258"/>
      <c r="T90" s="259"/>
    </row>
    <row r="91" spans="2:20" ht="90" customHeight="1">
      <c r="B91" s="61" t="s">
        <v>167</v>
      </c>
      <c r="C91" s="62" t="str">
        <f>'EDI Framework Criteria'!E39</f>
        <v>2.J.8</v>
      </c>
      <c r="D91" s="224" t="str">
        <f>'EDI Framework Criteria'!F39</f>
        <v>We have carried out an accessibility audit of our external communications content (such as our website and marketing materials).</v>
      </c>
      <c r="E91" s="225"/>
      <c r="F91" s="225"/>
      <c r="G91" s="225"/>
      <c r="H91" s="226"/>
      <c r="I91" s="63" t="s">
        <v>176</v>
      </c>
      <c r="J91" s="63"/>
      <c r="K91" s="47">
        <f>INDEX($U$3:$V$13,MATCH(I91,$U$3:$U$13,0),2)</f>
        <v>0</v>
      </c>
      <c r="L91" s="257"/>
      <c r="M91" s="258"/>
      <c r="N91" s="258"/>
      <c r="O91" s="258"/>
      <c r="P91" s="258"/>
      <c r="Q91" s="258"/>
      <c r="R91" s="258"/>
      <c r="S91" s="258"/>
      <c r="T91" s="259"/>
    </row>
    <row r="92" spans="2:20">
      <c r="B92" s="46"/>
      <c r="C92" s="47"/>
      <c r="D92" s="47"/>
      <c r="E92" s="47"/>
      <c r="F92" s="47"/>
      <c r="G92" s="47"/>
      <c r="H92" s="47"/>
      <c r="I92" s="47"/>
      <c r="J92" s="47"/>
      <c r="K92" s="47"/>
      <c r="L92" s="257"/>
      <c r="M92" s="258"/>
      <c r="N92" s="258"/>
      <c r="O92" s="258"/>
      <c r="P92" s="258"/>
      <c r="Q92" s="258"/>
      <c r="R92" s="258"/>
      <c r="S92" s="258"/>
      <c r="T92" s="259"/>
    </row>
    <row r="93" spans="2:20" ht="90" customHeight="1" thickBot="1">
      <c r="B93" s="64" t="s">
        <v>168</v>
      </c>
      <c r="C93" s="65" t="str">
        <f>'EDI Framework Criteria'!G39</f>
        <v>3.J.8</v>
      </c>
      <c r="D93" s="221" t="str">
        <f>'EDI Framework Criteria'!H39</f>
        <v xml:space="preserve">We have actioned recommended changes from our content audit across all our content and continue to regularly audit the content. </v>
      </c>
      <c r="E93" s="222"/>
      <c r="F93" s="222"/>
      <c r="G93" s="222"/>
      <c r="H93" s="223"/>
      <c r="I93" s="66" t="s">
        <v>177</v>
      </c>
      <c r="J93" s="66"/>
      <c r="K93" s="67">
        <f>INDEX($U$3:$V$13,MATCH(I93,$U$3:$U$13,0),2)</f>
        <v>0</v>
      </c>
      <c r="L93" s="260"/>
      <c r="M93" s="261"/>
      <c r="N93" s="261"/>
      <c r="O93" s="261"/>
      <c r="P93" s="261"/>
      <c r="Q93" s="261"/>
      <c r="R93" s="261"/>
      <c r="S93" s="261"/>
      <c r="T93" s="262"/>
    </row>
    <row r="94" spans="2:20">
      <c r="B94" s="34"/>
      <c r="C94" s="86"/>
      <c r="D94" s="86"/>
      <c r="E94" s="86"/>
      <c r="F94" s="86"/>
      <c r="G94" s="86"/>
      <c r="H94" s="86"/>
      <c r="I94" s="86"/>
      <c r="J94" s="86"/>
      <c r="K94" s="86"/>
      <c r="L94" s="86"/>
      <c r="M94" s="86"/>
      <c r="N94" s="86"/>
      <c r="O94" s="86"/>
      <c r="P94" s="86"/>
      <c r="Q94" s="86"/>
      <c r="R94" s="86"/>
      <c r="S94" s="86"/>
      <c r="T94" s="35"/>
    </row>
    <row r="95" spans="2:20">
      <c r="B95" s="34"/>
      <c r="C95" s="86"/>
      <c r="D95" s="86"/>
      <c r="E95" s="86"/>
      <c r="F95" s="86"/>
      <c r="G95" s="86"/>
      <c r="H95" s="86"/>
      <c r="I95" s="86"/>
      <c r="J95" s="86"/>
      <c r="K95" s="86"/>
      <c r="L95" s="86"/>
      <c r="M95" s="86"/>
      <c r="N95" s="86"/>
      <c r="O95" s="86"/>
      <c r="P95" s="86"/>
      <c r="Q95" s="86"/>
      <c r="R95" s="86"/>
      <c r="S95" s="86"/>
      <c r="T95" s="35"/>
    </row>
    <row r="96" spans="2:20">
      <c r="B96" s="34"/>
      <c r="C96" s="86"/>
      <c r="D96" s="86"/>
      <c r="E96" s="86"/>
      <c r="F96" s="86"/>
      <c r="G96" s="86"/>
      <c r="H96" s="86"/>
      <c r="I96" s="86"/>
      <c r="J96" s="86"/>
      <c r="K96" s="86"/>
      <c r="L96" s="86"/>
      <c r="M96" s="86"/>
      <c r="N96" s="86"/>
      <c r="O96" s="86"/>
      <c r="P96" s="86"/>
      <c r="Q96" s="86"/>
      <c r="R96" s="86"/>
      <c r="S96" s="86"/>
      <c r="T96" s="35"/>
    </row>
    <row r="97" spans="2:20" ht="17.399999999999999" thickBot="1">
      <c r="B97" s="34"/>
      <c r="C97" s="86"/>
      <c r="D97" s="86"/>
      <c r="E97" s="86"/>
      <c r="F97" s="86"/>
      <c r="G97" s="86"/>
      <c r="H97" s="86"/>
      <c r="I97" s="86"/>
      <c r="J97" s="86"/>
      <c r="K97" s="86"/>
      <c r="L97" s="86"/>
      <c r="M97" s="86"/>
      <c r="N97" s="86"/>
      <c r="O97" s="86"/>
      <c r="P97" s="86"/>
      <c r="Q97" s="86"/>
      <c r="R97" s="86"/>
      <c r="S97" s="86"/>
      <c r="T97" s="35"/>
    </row>
    <row r="98" spans="2:20" ht="21.6">
      <c r="B98" s="51" t="s">
        <v>241</v>
      </c>
      <c r="C98" s="52"/>
      <c r="D98" s="156" t="str">
        <f>'EDI Framework Criteria'!B40</f>
        <v>Supply chain(s)</v>
      </c>
      <c r="E98" s="53"/>
      <c r="F98" s="53"/>
      <c r="G98" s="53"/>
      <c r="H98" s="53"/>
      <c r="I98" s="53"/>
      <c r="J98" s="53"/>
      <c r="K98" s="53"/>
      <c r="L98" s="53"/>
      <c r="M98" s="53"/>
      <c r="N98" s="53"/>
      <c r="O98" s="53"/>
      <c r="P98" s="53"/>
      <c r="Q98" s="53"/>
      <c r="R98" s="53"/>
      <c r="S98" s="53"/>
      <c r="T98" s="54"/>
    </row>
    <row r="99" spans="2:20" ht="15" customHeight="1">
      <c r="B99" s="55"/>
      <c r="C99" s="56"/>
      <c r="D99" s="56"/>
      <c r="E99" s="56"/>
      <c r="F99" s="56"/>
      <c r="G99" s="56"/>
      <c r="H99" s="56"/>
      <c r="I99" s="56"/>
      <c r="J99" s="56"/>
      <c r="K99" s="56"/>
      <c r="L99" s="56"/>
      <c r="M99" s="56"/>
      <c r="N99" s="56"/>
      <c r="O99" s="56"/>
      <c r="P99" s="56"/>
      <c r="Q99" s="56"/>
      <c r="R99" s="56"/>
      <c r="S99" s="56"/>
      <c r="T99" s="57"/>
    </row>
    <row r="100" spans="2:20" ht="50.4">
      <c r="B100" s="55"/>
      <c r="C100" s="56"/>
      <c r="D100" s="56"/>
      <c r="E100" s="56"/>
      <c r="F100" s="56"/>
      <c r="G100" s="56"/>
      <c r="H100" s="56"/>
      <c r="I100" s="58" t="s">
        <v>162</v>
      </c>
      <c r="J100" s="58" t="s">
        <v>163</v>
      </c>
      <c r="K100" s="59"/>
      <c r="L100" s="60" t="s">
        <v>508</v>
      </c>
      <c r="M100" s="56"/>
      <c r="N100" s="56"/>
      <c r="O100" s="56"/>
      <c r="P100" s="56"/>
      <c r="Q100" s="56"/>
      <c r="R100" s="56"/>
      <c r="S100" s="56"/>
      <c r="T100" s="57"/>
    </row>
    <row r="101" spans="2:20" ht="90" customHeight="1">
      <c r="B101" s="61" t="s">
        <v>166</v>
      </c>
      <c r="C101" s="62" t="str">
        <f>'EDI Framework Criteria'!C40</f>
        <v>1.J.9</v>
      </c>
      <c r="D101" s="224" t="str">
        <f>'EDI Framework Criteria'!D40</f>
        <v xml:space="preserve">We are committed to creating a plan for improving EDI through our supply chain including any deliver partners or subcontractors. </v>
      </c>
      <c r="E101" s="225"/>
      <c r="F101" s="225"/>
      <c r="G101" s="225"/>
      <c r="H101" s="226"/>
      <c r="I101" s="63" t="s">
        <v>175</v>
      </c>
      <c r="J101" s="63"/>
      <c r="K101" s="47">
        <f>INDEX($U$3:$V$13,MATCH(I101,$U$3:$U$13,0),2)</f>
        <v>0</v>
      </c>
      <c r="L101" s="254"/>
      <c r="M101" s="255"/>
      <c r="N101" s="255"/>
      <c r="O101" s="255"/>
      <c r="P101" s="255"/>
      <c r="Q101" s="255"/>
      <c r="R101" s="255"/>
      <c r="S101" s="255"/>
      <c r="T101" s="256"/>
    </row>
    <row r="102" spans="2:20" ht="16.5" hidden="1" customHeight="1">
      <c r="B102" s="46"/>
      <c r="C102" s="47"/>
      <c r="D102" s="47"/>
      <c r="E102" s="47"/>
      <c r="F102" s="47"/>
      <c r="G102" s="47"/>
      <c r="H102" s="47"/>
      <c r="I102" s="47"/>
      <c r="J102" s="47"/>
      <c r="K102" s="47"/>
      <c r="L102" s="257"/>
      <c r="M102" s="258"/>
      <c r="N102" s="258"/>
      <c r="O102" s="258"/>
      <c r="P102" s="258"/>
      <c r="Q102" s="258"/>
      <c r="R102" s="258"/>
      <c r="S102" s="258"/>
      <c r="T102" s="259"/>
    </row>
    <row r="103" spans="2:20" ht="90" customHeight="1">
      <c r="B103" s="61" t="s">
        <v>167</v>
      </c>
      <c r="C103" s="62" t="str">
        <f>'EDI Framework Criteria'!E40</f>
        <v>2.J.11</v>
      </c>
      <c r="D103" s="224" t="str">
        <f>'EDI Framework Criteria'!F40</f>
        <v xml:space="preserve">We have a plan for improving EDI throughout our supply chain and any delivery partners or subcontractors. We are making changes to where needed. </v>
      </c>
      <c r="E103" s="225"/>
      <c r="F103" s="225"/>
      <c r="G103" s="225"/>
      <c r="H103" s="226"/>
      <c r="I103" s="63" t="s">
        <v>176</v>
      </c>
      <c r="J103" s="63"/>
      <c r="K103" s="47">
        <f>INDEX($U$3:$V$13,MATCH(I103,$U$3:$U$13,0),2)</f>
        <v>0</v>
      </c>
      <c r="L103" s="257"/>
      <c r="M103" s="258"/>
      <c r="N103" s="258"/>
      <c r="O103" s="258"/>
      <c r="P103" s="258"/>
      <c r="Q103" s="258"/>
      <c r="R103" s="258"/>
      <c r="S103" s="258"/>
      <c r="T103" s="259"/>
    </row>
    <row r="104" spans="2:20">
      <c r="B104" s="46"/>
      <c r="C104" s="47"/>
      <c r="D104" s="47"/>
      <c r="E104" s="47"/>
      <c r="F104" s="47"/>
      <c r="G104" s="47"/>
      <c r="H104" s="47"/>
      <c r="I104" s="47"/>
      <c r="J104" s="47"/>
      <c r="K104" s="47"/>
      <c r="L104" s="257"/>
      <c r="M104" s="258"/>
      <c r="N104" s="258"/>
      <c r="O104" s="258"/>
      <c r="P104" s="258"/>
      <c r="Q104" s="258"/>
      <c r="R104" s="258"/>
      <c r="S104" s="258"/>
      <c r="T104" s="259"/>
    </row>
    <row r="105" spans="2:20" ht="90" customHeight="1" thickBot="1">
      <c r="B105" s="64" t="s">
        <v>168</v>
      </c>
      <c r="C105" s="65" t="str">
        <f>'EDI Framework Criteria'!G40</f>
        <v>3.J.11</v>
      </c>
      <c r="D105" s="221" t="str">
        <f>'EDI Framework Criteria'!H40</f>
        <v>We engage with supply chain organisations and any delivery partners and subcontractors where possible to improve EDI. We are improving procurement in line with EDI plans.</v>
      </c>
      <c r="E105" s="222"/>
      <c r="F105" s="222"/>
      <c r="G105" s="222"/>
      <c r="H105" s="223"/>
      <c r="I105" s="66" t="s">
        <v>177</v>
      </c>
      <c r="J105" s="66"/>
      <c r="K105" s="67">
        <f>INDEX($U$3:$V$13,MATCH(I105,$U$3:$U$13,0),2)</f>
        <v>0</v>
      </c>
      <c r="L105" s="260"/>
      <c r="M105" s="261"/>
      <c r="N105" s="261"/>
      <c r="O105" s="261"/>
      <c r="P105" s="261"/>
      <c r="Q105" s="261"/>
      <c r="R105" s="261"/>
      <c r="S105" s="261"/>
      <c r="T105" s="262"/>
    </row>
    <row r="106" spans="2:20">
      <c r="B106" s="34"/>
      <c r="C106" s="86"/>
      <c r="D106" s="86"/>
      <c r="E106" s="86"/>
      <c r="F106" s="86"/>
      <c r="G106" s="86"/>
      <c r="H106" s="86"/>
      <c r="I106" s="86"/>
      <c r="J106" s="86"/>
      <c r="K106" s="86"/>
      <c r="L106" s="86"/>
      <c r="M106" s="86"/>
      <c r="N106" s="86"/>
      <c r="O106" s="86"/>
      <c r="P106" s="86"/>
      <c r="Q106" s="86"/>
      <c r="R106" s="86"/>
      <c r="S106" s="86"/>
      <c r="T106" s="35"/>
    </row>
    <row r="107" spans="2:20" ht="17.399999999999999" thickBot="1">
      <c r="B107" s="34"/>
      <c r="C107" s="86"/>
      <c r="D107" s="86"/>
      <c r="E107" s="86"/>
      <c r="F107" s="86"/>
      <c r="G107" s="86"/>
      <c r="H107" s="86"/>
      <c r="I107" s="86"/>
      <c r="J107" s="86"/>
      <c r="K107" s="86"/>
      <c r="L107" s="86"/>
      <c r="M107" s="86"/>
      <c r="N107" s="86"/>
      <c r="O107" s="86"/>
      <c r="P107" s="86"/>
      <c r="Q107" s="86"/>
      <c r="R107" s="86"/>
      <c r="S107" s="86"/>
      <c r="T107" s="35"/>
    </row>
    <row r="108" spans="2:20" ht="21.6">
      <c r="B108" s="51" t="s">
        <v>242</v>
      </c>
      <c r="C108" s="52"/>
      <c r="D108" s="156" t="str">
        <f>'EDI Framework Criteria'!B41</f>
        <v>EDI in product and/or service iteration and R&amp;D</v>
      </c>
      <c r="E108" s="53"/>
      <c r="F108" s="53"/>
      <c r="G108" s="53"/>
      <c r="H108" s="53"/>
      <c r="I108" s="53"/>
      <c r="J108" s="53"/>
      <c r="K108" s="53"/>
      <c r="L108" s="53"/>
      <c r="M108" s="53"/>
      <c r="N108" s="53"/>
      <c r="O108" s="53"/>
      <c r="P108" s="53"/>
      <c r="Q108" s="53"/>
      <c r="R108" s="53"/>
      <c r="S108" s="53"/>
      <c r="T108" s="54"/>
    </row>
    <row r="109" spans="2:20" ht="15" customHeight="1">
      <c r="B109" s="55"/>
      <c r="C109" s="56"/>
      <c r="D109" s="56"/>
      <c r="E109" s="56"/>
      <c r="F109" s="56"/>
      <c r="G109" s="56"/>
      <c r="H109" s="56"/>
      <c r="I109" s="56"/>
      <c r="J109" s="56"/>
      <c r="K109" s="56"/>
      <c r="L109" s="56"/>
      <c r="M109" s="56"/>
      <c r="N109" s="56"/>
      <c r="O109" s="56"/>
      <c r="P109" s="56"/>
      <c r="Q109" s="56"/>
      <c r="R109" s="56"/>
      <c r="S109" s="56"/>
      <c r="T109" s="57"/>
    </row>
    <row r="110" spans="2:20" ht="50.4">
      <c r="B110" s="55"/>
      <c r="C110" s="56"/>
      <c r="D110" s="56"/>
      <c r="E110" s="56"/>
      <c r="F110" s="56"/>
      <c r="G110" s="56"/>
      <c r="H110" s="56"/>
      <c r="I110" s="58" t="s">
        <v>162</v>
      </c>
      <c r="J110" s="58" t="s">
        <v>163</v>
      </c>
      <c r="K110" s="59"/>
      <c r="L110" s="60" t="s">
        <v>508</v>
      </c>
      <c r="M110" s="56"/>
      <c r="N110" s="56"/>
      <c r="O110" s="56"/>
      <c r="P110" s="56"/>
      <c r="Q110" s="56"/>
      <c r="R110" s="56"/>
      <c r="S110" s="56"/>
      <c r="T110" s="57"/>
    </row>
    <row r="111" spans="2:20" ht="90" customHeight="1">
      <c r="B111" s="61" t="s">
        <v>166</v>
      </c>
      <c r="C111" s="62" t="str">
        <f>'EDI Framework Criteria'!C41</f>
        <v>1.J.10</v>
      </c>
      <c r="D111" s="224" t="str">
        <f>'EDI Framework Criteria'!D41</f>
        <v>We are committed to creating a plan for improving EDI in our products and/or services.</v>
      </c>
      <c r="E111" s="225"/>
      <c r="F111" s="225"/>
      <c r="G111" s="225"/>
      <c r="H111" s="226"/>
      <c r="I111" s="63" t="s">
        <v>175</v>
      </c>
      <c r="J111" s="63"/>
      <c r="K111" s="47">
        <f>INDEX($U$3:$V$13,MATCH(I111,$U$3:$U$13,0),2)</f>
        <v>0</v>
      </c>
      <c r="L111" s="254"/>
      <c r="M111" s="255"/>
      <c r="N111" s="255"/>
      <c r="O111" s="255"/>
      <c r="P111" s="255"/>
      <c r="Q111" s="255"/>
      <c r="R111" s="255"/>
      <c r="S111" s="255"/>
      <c r="T111" s="256"/>
    </row>
    <row r="112" spans="2:20">
      <c r="B112" s="46"/>
      <c r="C112" s="47"/>
      <c r="D112" s="47"/>
      <c r="E112" s="47"/>
      <c r="F112" s="47"/>
      <c r="G112" s="47"/>
      <c r="H112" s="47"/>
      <c r="I112" s="47"/>
      <c r="J112" s="47"/>
      <c r="K112" s="47"/>
      <c r="L112" s="257"/>
      <c r="M112" s="258"/>
      <c r="N112" s="258"/>
      <c r="O112" s="258"/>
      <c r="P112" s="258"/>
      <c r="Q112" s="258"/>
      <c r="R112" s="258"/>
      <c r="S112" s="258"/>
      <c r="T112" s="259"/>
    </row>
    <row r="113" spans="2:20" ht="90" customHeight="1">
      <c r="B113" s="61" t="s">
        <v>167</v>
      </c>
      <c r="C113" s="62" t="str">
        <f>'EDI Framework Criteria'!E41</f>
        <v>2.J.12</v>
      </c>
      <c r="D113" s="224" t="str">
        <f>'EDI Framework Criteria'!F41</f>
        <v>We have in place a plan for improving EDI in our products and/or services. We have started to review and make changes to our products and services.</v>
      </c>
      <c r="E113" s="225"/>
      <c r="F113" s="225"/>
      <c r="G113" s="225"/>
      <c r="H113" s="226"/>
      <c r="I113" s="63" t="s">
        <v>176</v>
      </c>
      <c r="J113" s="63"/>
      <c r="K113" s="47">
        <f>INDEX($U$3:$V$13,MATCH(I113,$U$3:$U$13,0),2)</f>
        <v>0</v>
      </c>
      <c r="L113" s="257"/>
      <c r="M113" s="258"/>
      <c r="N113" s="258"/>
      <c r="O113" s="258"/>
      <c r="P113" s="258"/>
      <c r="Q113" s="258"/>
      <c r="R113" s="258"/>
      <c r="S113" s="258"/>
      <c r="T113" s="259"/>
    </row>
    <row r="114" spans="2:20">
      <c r="B114" s="46"/>
      <c r="C114" s="47"/>
      <c r="D114" s="47"/>
      <c r="E114" s="47"/>
      <c r="F114" s="47"/>
      <c r="G114" s="47"/>
      <c r="H114" s="47"/>
      <c r="I114" s="47"/>
      <c r="J114" s="47"/>
      <c r="K114" s="47"/>
      <c r="L114" s="257"/>
      <c r="M114" s="258"/>
      <c r="N114" s="258"/>
      <c r="O114" s="258"/>
      <c r="P114" s="258"/>
      <c r="Q114" s="258"/>
      <c r="R114" s="258"/>
      <c r="S114" s="258"/>
      <c r="T114" s="259"/>
    </row>
    <row r="115" spans="2:20" ht="90" customHeight="1" thickBot="1">
      <c r="B115" s="64" t="s">
        <v>168</v>
      </c>
      <c r="C115" s="65" t="str">
        <f>'EDI Framework Criteria'!G41</f>
        <v>3.J.12</v>
      </c>
      <c r="D115" s="221" t="str">
        <f>'EDI Framework Criteria'!H41</f>
        <v>We regularly use our understanding of EDI to make our products and/or services service affected groups better.</v>
      </c>
      <c r="E115" s="222"/>
      <c r="F115" s="222"/>
      <c r="G115" s="222"/>
      <c r="H115" s="223"/>
      <c r="I115" s="66" t="s">
        <v>177</v>
      </c>
      <c r="J115" s="66"/>
      <c r="K115" s="67">
        <f>INDEX($U$3:$V$13,MATCH(I115,$U$3:$U$13,0),2)</f>
        <v>0</v>
      </c>
      <c r="L115" s="260"/>
      <c r="M115" s="261"/>
      <c r="N115" s="261"/>
      <c r="O115" s="261"/>
      <c r="P115" s="261"/>
      <c r="Q115" s="261"/>
      <c r="R115" s="261"/>
      <c r="S115" s="261"/>
      <c r="T115" s="262"/>
    </row>
    <row r="116" spans="2:20">
      <c r="B116" s="34"/>
      <c r="C116" s="86"/>
      <c r="D116" s="86"/>
      <c r="E116" s="86"/>
      <c r="F116" s="86"/>
      <c r="G116" s="86"/>
      <c r="H116" s="86"/>
      <c r="I116" s="86"/>
      <c r="J116" s="86"/>
      <c r="K116" s="86"/>
      <c r="L116" s="86"/>
      <c r="M116" s="86"/>
      <c r="N116" s="86"/>
      <c r="O116" s="86"/>
      <c r="P116" s="86"/>
      <c r="Q116" s="86"/>
      <c r="R116" s="86"/>
      <c r="S116" s="86"/>
      <c r="T116" s="35"/>
    </row>
    <row r="117" spans="2:20">
      <c r="B117" s="34"/>
      <c r="C117" s="86"/>
      <c r="D117" s="86"/>
      <c r="E117" s="86"/>
      <c r="F117" s="86"/>
      <c r="G117" s="86"/>
      <c r="H117" s="86"/>
      <c r="I117" s="86"/>
      <c r="J117" s="86"/>
      <c r="K117" s="86"/>
      <c r="L117" s="86"/>
      <c r="M117" s="86"/>
      <c r="N117" s="86"/>
      <c r="O117" s="86"/>
      <c r="P117" s="86"/>
      <c r="Q117" s="86"/>
      <c r="R117" s="86"/>
      <c r="S117" s="86"/>
      <c r="T117" s="35"/>
    </row>
    <row r="118" spans="2:20" ht="17.399999999999999" thickBot="1">
      <c r="B118" s="34"/>
      <c r="C118" s="86"/>
      <c r="D118" s="86"/>
      <c r="E118" s="86"/>
      <c r="F118" s="86"/>
      <c r="G118" s="86"/>
      <c r="H118" s="86"/>
      <c r="I118" s="86"/>
      <c r="J118" s="86"/>
      <c r="K118" s="86"/>
      <c r="L118" s="86"/>
      <c r="M118" s="86"/>
      <c r="N118" s="86"/>
      <c r="O118" s="86"/>
      <c r="P118" s="86"/>
      <c r="Q118" s="86"/>
      <c r="R118" s="86"/>
      <c r="S118" s="86"/>
      <c r="T118" s="35"/>
    </row>
    <row r="119" spans="2:20" ht="31.5" customHeight="1">
      <c r="B119" s="87" t="s">
        <v>194</v>
      </c>
      <c r="C119" s="88"/>
      <c r="D119" s="88"/>
      <c r="E119" s="89"/>
      <c r="F119" s="89"/>
      <c r="G119" s="89"/>
      <c r="H119" s="89"/>
      <c r="I119" s="89"/>
      <c r="J119" s="89"/>
      <c r="K119" s="89"/>
      <c r="L119" s="89"/>
      <c r="M119" s="89"/>
      <c r="N119" s="89"/>
      <c r="O119" s="89"/>
      <c r="P119" s="89"/>
      <c r="Q119" s="89"/>
      <c r="R119" s="89"/>
      <c r="S119" s="89"/>
      <c r="T119" s="90"/>
    </row>
    <row r="120" spans="2:20" ht="25.2" thickBot="1">
      <c r="B120" s="91"/>
      <c r="C120" s="92"/>
      <c r="D120" s="92"/>
      <c r="E120" s="92"/>
      <c r="F120" s="92"/>
      <c r="G120" s="92"/>
      <c r="H120" s="92"/>
      <c r="I120" s="92"/>
      <c r="J120" s="92"/>
      <c r="K120" s="92"/>
      <c r="L120" s="92"/>
      <c r="M120" s="92"/>
      <c r="N120" s="92"/>
      <c r="O120" s="92"/>
      <c r="P120" s="92"/>
      <c r="Q120" s="92"/>
      <c r="R120" s="92"/>
      <c r="S120" s="92"/>
      <c r="T120" s="93"/>
    </row>
    <row r="121" spans="2:20" ht="24" customHeight="1" thickBot="1">
      <c r="B121" s="97"/>
      <c r="C121" s="98"/>
      <c r="D121" s="98"/>
      <c r="E121" s="98"/>
      <c r="F121" s="98"/>
      <c r="G121" s="98"/>
      <c r="H121" s="98"/>
      <c r="I121" s="98"/>
      <c r="J121" s="98"/>
      <c r="K121" s="98"/>
      <c r="L121" s="98"/>
      <c r="M121" s="98"/>
      <c r="N121" s="98"/>
      <c r="O121" s="98"/>
      <c r="P121" s="98"/>
      <c r="Q121" s="98"/>
      <c r="R121" s="98"/>
      <c r="S121" s="98"/>
      <c r="T121" s="36"/>
    </row>
    <row r="122" spans="2:20"/>
    <row r="123" spans="2:20" ht="24" customHeight="1"/>
    <row r="124" spans="2:20"/>
    <row r="125" spans="2:20" ht="21.75" hidden="1" customHeight="1"/>
    <row r="126" spans="2:20"/>
    <row r="127" spans="2:20"/>
    <row r="128" spans="2:20"/>
    <row r="129" ht="15" hidden="1" customHeight="1"/>
    <row r="130"/>
    <row r="131" ht="90" hidden="1" customHeight="1"/>
    <row r="132"/>
    <row r="133" ht="90" hidden="1" customHeight="1"/>
    <row r="134"/>
    <row r="135" ht="90" hidden="1" customHeight="1"/>
    <row r="136"/>
    <row r="137"/>
    <row r="138"/>
    <row r="139" ht="15" hidden="1" customHeight="1"/>
    <row r="140"/>
    <row r="141" ht="90" hidden="1" customHeight="1"/>
    <row r="143" ht="90" hidden="1" customHeight="1"/>
    <row r="144"/>
    <row r="145" ht="90" hidden="1" customHeight="1"/>
    <row r="147"/>
    <row r="149" ht="15" hidden="1" customHeight="1"/>
    <row r="151" ht="90" hidden="1" customHeight="1"/>
    <row r="153" ht="90" hidden="1" customHeight="1"/>
    <row r="155" ht="90" hidden="1" customHeight="1"/>
    <row r="157"/>
    <row r="159" ht="15" hidden="1" customHeight="1"/>
    <row r="161" ht="90" hidden="1" customHeight="1"/>
    <row r="163" ht="90" hidden="1" customHeight="1"/>
    <row r="165" ht="90" hidden="1" customHeight="1"/>
    <row r="167"/>
    <row r="169" ht="15" hidden="1" customHeight="1"/>
    <row r="171" ht="90" hidden="1" customHeight="1"/>
    <row r="173" ht="90" hidden="1" customHeight="1"/>
    <row r="175" ht="90" hidden="1" customHeight="1"/>
    <row r="177"/>
    <row r="179" ht="15" hidden="1" customHeight="1"/>
    <row r="181" ht="90" hidden="1" customHeight="1"/>
    <row r="183" ht="90" hidden="1" customHeight="1"/>
    <row r="185" ht="90" hidden="1" customHeight="1"/>
    <row r="187"/>
    <row r="189" ht="15" hidden="1" customHeight="1"/>
    <row r="191" ht="90" hidden="1" customHeight="1"/>
    <row r="193" ht="90" hidden="1" customHeight="1"/>
    <row r="195" ht="90" hidden="1" customHeight="1"/>
    <row r="197"/>
    <row r="199" ht="15" hidden="1" customHeight="1"/>
    <row r="201" ht="90" hidden="1" customHeight="1"/>
    <row r="203" ht="90" hidden="1" customHeight="1"/>
    <row r="205" ht="90" hidden="1" customHeight="1"/>
    <row r="207"/>
    <row r="209" ht="31.5" hidden="1" customHeight="1"/>
    <row r="211"/>
    <row r="215"/>
    <row r="217"/>
    <row r="219"/>
    <row r="221"/>
    <row r="223"/>
    <row r="225"/>
  </sheetData>
  <mergeCells count="55">
    <mergeCell ref="D89:H89"/>
    <mergeCell ref="D91:H91"/>
    <mergeCell ref="D93:H93"/>
    <mergeCell ref="D79:H79"/>
    <mergeCell ref="D81:H81"/>
    <mergeCell ref="D83:H83"/>
    <mergeCell ref="D115:H115"/>
    <mergeCell ref="D101:H101"/>
    <mergeCell ref="D103:H103"/>
    <mergeCell ref="D105:H105"/>
    <mergeCell ref="D111:H111"/>
    <mergeCell ref="D113:H113"/>
    <mergeCell ref="D71:H71"/>
    <mergeCell ref="D73:H73"/>
    <mergeCell ref="D59:H59"/>
    <mergeCell ref="D61:H61"/>
    <mergeCell ref="D63:H63"/>
    <mergeCell ref="D41:H41"/>
    <mergeCell ref="D43:H43"/>
    <mergeCell ref="D33:H33"/>
    <mergeCell ref="D51:H51"/>
    <mergeCell ref="D69:H69"/>
    <mergeCell ref="D49:H49"/>
    <mergeCell ref="D53:H53"/>
    <mergeCell ref="V1:Y1"/>
    <mergeCell ref="B3:T3"/>
    <mergeCell ref="D19:H19"/>
    <mergeCell ref="D21:H21"/>
    <mergeCell ref="B9:C9"/>
    <mergeCell ref="B10:C10"/>
    <mergeCell ref="B11:C11"/>
    <mergeCell ref="B12:C12"/>
    <mergeCell ref="B14:J14"/>
    <mergeCell ref="D23:H23"/>
    <mergeCell ref="D39:H39"/>
    <mergeCell ref="O9:T9"/>
    <mergeCell ref="O10:T10"/>
    <mergeCell ref="O11:T11"/>
    <mergeCell ref="O12:T12"/>
    <mergeCell ref="D9:N9"/>
    <mergeCell ref="D10:N10"/>
    <mergeCell ref="D11:N11"/>
    <mergeCell ref="D12:N12"/>
    <mergeCell ref="D29:H29"/>
    <mergeCell ref="D31:H31"/>
    <mergeCell ref="L111:T115"/>
    <mergeCell ref="L101:T105"/>
    <mergeCell ref="L89:T93"/>
    <mergeCell ref="L79:T83"/>
    <mergeCell ref="L69:T73"/>
    <mergeCell ref="L59:T63"/>
    <mergeCell ref="L49:T53"/>
    <mergeCell ref="L39:T43"/>
    <mergeCell ref="L29:T33"/>
    <mergeCell ref="L19:T23"/>
  </mergeCells>
  <conditionalFormatting sqref="U5">
    <cfRule type="cellIs" dxfId="92" priority="217" operator="equal">
      <formula>$U$4</formula>
    </cfRule>
    <cfRule type="cellIs" dxfId="91" priority="218" operator="equal">
      <formula>$U$4</formula>
    </cfRule>
  </conditionalFormatting>
  <conditionalFormatting sqref="I19">
    <cfRule type="cellIs" dxfId="90" priority="100" operator="equal">
      <formula>$U$5</formula>
    </cfRule>
    <cfRule type="cellIs" dxfId="89" priority="101" operator="equal">
      <formula>$U$3</formula>
    </cfRule>
    <cfRule type="cellIs" dxfId="88" priority="102" operator="equal">
      <formula>$U$4</formula>
    </cfRule>
  </conditionalFormatting>
  <conditionalFormatting sqref="I21">
    <cfRule type="cellIs" dxfId="87" priority="103" operator="equal">
      <formula>$U$9</formula>
    </cfRule>
    <cfRule type="cellIs" dxfId="86" priority="104" operator="equal">
      <formula>$U$7</formula>
    </cfRule>
    <cfRule type="cellIs" dxfId="85" priority="105" operator="equal">
      <formula>$U$8</formula>
    </cfRule>
  </conditionalFormatting>
  <conditionalFormatting sqref="I23">
    <cfRule type="cellIs" dxfId="84" priority="106" operator="equal">
      <formula>$U$13</formula>
    </cfRule>
    <cfRule type="cellIs" dxfId="83" priority="107" operator="equal">
      <formula>$U$11</formula>
    </cfRule>
    <cfRule type="cellIs" dxfId="82" priority="108" operator="equal">
      <formula>$U$12</formula>
    </cfRule>
  </conditionalFormatting>
  <conditionalFormatting sqref="I29">
    <cfRule type="cellIs" dxfId="81" priority="91" operator="equal">
      <formula>$U$5</formula>
    </cfRule>
    <cfRule type="cellIs" dxfId="80" priority="92" operator="equal">
      <formula>$U$3</formula>
    </cfRule>
    <cfRule type="cellIs" dxfId="79" priority="93" operator="equal">
      <formula>$U$4</formula>
    </cfRule>
  </conditionalFormatting>
  <conditionalFormatting sqref="I31">
    <cfRule type="cellIs" dxfId="78" priority="94" operator="equal">
      <formula>$U$9</formula>
    </cfRule>
    <cfRule type="cellIs" dxfId="77" priority="95" operator="equal">
      <formula>$U$7</formula>
    </cfRule>
    <cfRule type="cellIs" dxfId="76" priority="96" operator="equal">
      <formula>$U$8</formula>
    </cfRule>
  </conditionalFormatting>
  <conditionalFormatting sqref="I33">
    <cfRule type="cellIs" dxfId="75" priority="97" operator="equal">
      <formula>$U$13</formula>
    </cfRule>
    <cfRule type="cellIs" dxfId="74" priority="98" operator="equal">
      <formula>$U$11</formula>
    </cfRule>
    <cfRule type="cellIs" dxfId="73" priority="99" operator="equal">
      <formula>$U$12</formula>
    </cfRule>
  </conditionalFormatting>
  <conditionalFormatting sqref="I39">
    <cfRule type="cellIs" dxfId="72" priority="82" operator="equal">
      <formula>$U$5</formula>
    </cfRule>
    <cfRule type="cellIs" dxfId="71" priority="83" operator="equal">
      <formula>$U$3</formula>
    </cfRule>
    <cfRule type="cellIs" dxfId="70" priority="84" operator="equal">
      <formula>$U$4</formula>
    </cfRule>
  </conditionalFormatting>
  <conditionalFormatting sqref="I41">
    <cfRule type="cellIs" dxfId="69" priority="85" operator="equal">
      <formula>$U$9</formula>
    </cfRule>
    <cfRule type="cellIs" dxfId="68" priority="86" operator="equal">
      <formula>$U$7</formula>
    </cfRule>
    <cfRule type="cellIs" dxfId="67" priority="87" operator="equal">
      <formula>$U$8</formula>
    </cfRule>
  </conditionalFormatting>
  <conditionalFormatting sqref="I43">
    <cfRule type="cellIs" dxfId="66" priority="88" operator="equal">
      <formula>$U$13</formula>
    </cfRule>
    <cfRule type="cellIs" dxfId="65" priority="89" operator="equal">
      <formula>$U$11</formula>
    </cfRule>
    <cfRule type="cellIs" dxfId="64" priority="90" operator="equal">
      <formula>$U$12</formula>
    </cfRule>
  </conditionalFormatting>
  <conditionalFormatting sqref="I49">
    <cfRule type="cellIs" dxfId="63" priority="73" operator="equal">
      <formula>$U$5</formula>
    </cfRule>
    <cfRule type="cellIs" dxfId="62" priority="74" operator="equal">
      <formula>$U$3</formula>
    </cfRule>
    <cfRule type="cellIs" dxfId="61" priority="75" operator="equal">
      <formula>$U$4</formula>
    </cfRule>
  </conditionalFormatting>
  <conditionalFormatting sqref="I51">
    <cfRule type="cellIs" dxfId="60" priority="76" operator="equal">
      <formula>$U$9</formula>
    </cfRule>
    <cfRule type="cellIs" dxfId="59" priority="77" operator="equal">
      <formula>$U$7</formula>
    </cfRule>
    <cfRule type="cellIs" dxfId="58" priority="78" operator="equal">
      <formula>$U$8</formula>
    </cfRule>
  </conditionalFormatting>
  <conditionalFormatting sqref="I53">
    <cfRule type="cellIs" dxfId="57" priority="79" operator="equal">
      <formula>$U$13</formula>
    </cfRule>
    <cfRule type="cellIs" dxfId="56" priority="80" operator="equal">
      <formula>$U$11</formula>
    </cfRule>
    <cfRule type="cellIs" dxfId="55" priority="81" operator="equal">
      <formula>$U$12</formula>
    </cfRule>
  </conditionalFormatting>
  <conditionalFormatting sqref="I59">
    <cfRule type="cellIs" dxfId="54" priority="64" operator="equal">
      <formula>$U$5</formula>
    </cfRule>
    <cfRule type="cellIs" dxfId="53" priority="65" operator="equal">
      <formula>$U$3</formula>
    </cfRule>
    <cfRule type="cellIs" dxfId="52" priority="66" operator="equal">
      <formula>$U$4</formula>
    </cfRule>
  </conditionalFormatting>
  <conditionalFormatting sqref="I61">
    <cfRule type="cellIs" dxfId="51" priority="67" operator="equal">
      <formula>$U$9</formula>
    </cfRule>
    <cfRule type="cellIs" dxfId="50" priority="68" operator="equal">
      <formula>$U$7</formula>
    </cfRule>
    <cfRule type="cellIs" dxfId="49" priority="69" operator="equal">
      <formula>$U$8</formula>
    </cfRule>
  </conditionalFormatting>
  <conditionalFormatting sqref="I63">
    <cfRule type="cellIs" dxfId="48" priority="70" operator="equal">
      <formula>$U$13</formula>
    </cfRule>
    <cfRule type="cellIs" dxfId="47" priority="71" operator="equal">
      <formula>$U$11</formula>
    </cfRule>
    <cfRule type="cellIs" dxfId="46" priority="72" operator="equal">
      <formula>$U$12</formula>
    </cfRule>
  </conditionalFormatting>
  <conditionalFormatting sqref="I69">
    <cfRule type="cellIs" dxfId="45" priority="55" operator="equal">
      <formula>$U$5</formula>
    </cfRule>
    <cfRule type="cellIs" dxfId="44" priority="56" operator="equal">
      <formula>$U$3</formula>
    </cfRule>
    <cfRule type="cellIs" dxfId="43" priority="57" operator="equal">
      <formula>$U$4</formula>
    </cfRule>
  </conditionalFormatting>
  <conditionalFormatting sqref="I71">
    <cfRule type="cellIs" dxfId="42" priority="58" operator="equal">
      <formula>$U$9</formula>
    </cfRule>
    <cfRule type="cellIs" dxfId="41" priority="59" operator="equal">
      <formula>$U$7</formula>
    </cfRule>
    <cfRule type="cellIs" dxfId="40" priority="60" operator="equal">
      <formula>$U$8</formula>
    </cfRule>
  </conditionalFormatting>
  <conditionalFormatting sqref="I73">
    <cfRule type="cellIs" dxfId="39" priority="61" operator="equal">
      <formula>$U$13</formula>
    </cfRule>
    <cfRule type="cellIs" dxfId="38" priority="62" operator="equal">
      <formula>$U$11</formula>
    </cfRule>
    <cfRule type="cellIs" dxfId="37" priority="63" operator="equal">
      <formula>$U$12</formula>
    </cfRule>
  </conditionalFormatting>
  <conditionalFormatting sqref="I79">
    <cfRule type="cellIs" dxfId="36" priority="46" operator="equal">
      <formula>$U$5</formula>
    </cfRule>
    <cfRule type="cellIs" dxfId="35" priority="47" operator="equal">
      <formula>$U$3</formula>
    </cfRule>
    <cfRule type="cellIs" dxfId="34" priority="48" operator="equal">
      <formula>$U$4</formula>
    </cfRule>
  </conditionalFormatting>
  <conditionalFormatting sqref="I81">
    <cfRule type="cellIs" dxfId="33" priority="49" operator="equal">
      <formula>$U$9</formula>
    </cfRule>
    <cfRule type="cellIs" dxfId="32" priority="50" operator="equal">
      <formula>$U$7</formula>
    </cfRule>
    <cfRule type="cellIs" dxfId="31" priority="51" operator="equal">
      <formula>$U$8</formula>
    </cfRule>
  </conditionalFormatting>
  <conditionalFormatting sqref="I83">
    <cfRule type="cellIs" dxfId="30" priority="52" operator="equal">
      <formula>$U$13</formula>
    </cfRule>
    <cfRule type="cellIs" dxfId="29" priority="53" operator="equal">
      <formula>$U$11</formula>
    </cfRule>
    <cfRule type="cellIs" dxfId="28" priority="54" operator="equal">
      <formula>$U$12</formula>
    </cfRule>
  </conditionalFormatting>
  <conditionalFormatting sqref="I89">
    <cfRule type="cellIs" dxfId="27" priority="37" operator="equal">
      <formula>$U$5</formula>
    </cfRule>
    <cfRule type="cellIs" dxfId="26" priority="38" operator="equal">
      <formula>$U$3</formula>
    </cfRule>
    <cfRule type="cellIs" dxfId="25" priority="39" operator="equal">
      <formula>$U$4</formula>
    </cfRule>
  </conditionalFormatting>
  <conditionalFormatting sqref="I91">
    <cfRule type="cellIs" dxfId="24" priority="40" operator="equal">
      <formula>$U$9</formula>
    </cfRule>
    <cfRule type="cellIs" dxfId="23" priority="41" operator="equal">
      <formula>$U$7</formula>
    </cfRule>
    <cfRule type="cellIs" dxfId="22" priority="42" operator="equal">
      <formula>$U$8</formula>
    </cfRule>
  </conditionalFormatting>
  <conditionalFormatting sqref="I93">
    <cfRule type="cellIs" dxfId="21" priority="43" operator="equal">
      <formula>$U$13</formula>
    </cfRule>
    <cfRule type="cellIs" dxfId="20" priority="44" operator="equal">
      <formula>$U$11</formula>
    </cfRule>
    <cfRule type="cellIs" dxfId="19" priority="45" operator="equal">
      <formula>$U$12</formula>
    </cfRule>
  </conditionalFormatting>
  <conditionalFormatting sqref="I101">
    <cfRule type="cellIs" dxfId="18" priority="10" operator="equal">
      <formula>$U$5</formula>
    </cfRule>
    <cfRule type="cellIs" dxfId="17" priority="11" operator="equal">
      <formula>$U$3</formula>
    </cfRule>
    <cfRule type="cellIs" dxfId="16" priority="12" operator="equal">
      <formula>$U$4</formula>
    </cfRule>
  </conditionalFormatting>
  <conditionalFormatting sqref="I103">
    <cfRule type="cellIs" dxfId="15" priority="13" operator="equal">
      <formula>$U$9</formula>
    </cfRule>
    <cfRule type="cellIs" dxfId="14" priority="14" operator="equal">
      <formula>$U$7</formula>
    </cfRule>
    <cfRule type="cellIs" dxfId="13" priority="15" operator="equal">
      <formula>$U$8</formula>
    </cfRule>
  </conditionalFormatting>
  <conditionalFormatting sqref="I105">
    <cfRule type="cellIs" dxfId="12" priority="16" operator="equal">
      <formula>$U$13</formula>
    </cfRule>
    <cfRule type="cellIs" dxfId="11" priority="17" operator="equal">
      <formula>$U$11</formula>
    </cfRule>
    <cfRule type="cellIs" dxfId="10" priority="18" operator="equal">
      <formula>$U$12</formula>
    </cfRule>
  </conditionalFormatting>
  <conditionalFormatting sqref="I111">
    <cfRule type="cellIs" dxfId="9" priority="1" operator="equal">
      <formula>$U$5</formula>
    </cfRule>
    <cfRule type="cellIs" dxfId="8" priority="2" operator="equal">
      <formula>$U$3</formula>
    </cfRule>
    <cfRule type="cellIs" dxfId="7" priority="3" operator="equal">
      <formula>$U$4</formula>
    </cfRule>
  </conditionalFormatting>
  <conditionalFormatting sqref="I113">
    <cfRule type="cellIs" dxfId="6" priority="4" operator="equal">
      <formula>$U$9</formula>
    </cfRule>
    <cfRule type="cellIs" dxfId="5" priority="5" operator="equal">
      <formula>$U$7</formula>
    </cfRule>
    <cfRule type="cellIs" dxfId="4" priority="6" operator="equal">
      <formula>$U$8</formula>
    </cfRule>
  </conditionalFormatting>
  <conditionalFormatting sqref="I115">
    <cfRule type="cellIs" dxfId="3" priority="7" operator="equal">
      <formula>$U$13</formula>
    </cfRule>
    <cfRule type="cellIs" dxfId="2" priority="8" operator="equal">
      <formula>$U$11</formula>
    </cfRule>
    <cfRule type="cellIs" dxfId="1" priority="9" operator="equal">
      <formula>$U$12</formula>
    </cfRule>
  </conditionalFormatting>
  <dataValidations count="3">
    <dataValidation type="list" allowBlank="1" showInputMessage="1" showErrorMessage="1" sqref="I101 I111 I89 I79 I69 I59 I49 I39 I29 I19" xr:uid="{62FF3077-C8C1-4053-93CA-0CDF7A16A4E0}">
      <formula1>$U$3:$U$5</formula1>
    </dataValidation>
    <dataValidation type="list" allowBlank="1" showInputMessage="1" showErrorMessage="1" sqref="I103 I113 I91 I81 I71 I61 I51 I41 I31 I21" xr:uid="{05156DAF-1F6B-4AAA-9670-49F46E282B9E}">
      <formula1>$U$7:$U$9</formula1>
    </dataValidation>
    <dataValidation type="list" allowBlank="1" showInputMessage="1" showErrorMessage="1" sqref="I105 I115 I93 I83 I73 I63 I53 I43 I33 I23" xr:uid="{C06DADF1-3BAF-42F9-8FAB-480BCF3D3B7D}">
      <formula1>$U$11:$U$13</formula1>
    </dataValidation>
  </dataValidations>
  <hyperlinks>
    <hyperlink ref="B119" location="'Section 9'!A1" display="Previous section" xr:uid="{28C6CEF3-E0FF-4E05-8B0A-788FD2B5087E}"/>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dimension ref="A1:N64"/>
  <sheetViews>
    <sheetView zoomScale="69" zoomScaleNormal="100" workbookViewId="0">
      <pane xSplit="2" ySplit="1" topLeftCell="C2" activePane="bottomRight" state="frozen"/>
      <selection pane="topRight" activeCell="C1" sqref="C1"/>
      <selection pane="bottomLeft" activeCell="A2" sqref="A2"/>
      <selection pane="bottomRight" activeCell="D23" sqref="D23"/>
    </sheetView>
  </sheetViews>
  <sheetFormatPr defaultColWidth="0" defaultRowHeight="16.8" zeroHeight="1"/>
  <cols>
    <col min="1" max="1" width="39.5" style="3" customWidth="1"/>
    <col min="2" max="2" width="43.5" style="1" customWidth="1"/>
    <col min="3" max="3" width="19.9140625" style="1" customWidth="1"/>
    <col min="4" max="4" width="57.4140625" style="1" customWidth="1"/>
    <col min="5" max="5" width="47.4140625" style="1" customWidth="1"/>
    <col min="6" max="6" width="47.9140625" style="1" customWidth="1"/>
    <col min="7" max="7" width="19.9140625" style="1" customWidth="1"/>
    <col min="8" max="8" width="50.08203125" style="1" customWidth="1"/>
    <col min="9" max="9" width="9.08203125" style="9" hidden="1" customWidth="1"/>
    <col min="10" max="14" width="0" style="9" hidden="1" customWidth="1"/>
    <col min="15" max="16384" width="8.5" style="9" hidden="1"/>
  </cols>
  <sheetData>
    <row r="1" spans="1:9" ht="57.75" customHeight="1" thickBot="1">
      <c r="A1" s="29" t="s">
        <v>4</v>
      </c>
      <c r="B1" s="134" t="s">
        <v>5</v>
      </c>
      <c r="C1" s="135" t="s">
        <v>6</v>
      </c>
      <c r="D1" s="136" t="s">
        <v>7</v>
      </c>
      <c r="E1" s="137" t="s">
        <v>8</v>
      </c>
      <c r="F1" s="136" t="s">
        <v>9</v>
      </c>
      <c r="G1" s="135" t="s">
        <v>10</v>
      </c>
      <c r="H1" s="138" t="s">
        <v>11</v>
      </c>
    </row>
    <row r="2" spans="1:9" ht="100.8">
      <c r="A2" s="291" t="s">
        <v>394</v>
      </c>
      <c r="B2" s="141" t="s">
        <v>331</v>
      </c>
      <c r="C2" s="142" t="s">
        <v>12</v>
      </c>
      <c r="D2" s="2" t="s">
        <v>415</v>
      </c>
      <c r="E2" s="143" t="s">
        <v>13</v>
      </c>
      <c r="F2" s="144" t="s">
        <v>395</v>
      </c>
      <c r="G2" s="145" t="s">
        <v>14</v>
      </c>
      <c r="H2" s="132" t="s">
        <v>396</v>
      </c>
    </row>
    <row r="3" spans="1:9" ht="67.2">
      <c r="A3" s="291"/>
      <c r="B3" s="146" t="s">
        <v>352</v>
      </c>
      <c r="C3" s="139" t="s">
        <v>15</v>
      </c>
      <c r="D3" s="6" t="s">
        <v>334</v>
      </c>
      <c r="E3" s="8" t="s">
        <v>16</v>
      </c>
      <c r="F3" s="140" t="s">
        <v>335</v>
      </c>
      <c r="G3" s="7" t="s">
        <v>17</v>
      </c>
      <c r="H3" s="5" t="s">
        <v>336</v>
      </c>
    </row>
    <row r="4" spans="1:9" ht="129.75" customHeight="1">
      <c r="A4" s="291"/>
      <c r="B4" s="146" t="s">
        <v>476</v>
      </c>
      <c r="C4" s="139" t="s">
        <v>18</v>
      </c>
      <c r="D4" s="6" t="s">
        <v>416</v>
      </c>
      <c r="E4" s="8" t="s">
        <v>19</v>
      </c>
      <c r="F4" s="140" t="s">
        <v>417</v>
      </c>
      <c r="G4" s="7" t="s">
        <v>20</v>
      </c>
      <c r="H4" s="5" t="s">
        <v>418</v>
      </c>
    </row>
    <row r="5" spans="1:9" ht="67.2">
      <c r="A5" s="291"/>
      <c r="B5" s="146" t="s">
        <v>353</v>
      </c>
      <c r="C5" s="139" t="s">
        <v>21</v>
      </c>
      <c r="D5" s="6" t="s">
        <v>337</v>
      </c>
      <c r="E5" s="8" t="s">
        <v>22</v>
      </c>
      <c r="F5" s="140" t="s">
        <v>338</v>
      </c>
      <c r="G5" s="7" t="s">
        <v>23</v>
      </c>
      <c r="H5" s="5" t="s">
        <v>339</v>
      </c>
    </row>
    <row r="6" spans="1:9" ht="125.25" customHeight="1" thickBot="1">
      <c r="A6" s="292"/>
      <c r="B6" s="146" t="s">
        <v>24</v>
      </c>
      <c r="C6" s="139" t="s">
        <v>25</v>
      </c>
      <c r="D6" s="6" t="s">
        <v>26</v>
      </c>
      <c r="E6" s="8" t="s">
        <v>27</v>
      </c>
      <c r="F6" s="140" t="s">
        <v>28</v>
      </c>
      <c r="G6" s="7" t="s">
        <v>29</v>
      </c>
      <c r="H6" s="5" t="s">
        <v>340</v>
      </c>
    </row>
    <row r="7" spans="1:9" ht="57.9" customHeight="1">
      <c r="A7" s="293" t="s">
        <v>333</v>
      </c>
      <c r="B7" s="146" t="s">
        <v>30</v>
      </c>
      <c r="C7" s="139" t="s">
        <v>31</v>
      </c>
      <c r="D7" s="6" t="s">
        <v>472</v>
      </c>
      <c r="E7" s="8" t="s">
        <v>32</v>
      </c>
      <c r="F7" s="140" t="s">
        <v>473</v>
      </c>
      <c r="G7" s="7" t="s">
        <v>33</v>
      </c>
      <c r="H7" s="5" t="s">
        <v>419</v>
      </c>
    </row>
    <row r="8" spans="1:9" ht="67.2">
      <c r="A8" s="291"/>
      <c r="B8" s="147" t="s">
        <v>34</v>
      </c>
      <c r="C8" s="139" t="s">
        <v>35</v>
      </c>
      <c r="D8" s="6" t="s">
        <v>420</v>
      </c>
      <c r="E8" s="8" t="s">
        <v>36</v>
      </c>
      <c r="F8" s="140" t="s">
        <v>421</v>
      </c>
      <c r="G8" s="7" t="s">
        <v>37</v>
      </c>
      <c r="H8" s="5" t="s">
        <v>422</v>
      </c>
    </row>
    <row r="9" spans="1:9" ht="84">
      <c r="A9" s="291"/>
      <c r="B9" s="146" t="s">
        <v>470</v>
      </c>
      <c r="C9" s="139" t="s">
        <v>38</v>
      </c>
      <c r="D9" s="6" t="s">
        <v>423</v>
      </c>
      <c r="E9" s="8" t="s">
        <v>39</v>
      </c>
      <c r="F9" s="140" t="s">
        <v>424</v>
      </c>
      <c r="G9" s="7" t="s">
        <v>40</v>
      </c>
      <c r="H9" s="5" t="s">
        <v>426</v>
      </c>
    </row>
    <row r="10" spans="1:9" ht="67.8" thickBot="1">
      <c r="A10" s="292"/>
      <c r="B10" s="146" t="s">
        <v>354</v>
      </c>
      <c r="C10" s="139" t="s">
        <v>41</v>
      </c>
      <c r="D10" s="6" t="s">
        <v>341</v>
      </c>
      <c r="E10" s="8" t="s">
        <v>42</v>
      </c>
      <c r="F10" s="140" t="s">
        <v>342</v>
      </c>
      <c r="G10" s="7" t="s">
        <v>43</v>
      </c>
      <c r="H10" s="5" t="s">
        <v>397</v>
      </c>
    </row>
    <row r="11" spans="1:9" ht="101.4" thickBot="1">
      <c r="A11" s="30" t="s">
        <v>285</v>
      </c>
      <c r="B11" s="146" t="s">
        <v>355</v>
      </c>
      <c r="C11" s="139" t="s">
        <v>44</v>
      </c>
      <c r="D11" s="6" t="s">
        <v>398</v>
      </c>
      <c r="E11" s="8" t="s">
        <v>45</v>
      </c>
      <c r="F11" s="140" t="s">
        <v>399</v>
      </c>
      <c r="G11" s="7" t="s">
        <v>46</v>
      </c>
      <c r="H11" s="5" t="s">
        <v>400</v>
      </c>
    </row>
    <row r="12" spans="1:9" ht="117.6">
      <c r="A12" s="293" t="s">
        <v>474</v>
      </c>
      <c r="B12" s="148" t="s">
        <v>477</v>
      </c>
      <c r="C12" s="139" t="s">
        <v>47</v>
      </c>
      <c r="D12" s="6" t="s">
        <v>401</v>
      </c>
      <c r="E12" s="8" t="s">
        <v>48</v>
      </c>
      <c r="F12" s="140" t="s">
        <v>402</v>
      </c>
      <c r="G12" s="7" t="s">
        <v>49</v>
      </c>
      <c r="H12" s="5" t="s">
        <v>403</v>
      </c>
    </row>
    <row r="13" spans="1:9" ht="64.5" customHeight="1" thickBot="1">
      <c r="A13" s="292"/>
      <c r="B13" s="148" t="s">
        <v>478</v>
      </c>
      <c r="C13" s="139" t="s">
        <v>50</v>
      </c>
      <c r="D13" s="6" t="s">
        <v>404</v>
      </c>
      <c r="E13" s="8" t="s">
        <v>51</v>
      </c>
      <c r="F13" s="140" t="s">
        <v>405</v>
      </c>
      <c r="G13" s="7" t="s">
        <v>52</v>
      </c>
      <c r="H13" s="5" t="s">
        <v>406</v>
      </c>
    </row>
    <row r="14" spans="1:9" ht="84">
      <c r="A14" s="293" t="s">
        <v>475</v>
      </c>
      <c r="B14" s="148" t="s">
        <v>53</v>
      </c>
      <c r="C14" s="139" t="s">
        <v>54</v>
      </c>
      <c r="D14" s="6" t="s">
        <v>407</v>
      </c>
      <c r="E14" s="8" t="s">
        <v>55</v>
      </c>
      <c r="F14" s="140" t="s">
        <v>408</v>
      </c>
      <c r="G14" s="7" t="s">
        <v>56</v>
      </c>
      <c r="H14" s="5" t="s">
        <v>409</v>
      </c>
    </row>
    <row r="15" spans="1:9" ht="84">
      <c r="A15" s="291"/>
      <c r="B15" s="148"/>
      <c r="C15" s="139" t="s">
        <v>57</v>
      </c>
      <c r="D15" s="6" t="s">
        <v>427</v>
      </c>
      <c r="E15" s="8" t="s">
        <v>58</v>
      </c>
      <c r="F15" s="140" t="s">
        <v>428</v>
      </c>
      <c r="G15" s="7" t="s">
        <v>59</v>
      </c>
      <c r="H15" s="5" t="s">
        <v>429</v>
      </c>
    </row>
    <row r="16" spans="1:9" ht="92.25" customHeight="1">
      <c r="A16" s="291"/>
      <c r="B16" s="146" t="s">
        <v>356</v>
      </c>
      <c r="C16" s="139" t="s">
        <v>60</v>
      </c>
      <c r="D16" s="6" t="s">
        <v>410</v>
      </c>
      <c r="E16" s="8" t="s">
        <v>61</v>
      </c>
      <c r="F16" s="140" t="s">
        <v>411</v>
      </c>
      <c r="G16" s="7" t="s">
        <v>62</v>
      </c>
      <c r="H16" s="5" t="s">
        <v>425</v>
      </c>
      <c r="I16" s="1"/>
    </row>
    <row r="17" spans="1:8" ht="184.8">
      <c r="A17" s="291"/>
      <c r="B17" s="148" t="s">
        <v>479</v>
      </c>
      <c r="C17" s="139" t="s">
        <v>63</v>
      </c>
      <c r="D17" s="6" t="s">
        <v>430</v>
      </c>
      <c r="E17" s="8" t="s">
        <v>64</v>
      </c>
      <c r="F17" s="140" t="s">
        <v>431</v>
      </c>
      <c r="G17" s="7" t="s">
        <v>65</v>
      </c>
      <c r="H17" s="5" t="s">
        <v>432</v>
      </c>
    </row>
    <row r="18" spans="1:8" ht="94.5" customHeight="1">
      <c r="A18" s="291"/>
      <c r="B18" s="148"/>
      <c r="C18" s="139" t="s">
        <v>66</v>
      </c>
      <c r="D18" s="6" t="s">
        <v>433</v>
      </c>
      <c r="E18" s="8" t="s">
        <v>67</v>
      </c>
      <c r="F18" s="140" t="s">
        <v>434</v>
      </c>
      <c r="G18" s="7" t="s">
        <v>68</v>
      </c>
      <c r="H18" s="5" t="s">
        <v>435</v>
      </c>
    </row>
    <row r="19" spans="1:8" ht="118.2" thickBot="1">
      <c r="A19" s="292"/>
      <c r="B19" s="147" t="s">
        <v>69</v>
      </c>
      <c r="C19" s="139" t="s">
        <v>70</v>
      </c>
      <c r="D19" s="6" t="s">
        <v>436</v>
      </c>
      <c r="E19" s="8" t="s">
        <v>71</v>
      </c>
      <c r="F19" s="140" t="s">
        <v>437</v>
      </c>
      <c r="G19" s="7" t="s">
        <v>72</v>
      </c>
      <c r="H19" s="5" t="s">
        <v>438</v>
      </c>
    </row>
    <row r="20" spans="1:8" ht="50.4">
      <c r="A20" s="293" t="s">
        <v>494</v>
      </c>
      <c r="B20" s="148" t="s">
        <v>357</v>
      </c>
      <c r="C20" s="139" t="s">
        <v>73</v>
      </c>
      <c r="D20" s="6" t="s">
        <v>412</v>
      </c>
      <c r="E20" s="8" t="s">
        <v>74</v>
      </c>
      <c r="F20" s="140" t="s">
        <v>439</v>
      </c>
      <c r="G20" s="7" t="s">
        <v>75</v>
      </c>
      <c r="H20" s="5" t="s">
        <v>440</v>
      </c>
    </row>
    <row r="21" spans="1:8" ht="50.4">
      <c r="A21" s="291"/>
      <c r="B21" s="148" t="s">
        <v>358</v>
      </c>
      <c r="C21" s="139" t="s">
        <v>76</v>
      </c>
      <c r="D21" s="6" t="s">
        <v>344</v>
      </c>
      <c r="E21" s="8" t="s">
        <v>77</v>
      </c>
      <c r="F21" s="140" t="s">
        <v>345</v>
      </c>
      <c r="G21" s="7" t="s">
        <v>78</v>
      </c>
      <c r="H21" s="5" t="s">
        <v>346</v>
      </c>
    </row>
    <row r="22" spans="1:8" ht="67.2">
      <c r="A22" s="291"/>
      <c r="B22" s="148" t="s">
        <v>359</v>
      </c>
      <c r="C22" s="139" t="s">
        <v>79</v>
      </c>
      <c r="D22" s="6" t="s">
        <v>386</v>
      </c>
      <c r="E22" s="8" t="s">
        <v>80</v>
      </c>
      <c r="F22" s="140" t="s">
        <v>387</v>
      </c>
      <c r="G22" s="7" t="s">
        <v>81</v>
      </c>
      <c r="H22" s="5" t="s">
        <v>347</v>
      </c>
    </row>
    <row r="23" spans="1:8" ht="51" thickBot="1">
      <c r="A23" s="292"/>
      <c r="B23" s="146" t="s">
        <v>480</v>
      </c>
      <c r="C23" s="139" t="s">
        <v>82</v>
      </c>
      <c r="D23" s="6" t="s">
        <v>506</v>
      </c>
      <c r="E23" s="8" t="s">
        <v>83</v>
      </c>
      <c r="F23" s="140" t="s">
        <v>441</v>
      </c>
      <c r="G23" s="7" t="s">
        <v>84</v>
      </c>
      <c r="H23" s="5" t="s">
        <v>348</v>
      </c>
    </row>
    <row r="24" spans="1:8" ht="81" customHeight="1">
      <c r="A24" s="294" t="s">
        <v>495</v>
      </c>
      <c r="B24" s="146" t="s">
        <v>481</v>
      </c>
      <c r="C24" s="139" t="s">
        <v>85</v>
      </c>
      <c r="D24" s="6" t="s">
        <v>442</v>
      </c>
      <c r="E24" s="8" t="s">
        <v>86</v>
      </c>
      <c r="F24" s="140" t="s">
        <v>443</v>
      </c>
      <c r="G24" s="7" t="s">
        <v>87</v>
      </c>
      <c r="H24" s="5" t="s">
        <v>444</v>
      </c>
    </row>
    <row r="25" spans="1:8" ht="67.2">
      <c r="A25" s="295"/>
      <c r="B25" s="146" t="s">
        <v>482</v>
      </c>
      <c r="C25" s="139" t="s">
        <v>88</v>
      </c>
      <c r="D25" s="6" t="s">
        <v>445</v>
      </c>
      <c r="E25" s="8" t="s">
        <v>89</v>
      </c>
      <c r="F25" s="140" t="s">
        <v>446</v>
      </c>
      <c r="G25" s="7" t="s">
        <v>90</v>
      </c>
      <c r="H25" s="5" t="s">
        <v>447</v>
      </c>
    </row>
    <row r="26" spans="1:8" ht="67.8" thickBot="1">
      <c r="A26" s="296"/>
      <c r="B26" s="146" t="s">
        <v>483</v>
      </c>
      <c r="C26" s="139" t="s">
        <v>91</v>
      </c>
      <c r="D26" s="6" t="s">
        <v>349</v>
      </c>
      <c r="E26" s="8" t="s">
        <v>92</v>
      </c>
      <c r="F26" s="140" t="s">
        <v>350</v>
      </c>
      <c r="G26" s="7" t="s">
        <v>93</v>
      </c>
      <c r="H26" s="5" t="s">
        <v>351</v>
      </c>
    </row>
    <row r="27" spans="1:8" ht="104.25" customHeight="1">
      <c r="A27" s="294" t="s">
        <v>94</v>
      </c>
      <c r="B27" s="146" t="s">
        <v>360</v>
      </c>
      <c r="C27" s="139" t="s">
        <v>95</v>
      </c>
      <c r="D27" s="6" t="s">
        <v>448</v>
      </c>
      <c r="E27" s="8" t="s">
        <v>96</v>
      </c>
      <c r="F27" s="140" t="s">
        <v>449</v>
      </c>
      <c r="G27" s="7" t="s">
        <v>97</v>
      </c>
      <c r="H27" s="5" t="s">
        <v>413</v>
      </c>
    </row>
    <row r="28" spans="1:8" ht="67.2">
      <c r="A28" s="295"/>
      <c r="B28" s="146" t="s">
        <v>98</v>
      </c>
      <c r="C28" s="139" t="s">
        <v>99</v>
      </c>
      <c r="D28" s="6" t="s">
        <v>450</v>
      </c>
      <c r="E28" s="8" t="s">
        <v>100</v>
      </c>
      <c r="F28" s="140" t="s">
        <v>451</v>
      </c>
      <c r="G28" s="7" t="s">
        <v>101</v>
      </c>
      <c r="H28" s="5" t="s">
        <v>452</v>
      </c>
    </row>
    <row r="29" spans="1:8" ht="84">
      <c r="A29" s="295"/>
      <c r="B29" s="146" t="s">
        <v>361</v>
      </c>
      <c r="C29" s="139" t="s">
        <v>102</v>
      </c>
      <c r="D29" s="139" t="s">
        <v>453</v>
      </c>
      <c r="E29" s="8" t="s">
        <v>103</v>
      </c>
      <c r="F29" s="140" t="s">
        <v>454</v>
      </c>
      <c r="G29" s="7" t="s">
        <v>104</v>
      </c>
      <c r="H29" s="5" t="s">
        <v>455</v>
      </c>
    </row>
    <row r="30" spans="1:8" ht="84.6" thickBot="1">
      <c r="A30" s="296"/>
      <c r="B30" s="146" t="s">
        <v>105</v>
      </c>
      <c r="C30" s="139" t="s">
        <v>106</v>
      </c>
      <c r="D30" s="6" t="s">
        <v>456</v>
      </c>
      <c r="E30" s="8" t="s">
        <v>107</v>
      </c>
      <c r="F30" s="140" t="s">
        <v>457</v>
      </c>
      <c r="G30" s="7" t="s">
        <v>108</v>
      </c>
      <c r="H30" s="5" t="s">
        <v>414</v>
      </c>
    </row>
    <row r="31" spans="1:8" ht="84.6" thickBot="1">
      <c r="A31" s="28" t="s">
        <v>109</v>
      </c>
      <c r="B31" s="148" t="s">
        <v>362</v>
      </c>
      <c r="C31" s="139" t="s">
        <v>110</v>
      </c>
      <c r="D31" s="6" t="s">
        <v>458</v>
      </c>
      <c r="E31" s="8" t="s">
        <v>111</v>
      </c>
      <c r="F31" s="140" t="s">
        <v>459</v>
      </c>
      <c r="G31" s="7" t="s">
        <v>112</v>
      </c>
      <c r="H31" s="5" t="s">
        <v>460</v>
      </c>
    </row>
    <row r="32" spans="1:8" ht="67.2">
      <c r="A32" s="288" t="s">
        <v>289</v>
      </c>
      <c r="B32" s="148" t="s">
        <v>365</v>
      </c>
      <c r="C32" s="139" t="s">
        <v>113</v>
      </c>
      <c r="D32" s="139" t="s">
        <v>501</v>
      </c>
      <c r="E32" s="8" t="s">
        <v>114</v>
      </c>
      <c r="F32" s="140" t="s">
        <v>363</v>
      </c>
      <c r="G32" s="7" t="s">
        <v>115</v>
      </c>
      <c r="H32" s="5" t="s">
        <v>364</v>
      </c>
    </row>
    <row r="33" spans="1:10" ht="84">
      <c r="A33" s="289"/>
      <c r="B33" s="148" t="s">
        <v>370</v>
      </c>
      <c r="C33" s="139" t="s">
        <v>116</v>
      </c>
      <c r="D33" s="139" t="s">
        <v>366</v>
      </c>
      <c r="E33" s="8" t="s">
        <v>117</v>
      </c>
      <c r="F33" s="140" t="s">
        <v>367</v>
      </c>
      <c r="G33" s="7" t="s">
        <v>118</v>
      </c>
      <c r="H33" s="5" t="s">
        <v>502</v>
      </c>
    </row>
    <row r="34" spans="1:10" ht="67.2">
      <c r="A34" s="289"/>
      <c r="B34" s="148" t="s">
        <v>371</v>
      </c>
      <c r="C34" s="139" t="s">
        <v>119</v>
      </c>
      <c r="D34" s="139" t="s">
        <v>388</v>
      </c>
      <c r="E34" s="8" t="s">
        <v>120</v>
      </c>
      <c r="F34" s="140" t="s">
        <v>368</v>
      </c>
      <c r="G34" s="7" t="s">
        <v>121</v>
      </c>
      <c r="H34" s="5" t="s">
        <v>369</v>
      </c>
    </row>
    <row r="35" spans="1:10" ht="87" customHeight="1">
      <c r="A35" s="289"/>
      <c r="B35" s="148" t="s">
        <v>372</v>
      </c>
      <c r="C35" s="139" t="s">
        <v>122</v>
      </c>
      <c r="D35" s="6" t="s">
        <v>389</v>
      </c>
      <c r="E35" s="8" t="s">
        <v>123</v>
      </c>
      <c r="F35" s="140" t="s">
        <v>390</v>
      </c>
      <c r="G35" s="7" t="s">
        <v>124</v>
      </c>
      <c r="H35" s="5" t="s">
        <v>373</v>
      </c>
    </row>
    <row r="36" spans="1:10" ht="87" customHeight="1">
      <c r="A36" s="289"/>
      <c r="B36" s="148" t="s">
        <v>374</v>
      </c>
      <c r="C36" s="139" t="s">
        <v>125</v>
      </c>
      <c r="D36" s="139" t="s">
        <v>461</v>
      </c>
      <c r="E36" s="8" t="s">
        <v>126</v>
      </c>
      <c r="F36" s="140" t="s">
        <v>462</v>
      </c>
      <c r="G36" s="7" t="s">
        <v>127</v>
      </c>
      <c r="H36" s="5" t="s">
        <v>463</v>
      </c>
    </row>
    <row r="37" spans="1:10" ht="71.400000000000006" customHeight="1">
      <c r="A37" s="289"/>
      <c r="B37" s="148" t="s">
        <v>376</v>
      </c>
      <c r="C37" s="139" t="s">
        <v>128</v>
      </c>
      <c r="D37" s="139" t="s">
        <v>375</v>
      </c>
      <c r="E37" s="8" t="s">
        <v>129</v>
      </c>
      <c r="F37" s="140" t="s">
        <v>377</v>
      </c>
      <c r="G37" s="7" t="s">
        <v>130</v>
      </c>
      <c r="H37" s="5" t="s">
        <v>378</v>
      </c>
    </row>
    <row r="38" spans="1:10" ht="87" customHeight="1">
      <c r="A38" s="289"/>
      <c r="B38" s="148" t="s">
        <v>380</v>
      </c>
      <c r="C38" s="139" t="s">
        <v>131</v>
      </c>
      <c r="D38" s="139" t="s">
        <v>343</v>
      </c>
      <c r="E38" s="8" t="s">
        <v>132</v>
      </c>
      <c r="F38" s="140" t="s">
        <v>381</v>
      </c>
      <c r="G38" s="7" t="s">
        <v>133</v>
      </c>
      <c r="H38" s="5" t="s">
        <v>382</v>
      </c>
    </row>
    <row r="39" spans="1:10" ht="67.5" customHeight="1">
      <c r="A39" s="289"/>
      <c r="B39" s="148" t="s">
        <v>379</v>
      </c>
      <c r="C39" s="139" t="s">
        <v>134</v>
      </c>
      <c r="D39" s="139" t="s">
        <v>391</v>
      </c>
      <c r="E39" s="8" t="s">
        <v>135</v>
      </c>
      <c r="F39" s="140" t="s">
        <v>392</v>
      </c>
      <c r="G39" s="7" t="s">
        <v>136</v>
      </c>
      <c r="H39" s="5" t="s">
        <v>383</v>
      </c>
    </row>
    <row r="40" spans="1:10" ht="50.4">
      <c r="A40" s="289"/>
      <c r="B40" s="148" t="s">
        <v>384</v>
      </c>
      <c r="C40" s="139" t="s">
        <v>137</v>
      </c>
      <c r="D40" s="6" t="s">
        <v>464</v>
      </c>
      <c r="E40" s="8" t="s">
        <v>139</v>
      </c>
      <c r="F40" s="140" t="s">
        <v>465</v>
      </c>
      <c r="G40" s="7" t="s">
        <v>140</v>
      </c>
      <c r="H40" s="5" t="s">
        <v>466</v>
      </c>
    </row>
    <row r="41" spans="1:10" ht="51" thickBot="1">
      <c r="A41" s="290"/>
      <c r="B41" s="149" t="s">
        <v>385</v>
      </c>
      <c r="C41" s="150" t="s">
        <v>138</v>
      </c>
      <c r="D41" s="151" t="s">
        <v>467</v>
      </c>
      <c r="E41" s="152" t="s">
        <v>141</v>
      </c>
      <c r="F41" s="153" t="s">
        <v>468</v>
      </c>
      <c r="G41" s="154" t="s">
        <v>142</v>
      </c>
      <c r="H41" s="133" t="s">
        <v>469</v>
      </c>
    </row>
    <row r="42" spans="1:10">
      <c r="B42" s="9"/>
      <c r="C42" s="9"/>
      <c r="D42" s="9"/>
      <c r="E42" s="9"/>
      <c r="F42" s="9"/>
      <c r="G42" s="9"/>
      <c r="H42" s="9"/>
    </row>
    <row r="43" spans="1:10" ht="104.1" customHeight="1">
      <c r="A43" s="157"/>
      <c r="B43" s="9"/>
      <c r="C43" s="9"/>
      <c r="D43" s="9"/>
      <c r="E43" s="9"/>
      <c r="F43" s="9"/>
      <c r="G43" s="9"/>
      <c r="H43" s="9"/>
    </row>
    <row r="44" spans="1:10" ht="84" hidden="1" customHeight="1">
      <c r="A44" s="4"/>
      <c r="B44" s="9"/>
      <c r="C44" s="9"/>
      <c r="D44" s="9"/>
      <c r="E44" s="9"/>
      <c r="F44" s="9"/>
      <c r="G44" s="9"/>
      <c r="H44" s="9"/>
    </row>
    <row r="45" spans="1:10" ht="74.400000000000006" hidden="1" customHeight="1">
      <c r="A45" s="4"/>
      <c r="F45" s="9"/>
      <c r="G45" s="9"/>
      <c r="H45" s="9"/>
    </row>
    <row r="46" spans="1:10" hidden="1">
      <c r="A46" s="4"/>
      <c r="F46" s="9"/>
      <c r="G46" s="9"/>
      <c r="H46" s="9"/>
    </row>
    <row r="47" spans="1:10" hidden="1">
      <c r="F47" s="9"/>
      <c r="G47" s="9"/>
      <c r="H47" s="9"/>
    </row>
    <row r="48" spans="1:10" hidden="1">
      <c r="G48" s="9"/>
      <c r="H48" s="9"/>
      <c r="J48" s="10"/>
    </row>
    <row r="49" spans="7:8" hidden="1">
      <c r="G49" s="9"/>
      <c r="H49" s="9"/>
    </row>
    <row r="50" spans="7:8" hidden="1">
      <c r="G50" s="9"/>
      <c r="H50" s="9"/>
    </row>
    <row r="51" spans="7:8" hidden="1">
      <c r="G51" s="9"/>
      <c r="H51" s="9"/>
    </row>
    <row r="52" spans="7:8" hidden="1">
      <c r="G52" s="9"/>
      <c r="H52" s="9"/>
    </row>
    <row r="55" spans="7:8" ht="45.75" hidden="1" customHeight="1"/>
    <row r="56" spans="7:8" ht="61.5" hidden="1" customHeight="1"/>
    <row r="64" spans="7:8" ht="55.5" hidden="1" customHeight="1"/>
  </sheetData>
  <mergeCells count="8">
    <mergeCell ref="A32:A41"/>
    <mergeCell ref="A2:A6"/>
    <mergeCell ref="A12:A13"/>
    <mergeCell ref="A14:A19"/>
    <mergeCell ref="A27:A30"/>
    <mergeCell ref="A7:A10"/>
    <mergeCell ref="A24:A26"/>
    <mergeCell ref="A20:A23"/>
  </mergeCells>
  <phoneticPr fontId="4" type="noConversion"/>
  <pageMargins left="0.7" right="0.7" top="0.75" bottom="0.75" header="0.3" footer="0.3"/>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0A5233-7FC7-4B01-AED1-1425C3EC6038}">
  <sheetPr codeName="Sheet14"/>
  <dimension ref="A1:AI48"/>
  <sheetViews>
    <sheetView zoomScale="65" zoomScaleNormal="48" workbookViewId="0">
      <selection activeCell="P38" sqref="P38"/>
    </sheetView>
  </sheetViews>
  <sheetFormatPr defaultColWidth="0" defaultRowHeight="16.8"/>
  <cols>
    <col min="1" max="1" width="7.33203125" style="40" customWidth="1"/>
    <col min="2" max="2" width="30.1640625" style="40" customWidth="1"/>
    <col min="3" max="3" width="3.5" style="40" customWidth="1"/>
    <col min="4" max="4" width="10.9140625" style="40" customWidth="1"/>
    <col min="5" max="14" width="9.9140625" style="40" customWidth="1"/>
    <col min="15" max="15" width="4.08203125" style="40" customWidth="1"/>
    <col min="16" max="16" width="22.83203125" style="40" customWidth="1"/>
    <col min="17" max="17" width="11.9140625" style="40" customWidth="1"/>
    <col min="18" max="18" width="11.5" style="40" customWidth="1"/>
    <col min="19" max="19" width="4.08203125" style="40" customWidth="1"/>
    <col min="20" max="35" width="6.4140625" style="40" customWidth="1"/>
    <col min="36" max="16384" width="6.4140625" style="40" hidden="1"/>
  </cols>
  <sheetData>
    <row r="1" spans="2:30" ht="17.399999999999999" thickBot="1"/>
    <row r="2" spans="2:30" ht="34.200000000000003" thickBot="1">
      <c r="B2" s="297" t="s">
        <v>322</v>
      </c>
      <c r="C2" s="298"/>
      <c r="D2" s="298"/>
      <c r="E2" s="298"/>
      <c r="F2" s="298"/>
      <c r="G2" s="298"/>
      <c r="H2" s="298"/>
      <c r="I2" s="298"/>
      <c r="J2" s="298"/>
      <c r="K2" s="298"/>
      <c r="L2" s="298"/>
      <c r="M2" s="298"/>
      <c r="N2" s="298"/>
      <c r="O2" s="298"/>
      <c r="P2" s="298"/>
      <c r="Q2" s="298"/>
      <c r="R2" s="298"/>
      <c r="S2" s="299"/>
      <c r="T2" s="125"/>
    </row>
    <row r="3" spans="2:30" ht="50.25" customHeight="1" thickBot="1">
      <c r="B3" s="300" t="s">
        <v>503</v>
      </c>
      <c r="C3" s="301"/>
      <c r="D3" s="301"/>
      <c r="E3" s="301"/>
      <c r="F3" s="301"/>
      <c r="G3" s="301"/>
      <c r="H3" s="301"/>
      <c r="I3" s="301"/>
      <c r="J3" s="301"/>
      <c r="K3" s="301"/>
      <c r="L3" s="301"/>
      <c r="M3" s="301"/>
      <c r="N3" s="301"/>
      <c r="O3" s="301"/>
      <c r="P3" s="301"/>
      <c r="Q3" s="301"/>
      <c r="R3" s="301"/>
      <c r="S3" s="302"/>
      <c r="T3" s="125"/>
    </row>
    <row r="4" spans="2:30" ht="10.5" customHeight="1" thickBot="1">
      <c r="T4" s="123"/>
      <c r="U4" s="123"/>
      <c r="V4" s="123"/>
      <c r="W4" s="123"/>
      <c r="X4" s="123"/>
      <c r="Y4" s="123"/>
      <c r="Z4" s="123"/>
      <c r="AA4" s="123"/>
      <c r="AB4" s="123"/>
      <c r="AC4" s="123"/>
      <c r="AD4" s="123"/>
    </row>
    <row r="5" spans="2:30" ht="167.4" customHeight="1" thickBot="1">
      <c r="E5" s="114" t="s">
        <v>491</v>
      </c>
      <c r="F5" s="114" t="s">
        <v>284</v>
      </c>
      <c r="G5" s="114" t="s">
        <v>285</v>
      </c>
      <c r="H5" s="114" t="s">
        <v>492</v>
      </c>
      <c r="I5" s="114" t="s">
        <v>493</v>
      </c>
      <c r="J5" s="114" t="s">
        <v>286</v>
      </c>
      <c r="K5" s="114" t="s">
        <v>287</v>
      </c>
      <c r="L5" s="114" t="s">
        <v>288</v>
      </c>
      <c r="M5" s="114" t="s">
        <v>109</v>
      </c>
      <c r="N5" s="114" t="s">
        <v>289</v>
      </c>
    </row>
    <row r="6" spans="2:30" ht="21.9" customHeight="1" thickBot="1">
      <c r="B6" s="318" t="s">
        <v>290</v>
      </c>
      <c r="C6" s="319"/>
      <c r="D6" s="319"/>
      <c r="E6" s="112" t="s">
        <v>143</v>
      </c>
      <c r="F6" s="112" t="s">
        <v>181</v>
      </c>
      <c r="G6" s="112" t="s">
        <v>195</v>
      </c>
      <c r="H6" s="112" t="s">
        <v>205</v>
      </c>
      <c r="I6" s="112" t="s">
        <v>215</v>
      </c>
      <c r="J6" s="112" t="s">
        <v>222</v>
      </c>
      <c r="K6" s="112" t="s">
        <v>232</v>
      </c>
      <c r="L6" s="112" t="s">
        <v>236</v>
      </c>
      <c r="M6" s="112" t="s">
        <v>237</v>
      </c>
      <c r="N6" s="113" t="s">
        <v>238</v>
      </c>
      <c r="O6" s="44"/>
      <c r="P6" s="44"/>
      <c r="Q6" s="44"/>
      <c r="R6" s="44"/>
      <c r="S6" s="45"/>
    </row>
    <row r="7" spans="2:30" ht="6.9" customHeight="1" thickBot="1">
      <c r="B7" s="46"/>
      <c r="C7" s="47"/>
      <c r="D7" s="47"/>
      <c r="E7" s="47"/>
      <c r="F7" s="47"/>
      <c r="G7" s="47"/>
      <c r="H7" s="47"/>
      <c r="I7" s="47"/>
      <c r="J7" s="47"/>
      <c r="K7" s="47"/>
      <c r="L7" s="47"/>
      <c r="M7" s="47"/>
      <c r="N7" s="47"/>
      <c r="O7" s="47"/>
      <c r="P7" s="47"/>
      <c r="Q7" s="47"/>
      <c r="R7" s="47"/>
      <c r="S7" s="48"/>
    </row>
    <row r="8" spans="2:30" ht="17.399999999999999" thickBot="1">
      <c r="B8" s="324" t="s">
        <v>291</v>
      </c>
      <c r="C8" s="325"/>
      <c r="D8" s="326"/>
      <c r="E8" s="173">
        <f t="shared" ref="E8:N8" si="0">AVERAGE(E25:E34)</f>
        <v>0</v>
      </c>
      <c r="F8" s="173">
        <f t="shared" si="0"/>
        <v>0</v>
      </c>
      <c r="G8" s="173">
        <f t="shared" si="0"/>
        <v>0</v>
      </c>
      <c r="H8" s="173">
        <f t="shared" si="0"/>
        <v>0</v>
      </c>
      <c r="I8" s="173">
        <f t="shared" si="0"/>
        <v>0</v>
      </c>
      <c r="J8" s="173">
        <f t="shared" si="0"/>
        <v>0</v>
      </c>
      <c r="K8" s="173">
        <f t="shared" si="0"/>
        <v>0</v>
      </c>
      <c r="L8" s="173">
        <f t="shared" si="0"/>
        <v>0</v>
      </c>
      <c r="M8" s="173">
        <f t="shared" si="0"/>
        <v>0</v>
      </c>
      <c r="N8" s="185">
        <f t="shared" si="0"/>
        <v>0</v>
      </c>
      <c r="O8" s="47"/>
      <c r="P8" s="115" t="s">
        <v>292</v>
      </c>
      <c r="Q8" s="116" t="s">
        <v>164</v>
      </c>
      <c r="R8" s="117" t="s">
        <v>293</v>
      </c>
      <c r="S8" s="48"/>
    </row>
    <row r="9" spans="2:30" ht="17.399999999999999" thickBot="1">
      <c r="B9" s="327" t="s">
        <v>294</v>
      </c>
      <c r="C9" s="328"/>
      <c r="D9" s="329"/>
      <c r="E9" s="174">
        <f>_xlfn.MODE.SNGL(E25:E34)</f>
        <v>0</v>
      </c>
      <c r="F9" s="174">
        <f>_xlfn.MODE.SNGL(F25:F34)</f>
        <v>0</v>
      </c>
      <c r="G9" s="174">
        <f>G25</f>
        <v>0</v>
      </c>
      <c r="H9" s="200"/>
      <c r="I9" s="174">
        <f>_xlfn.MODE.SNGL(I25:I34)</f>
        <v>0</v>
      </c>
      <c r="J9" s="174">
        <f>_xlfn.MODE.SNGL(J25:J34)</f>
        <v>0</v>
      </c>
      <c r="K9" s="174">
        <f>_xlfn.MODE.SNGL(K25:K34)</f>
        <v>0</v>
      </c>
      <c r="L9" s="174">
        <f>_xlfn.MODE.SNGL(L25:L34)</f>
        <v>0</v>
      </c>
      <c r="M9" s="174">
        <f>M25</f>
        <v>0</v>
      </c>
      <c r="N9" s="186">
        <f>_xlfn.MODE.SNGL(N25:N34)</f>
        <v>0</v>
      </c>
      <c r="O9" s="47"/>
      <c r="P9" s="76" t="s">
        <v>295</v>
      </c>
      <c r="Q9" s="81">
        <f>ROUND(Q38*10,1)</f>
        <v>0</v>
      </c>
      <c r="R9" s="75">
        <v>10</v>
      </c>
      <c r="S9" s="48"/>
    </row>
    <row r="10" spans="2:30" ht="17.399999999999999" thickBot="1">
      <c r="B10" s="305" t="s">
        <v>296</v>
      </c>
      <c r="C10" s="306"/>
      <c r="D10" s="306"/>
      <c r="E10" s="175">
        <f t="shared" ref="E10:N10" si="1">E35/(E23*6)</f>
        <v>0</v>
      </c>
      <c r="F10" s="175">
        <f t="shared" si="1"/>
        <v>0</v>
      </c>
      <c r="G10" s="175">
        <f t="shared" si="1"/>
        <v>0</v>
      </c>
      <c r="H10" s="175">
        <f t="shared" si="1"/>
        <v>0</v>
      </c>
      <c r="I10" s="175">
        <f t="shared" si="1"/>
        <v>0</v>
      </c>
      <c r="J10" s="175">
        <f t="shared" si="1"/>
        <v>0</v>
      </c>
      <c r="K10" s="175">
        <f t="shared" si="1"/>
        <v>0</v>
      </c>
      <c r="L10" s="175">
        <f t="shared" si="1"/>
        <v>0</v>
      </c>
      <c r="M10" s="175">
        <f t="shared" si="1"/>
        <v>0</v>
      </c>
      <c r="N10" s="175">
        <f t="shared" si="1"/>
        <v>0</v>
      </c>
      <c r="O10" s="47"/>
      <c r="P10" s="64" t="s">
        <v>297</v>
      </c>
      <c r="Q10" s="71">
        <f>ROUND(12*(Q9/10),0)</f>
        <v>0</v>
      </c>
      <c r="R10" s="70">
        <v>12</v>
      </c>
      <c r="S10" s="48"/>
    </row>
    <row r="11" spans="2:30" ht="6.9" customHeight="1" thickBot="1">
      <c r="B11" s="46"/>
      <c r="C11" s="47"/>
      <c r="D11" s="47"/>
      <c r="E11" s="176"/>
      <c r="F11" s="176"/>
      <c r="G11" s="176"/>
      <c r="H11" s="176"/>
      <c r="I11" s="176"/>
      <c r="J11" s="176"/>
      <c r="K11" s="176"/>
      <c r="L11" s="176"/>
      <c r="M11" s="176"/>
      <c r="N11" s="176"/>
      <c r="O11" s="47"/>
      <c r="P11" s="47"/>
      <c r="Q11" s="47"/>
      <c r="R11" s="47"/>
      <c r="S11" s="48"/>
    </row>
    <row r="12" spans="2:30">
      <c r="B12" s="85" t="s">
        <v>298</v>
      </c>
      <c r="C12" s="83">
        <v>0</v>
      </c>
      <c r="D12" s="310" t="s">
        <v>299</v>
      </c>
      <c r="E12" s="177">
        <f>COUNTIFS('Full Score Matrix'!$A$3:$A$17,$D$12,'Full Score Matrix'!$C$3:$C$17,0)</f>
        <v>5</v>
      </c>
      <c r="F12" s="184">
        <f>COUNTIFS('Full Score Matrix'!$A$3:$A$14,$D$12,'Full Score Matrix'!$D$3:$D$14,0)</f>
        <v>4</v>
      </c>
      <c r="G12" s="184">
        <f>COUNTIFS('Full Score Matrix'!$A$3:$A$32,$D$12,'Full Score Matrix'!$E$3:$E$32,0)</f>
        <v>1</v>
      </c>
      <c r="H12" s="184">
        <f>COUNTIFS('Full Score Matrix'!$A$3:$A$32,$D$12,'Full Score Matrix'!$F$3:$F$32,0)</f>
        <v>2</v>
      </c>
      <c r="I12" s="184">
        <f>COUNTIFS('Full Score Matrix'!$A$3:$A$32,$D$12,'Full Score Matrix'!$G$3:$G$32,0)</f>
        <v>6</v>
      </c>
      <c r="J12" s="184">
        <f>COUNTIFS('Full Score Matrix'!$A$3:$A$32,$D$12,'Full Score Matrix'!$H$3:$H$32,0)</f>
        <v>4</v>
      </c>
      <c r="K12" s="184">
        <f>COUNTIFS('Full Score Matrix'!$A$3:$A$32,$D$12,'Full Score Matrix'!$I$3:$I$32,0)</f>
        <v>3</v>
      </c>
      <c r="L12" s="184">
        <f>COUNTIFS('Full Score Matrix'!$A$3:$A$14,$D$12,'Full Score Matrix'!$J$3:$J$14,0)</f>
        <v>4</v>
      </c>
      <c r="M12" s="184">
        <f>COUNTIFS('Full Score Matrix'!$A$3:$A$32,$D$12,'Full Score Matrix'!$K$3:$K$32,0)</f>
        <v>1</v>
      </c>
      <c r="N12" s="80">
        <f>COUNTIFS('Full Score Matrix'!$A$3:$A$32,$D$12,'Full Score Matrix'!$L$3:$L$32,0)</f>
        <v>10</v>
      </c>
      <c r="O12" s="47"/>
      <c r="P12" s="47"/>
      <c r="Q12" s="47"/>
      <c r="R12" s="47"/>
      <c r="S12" s="48"/>
    </row>
    <row r="13" spans="2:30">
      <c r="B13" s="61" t="s">
        <v>300</v>
      </c>
      <c r="C13" s="82">
        <v>1</v>
      </c>
      <c r="D13" s="311"/>
      <c r="E13" s="178">
        <f>COUNTIFS('Full Score Matrix'!$A$3:$A$17,$D$12,'Full Score Matrix'!$C$3:$C$17,1)</f>
        <v>0</v>
      </c>
      <c r="F13" s="181">
        <f>COUNTIFS('Full Score Matrix'!$A$3:$A$14,$D$12,'Full Score Matrix'!$D$3:$D$14,1)</f>
        <v>0</v>
      </c>
      <c r="G13" s="181">
        <f>COUNTIFS('Full Score Matrix'!$A$3:$A$32,$D$12,'Full Score Matrix'!$E$3:$E$32,1)</f>
        <v>0</v>
      </c>
      <c r="H13" s="181">
        <f>COUNTIFS('Full Score Matrix'!$A$3:$A$32,$D$12,'Full Score Matrix'!$F$3:$F$32,1)</f>
        <v>0</v>
      </c>
      <c r="I13" s="181">
        <f>COUNTIFS('Full Score Matrix'!$A$3:$A$32,$D$12,'Full Score Matrix'!$G$3:$G$32,1)</f>
        <v>0</v>
      </c>
      <c r="J13" s="181">
        <f>COUNTIFS('Full Score Matrix'!$A$3:$A$32,$D$12,'Full Score Matrix'!$H$3:$H$32,1)</f>
        <v>0</v>
      </c>
      <c r="K13" s="181">
        <f>COUNTIFS('Full Score Matrix'!$A$3:$A$32,$D$12,'Full Score Matrix'!$I$3:$I$32,1)</f>
        <v>0</v>
      </c>
      <c r="L13" s="181">
        <f>COUNTIFS('Full Score Matrix'!$A$3:$A$14,$D$12,'Full Score Matrix'!$J$3:$J$14,1)</f>
        <v>0</v>
      </c>
      <c r="M13" s="181">
        <f>COUNTIFS('Full Score Matrix'!$A$3:$A$32,$D$12,'Full Score Matrix'!$K$3:$K$32,1)</f>
        <v>0</v>
      </c>
      <c r="N13" s="169">
        <f>COUNTIFS('Full Score Matrix'!$A$3:$A$32,$D$12,'Full Score Matrix'!$L$3:$L$32,1)</f>
        <v>0</v>
      </c>
      <c r="O13" s="47"/>
      <c r="P13" s="47"/>
      <c r="Q13" s="176"/>
      <c r="R13" s="47"/>
      <c r="S13" s="48"/>
    </row>
    <row r="14" spans="2:30" ht="17.399999999999999" thickBot="1">
      <c r="B14" s="72" t="s">
        <v>301</v>
      </c>
      <c r="C14" s="73">
        <v>2</v>
      </c>
      <c r="D14" s="312"/>
      <c r="E14" s="179">
        <f>COUNTIFS('Full Score Matrix'!$A$3:$A$17,$D$12,'Full Score Matrix'!$C$3:$C$17,2)</f>
        <v>0</v>
      </c>
      <c r="F14" s="174">
        <f>COUNTIFS('Full Score Matrix'!$A$3:$A$14,$D$12,'Full Score Matrix'!$D$3:$D$14,2)</f>
        <v>0</v>
      </c>
      <c r="G14" s="174">
        <f>COUNTIFS('Full Score Matrix'!$A$3:$A$32,$D$12,'Full Score Matrix'!$E$3:$E$32,2)</f>
        <v>0</v>
      </c>
      <c r="H14" s="174">
        <f>COUNTIFS('Full Score Matrix'!$A$3:$A$32,$D$15,'Full Score Matrix'!$F$3:$F$32,2)</f>
        <v>0</v>
      </c>
      <c r="I14" s="174">
        <f>COUNTIFS('Full Score Matrix'!$A$3:$A$32,$D$15,'Full Score Matrix'!$G$3:$G$32,2)</f>
        <v>0</v>
      </c>
      <c r="J14" s="174">
        <f>COUNTIFS('Full Score Matrix'!$A$3:$A$32,$D$15,'Full Score Matrix'!$H$3:$H$32,2)</f>
        <v>0</v>
      </c>
      <c r="K14" s="174">
        <f>COUNTIFS('Full Score Matrix'!$A$3:$A$32,$D$15,'Full Score Matrix'!$I$3:$I$32,2)</f>
        <v>0</v>
      </c>
      <c r="L14" s="174">
        <f>COUNTIFS('Full Score Matrix'!$A$3:$A$14,$D$12,'Full Score Matrix'!$J$3:$J$14,2)</f>
        <v>0</v>
      </c>
      <c r="M14" s="174">
        <f>COUNTIFS('Full Score Matrix'!$A$3:$A$32,$D$15,'Full Score Matrix'!$K$3:$K$32,2)</f>
        <v>0</v>
      </c>
      <c r="N14" s="186">
        <f>COUNTIFS('Full Score Matrix'!$A$3:$A$32,$D$15,'Full Score Matrix'!$L$3:$L$32,2)</f>
        <v>0</v>
      </c>
      <c r="O14" s="47"/>
      <c r="P14" s="47"/>
      <c r="Q14" s="176"/>
      <c r="R14" s="47"/>
      <c r="S14" s="48"/>
    </row>
    <row r="15" spans="2:30">
      <c r="B15" s="85" t="s">
        <v>302</v>
      </c>
      <c r="C15" s="83">
        <v>0</v>
      </c>
      <c r="D15" s="313" t="s">
        <v>303</v>
      </c>
      <c r="E15" s="180">
        <f>COUNTIFS('Full Score Matrix'!$A$3:$A$17,$D$15,'Full Score Matrix'!$C$3:$C$17,0)</f>
        <v>5</v>
      </c>
      <c r="F15" s="180">
        <f>COUNTIFS('Full Score Matrix'!$A$3:$A$14,$D$15,'Full Score Matrix'!$D$3:$D$14,0)</f>
        <v>4</v>
      </c>
      <c r="G15" s="180">
        <f>COUNTIFS('Full Score Matrix'!$A$3:$A$32,$D$15,'Full Score Matrix'!$E$3:$E$32,0)</f>
        <v>1</v>
      </c>
      <c r="H15" s="180">
        <f>COUNTIFS('Full Score Matrix'!$A$3:$A$32,$D$15,'Full Score Matrix'!$F$3:$F$32,0)</f>
        <v>2</v>
      </c>
      <c r="I15" s="180">
        <f>COUNTIFS('Full Score Matrix'!$A$3:$A$32,$D$15,'Full Score Matrix'!$G$3:$G$32,0)</f>
        <v>6</v>
      </c>
      <c r="J15" s="180">
        <f>COUNTIFS('Full Score Matrix'!$A$3:$A$32,$D$15,'Full Score Matrix'!$H$3:$H$32,0)</f>
        <v>4</v>
      </c>
      <c r="K15" s="180">
        <f>COUNTIFS('Full Score Matrix'!$A$3:$A$32,$D$15,'Full Score Matrix'!$I$3:$I$32,0)</f>
        <v>3</v>
      </c>
      <c r="L15" s="180">
        <f>COUNTIFS('Full Score Matrix'!$A$3:$A$14,$D$15,'Full Score Matrix'!$J$3:$J$14,0)</f>
        <v>4</v>
      </c>
      <c r="M15" s="180">
        <f>COUNTIFS('Full Score Matrix'!$A$3:$A$32,$D$15,'Full Score Matrix'!$K$3:$K$32,0)</f>
        <v>1</v>
      </c>
      <c r="N15" s="187">
        <f>COUNTIFS('Full Score Matrix'!$A$3:$A$32,$D$15,'Full Score Matrix'!$L$3:$L$32,0)</f>
        <v>10</v>
      </c>
      <c r="O15" s="47"/>
      <c r="P15" s="196"/>
      <c r="Q15" s="79"/>
      <c r="R15" s="47"/>
      <c r="S15" s="48"/>
    </row>
    <row r="16" spans="2:30">
      <c r="B16" s="61" t="s">
        <v>304</v>
      </c>
      <c r="C16" s="82">
        <v>1</v>
      </c>
      <c r="D16" s="277"/>
      <c r="E16" s="181">
        <f>COUNTIFS('Full Score Matrix'!$A$3:$A$17,$D$15,'Full Score Matrix'!$C$3:$C$17,1)</f>
        <v>0</v>
      </c>
      <c r="F16" s="181">
        <f>COUNTIFS('Full Score Matrix'!$A$3:$A$14,$D$15,'Full Score Matrix'!$D$3:$D$14,1)</f>
        <v>0</v>
      </c>
      <c r="G16" s="181">
        <f>COUNTIFS('Full Score Matrix'!$A$3:$A$32,$D$15,'Full Score Matrix'!$E$3:$E$32,1)</f>
        <v>0</v>
      </c>
      <c r="H16" s="181">
        <f>COUNTIFS('Full Score Matrix'!$A$3:$A$32,$D$15,'Full Score Matrix'!$F$3:$F$32,1)</f>
        <v>0</v>
      </c>
      <c r="I16" s="181">
        <f>COUNTIFS('Full Score Matrix'!$A$3:$A$32,$D$15,'Full Score Matrix'!$G$3:$G$32,1)</f>
        <v>0</v>
      </c>
      <c r="J16" s="181">
        <f>COUNTIFS('Full Score Matrix'!$A$3:$A$32,$D$15,'Full Score Matrix'!$H$3:$H$32,1)</f>
        <v>0</v>
      </c>
      <c r="K16" s="181">
        <f>COUNTIFS('Full Score Matrix'!$A$3:$A$32,$D$15,'Full Score Matrix'!$I$3:$I$32,1)</f>
        <v>0</v>
      </c>
      <c r="L16" s="181">
        <f>COUNTIFS('Full Score Matrix'!$A$3:$A$14,$D$15,'Full Score Matrix'!$J$3:$J$14,1)</f>
        <v>0</v>
      </c>
      <c r="M16" s="181">
        <f>COUNTIFS('Full Score Matrix'!$A$3:$A$32,$D$15,'Full Score Matrix'!$K$3:$K$32,1)</f>
        <v>0</v>
      </c>
      <c r="N16" s="169">
        <f>COUNTIFS('Full Score Matrix'!$A$3:$A$32,$D$15,'Full Score Matrix'!$L$3:$L$32,1)</f>
        <v>0</v>
      </c>
      <c r="O16" s="47"/>
      <c r="P16" s="196"/>
      <c r="Q16" s="197"/>
      <c r="R16" s="47"/>
      <c r="S16" s="48"/>
    </row>
    <row r="17" spans="2:19" ht="17.399999999999999" thickBot="1">
      <c r="B17" s="64" t="s">
        <v>305</v>
      </c>
      <c r="C17" s="84">
        <v>2</v>
      </c>
      <c r="D17" s="314"/>
      <c r="E17" s="182">
        <f>COUNTIFS('Full Score Matrix'!$A$3:$A$17,$D$15,'Full Score Matrix'!$C$3:$C$17,2)</f>
        <v>0</v>
      </c>
      <c r="F17" s="182">
        <f>COUNTIFS('Full Score Matrix'!$A$3:$A$14,$D$15,'Full Score Matrix'!$D$3:$D$14,2)</f>
        <v>0</v>
      </c>
      <c r="G17" s="182">
        <f>COUNTIFS('Full Score Matrix'!$A$3:$A$32,$D$15,'Full Score Matrix'!$E$3:$E$32,2)</f>
        <v>0</v>
      </c>
      <c r="H17" s="182">
        <f>COUNTIFS('Full Score Matrix'!$A$3:$A$32,$D$15,'Full Score Matrix'!$F$3:$F$32,2)</f>
        <v>0</v>
      </c>
      <c r="I17" s="182">
        <f>COUNTIFS('Full Score Matrix'!$A$3:$A$32,$D$15,'Full Score Matrix'!$G$3:$G$32,2)</f>
        <v>0</v>
      </c>
      <c r="J17" s="182">
        <f>COUNTIFS('Full Score Matrix'!$A$3:$A$32,$D$15,'Full Score Matrix'!$H$3:$H$32,2)</f>
        <v>0</v>
      </c>
      <c r="K17" s="182">
        <f>COUNTIFS('Full Score Matrix'!$A$3:$A$32,$D$15,'Full Score Matrix'!$I$3:$I$32,2)</f>
        <v>0</v>
      </c>
      <c r="L17" s="182">
        <f>COUNTIFS('Full Score Matrix'!$A$3:$A$14,$D$15,'Full Score Matrix'!$J$3:$J$14,2)</f>
        <v>0</v>
      </c>
      <c r="M17" s="182">
        <f>COUNTIFS('Full Score Matrix'!$A$3:$A$32,$D$15,'Full Score Matrix'!$K$3:$K$32,2)</f>
        <v>0</v>
      </c>
      <c r="N17" s="188">
        <f>COUNTIFS('Full Score Matrix'!$A$3:$A$32,$D$18,'Full Score Matrix'!$L$3:$L$32,2)</f>
        <v>0</v>
      </c>
      <c r="O17" s="47"/>
      <c r="P17" s="47"/>
      <c r="Q17" s="47"/>
      <c r="R17" s="47"/>
      <c r="S17" s="48"/>
    </row>
    <row r="18" spans="2:19">
      <c r="B18" s="76" t="s">
        <v>306</v>
      </c>
      <c r="C18" s="74">
        <v>0</v>
      </c>
      <c r="D18" s="315" t="s">
        <v>307</v>
      </c>
      <c r="E18" s="177">
        <f>COUNTIFS('Full Score Matrix'!$A$3:$A$17,$D$18,'Full Score Matrix'!$C$3:$C$17,0)</f>
        <v>5</v>
      </c>
      <c r="F18" s="184">
        <f>COUNTIFS('Full Score Matrix'!$A$3:$A$14,$D$18,'Full Score Matrix'!$D$3:$D$14,0)</f>
        <v>4</v>
      </c>
      <c r="G18" s="184">
        <f>COUNTIFS('Full Score Matrix'!$A$3:$A$32,$D$18,'Full Score Matrix'!$E$3:$E$32,0)</f>
        <v>1</v>
      </c>
      <c r="H18" s="184">
        <f>COUNTIFS('Full Score Matrix'!$A$3:$A$32,$D$18,'Full Score Matrix'!$F$3:$F$32,0)</f>
        <v>2</v>
      </c>
      <c r="I18" s="184">
        <f>COUNTIFS('Full Score Matrix'!$A$3:$A$32,$D$18,'Full Score Matrix'!$G$3:$G$32,0)</f>
        <v>6</v>
      </c>
      <c r="J18" s="184">
        <f>COUNTIFS('Full Score Matrix'!$A$3:$A$32,$D$18,'Full Score Matrix'!$H$3:$H$32,0)</f>
        <v>4</v>
      </c>
      <c r="K18" s="184">
        <f>COUNTIFS('Full Score Matrix'!$A$3:$A$32,$D$18,'Full Score Matrix'!$I$3:$I$32,0)</f>
        <v>3</v>
      </c>
      <c r="L18" s="184">
        <f>COUNTIFS('Full Score Matrix'!$A$3:$A$14,$D$18,'Full Score Matrix'!$J$3:$J$14,0)</f>
        <v>4</v>
      </c>
      <c r="M18" s="184">
        <f>COUNTIFS('Full Score Matrix'!$A$3:$A$32,$D$18,'Full Score Matrix'!$K$3:$K$32,0)</f>
        <v>1</v>
      </c>
      <c r="N18" s="80">
        <f>COUNTIFS('Full Score Matrix'!$A$3:$A$32,$D$18,'Full Score Matrix'!$L$3:$L$32,0)</f>
        <v>10</v>
      </c>
      <c r="O18" s="47"/>
      <c r="P18" s="47"/>
      <c r="Q18" s="47"/>
      <c r="R18" s="47"/>
      <c r="S18" s="48"/>
    </row>
    <row r="19" spans="2:19">
      <c r="B19" s="61" t="s">
        <v>308</v>
      </c>
      <c r="C19" s="82">
        <v>1</v>
      </c>
      <c r="D19" s="311"/>
      <c r="E19" s="178">
        <f>COUNTIFS('Full Score Matrix'!$A$3:$A$17,$D$18,'Full Score Matrix'!$C$3:$C$17,1)</f>
        <v>0</v>
      </c>
      <c r="F19" s="181">
        <f>COUNTIFS('Full Score Matrix'!$A$3:$A$14,$D$18,'Full Score Matrix'!$D$3:$D$14,1)</f>
        <v>0</v>
      </c>
      <c r="G19" s="181">
        <f>COUNTIFS('Full Score Matrix'!$A$3:$A$32,$D$18,'Full Score Matrix'!$E$3:$E$32,1)</f>
        <v>0</v>
      </c>
      <c r="H19" s="181">
        <f>COUNTIFS('Full Score Matrix'!$A$3:$A$32,$D$18,'Full Score Matrix'!$F$3:$F$32,1)</f>
        <v>0</v>
      </c>
      <c r="I19" s="181">
        <f>COUNTIFS('Full Score Matrix'!$A$3:$A$32,$D$18,'Full Score Matrix'!$G$3:$G$32,1)</f>
        <v>0</v>
      </c>
      <c r="J19" s="181">
        <f>COUNTIFS('Full Score Matrix'!$A$3:$A$32,$D$18,'Full Score Matrix'!$H$3:$H$32,1)</f>
        <v>0</v>
      </c>
      <c r="K19" s="181">
        <f>COUNTIFS('Full Score Matrix'!$A$3:$A$32,$D$18,'Full Score Matrix'!$I$3:$I$32,1)</f>
        <v>0</v>
      </c>
      <c r="L19" s="181">
        <f>COUNTIFS('Full Score Matrix'!$A$3:$A$14,$D$18,'Full Score Matrix'!$J$3:$J$14,1)</f>
        <v>0</v>
      </c>
      <c r="M19" s="181">
        <f>COUNTIFS('Full Score Matrix'!$A$3:$A$32,$D$18,'Full Score Matrix'!$K$3:$K$32,1)</f>
        <v>0</v>
      </c>
      <c r="N19" s="169">
        <f>COUNTIFS('Full Score Matrix'!$A$3:$A$32,$D$18,'Full Score Matrix'!$L$3:$L$32,1)</f>
        <v>0</v>
      </c>
      <c r="O19" s="47"/>
      <c r="P19" s="47"/>
      <c r="Q19" s="47"/>
      <c r="R19" s="47"/>
      <c r="S19" s="48"/>
    </row>
    <row r="20" spans="2:19" ht="17.399999999999999" thickBot="1">
      <c r="B20" s="64" t="s">
        <v>309</v>
      </c>
      <c r="C20" s="84">
        <v>2</v>
      </c>
      <c r="D20" s="316"/>
      <c r="E20" s="179">
        <f>COUNTIFS('Full Score Matrix'!$A$3:$A$17,$D$18,'Full Score Matrix'!$C$3:$C$17,2)</f>
        <v>0</v>
      </c>
      <c r="F20" s="174">
        <f>COUNTIFS('Full Score Matrix'!$A$3:$A$14,$D$18,'Full Score Matrix'!$D$3:$D$14,2)</f>
        <v>0</v>
      </c>
      <c r="G20" s="174">
        <f>COUNTIFS('Full Score Matrix'!$A$3:$A$32,$D$18,'Full Score Matrix'!$E$3:$E$32,2)</f>
        <v>0</v>
      </c>
      <c r="H20" s="174">
        <f>COUNTIFS('Full Score Matrix'!$A$3:$A$32,$D$18,'Full Score Matrix'!$F$3:$F$32,2)</f>
        <v>0</v>
      </c>
      <c r="I20" s="174">
        <f>COUNTIFS('Full Score Matrix'!$A$3:$A$32,$D$18,'Full Score Matrix'!$G$3:$G$32,2)</f>
        <v>0</v>
      </c>
      <c r="J20" s="174">
        <f>COUNTIFS('Full Score Matrix'!$A$3:$A$32,$D$18,'Full Score Matrix'!$H$3:$H$32,2)</f>
        <v>0</v>
      </c>
      <c r="K20" s="174">
        <f>COUNTIFS('Full Score Matrix'!$A$3:$A$32,$D$18,'Full Score Matrix'!$I$3:$I$32,2)</f>
        <v>0</v>
      </c>
      <c r="L20" s="174">
        <f>COUNTIFS('Full Score Matrix'!$A$3:$A$14,$D$18,'Full Score Matrix'!$J$3:$J$14,2)</f>
        <v>0</v>
      </c>
      <c r="M20" s="174">
        <f>COUNTIFS('Full Score Matrix'!$A$3:$A$32,$D$18,'Full Score Matrix'!$K$3:$K$32,2)</f>
        <v>0</v>
      </c>
      <c r="N20" s="186">
        <f>COUNTIFS('Full Score Matrix'!$A$3:$A$32,$D$12,'Full Score Matrix'!$L$3:$L$32,2)</f>
        <v>0</v>
      </c>
      <c r="O20" s="47"/>
      <c r="P20" s="47"/>
      <c r="Q20" s="47"/>
      <c r="R20" s="47"/>
      <c r="S20" s="48"/>
    </row>
    <row r="21" spans="2:19" ht="17.399999999999999" thickBot="1">
      <c r="B21" s="46"/>
      <c r="C21" s="47"/>
      <c r="D21" s="47"/>
      <c r="E21" s="176"/>
      <c r="F21" s="176"/>
      <c r="G21" s="176"/>
      <c r="H21" s="176"/>
      <c r="I21" s="176"/>
      <c r="J21" s="176"/>
      <c r="K21" s="176"/>
      <c r="L21" s="176"/>
      <c r="M21" s="176"/>
      <c r="N21" s="176"/>
      <c r="O21" s="47"/>
      <c r="P21" s="47"/>
      <c r="Q21" s="47"/>
      <c r="R21" s="47"/>
      <c r="S21" s="48"/>
    </row>
    <row r="22" spans="2:19" ht="17.399999999999999" collapsed="1" thickBot="1">
      <c r="B22" s="322" t="s">
        <v>290</v>
      </c>
      <c r="C22" s="323"/>
      <c r="D22" s="323"/>
      <c r="E22" s="183" t="s">
        <v>143</v>
      </c>
      <c r="F22" s="77" t="s">
        <v>181</v>
      </c>
      <c r="G22" s="77" t="s">
        <v>195</v>
      </c>
      <c r="H22" s="77" t="s">
        <v>205</v>
      </c>
      <c r="I22" s="77" t="s">
        <v>215</v>
      </c>
      <c r="J22" s="77" t="s">
        <v>222</v>
      </c>
      <c r="K22" s="77" t="s">
        <v>232</v>
      </c>
      <c r="L22" s="77" t="s">
        <v>236</v>
      </c>
      <c r="M22" s="77" t="s">
        <v>237</v>
      </c>
      <c r="N22" s="78" t="s">
        <v>238</v>
      </c>
      <c r="O22" s="47"/>
      <c r="P22" s="47"/>
      <c r="Q22" s="47"/>
      <c r="R22" s="47"/>
      <c r="S22" s="48"/>
    </row>
    <row r="23" spans="2:19" ht="17.399999999999999" thickBot="1">
      <c r="B23" s="320" t="s">
        <v>310</v>
      </c>
      <c r="C23" s="321"/>
      <c r="D23" s="321"/>
      <c r="E23" s="183">
        <f>'Full Score Matrix'!C2</f>
        <v>5</v>
      </c>
      <c r="F23" s="77">
        <f>'Full Score Matrix'!D2</f>
        <v>4</v>
      </c>
      <c r="G23" s="77">
        <f>'Full Score Matrix'!E2</f>
        <v>1</v>
      </c>
      <c r="H23" s="77">
        <f>'Full Score Matrix'!F2</f>
        <v>2</v>
      </c>
      <c r="I23" s="77">
        <f>'Full Score Matrix'!G2</f>
        <v>6</v>
      </c>
      <c r="J23" s="77">
        <f>'Full Score Matrix'!H2</f>
        <v>4</v>
      </c>
      <c r="K23" s="77">
        <f>'Full Score Matrix'!I2</f>
        <v>3</v>
      </c>
      <c r="L23" s="77">
        <f>'Full Score Matrix'!J2</f>
        <v>4</v>
      </c>
      <c r="M23" s="77">
        <f>'Full Score Matrix'!K2</f>
        <v>1</v>
      </c>
      <c r="N23" s="78">
        <f>'Full Score Matrix'!L2</f>
        <v>10</v>
      </c>
      <c r="O23" s="47"/>
      <c r="P23" s="47"/>
      <c r="Q23" s="47"/>
      <c r="R23" s="47"/>
      <c r="S23" s="48"/>
    </row>
    <row r="24" spans="2:19" ht="17.399999999999999" thickBot="1">
      <c r="B24" s="46"/>
      <c r="C24" s="47"/>
      <c r="D24" s="47"/>
      <c r="E24" s="176"/>
      <c r="F24" s="176"/>
      <c r="G24" s="176"/>
      <c r="H24" s="176"/>
      <c r="I24" s="176"/>
      <c r="J24" s="176"/>
      <c r="K24" s="176"/>
      <c r="L24" s="176"/>
      <c r="M24" s="176"/>
      <c r="N24" s="176"/>
      <c r="O24" s="47"/>
      <c r="P24" s="47"/>
      <c r="Q24" s="47"/>
      <c r="R24" s="47"/>
      <c r="S24" s="48"/>
    </row>
    <row r="25" spans="2:19">
      <c r="B25" s="317" t="s">
        <v>161</v>
      </c>
      <c r="C25" s="313"/>
      <c r="D25" s="313"/>
      <c r="E25" s="184">
        <f>SUM('Section 1'!$K$20:$K$24)</f>
        <v>0</v>
      </c>
      <c r="F25" s="184">
        <f>SUM('Section 2'!$K$21:$K$25)</f>
        <v>0</v>
      </c>
      <c r="G25" s="184">
        <f>SUM('Section 3'!$K$19:$K$23)</f>
        <v>0</v>
      </c>
      <c r="H25" s="184">
        <f>SUM('Section 4'!$K$19:$K$23)</f>
        <v>0</v>
      </c>
      <c r="I25" s="184">
        <f>SUM('Section 5'!$K$19:$K$23)</f>
        <v>0</v>
      </c>
      <c r="J25" s="184">
        <f>SUM('Section 6'!$K$19:$K$23)</f>
        <v>0</v>
      </c>
      <c r="K25" s="184">
        <f>SUM('Section 7'!$K$19:$K$23)</f>
        <v>0</v>
      </c>
      <c r="L25" s="184">
        <f>SUM('Section 8'!$K$19:$K$23)</f>
        <v>0</v>
      </c>
      <c r="M25" s="184">
        <f>SUM('Section 9'!$K$19:$K$23)</f>
        <v>0</v>
      </c>
      <c r="N25" s="80">
        <f>SUM('Section 10'!$K$19:$K$23)</f>
        <v>0</v>
      </c>
      <c r="O25" s="47"/>
      <c r="P25" s="47"/>
      <c r="Q25" s="47"/>
      <c r="R25" s="47"/>
      <c r="S25" s="48"/>
    </row>
    <row r="26" spans="2:19">
      <c r="B26" s="307" t="s">
        <v>170</v>
      </c>
      <c r="C26" s="277"/>
      <c r="D26" s="277"/>
      <c r="E26" s="181">
        <f>SUM('Section 1'!$K$30:$K$34)</f>
        <v>0</v>
      </c>
      <c r="F26" s="181">
        <f>SUM('Section 2'!$K$31:$K$35)</f>
        <v>0</v>
      </c>
      <c r="G26" s="181"/>
      <c r="H26" s="181">
        <f>SUM('Section 4'!$K$29:$K$33)</f>
        <v>0</v>
      </c>
      <c r="I26" s="181">
        <f>SUM('Section 5'!$K$29:$K$33)</f>
        <v>0</v>
      </c>
      <c r="J26" s="181">
        <f>SUM('Section 6'!$K$29:$K$33)</f>
        <v>0</v>
      </c>
      <c r="K26" s="181">
        <f>SUM('Section 7'!$K$29:$K$33)</f>
        <v>0</v>
      </c>
      <c r="L26" s="181">
        <f>SUM('Section 8'!$K$29:$K$33)</f>
        <v>0</v>
      </c>
      <c r="M26" s="181"/>
      <c r="N26" s="169">
        <f>SUM('Section 10'!$K$29:$K$33)</f>
        <v>0</v>
      </c>
      <c r="O26" s="47"/>
      <c r="P26" s="47"/>
      <c r="Q26" s="47"/>
      <c r="R26" s="47"/>
      <c r="S26" s="48"/>
    </row>
    <row r="27" spans="2:19">
      <c r="B27" s="307" t="s">
        <v>171</v>
      </c>
      <c r="C27" s="277"/>
      <c r="D27" s="277"/>
      <c r="E27" s="181">
        <f>SUM('Section 1'!$K$40:$K$44)</f>
        <v>0</v>
      </c>
      <c r="F27" s="181">
        <f>SUM('Section 2'!$K$41:$K$45)</f>
        <v>0</v>
      </c>
      <c r="G27" s="181"/>
      <c r="H27" s="181"/>
      <c r="I27" s="181">
        <f>SUM('Section 5'!$K$39:$K$43)</f>
        <v>0</v>
      </c>
      <c r="J27" s="181">
        <f>SUM('Section 6'!$K$39:$K$43)</f>
        <v>0</v>
      </c>
      <c r="K27" s="181">
        <f>SUM('Section 7'!$K$39:$K$43)</f>
        <v>0</v>
      </c>
      <c r="L27" s="181">
        <f>SUM('Section 8'!$K$39:$K$43)</f>
        <v>0</v>
      </c>
      <c r="M27" s="181"/>
      <c r="N27" s="169">
        <f>SUM('Section 10'!$K$39:$K$43)</f>
        <v>0</v>
      </c>
      <c r="O27" s="47"/>
      <c r="P27" s="47"/>
      <c r="Q27" s="47"/>
      <c r="R27" s="47"/>
      <c r="S27" s="48"/>
    </row>
    <row r="28" spans="2:19">
      <c r="B28" s="307" t="s">
        <v>174</v>
      </c>
      <c r="C28" s="277"/>
      <c r="D28" s="277"/>
      <c r="E28" s="181">
        <f>SUM('Section 1'!$K$50:$K$54)</f>
        <v>0</v>
      </c>
      <c r="F28" s="181">
        <f>SUM('Section 2'!$K$51:$K$55)</f>
        <v>0</v>
      </c>
      <c r="G28" s="181"/>
      <c r="H28" s="181"/>
      <c r="I28" s="181">
        <f>SUM('Section 5'!$K$49:$K$53)</f>
        <v>0</v>
      </c>
      <c r="J28" s="181">
        <f>SUM('Section 6'!$K$49:$K$53)</f>
        <v>0</v>
      </c>
      <c r="K28" s="181"/>
      <c r="L28" s="181">
        <f>SUM('Section 8'!$K$49:$K$53)</f>
        <v>0</v>
      </c>
      <c r="M28" s="181"/>
      <c r="N28" s="169">
        <f>SUM('Section 10'!$K$49:$K$53)</f>
        <v>0</v>
      </c>
      <c r="O28" s="47"/>
      <c r="P28" s="47"/>
      <c r="Q28" s="47"/>
      <c r="R28" s="47"/>
      <c r="S28" s="48"/>
    </row>
    <row r="29" spans="2:19">
      <c r="B29" s="307" t="s">
        <v>178</v>
      </c>
      <c r="C29" s="277"/>
      <c r="D29" s="277"/>
      <c r="E29" s="181">
        <f>SUM('Section 1'!$K$60:$K$64)</f>
        <v>0</v>
      </c>
      <c r="F29" s="181"/>
      <c r="G29" s="181"/>
      <c r="H29" s="181"/>
      <c r="I29" s="181">
        <f>SUM('Section 5'!$K$59:$K$63)</f>
        <v>0</v>
      </c>
      <c r="J29" s="181"/>
      <c r="K29" s="181"/>
      <c r="L29" s="181"/>
      <c r="M29" s="181"/>
      <c r="N29" s="169">
        <f>SUM('Section 10'!$K$59:$K$63)</f>
        <v>0</v>
      </c>
      <c r="O29" s="47"/>
      <c r="P29" s="47"/>
      <c r="Q29" s="47"/>
      <c r="R29" s="47"/>
      <c r="S29" s="48"/>
    </row>
    <row r="30" spans="2:19">
      <c r="B30" s="307" t="s">
        <v>221</v>
      </c>
      <c r="C30" s="277"/>
      <c r="D30" s="277"/>
      <c r="E30" s="181"/>
      <c r="F30" s="181"/>
      <c r="G30" s="181"/>
      <c r="H30" s="181"/>
      <c r="I30" s="181">
        <f>SUM('Section 5'!$K$69:$K$73)</f>
        <v>0</v>
      </c>
      <c r="J30" s="181"/>
      <c r="K30" s="181"/>
      <c r="L30" s="181"/>
      <c r="M30" s="181"/>
      <c r="N30" s="169">
        <f>SUM('Section 10'!$K$69:$K$73)</f>
        <v>0</v>
      </c>
      <c r="O30" s="47"/>
      <c r="P30" s="47"/>
      <c r="Q30" s="47"/>
      <c r="R30" s="47"/>
      <c r="S30" s="48"/>
    </row>
    <row r="31" spans="2:19">
      <c r="B31" s="307" t="s">
        <v>239</v>
      </c>
      <c r="C31" s="277"/>
      <c r="D31" s="277"/>
      <c r="E31" s="181"/>
      <c r="F31" s="181"/>
      <c r="G31" s="181"/>
      <c r="H31" s="181"/>
      <c r="I31" s="181"/>
      <c r="J31" s="181"/>
      <c r="K31" s="181"/>
      <c r="L31" s="181"/>
      <c r="M31" s="181"/>
      <c r="N31" s="169">
        <f>SUM('Section 10'!$K$79:$K$83)</f>
        <v>0</v>
      </c>
      <c r="O31" s="47"/>
      <c r="P31" s="47"/>
      <c r="Q31" s="47"/>
      <c r="R31" s="47"/>
      <c r="S31" s="48"/>
    </row>
    <row r="32" spans="2:19">
      <c r="B32" s="307" t="s">
        <v>240</v>
      </c>
      <c r="C32" s="277"/>
      <c r="D32" s="277"/>
      <c r="E32" s="181"/>
      <c r="F32" s="181"/>
      <c r="G32" s="181"/>
      <c r="H32" s="181"/>
      <c r="I32" s="181"/>
      <c r="J32" s="181"/>
      <c r="K32" s="181"/>
      <c r="L32" s="181"/>
      <c r="M32" s="181"/>
      <c r="N32" s="169">
        <f>SUM('Section 10'!$K$89:$K$93)</f>
        <v>0</v>
      </c>
      <c r="O32" s="47"/>
      <c r="P32" s="47"/>
      <c r="Q32" s="47"/>
      <c r="R32" s="47"/>
      <c r="S32" s="48"/>
    </row>
    <row r="33" spans="2:19">
      <c r="B33" s="307" t="s">
        <v>241</v>
      </c>
      <c r="C33" s="277"/>
      <c r="D33" s="277"/>
      <c r="E33" s="181"/>
      <c r="F33" s="181"/>
      <c r="G33" s="181"/>
      <c r="H33" s="181"/>
      <c r="I33" s="181"/>
      <c r="J33" s="181"/>
      <c r="K33" s="181"/>
      <c r="L33" s="181"/>
      <c r="M33" s="181"/>
      <c r="N33" s="169">
        <f>SUM('Section 10'!$K$101:$K$105)</f>
        <v>0</v>
      </c>
      <c r="O33" s="47"/>
      <c r="P33" s="47"/>
      <c r="Q33" s="47"/>
      <c r="R33" s="47"/>
      <c r="S33" s="48"/>
    </row>
    <row r="34" spans="2:19" ht="17.399999999999999" thickBot="1">
      <c r="B34" s="308" t="s">
        <v>242</v>
      </c>
      <c r="C34" s="309"/>
      <c r="D34" s="309"/>
      <c r="E34" s="182"/>
      <c r="F34" s="182"/>
      <c r="G34" s="182"/>
      <c r="H34" s="182"/>
      <c r="I34" s="182"/>
      <c r="J34" s="182"/>
      <c r="K34" s="182"/>
      <c r="L34" s="182"/>
      <c r="M34" s="182"/>
      <c r="N34" s="188">
        <f>SUM('Section 10'!$K$111:$K$115)</f>
        <v>0</v>
      </c>
      <c r="O34" s="47"/>
      <c r="P34" s="47"/>
      <c r="Q34" s="47"/>
      <c r="R34" s="47"/>
      <c r="S34" s="48"/>
    </row>
    <row r="35" spans="2:19" ht="17.399999999999999" thickBot="1">
      <c r="B35" s="303" t="s">
        <v>311</v>
      </c>
      <c r="C35" s="304"/>
      <c r="D35" s="304"/>
      <c r="E35" s="77">
        <f>SUM(E25:E29)</f>
        <v>0</v>
      </c>
      <c r="F35" s="77">
        <f>SUM(F25:F28)</f>
        <v>0</v>
      </c>
      <c r="G35" s="77">
        <f>SUM(G25)</f>
        <v>0</v>
      </c>
      <c r="H35" s="77">
        <f>SUM(H25:H26)</f>
        <v>0</v>
      </c>
      <c r="I35" s="77">
        <f>SUM(I25:I30)</f>
        <v>0</v>
      </c>
      <c r="J35" s="77">
        <f>SUM(J25:J28)</f>
        <v>0</v>
      </c>
      <c r="K35" s="77">
        <f>SUM(K25:K27)</f>
        <v>0</v>
      </c>
      <c r="L35" s="77">
        <f>SUM(L25:L28)</f>
        <v>0</v>
      </c>
      <c r="M35" s="77">
        <f>SUM(M25:M26)</f>
        <v>0</v>
      </c>
      <c r="N35" s="78">
        <f>SUM(N25:N34)</f>
        <v>0</v>
      </c>
      <c r="O35" s="47"/>
      <c r="P35" s="47"/>
      <c r="Q35" s="47"/>
      <c r="R35" s="47"/>
      <c r="S35" s="48"/>
    </row>
    <row r="36" spans="2:19" ht="17.399999999999999" thickBot="1">
      <c r="B36" s="333" t="s">
        <v>504</v>
      </c>
      <c r="C36" s="334"/>
      <c r="D36" s="334"/>
      <c r="E36" s="176">
        <f>E23*6</f>
        <v>30</v>
      </c>
      <c r="F36" s="176">
        <f t="shared" ref="F36:M36" si="2">F23*6</f>
        <v>24</v>
      </c>
      <c r="G36" s="176">
        <f t="shared" si="2"/>
        <v>6</v>
      </c>
      <c r="H36" s="176">
        <f t="shared" si="2"/>
        <v>12</v>
      </c>
      <c r="I36" s="176">
        <f t="shared" si="2"/>
        <v>36</v>
      </c>
      <c r="J36" s="176">
        <f t="shared" si="2"/>
        <v>24</v>
      </c>
      <c r="K36" s="176">
        <f t="shared" si="2"/>
        <v>18</v>
      </c>
      <c r="L36" s="176">
        <f t="shared" si="2"/>
        <v>24</v>
      </c>
      <c r="M36" s="176">
        <f t="shared" si="2"/>
        <v>6</v>
      </c>
      <c r="N36" s="176">
        <f>N23*6</f>
        <v>60</v>
      </c>
      <c r="O36" s="47"/>
      <c r="P36" s="47"/>
      <c r="Q36" s="47"/>
      <c r="R36" s="47"/>
      <c r="S36" s="48"/>
    </row>
    <row r="37" spans="2:19" ht="17.399999999999999" thickBot="1">
      <c r="B37" s="330" t="s">
        <v>505</v>
      </c>
      <c r="C37" s="331"/>
      <c r="D37" s="332"/>
      <c r="E37" s="176">
        <v>30</v>
      </c>
      <c r="F37" s="176">
        <v>24</v>
      </c>
      <c r="G37" s="176">
        <v>6</v>
      </c>
      <c r="H37" s="176">
        <v>12</v>
      </c>
      <c r="I37" s="176">
        <v>36</v>
      </c>
      <c r="J37" s="176">
        <v>24</v>
      </c>
      <c r="K37" s="176">
        <v>18</v>
      </c>
      <c r="L37" s="176">
        <v>24</v>
      </c>
      <c r="M37" s="176">
        <v>6</v>
      </c>
      <c r="N37" s="176">
        <v>60</v>
      </c>
      <c r="O37" s="47"/>
      <c r="P37" s="47">
        <f>SUM(E35:N35)</f>
        <v>0</v>
      </c>
      <c r="Q37" s="47"/>
      <c r="R37" s="47"/>
      <c r="S37" s="48"/>
    </row>
    <row r="38" spans="2:19">
      <c r="O38" s="47"/>
      <c r="P38" s="47">
        <f>SUM(E36:N36)</f>
        <v>240</v>
      </c>
      <c r="Q38" s="79">
        <f>P37/P38</f>
        <v>0</v>
      </c>
      <c r="R38" s="47"/>
      <c r="S38" s="48"/>
    </row>
    <row r="39" spans="2:19" ht="17.399999999999999" thickBot="1">
      <c r="O39" s="67"/>
      <c r="P39" s="67">
        <f>SUM(E37:N37)</f>
        <v>240</v>
      </c>
      <c r="Q39" s="67"/>
      <c r="R39" s="67"/>
      <c r="S39" s="69"/>
    </row>
    <row r="48" spans="2:19" collapsed="1"/>
  </sheetData>
  <mergeCells count="24">
    <mergeCell ref="B22:D22"/>
    <mergeCell ref="B8:D8"/>
    <mergeCell ref="B9:D9"/>
    <mergeCell ref="B37:D37"/>
    <mergeCell ref="B36:D36"/>
    <mergeCell ref="B27:D27"/>
    <mergeCell ref="B28:D28"/>
    <mergeCell ref="B29:D29"/>
    <mergeCell ref="B2:S2"/>
    <mergeCell ref="B3:S3"/>
    <mergeCell ref="B35:D35"/>
    <mergeCell ref="B10:D10"/>
    <mergeCell ref="B31:D31"/>
    <mergeCell ref="B32:D32"/>
    <mergeCell ref="B33:D33"/>
    <mergeCell ref="B34:D34"/>
    <mergeCell ref="B30:D30"/>
    <mergeCell ref="D12:D14"/>
    <mergeCell ref="D15:D17"/>
    <mergeCell ref="D18:D20"/>
    <mergeCell ref="B25:D25"/>
    <mergeCell ref="B26:D26"/>
    <mergeCell ref="B6:D6"/>
    <mergeCell ref="B23:D23"/>
  </mergeCells>
  <phoneticPr fontId="4" type="noConversion"/>
  <conditionalFormatting sqref="L13:L14">
    <cfRule type="cellIs" dxfId="0" priority="1" operator="greaterThan">
      <formula>0.1</formula>
    </cfRule>
  </conditionalFormatting>
  <pageMargins left="0.7" right="0.7" top="0.75" bottom="0.75" header="0.3" footer="0.3"/>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FBBCDF-5B44-4EA1-9DA5-CA02356FE9B2}">
  <sheetPr codeName="Sheet13"/>
  <dimension ref="A1:I29"/>
  <sheetViews>
    <sheetView topLeftCell="A5" zoomScale="62" workbookViewId="0">
      <selection activeCell="C5" sqref="C5"/>
    </sheetView>
  </sheetViews>
  <sheetFormatPr defaultColWidth="0" defaultRowHeight="16.8" zeroHeight="1"/>
  <cols>
    <col min="1" max="1" width="8.5" style="100" customWidth="1"/>
    <col min="2" max="2" width="49.5" style="101" customWidth="1"/>
    <col min="3" max="3" width="84.9140625" style="101" customWidth="1"/>
    <col min="4" max="4" width="51.4140625" style="101" customWidth="1"/>
    <col min="5" max="5" width="32.5" style="100" customWidth="1"/>
    <col min="6" max="9" width="8.5" style="100" customWidth="1"/>
    <col min="10" max="16384" width="8.5" style="100" hidden="1"/>
  </cols>
  <sheetData>
    <row r="1" spans="2:4"/>
    <row r="2" spans="2:4" ht="17.399999999999999" thickBot="1"/>
    <row r="3" spans="2:4" s="111" customFormat="1" ht="25.2" thickBot="1">
      <c r="B3" s="118" t="s">
        <v>245</v>
      </c>
      <c r="C3" s="119" t="s">
        <v>246</v>
      </c>
      <c r="D3" s="119" t="s">
        <v>247</v>
      </c>
    </row>
    <row r="4" spans="2:4" ht="252">
      <c r="B4" s="108" t="s">
        <v>248</v>
      </c>
      <c r="C4" s="102" t="s">
        <v>249</v>
      </c>
      <c r="D4" s="103" t="s">
        <v>250</v>
      </c>
    </row>
    <row r="5" spans="2:4" ht="67.2">
      <c r="B5" s="109" t="s">
        <v>251</v>
      </c>
      <c r="C5" s="104" t="s">
        <v>252</v>
      </c>
      <c r="D5" s="105"/>
    </row>
    <row r="6" spans="2:4" ht="33.6">
      <c r="B6" s="109" t="s">
        <v>253</v>
      </c>
      <c r="C6" s="104" t="s">
        <v>254</v>
      </c>
      <c r="D6" s="105"/>
    </row>
    <row r="7" spans="2:4" ht="84">
      <c r="B7" s="109" t="s">
        <v>255</v>
      </c>
      <c r="C7" s="104" t="s">
        <v>256</v>
      </c>
      <c r="D7" s="105"/>
    </row>
    <row r="8" spans="2:4" ht="50.4">
      <c r="B8" s="109" t="s">
        <v>257</v>
      </c>
      <c r="C8" s="104" t="s">
        <v>258</v>
      </c>
      <c r="D8" s="105"/>
    </row>
    <row r="9" spans="2:4" ht="84">
      <c r="B9" s="109" t="s">
        <v>259</v>
      </c>
      <c r="C9" s="104" t="s">
        <v>260</v>
      </c>
      <c r="D9" s="105"/>
    </row>
    <row r="10" spans="2:4" ht="134.4">
      <c r="B10" s="109" t="s">
        <v>261</v>
      </c>
      <c r="C10" s="104" t="s">
        <v>262</v>
      </c>
      <c r="D10" s="105" t="s">
        <v>263</v>
      </c>
    </row>
    <row r="11" spans="2:4">
      <c r="B11" s="109" t="s">
        <v>264</v>
      </c>
      <c r="C11" s="104" t="s">
        <v>265</v>
      </c>
      <c r="D11" s="105"/>
    </row>
    <row r="12" spans="2:4" ht="67.2">
      <c r="B12" s="109" t="s">
        <v>24</v>
      </c>
      <c r="C12" s="104" t="s">
        <v>266</v>
      </c>
      <c r="D12" s="105"/>
    </row>
    <row r="13" spans="2:4" ht="50.4">
      <c r="B13" s="109" t="s">
        <v>267</v>
      </c>
      <c r="C13" s="104" t="s">
        <v>268</v>
      </c>
      <c r="D13" s="105"/>
    </row>
    <row r="14" spans="2:4" ht="33.6">
      <c r="B14" s="109" t="s">
        <v>269</v>
      </c>
      <c r="C14" s="104" t="s">
        <v>270</v>
      </c>
      <c r="D14" s="105"/>
    </row>
    <row r="15" spans="2:4" ht="50.4">
      <c r="B15" s="109" t="s">
        <v>271</v>
      </c>
      <c r="C15" s="104" t="s">
        <v>272</v>
      </c>
      <c r="D15" s="105"/>
    </row>
    <row r="16" spans="2:4" ht="100.8">
      <c r="B16" s="109" t="s">
        <v>273</v>
      </c>
      <c r="C16" s="104" t="s">
        <v>274</v>
      </c>
      <c r="D16" s="105" t="s">
        <v>275</v>
      </c>
    </row>
    <row r="17" spans="2:4" ht="100.8">
      <c r="B17" s="109" t="s">
        <v>276</v>
      </c>
      <c r="C17" s="104" t="s">
        <v>277</v>
      </c>
      <c r="D17" s="105"/>
    </row>
    <row r="18" spans="2:4" ht="50.4">
      <c r="B18" s="109" t="s">
        <v>278</v>
      </c>
      <c r="C18" s="104" t="s">
        <v>279</v>
      </c>
      <c r="D18" s="105"/>
    </row>
    <row r="19" spans="2:4" ht="33.6">
      <c r="B19" s="109" t="s">
        <v>280</v>
      </c>
      <c r="C19" s="104" t="s">
        <v>281</v>
      </c>
      <c r="D19" s="105"/>
    </row>
    <row r="20" spans="2:4" ht="67.8" thickBot="1">
      <c r="B20" s="110" t="s">
        <v>282</v>
      </c>
      <c r="C20" s="106" t="s">
        <v>283</v>
      </c>
      <c r="D20" s="107"/>
    </row>
    <row r="21" spans="2:4"/>
    <row r="22" spans="2:4"/>
    <row r="23" spans="2:4"/>
    <row r="24" spans="2:4"/>
    <row r="25" spans="2:4"/>
    <row r="26" spans="2:4"/>
    <row r="27" spans="2:4"/>
    <row r="28" spans="2:4"/>
    <row r="29" spans="2:4"/>
  </sheetData>
  <pageMargins left="0.7" right="0.7" top="0.75" bottom="0.75" header="0.3" footer="0.3"/>
  <pageSetup paperSize="9"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FD0CAE-D1AD-4761-A854-50D7443B9C89}">
  <sheetPr codeName="Sheet16"/>
  <dimension ref="A1:L38"/>
  <sheetViews>
    <sheetView zoomScale="90" zoomScaleNormal="90" workbookViewId="0">
      <pane xSplit="2" ySplit="1" topLeftCell="C23" activePane="bottomRight" state="frozen"/>
      <selection pane="topRight" activeCell="C1" sqref="C1"/>
      <selection pane="bottomLeft" activeCell="A2" sqref="A2"/>
      <selection pane="bottomRight" activeCell="B33" sqref="B33"/>
    </sheetView>
  </sheetViews>
  <sheetFormatPr defaultColWidth="0" defaultRowHeight="16.8" zeroHeight="1"/>
  <cols>
    <col min="1" max="2" width="13.6640625" customWidth="1"/>
    <col min="3" max="3" width="9.83203125" customWidth="1"/>
    <col min="4" max="4" width="10.33203125" customWidth="1"/>
    <col min="5" max="5" width="10.9140625" customWidth="1"/>
    <col min="6" max="6" width="9.6640625" customWidth="1"/>
    <col min="7" max="7" width="9.9140625" customWidth="1"/>
    <col min="8" max="8" width="10.08203125" customWidth="1"/>
    <col min="9" max="9" width="10.9140625" customWidth="1"/>
    <col min="10" max="10" width="9.83203125" customWidth="1"/>
    <col min="11" max="11" width="10.5" customWidth="1"/>
    <col min="12" max="12" width="11.08203125" customWidth="1"/>
    <col min="13" max="16384" width="8.83203125" hidden="1"/>
  </cols>
  <sheetData>
    <row r="1" spans="1:12" ht="17.399999999999999" thickBot="1">
      <c r="C1" s="12" t="s">
        <v>143</v>
      </c>
      <c r="D1" s="13" t="s">
        <v>181</v>
      </c>
      <c r="E1" s="13" t="s">
        <v>195</v>
      </c>
      <c r="F1" s="13" t="s">
        <v>205</v>
      </c>
      <c r="G1" s="13" t="s">
        <v>215</v>
      </c>
      <c r="H1" s="13" t="s">
        <v>222</v>
      </c>
      <c r="I1" s="13" t="s">
        <v>232</v>
      </c>
      <c r="J1" s="13" t="s">
        <v>236</v>
      </c>
      <c r="K1" s="13" t="s">
        <v>237</v>
      </c>
      <c r="L1" s="14" t="s">
        <v>238</v>
      </c>
    </row>
    <row r="2" spans="1:12" ht="17.399999999999999" thickBot="1">
      <c r="A2" t="s">
        <v>310</v>
      </c>
      <c r="C2" s="31">
        <v>5</v>
      </c>
      <c r="D2" s="31">
        <v>4</v>
      </c>
      <c r="E2" s="31">
        <v>1</v>
      </c>
      <c r="F2" s="31">
        <v>2</v>
      </c>
      <c r="G2" s="31">
        <v>6</v>
      </c>
      <c r="H2" s="31">
        <v>4</v>
      </c>
      <c r="I2" s="31">
        <v>3</v>
      </c>
      <c r="J2" s="31">
        <v>4</v>
      </c>
      <c r="K2" s="31">
        <v>1</v>
      </c>
      <c r="L2" s="31">
        <v>10</v>
      </c>
    </row>
    <row r="3" spans="1:12">
      <c r="A3" s="20" t="s">
        <v>299</v>
      </c>
      <c r="B3" s="21" t="s">
        <v>161</v>
      </c>
      <c r="C3" s="21">
        <f>'Section 1'!$K$20</f>
        <v>0</v>
      </c>
      <c r="D3" s="21">
        <f>'Section 2'!$K$21</f>
        <v>0</v>
      </c>
      <c r="E3" s="21">
        <f>'Section 3'!$K$19</f>
        <v>0</v>
      </c>
      <c r="F3" s="21">
        <f>'Section 4'!$K$19</f>
        <v>0</v>
      </c>
      <c r="G3" s="21">
        <f>'Section 5'!$K$19</f>
        <v>0</v>
      </c>
      <c r="H3" s="21">
        <f>'Section 6'!$K$19</f>
        <v>0</v>
      </c>
      <c r="I3" s="21">
        <f>'Section 7'!$K$19</f>
        <v>0</v>
      </c>
      <c r="J3" s="21">
        <f>'Section 8'!$K$19</f>
        <v>0</v>
      </c>
      <c r="K3" s="21">
        <f>'Section 9'!$K$19</f>
        <v>0</v>
      </c>
      <c r="L3" s="22">
        <f>'Section 10'!$K$19</f>
        <v>0</v>
      </c>
    </row>
    <row r="4" spans="1:12">
      <c r="A4" s="23" t="s">
        <v>303</v>
      </c>
      <c r="B4" t="s">
        <v>161</v>
      </c>
      <c r="C4">
        <f>'Section 1'!$K$22</f>
        <v>0</v>
      </c>
      <c r="D4">
        <f>'Section 2'!$K$23</f>
        <v>0</v>
      </c>
      <c r="E4">
        <f>'Section 3'!$K$21</f>
        <v>0</v>
      </c>
      <c r="F4">
        <f>'Section 4'!$K$21</f>
        <v>0</v>
      </c>
      <c r="G4">
        <f>'Section 5'!$K$21</f>
        <v>0</v>
      </c>
      <c r="H4">
        <f>'Section 6'!$K$21</f>
        <v>0</v>
      </c>
      <c r="I4">
        <f>'Section 7'!$K$21</f>
        <v>0</v>
      </c>
      <c r="J4">
        <f>'Section 8'!$K$21</f>
        <v>0</v>
      </c>
      <c r="K4">
        <f>'Section 9'!$K$21</f>
        <v>0</v>
      </c>
      <c r="L4" s="24">
        <f>'Section 10'!$K$21</f>
        <v>0</v>
      </c>
    </row>
    <row r="5" spans="1:12" ht="17.399999999999999" thickBot="1">
      <c r="A5" s="23" t="s">
        <v>307</v>
      </c>
      <c r="B5" t="s">
        <v>161</v>
      </c>
      <c r="C5">
        <f>'Section 1'!$K$24</f>
        <v>0</v>
      </c>
      <c r="D5">
        <f>'Section 2'!$K$25</f>
        <v>0</v>
      </c>
      <c r="E5">
        <f>'Section 3'!$K$23</f>
        <v>0</v>
      </c>
      <c r="F5">
        <f>'Section 4'!$K$23</f>
        <v>0</v>
      </c>
      <c r="G5">
        <f>'Section 5'!$K$23</f>
        <v>0</v>
      </c>
      <c r="H5">
        <f>'Section 6'!$K$23</f>
        <v>0</v>
      </c>
      <c r="I5">
        <f>'Section 7'!$K$23</f>
        <v>0</v>
      </c>
      <c r="J5">
        <f>'Section 8'!$K$23</f>
        <v>0</v>
      </c>
      <c r="K5">
        <f>'Section 9'!$K$23</f>
        <v>0</v>
      </c>
      <c r="L5" s="24">
        <f>'Section 10'!$K$23</f>
        <v>0</v>
      </c>
    </row>
    <row r="6" spans="1:12">
      <c r="A6" s="20" t="s">
        <v>299</v>
      </c>
      <c r="B6" s="21" t="s">
        <v>170</v>
      </c>
      <c r="C6" s="21">
        <f>'Section 1'!$K$30</f>
        <v>0</v>
      </c>
      <c r="D6" s="21">
        <f>'Section 2'!$K$31</f>
        <v>0</v>
      </c>
      <c r="E6" s="21"/>
      <c r="F6" s="21">
        <f>'Section 4'!$K$29</f>
        <v>0</v>
      </c>
      <c r="G6" s="21">
        <f>'Section 5'!$K$29</f>
        <v>0</v>
      </c>
      <c r="H6" s="21">
        <f>'Section 6'!$K$29</f>
        <v>0</v>
      </c>
      <c r="I6" s="21">
        <f>'Section 7'!$K$29</f>
        <v>0</v>
      </c>
      <c r="J6" s="21">
        <f>'Section 8'!$K$29</f>
        <v>0</v>
      </c>
      <c r="K6" s="21"/>
      <c r="L6" s="22">
        <f>'Section 10'!$K$29</f>
        <v>0</v>
      </c>
    </row>
    <row r="7" spans="1:12">
      <c r="A7" s="23" t="s">
        <v>303</v>
      </c>
      <c r="B7" t="s">
        <v>170</v>
      </c>
      <c r="C7">
        <f>'Section 1'!$K$32</f>
        <v>0</v>
      </c>
      <c r="D7">
        <f>'Section 2'!$K$33</f>
        <v>0</v>
      </c>
      <c r="F7">
        <f>'Section 4'!$K$31</f>
        <v>0</v>
      </c>
      <c r="G7">
        <f>'Section 5'!$K$31</f>
        <v>0</v>
      </c>
      <c r="H7">
        <f>'Section 6'!$K$31</f>
        <v>0</v>
      </c>
      <c r="I7">
        <f>'Section 7'!$K$31</f>
        <v>0</v>
      </c>
      <c r="J7">
        <f>'Section 8'!$K$31</f>
        <v>0</v>
      </c>
      <c r="L7" s="24">
        <f>'Section 10'!$K$31</f>
        <v>0</v>
      </c>
    </row>
    <row r="8" spans="1:12" ht="17.399999999999999" thickBot="1">
      <c r="A8" s="25" t="s">
        <v>307</v>
      </c>
      <c r="B8" s="26" t="s">
        <v>170</v>
      </c>
      <c r="C8" s="26">
        <f>'Section 1'!$K$34</f>
        <v>0</v>
      </c>
      <c r="D8" s="26">
        <f>'Section 2'!$K$35</f>
        <v>0</v>
      </c>
      <c r="E8" s="26"/>
      <c r="F8" s="26">
        <f>'Section 4'!$K$33</f>
        <v>0</v>
      </c>
      <c r="G8" s="26">
        <f>'Section 5'!$K$33</f>
        <v>0</v>
      </c>
      <c r="H8" s="26">
        <f>'Section 6'!$K$33</f>
        <v>0</v>
      </c>
      <c r="I8" s="26">
        <f>'Section 7'!$K$33</f>
        <v>0</v>
      </c>
      <c r="J8" s="26">
        <f>'Section 8'!$K$33</f>
        <v>0</v>
      </c>
      <c r="K8" s="26"/>
      <c r="L8" s="27">
        <f>'Section 10'!$K$33</f>
        <v>0</v>
      </c>
    </row>
    <row r="9" spans="1:12">
      <c r="A9" s="23" t="s">
        <v>299</v>
      </c>
      <c r="B9" t="s">
        <v>171</v>
      </c>
      <c r="C9">
        <f>'Section 1'!$K$40</f>
        <v>0</v>
      </c>
      <c r="D9" s="21">
        <f>'Section 2'!$K$41</f>
        <v>0</v>
      </c>
      <c r="G9">
        <f>'Section 5'!$K$39</f>
        <v>0</v>
      </c>
      <c r="H9">
        <f>'Section 6'!$K$39</f>
        <v>0</v>
      </c>
      <c r="I9">
        <f>'Section 7'!$K$39</f>
        <v>0</v>
      </c>
      <c r="J9">
        <f>'Section 8'!$K$39</f>
        <v>0</v>
      </c>
      <c r="L9" s="24">
        <f>'Section 10'!$K$39</f>
        <v>0</v>
      </c>
    </row>
    <row r="10" spans="1:12">
      <c r="A10" s="23" t="s">
        <v>303</v>
      </c>
      <c r="B10" t="s">
        <v>171</v>
      </c>
      <c r="C10">
        <f>'Section 1'!$K$42</f>
        <v>0</v>
      </c>
      <c r="D10">
        <f>'Section 2'!$K$43</f>
        <v>0</v>
      </c>
      <c r="G10">
        <f>'Section 5'!$K$41</f>
        <v>0</v>
      </c>
      <c r="H10">
        <f>'Section 6'!$K$41</f>
        <v>0</v>
      </c>
      <c r="I10">
        <f>'Section 7'!$K$41</f>
        <v>0</v>
      </c>
      <c r="J10">
        <f>'Section 8'!$K$41</f>
        <v>0</v>
      </c>
      <c r="L10" s="24">
        <f>'Section 10'!$K$41</f>
        <v>0</v>
      </c>
    </row>
    <row r="11" spans="1:12" ht="17.399999999999999" thickBot="1">
      <c r="A11" s="25" t="s">
        <v>307</v>
      </c>
      <c r="B11" s="26" t="s">
        <v>171</v>
      </c>
      <c r="C11" s="26">
        <f>'Section 1'!$K$44</f>
        <v>0</v>
      </c>
      <c r="D11" s="26">
        <f>'Section 2'!$K$45</f>
        <v>0</v>
      </c>
      <c r="E11" s="26"/>
      <c r="F11" s="26"/>
      <c r="G11" s="26">
        <f>'Section 5'!$K$43</f>
        <v>0</v>
      </c>
      <c r="H11" s="26">
        <f>'Section 6'!$K$43</f>
        <v>0</v>
      </c>
      <c r="I11" s="26">
        <f>'Section 7'!$K$43</f>
        <v>0</v>
      </c>
      <c r="J11" s="26">
        <f>'Section 8'!$K$43</f>
        <v>0</v>
      </c>
      <c r="K11" s="26"/>
      <c r="L11" s="27">
        <f>'Section 10'!$K$43</f>
        <v>0</v>
      </c>
    </row>
    <row r="12" spans="1:12">
      <c r="A12" s="20" t="s">
        <v>299</v>
      </c>
      <c r="B12" s="21" t="s">
        <v>174</v>
      </c>
      <c r="C12" s="21">
        <f>'Section 1'!$K$50</f>
        <v>0</v>
      </c>
      <c r="D12" s="21">
        <f>'Section 2'!$K$51</f>
        <v>0</v>
      </c>
      <c r="E12" s="21"/>
      <c r="F12" s="21"/>
      <c r="G12" s="21">
        <f>'Section 5'!$K$49</f>
        <v>0</v>
      </c>
      <c r="H12" s="21">
        <f>'Section 6'!$K$49</f>
        <v>0</v>
      </c>
      <c r="I12" s="21"/>
      <c r="J12" s="21">
        <f>'Section 8'!$K$49</f>
        <v>0</v>
      </c>
      <c r="K12" s="21"/>
      <c r="L12" s="22">
        <f>'Section 10'!$K$49</f>
        <v>0</v>
      </c>
    </row>
    <row r="13" spans="1:12">
      <c r="A13" s="23" t="s">
        <v>303</v>
      </c>
      <c r="B13" t="s">
        <v>174</v>
      </c>
      <c r="C13">
        <f>'Section 1'!$K$52</f>
        <v>0</v>
      </c>
      <c r="D13">
        <f>'Section 2'!$K$53</f>
        <v>0</v>
      </c>
      <c r="G13">
        <f>'Section 5'!$K$51</f>
        <v>0</v>
      </c>
      <c r="H13">
        <f>'Section 6'!$K$51</f>
        <v>0</v>
      </c>
      <c r="J13">
        <f>'Section 8'!$K$51</f>
        <v>0</v>
      </c>
      <c r="L13" s="24">
        <f>'Section 10'!$K$51</f>
        <v>0</v>
      </c>
    </row>
    <row r="14" spans="1:12" ht="17.399999999999999" thickBot="1">
      <c r="A14" s="25" t="s">
        <v>307</v>
      </c>
      <c r="B14" s="26" t="s">
        <v>174</v>
      </c>
      <c r="C14" s="26">
        <f>'Section 1'!$K$54</f>
        <v>0</v>
      </c>
      <c r="D14" s="26">
        <f>'Section 2'!$K$55</f>
        <v>0</v>
      </c>
      <c r="E14" s="26"/>
      <c r="F14" s="26"/>
      <c r="G14" s="26">
        <f>'Section 5'!$K$53</f>
        <v>0</v>
      </c>
      <c r="H14" s="26">
        <f>'Section 6'!$K$53</f>
        <v>0</v>
      </c>
      <c r="I14" s="26"/>
      <c r="J14" s="26">
        <f>'Section 8'!$K$53</f>
        <v>0</v>
      </c>
      <c r="K14" s="26"/>
      <c r="L14" s="27">
        <f>'Section 10'!$K$53</f>
        <v>0</v>
      </c>
    </row>
    <row r="15" spans="1:12">
      <c r="A15" s="20" t="s">
        <v>299</v>
      </c>
      <c r="B15" s="21" t="s">
        <v>178</v>
      </c>
      <c r="C15" s="21">
        <f>'Section 1'!$K$60</f>
        <v>0</v>
      </c>
      <c r="E15" s="21"/>
      <c r="F15" s="21"/>
      <c r="G15" s="21">
        <f>'Section 5'!$K$59</f>
        <v>0</v>
      </c>
      <c r="H15" s="21"/>
      <c r="I15" s="21"/>
      <c r="K15" s="21"/>
      <c r="L15" s="22">
        <f>'Section 10'!$K$59</f>
        <v>0</v>
      </c>
    </row>
    <row r="16" spans="1:12">
      <c r="A16" s="23" t="s">
        <v>303</v>
      </c>
      <c r="B16" t="s">
        <v>178</v>
      </c>
      <c r="C16">
        <f>'Section 1'!$K$62</f>
        <v>0</v>
      </c>
      <c r="G16">
        <f>'Section 5'!$K$61</f>
        <v>0</v>
      </c>
      <c r="L16" s="24">
        <f>'Section 10'!$K$61</f>
        <v>0</v>
      </c>
    </row>
    <row r="17" spans="1:12" ht="17.399999999999999" thickBot="1">
      <c r="A17" s="25" t="s">
        <v>307</v>
      </c>
      <c r="B17" s="26" t="s">
        <v>178</v>
      </c>
      <c r="C17" s="26">
        <f>'Section 1'!$K$64</f>
        <v>0</v>
      </c>
      <c r="E17" s="26"/>
      <c r="F17" s="26"/>
      <c r="G17" s="26">
        <f>'Section 5'!$K$63</f>
        <v>0</v>
      </c>
      <c r="H17" s="26"/>
      <c r="I17" s="26"/>
      <c r="K17" s="26"/>
      <c r="L17" s="27">
        <f>'Section 10'!$K$63</f>
        <v>0</v>
      </c>
    </row>
    <row r="18" spans="1:12">
      <c r="A18" s="20" t="s">
        <v>299</v>
      </c>
      <c r="B18" s="21" t="s">
        <v>221</v>
      </c>
      <c r="C18" s="21"/>
      <c r="D18" s="21"/>
      <c r="E18" s="21"/>
      <c r="F18" s="21"/>
      <c r="G18" s="21">
        <f>'Section 5'!$K$69</f>
        <v>0</v>
      </c>
      <c r="H18" s="21"/>
      <c r="I18" s="21"/>
      <c r="J18" s="21"/>
      <c r="K18" s="21"/>
      <c r="L18" s="22">
        <f>'Section 10'!$K$69</f>
        <v>0</v>
      </c>
    </row>
    <row r="19" spans="1:12">
      <c r="A19" s="23" t="s">
        <v>303</v>
      </c>
      <c r="B19" t="s">
        <v>221</v>
      </c>
      <c r="G19">
        <f>'Section 5'!$K$71</f>
        <v>0</v>
      </c>
      <c r="L19" s="24">
        <f>'Section 10'!$K$71</f>
        <v>0</v>
      </c>
    </row>
    <row r="20" spans="1:12" ht="17.399999999999999" thickBot="1">
      <c r="A20" s="25" t="s">
        <v>307</v>
      </c>
      <c r="B20" s="26" t="s">
        <v>221</v>
      </c>
      <c r="C20" s="26"/>
      <c r="D20" s="26"/>
      <c r="E20" s="26"/>
      <c r="F20" s="26"/>
      <c r="G20" s="26">
        <f>'Section 5'!$K$73</f>
        <v>0</v>
      </c>
      <c r="H20" s="26"/>
      <c r="I20" s="26"/>
      <c r="J20" s="26"/>
      <c r="K20" s="26"/>
      <c r="L20" s="27">
        <f>'Section 10'!$K$73</f>
        <v>0</v>
      </c>
    </row>
    <row r="21" spans="1:12">
      <c r="A21" s="20" t="s">
        <v>299</v>
      </c>
      <c r="B21" s="21" t="s">
        <v>239</v>
      </c>
      <c r="C21" s="21"/>
      <c r="D21" s="21"/>
      <c r="E21" s="21"/>
      <c r="F21" s="21"/>
      <c r="G21" s="21"/>
      <c r="H21" s="21"/>
      <c r="I21" s="21"/>
      <c r="J21" s="21"/>
      <c r="K21" s="21"/>
      <c r="L21" s="22">
        <f>'Section 10'!$K$79</f>
        <v>0</v>
      </c>
    </row>
    <row r="22" spans="1:12">
      <c r="A22" s="23" t="s">
        <v>303</v>
      </c>
      <c r="B22" t="s">
        <v>239</v>
      </c>
      <c r="L22" s="24">
        <f>'Section 10'!$K$81</f>
        <v>0</v>
      </c>
    </row>
    <row r="23" spans="1:12" ht="17.399999999999999" thickBot="1">
      <c r="A23" s="25" t="s">
        <v>307</v>
      </c>
      <c r="B23" s="26" t="s">
        <v>239</v>
      </c>
      <c r="C23" s="26"/>
      <c r="D23" s="26"/>
      <c r="E23" s="26"/>
      <c r="F23" s="26"/>
      <c r="G23" s="26"/>
      <c r="H23" s="26"/>
      <c r="I23" s="26"/>
      <c r="J23" s="26"/>
      <c r="K23" s="26"/>
      <c r="L23" s="27">
        <f>'Section 10'!$K$83</f>
        <v>0</v>
      </c>
    </row>
    <row r="24" spans="1:12">
      <c r="A24" s="20" t="s">
        <v>299</v>
      </c>
      <c r="B24" s="21" t="s">
        <v>240</v>
      </c>
      <c r="C24" s="21"/>
      <c r="D24" s="21"/>
      <c r="E24" s="21"/>
      <c r="F24" s="21"/>
      <c r="G24" s="21"/>
      <c r="H24" s="21"/>
      <c r="I24" s="21"/>
      <c r="J24" s="21"/>
      <c r="K24" s="21"/>
      <c r="L24" s="22">
        <f>'Section 10'!$K$89</f>
        <v>0</v>
      </c>
    </row>
    <row r="25" spans="1:12">
      <c r="A25" s="23" t="s">
        <v>303</v>
      </c>
      <c r="B25" t="s">
        <v>240</v>
      </c>
      <c r="L25" s="24">
        <f>'Section 10'!$K$91</f>
        <v>0</v>
      </c>
    </row>
    <row r="26" spans="1:12" ht="17.399999999999999" thickBot="1">
      <c r="A26" s="25" t="s">
        <v>307</v>
      </c>
      <c r="B26" s="26" t="s">
        <v>240</v>
      </c>
      <c r="C26" s="26"/>
      <c r="D26" s="26"/>
      <c r="E26" s="26"/>
      <c r="F26" s="26"/>
      <c r="G26" s="26"/>
      <c r="H26" s="26"/>
      <c r="I26" s="26"/>
      <c r="J26" s="26"/>
      <c r="K26" s="26"/>
      <c r="L26" s="27">
        <f>'Section 10'!$K$93</f>
        <v>0</v>
      </c>
    </row>
    <row r="27" spans="1:12">
      <c r="A27" s="20" t="s">
        <v>299</v>
      </c>
      <c r="B27" s="21" t="s">
        <v>241</v>
      </c>
      <c r="C27" s="21"/>
      <c r="D27" s="21"/>
      <c r="E27" s="21"/>
      <c r="F27" s="21"/>
      <c r="G27" s="21"/>
      <c r="H27" s="21"/>
      <c r="I27" s="21"/>
      <c r="J27" s="21"/>
      <c r="K27" s="21"/>
      <c r="L27" s="22">
        <f>'Section 10'!$K$101</f>
        <v>0</v>
      </c>
    </row>
    <row r="28" spans="1:12">
      <c r="A28" s="23" t="s">
        <v>303</v>
      </c>
      <c r="B28" t="s">
        <v>241</v>
      </c>
      <c r="L28" s="24">
        <f>'Section 10'!$K$103</f>
        <v>0</v>
      </c>
    </row>
    <row r="29" spans="1:12" ht="17.399999999999999" thickBot="1">
      <c r="A29" s="25" t="s">
        <v>307</v>
      </c>
      <c r="B29" s="26" t="s">
        <v>241</v>
      </c>
      <c r="C29" s="26"/>
      <c r="D29" s="26"/>
      <c r="E29" s="26"/>
      <c r="F29" s="26"/>
      <c r="G29" s="26"/>
      <c r="H29" s="26"/>
      <c r="I29" s="26"/>
      <c r="J29" s="26"/>
      <c r="K29" s="26"/>
      <c r="L29" s="27">
        <f>'Section 10'!$K$105</f>
        <v>0</v>
      </c>
    </row>
    <row r="30" spans="1:12">
      <c r="A30" s="20" t="s">
        <v>299</v>
      </c>
      <c r="B30" s="21" t="s">
        <v>242</v>
      </c>
      <c r="C30" s="21"/>
      <c r="D30" s="21"/>
      <c r="E30" s="21"/>
      <c r="F30" s="21"/>
      <c r="G30" s="21"/>
      <c r="H30" s="21"/>
      <c r="I30" s="21"/>
      <c r="J30" s="21"/>
      <c r="K30" s="21"/>
      <c r="L30" s="22">
        <f>'Section 10'!$K$111</f>
        <v>0</v>
      </c>
    </row>
    <row r="31" spans="1:12">
      <c r="A31" s="23" t="s">
        <v>303</v>
      </c>
      <c r="B31" t="s">
        <v>242</v>
      </c>
      <c r="L31" s="24">
        <f>'Section 10'!$K$113</f>
        <v>0</v>
      </c>
    </row>
    <row r="32" spans="1:12" ht="17.399999999999999" thickBot="1">
      <c r="A32" s="25" t="s">
        <v>307</v>
      </c>
      <c r="B32" s="26" t="s">
        <v>242</v>
      </c>
      <c r="C32" s="26"/>
      <c r="D32" s="26"/>
      <c r="E32" s="26"/>
      <c r="F32" s="26"/>
      <c r="G32" s="26"/>
      <c r="H32" s="26"/>
      <c r="I32" s="26"/>
      <c r="J32" s="26"/>
      <c r="K32" s="26"/>
      <c r="L32" s="27">
        <f>'Section 10'!$K$115</f>
        <v>0</v>
      </c>
    </row>
    <row r="33"/>
    <row r="34"/>
    <row r="35"/>
    <row r="36"/>
    <row r="37"/>
    <row r="38"/>
  </sheetData>
  <phoneticPr fontId="4" type="noConversion"/>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2CBA35-1008-418C-9704-386ACF08D8EB}">
  <sheetPr codeName="Sheet17"/>
  <dimension ref="A1:P33"/>
  <sheetViews>
    <sheetView workbookViewId="0">
      <selection activeCell="G15" sqref="G15"/>
    </sheetView>
  </sheetViews>
  <sheetFormatPr defaultColWidth="0" defaultRowHeight="16.8" zeroHeight="1"/>
  <cols>
    <col min="1" max="4" width="8.83203125" customWidth="1"/>
    <col min="5" max="9" width="22.83203125" customWidth="1"/>
    <col min="10" max="10" width="39.6640625" customWidth="1"/>
    <col min="11" max="11" width="30.4140625" customWidth="1"/>
    <col min="12" max="12" width="29.58203125" customWidth="1"/>
    <col min="13" max="14" width="22.83203125" customWidth="1"/>
    <col min="15" max="16" width="0" hidden="1" customWidth="1"/>
    <col min="17" max="16384" width="8.83203125" hidden="1"/>
  </cols>
  <sheetData>
    <row r="1" spans="1:16" ht="17.399999999999999" thickBot="1">
      <c r="A1" s="32"/>
      <c r="B1" s="32"/>
      <c r="C1" s="32"/>
      <c r="D1" s="32"/>
      <c r="E1" s="32"/>
      <c r="F1" s="32"/>
      <c r="G1" s="32"/>
      <c r="H1" s="32"/>
      <c r="I1" s="32"/>
      <c r="J1" s="32"/>
      <c r="K1" s="32"/>
      <c r="L1" s="32"/>
      <c r="M1" s="32"/>
      <c r="N1" s="32"/>
      <c r="O1" s="32"/>
      <c r="P1" s="32"/>
    </row>
    <row r="2" spans="1:16" ht="17.399999999999999" thickBot="1">
      <c r="A2" s="32"/>
      <c r="B2" s="335" t="s">
        <v>290</v>
      </c>
      <c r="C2" s="336"/>
      <c r="D2" s="336"/>
      <c r="E2" s="12" t="s">
        <v>143</v>
      </c>
      <c r="F2" s="13" t="s">
        <v>181</v>
      </c>
      <c r="G2" s="13" t="s">
        <v>195</v>
      </c>
      <c r="H2" s="13" t="s">
        <v>205</v>
      </c>
      <c r="I2" s="13" t="s">
        <v>215</v>
      </c>
      <c r="J2" s="13" t="s">
        <v>222</v>
      </c>
      <c r="K2" s="13" t="s">
        <v>232</v>
      </c>
      <c r="L2" s="13" t="s">
        <v>236</v>
      </c>
      <c r="M2" s="13" t="s">
        <v>237</v>
      </c>
      <c r="N2" s="14" t="s">
        <v>238</v>
      </c>
    </row>
    <row r="3" spans="1:16">
      <c r="A3" s="32"/>
      <c r="B3" s="337" t="s">
        <v>161</v>
      </c>
      <c r="C3" s="338"/>
      <c r="D3" s="338"/>
      <c r="E3" s="15" t="str">
        <f>'Section 1'!D17</f>
        <v>Equality, Diversity, &amp; Inclusion Characteristics (Equality Act and beyond)</v>
      </c>
      <c r="F3" s="15">
        <f>'Section 2'!C18</f>
        <v>0</v>
      </c>
      <c r="G3" s="15">
        <f>'Section 3'!C16</f>
        <v>0</v>
      </c>
      <c r="H3" s="15">
        <f>'Section 4'!C16</f>
        <v>0</v>
      </c>
      <c r="I3" s="15">
        <f>'Section 5'!C16</f>
        <v>0</v>
      </c>
      <c r="J3" s="15">
        <f>'Section 6'!C16</f>
        <v>0</v>
      </c>
      <c r="K3" s="15">
        <f>'Section 7'!C16</f>
        <v>0</v>
      </c>
      <c r="L3" s="15">
        <f>'Section 8'!C16</f>
        <v>0</v>
      </c>
      <c r="M3" s="15">
        <f>'Section 9'!C16</f>
        <v>0</v>
      </c>
      <c r="N3" s="16">
        <f>'Section 10'!C16</f>
        <v>0</v>
      </c>
    </row>
    <row r="4" spans="1:16">
      <c r="A4" s="32"/>
      <c r="B4" s="339" t="s">
        <v>170</v>
      </c>
      <c r="C4" s="340"/>
      <c r="D4" s="340"/>
      <c r="E4" s="11" t="str">
        <f>'Section 1'!D27</f>
        <v>Understanding organisational power</v>
      </c>
      <c r="F4" s="11">
        <f>'Section 2'!C28</f>
        <v>0</v>
      </c>
      <c r="G4" s="18"/>
      <c r="H4" s="11">
        <f>'Section 4'!C26</f>
        <v>0</v>
      </c>
      <c r="I4" s="11">
        <f>'Section 5'!C26</f>
        <v>0</v>
      </c>
      <c r="J4" s="11">
        <f>'Section 6'!C26</f>
        <v>0</v>
      </c>
      <c r="K4" s="11">
        <f>'Section 7'!C26</f>
        <v>0</v>
      </c>
      <c r="L4" s="11">
        <f>'Section 8'!C26</f>
        <v>0</v>
      </c>
      <c r="M4" s="18"/>
      <c r="N4" s="17">
        <f>'Section 10'!C26</f>
        <v>0</v>
      </c>
    </row>
    <row r="5" spans="1:16">
      <c r="A5" s="32"/>
      <c r="B5" s="339" t="s">
        <v>171</v>
      </c>
      <c r="C5" s="340"/>
      <c r="D5" s="340"/>
      <c r="E5" s="11" t="str">
        <f>'Section 1'!D37</f>
        <v>Tackling organisational barriers to Equality, Diversity and Inclusion</v>
      </c>
      <c r="F5" s="11">
        <f>'Section 2'!C38</f>
        <v>0</v>
      </c>
      <c r="G5" s="18"/>
      <c r="H5" s="18"/>
      <c r="I5" s="11">
        <f>'Section 5'!C36</f>
        <v>0</v>
      </c>
      <c r="J5" s="11">
        <f>'Section 6'!C36</f>
        <v>0</v>
      </c>
      <c r="K5" s="11">
        <f>'Section 7'!C36</f>
        <v>0</v>
      </c>
      <c r="L5" s="11">
        <f>'Section 8'!C36</f>
        <v>0</v>
      </c>
      <c r="M5" s="18"/>
      <c r="N5" s="17">
        <f>'Section 10'!C36</f>
        <v>0</v>
      </c>
    </row>
    <row r="6" spans="1:16">
      <c r="A6" s="32"/>
      <c r="B6" s="339" t="s">
        <v>174</v>
      </c>
      <c r="C6" s="340"/>
      <c r="D6" s="340"/>
      <c r="E6" s="11" t="str">
        <f>'Section 1'!D47</f>
        <v>Our role in structural discrimination</v>
      </c>
      <c r="F6" s="11">
        <f>'Section 2'!C48</f>
        <v>0</v>
      </c>
      <c r="G6" s="18"/>
      <c r="H6" s="18"/>
      <c r="I6" s="11">
        <f>'Section 5'!C46</f>
        <v>0</v>
      </c>
      <c r="J6" s="11">
        <f>'Section 6'!C46</f>
        <v>0</v>
      </c>
      <c r="K6" s="18"/>
      <c r="L6" s="11">
        <f>'Section 8'!C46</f>
        <v>0</v>
      </c>
      <c r="M6" s="18"/>
      <c r="N6" s="17">
        <f>'Section 10'!C46</f>
        <v>0</v>
      </c>
    </row>
    <row r="7" spans="1:16">
      <c r="A7" s="32"/>
      <c r="B7" s="339" t="s">
        <v>178</v>
      </c>
      <c r="C7" s="340"/>
      <c r="D7" s="340"/>
      <c r="E7" s="11" t="str">
        <f>'Section 1'!D56</f>
        <v>Intersectionality</v>
      </c>
      <c r="F7" s="18"/>
      <c r="G7" s="18"/>
      <c r="H7" s="18"/>
      <c r="I7" s="11">
        <f>'Section 5'!C56</f>
        <v>0</v>
      </c>
      <c r="J7" s="18"/>
      <c r="K7" s="18"/>
      <c r="L7" s="18"/>
      <c r="M7" s="18"/>
      <c r="N7" s="17">
        <f>'Section 10'!C56</f>
        <v>0</v>
      </c>
    </row>
    <row r="8" spans="1:16">
      <c r="A8" s="32"/>
      <c r="B8" s="339" t="s">
        <v>221</v>
      </c>
      <c r="C8" s="340"/>
      <c r="D8" s="340"/>
      <c r="E8" s="18"/>
      <c r="F8" s="18"/>
      <c r="G8" s="18"/>
      <c r="H8" s="18"/>
      <c r="I8" s="11">
        <f>'Section 5'!C66</f>
        <v>0</v>
      </c>
      <c r="J8" s="18"/>
      <c r="K8" s="18"/>
      <c r="L8" s="18"/>
      <c r="M8" s="18"/>
      <c r="N8" s="17">
        <f>'Section 10'!C66</f>
        <v>0</v>
      </c>
    </row>
    <row r="9" spans="1:16">
      <c r="A9" s="32"/>
      <c r="B9" s="339" t="s">
        <v>239</v>
      </c>
      <c r="C9" s="340"/>
      <c r="D9" s="340"/>
      <c r="E9" s="18"/>
      <c r="F9" s="18"/>
      <c r="G9" s="18"/>
      <c r="H9" s="18"/>
      <c r="I9" s="18"/>
      <c r="J9" s="18"/>
      <c r="K9" s="18"/>
      <c r="L9" s="18"/>
      <c r="M9" s="18"/>
      <c r="N9" s="17">
        <f>'Section 10'!C76</f>
        <v>0</v>
      </c>
    </row>
    <row r="10" spans="1:16">
      <c r="A10" s="32"/>
      <c r="B10" s="339" t="s">
        <v>240</v>
      </c>
      <c r="C10" s="340"/>
      <c r="D10" s="340"/>
      <c r="E10" s="18"/>
      <c r="F10" s="18"/>
      <c r="G10" s="18"/>
      <c r="H10" s="18"/>
      <c r="I10" s="18"/>
      <c r="J10" s="18"/>
      <c r="K10" s="18"/>
      <c r="L10" s="18"/>
      <c r="M10" s="18"/>
      <c r="N10" s="17">
        <f>'Section 10'!C86</f>
        <v>0</v>
      </c>
    </row>
    <row r="11" spans="1:16">
      <c r="A11" s="32"/>
      <c r="B11" s="339" t="s">
        <v>241</v>
      </c>
      <c r="C11" s="340"/>
      <c r="D11" s="340"/>
      <c r="E11" s="18"/>
      <c r="F11" s="18"/>
      <c r="G11" s="18"/>
      <c r="H11" s="18"/>
      <c r="I11" s="18"/>
      <c r="J11" s="18"/>
      <c r="K11" s="18"/>
      <c r="L11" s="18"/>
      <c r="M11" s="18"/>
      <c r="N11" s="17" t="e">
        <f>'Section 10'!#REF!</f>
        <v>#REF!</v>
      </c>
    </row>
    <row r="12" spans="1:16">
      <c r="A12" s="32"/>
      <c r="B12" s="339" t="s">
        <v>242</v>
      </c>
      <c r="C12" s="340"/>
      <c r="D12" s="340"/>
      <c r="E12" s="18"/>
      <c r="F12" s="18"/>
      <c r="G12" s="18"/>
      <c r="H12" s="18"/>
      <c r="I12" s="18"/>
      <c r="J12" s="18"/>
      <c r="K12" s="18"/>
      <c r="L12" s="18"/>
      <c r="M12" s="18"/>
      <c r="N12" s="17" t="e">
        <f>'Section 10'!#REF!</f>
        <v>#REF!</v>
      </c>
    </row>
    <row r="13" spans="1:16">
      <c r="A13" s="32"/>
      <c r="B13" s="339" t="s">
        <v>243</v>
      </c>
      <c r="C13" s="340"/>
      <c r="D13" s="340"/>
      <c r="E13" s="18"/>
      <c r="F13" s="18"/>
      <c r="G13" s="18"/>
      <c r="H13" s="18"/>
      <c r="I13" s="18"/>
      <c r="J13" s="18"/>
      <c r="K13" s="18"/>
      <c r="L13" s="18"/>
      <c r="M13" s="18"/>
      <c r="N13" s="17">
        <f>'Section 10'!C98</f>
        <v>0</v>
      </c>
    </row>
    <row r="14" spans="1:16">
      <c r="A14" s="32"/>
      <c r="B14" s="339" t="s">
        <v>244</v>
      </c>
      <c r="C14" s="340"/>
      <c r="D14" s="340"/>
      <c r="E14" s="18"/>
      <c r="F14" s="18"/>
      <c r="G14" s="18"/>
      <c r="H14" s="18"/>
      <c r="I14" s="18"/>
      <c r="J14" s="18"/>
      <c r="K14" s="18"/>
      <c r="L14" s="18"/>
      <c r="M14" s="18"/>
      <c r="N14" s="17">
        <f>'Section 10'!C108</f>
        <v>0</v>
      </c>
    </row>
    <row r="15" spans="1:16">
      <c r="A15" s="32"/>
      <c r="B15" s="339" t="s">
        <v>312</v>
      </c>
      <c r="C15" s="340"/>
      <c r="D15" s="340"/>
      <c r="E15" s="18"/>
      <c r="F15" s="18"/>
      <c r="G15" s="18"/>
      <c r="H15" s="18"/>
      <c r="I15" s="18"/>
      <c r="J15" s="18"/>
      <c r="K15" s="18"/>
      <c r="L15" s="18"/>
      <c r="M15" s="18"/>
      <c r="N15" s="18"/>
    </row>
    <row r="16" spans="1:16">
      <c r="A16" s="32"/>
      <c r="B16" s="339" t="s">
        <v>313</v>
      </c>
      <c r="C16" s="340"/>
      <c r="D16" s="340"/>
      <c r="E16" s="18"/>
      <c r="F16" s="18"/>
      <c r="G16" s="18"/>
      <c r="H16" s="18"/>
      <c r="I16" s="18"/>
      <c r="J16" s="18"/>
      <c r="K16" s="18"/>
      <c r="L16" s="18"/>
      <c r="M16" s="18"/>
      <c r="N16" s="18"/>
    </row>
    <row r="17" spans="1:14">
      <c r="A17" s="32"/>
      <c r="B17" s="339" t="s">
        <v>314</v>
      </c>
      <c r="C17" s="340"/>
      <c r="D17" s="340"/>
      <c r="E17" s="18"/>
      <c r="F17" s="18"/>
      <c r="G17" s="18"/>
      <c r="H17" s="18"/>
      <c r="I17" s="18"/>
      <c r="J17" s="18"/>
      <c r="K17" s="18"/>
      <c r="L17" s="18"/>
      <c r="M17" s="18"/>
      <c r="N17" s="18"/>
    </row>
    <row r="18" spans="1:14">
      <c r="A18" s="32"/>
      <c r="B18" s="339" t="s">
        <v>315</v>
      </c>
      <c r="C18" s="340"/>
      <c r="D18" s="340"/>
      <c r="E18" s="18"/>
      <c r="F18" s="18"/>
      <c r="G18" s="18"/>
      <c r="H18" s="18"/>
      <c r="I18" s="18"/>
      <c r="J18" s="18"/>
      <c r="K18" s="18"/>
      <c r="L18" s="18"/>
      <c r="M18" s="18"/>
      <c r="N18" s="18"/>
    </row>
    <row r="19" spans="1:14">
      <c r="A19" s="32"/>
      <c r="B19" s="339" t="s">
        <v>316</v>
      </c>
      <c r="C19" s="340"/>
      <c r="D19" s="340"/>
      <c r="E19" s="18"/>
      <c r="F19" s="18"/>
      <c r="G19" s="18"/>
      <c r="H19" s="18"/>
      <c r="I19" s="18"/>
      <c r="J19" s="18"/>
      <c r="K19" s="18"/>
      <c r="L19" s="18"/>
      <c r="M19" s="18"/>
      <c r="N19" s="18"/>
    </row>
    <row r="20" spans="1:14">
      <c r="A20" s="32"/>
      <c r="B20" s="339" t="s">
        <v>317</v>
      </c>
      <c r="C20" s="340"/>
      <c r="D20" s="340"/>
      <c r="E20" s="18"/>
      <c r="F20" s="18"/>
      <c r="G20" s="18"/>
      <c r="H20" s="18"/>
      <c r="I20" s="18"/>
      <c r="J20" s="18"/>
      <c r="K20" s="18"/>
      <c r="L20" s="18"/>
      <c r="M20" s="18"/>
      <c r="N20" s="18"/>
    </row>
    <row r="21" spans="1:14">
      <c r="A21" s="32"/>
      <c r="B21" s="339" t="s">
        <v>318</v>
      </c>
      <c r="C21" s="340"/>
      <c r="D21" s="340"/>
      <c r="E21" s="18"/>
      <c r="F21" s="18"/>
      <c r="G21" s="18"/>
      <c r="H21" s="18"/>
      <c r="I21" s="18"/>
      <c r="J21" s="18"/>
      <c r="K21" s="18"/>
      <c r="L21" s="18"/>
      <c r="M21" s="18"/>
      <c r="N21" s="18"/>
    </row>
    <row r="22" spans="1:14" ht="17.399999999999999" thickBot="1">
      <c r="A22" s="32"/>
      <c r="B22" s="339" t="s">
        <v>319</v>
      </c>
      <c r="C22" s="340"/>
      <c r="D22" s="340"/>
      <c r="E22" s="18"/>
      <c r="F22" s="19"/>
      <c r="G22" s="18"/>
      <c r="H22" s="18"/>
      <c r="I22" s="18"/>
      <c r="J22" s="18"/>
      <c r="K22" s="18"/>
      <c r="L22" s="18"/>
      <c r="M22" s="18"/>
      <c r="N22" s="18"/>
    </row>
    <row r="23" spans="1:14" ht="17.399999999999999" thickBot="1">
      <c r="A23" s="32"/>
      <c r="B23" s="341" t="s">
        <v>320</v>
      </c>
      <c r="C23" s="342"/>
      <c r="D23" s="342"/>
      <c r="E23" s="19"/>
      <c r="G23" s="19"/>
      <c r="H23" s="19"/>
      <c r="I23" s="19"/>
      <c r="J23" s="19"/>
      <c r="K23" s="19"/>
      <c r="L23" s="19"/>
      <c r="M23" s="19"/>
      <c r="N23" s="19"/>
    </row>
    <row r="24" spans="1:14" hidden="1">
      <c r="A24" s="32"/>
    </row>
    <row r="25" spans="1:14" hidden="1">
      <c r="A25" s="32"/>
    </row>
    <row r="26" spans="1:14" hidden="1">
      <c r="A26" s="32"/>
    </row>
    <row r="27" spans="1:14" hidden="1">
      <c r="A27" s="32"/>
    </row>
    <row r="28" spans="1:14" hidden="1">
      <c r="A28" s="32"/>
    </row>
    <row r="29" spans="1:14" hidden="1">
      <c r="A29" s="32"/>
    </row>
    <row r="30" spans="1:14" hidden="1">
      <c r="A30" s="32"/>
    </row>
    <row r="31" spans="1:14" hidden="1">
      <c r="A31" s="32"/>
    </row>
    <row r="32" spans="1:14" hidden="1">
      <c r="A32" s="32"/>
    </row>
    <row r="33" spans="1:1" hidden="1">
      <c r="A33" s="32"/>
    </row>
  </sheetData>
  <sheetProtection algorithmName="SHA-512" hashValue="Eyn73w0C+efAA2dZsSZrXghwFj1kWnuDaG+CuKjzOCxE0Up/in4+BtxUtqfFwTlI+mepVgtjUqtjS3ODZ32sHA==" saltValue="mCA6gTGJcXYmDpRhwoFz6A==" spinCount="100000" sheet="1" objects="1" scenarios="1"/>
  <mergeCells count="22">
    <mergeCell ref="B19:D19"/>
    <mergeCell ref="B20:D20"/>
    <mergeCell ref="B21:D21"/>
    <mergeCell ref="B22:D22"/>
    <mergeCell ref="B23:D23"/>
    <mergeCell ref="B18:D18"/>
    <mergeCell ref="B7:D7"/>
    <mergeCell ref="B8:D8"/>
    <mergeCell ref="B9:D9"/>
    <mergeCell ref="B10:D10"/>
    <mergeCell ref="B11:D11"/>
    <mergeCell ref="B12:D12"/>
    <mergeCell ref="B13:D13"/>
    <mergeCell ref="B14:D14"/>
    <mergeCell ref="B15:D15"/>
    <mergeCell ref="B16:D16"/>
    <mergeCell ref="B17:D17"/>
    <mergeCell ref="B2:D2"/>
    <mergeCell ref="B3:D3"/>
    <mergeCell ref="B4:D4"/>
    <mergeCell ref="B5:D5"/>
    <mergeCell ref="B6:D6"/>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SharedWithUsers xmlns="73abfa4b-a0f2-4d12-ad9a-b145695fc677">
      <UserInfo>
        <DisplayName>Sasha Afanasieva</DisplayName>
        <AccountId>58</AccountId>
        <AccountType/>
      </UserInfo>
      <UserInfo>
        <DisplayName>Joshua Meek</DisplayName>
        <AccountId>24</AccountId>
        <AccountType/>
      </UserInfo>
      <UserInfo>
        <DisplayName>Ilana Darrant</DisplayName>
        <AccountId>59</AccountId>
        <AccountType/>
      </UserInfo>
      <UserInfo>
        <DisplayName>Chloe Tye</DisplayName>
        <AccountId>12</AccountId>
        <AccountType/>
      </UserInfo>
    </SharedWithUsers>
    <BLOG_x002d_Collaboration xmlns="648c2b2d-6726-49e7-93dd-88027be68ace">https://www.unltd.org.uk/index.php/blog/insights/how-social-entrepreneurs-and-public-bodies-can-collaborate-for-success/</BLOG_x002d_Collaboration>
    <lcf76f155ced4ddcb4097134ff3c332f xmlns="648c2b2d-6726-49e7-93dd-88027be68ace">
      <Terms xmlns="http://schemas.microsoft.com/office/infopath/2007/PartnerControls"/>
    </lcf76f155ced4ddcb4097134ff3c332f>
    <BriefDescription xmlns="648c2b2d-6726-49e7-93dd-88027be68ace" xsi:nil="true"/>
    <DateandTime xmlns="648c2b2d-6726-49e7-93dd-88027be68ace" xsi:nil="true"/>
    <TaxCatchAll xmlns="73abfa4b-a0f2-4d12-ad9a-b145695fc677"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950BE2B43B349348900C85168A22ADDF" ma:contentTypeVersion="21" ma:contentTypeDescription="Create a new document." ma:contentTypeScope="" ma:versionID="33167032221d4af4359df03961fd0025">
  <xsd:schema xmlns:xsd="http://www.w3.org/2001/XMLSchema" xmlns:xs="http://www.w3.org/2001/XMLSchema" xmlns:p="http://schemas.microsoft.com/office/2006/metadata/properties" xmlns:ns2="648c2b2d-6726-49e7-93dd-88027be68ace" xmlns:ns3="73abfa4b-a0f2-4d12-ad9a-b145695fc677" targetNamespace="http://schemas.microsoft.com/office/2006/metadata/properties" ma:root="true" ma:fieldsID="f544c11a2ba4278f5f66d63fc1d2f3ed" ns2:_="" ns3:_="">
    <xsd:import namespace="648c2b2d-6726-49e7-93dd-88027be68ace"/>
    <xsd:import namespace="73abfa4b-a0f2-4d12-ad9a-b145695fc677"/>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MediaServiceAutoTags" minOccurs="0"/>
                <xsd:element ref="ns2:MediaServiceGenerationTime" minOccurs="0"/>
                <xsd:element ref="ns2:MediaServiceEventHashCode" minOccurs="0"/>
                <xsd:element ref="ns2:MediaServiceOCR" minOccurs="0"/>
                <xsd:element ref="ns2:MediaServiceAutoKeyPoints" minOccurs="0"/>
                <xsd:element ref="ns2:MediaServiceKeyPoints" minOccurs="0"/>
                <xsd:element ref="ns3:SharedWithUsers" minOccurs="0"/>
                <xsd:element ref="ns3:SharedWithDetails" minOccurs="0"/>
                <xsd:element ref="ns2:MediaServiceLocation" minOccurs="0"/>
                <xsd:element ref="ns2:BriefDescription" minOccurs="0"/>
                <xsd:element ref="ns2:lcf76f155ced4ddcb4097134ff3c332f" minOccurs="0"/>
                <xsd:element ref="ns3:TaxCatchAll" minOccurs="0"/>
                <xsd:element ref="ns2:BLOG_x002d_Collaboration" minOccurs="0"/>
                <xsd:element ref="ns2:DateandTime"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48c2b2d-6726-49e7-93dd-88027be68ac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Length (seconds)" ma:internalName="MediaLengthInSeconds" ma:readOnly="true">
      <xsd:simpleType>
        <xsd:restriction base="dms:Unknown"/>
      </xsd:simpleType>
    </xsd:element>
    <xsd:element name="MediaServiceAutoTags" ma:index="12" nillable="true" ma:displayName="Tags" ma:internalName="MediaServiceAutoTag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true">
      <xsd:simpleType>
        <xsd:restriction base="dms:Note">
          <xsd:maxLength value="255"/>
        </xsd:restriction>
      </xsd:simpleType>
    </xsd:element>
    <xsd:element name="MediaServiceLocation" ma:index="20" nillable="true" ma:displayName="Location" ma:internalName="MediaServiceLocation" ma:readOnly="true">
      <xsd:simpleType>
        <xsd:restriction base="dms:Text"/>
      </xsd:simpleType>
    </xsd:element>
    <xsd:element name="BriefDescription" ma:index="21" nillable="true" ma:displayName="Brief Description" ma:format="Dropdown" ma:internalName="BriefDescription">
      <xsd:simpleType>
        <xsd:restriction base="dms:Note">
          <xsd:maxLength value="255"/>
        </xsd:restriction>
      </xsd:simpleType>
    </xsd:element>
    <xsd:element name="lcf76f155ced4ddcb4097134ff3c332f" ma:index="23" nillable="true" ma:taxonomy="true" ma:internalName="lcf76f155ced4ddcb4097134ff3c332f" ma:taxonomyFieldName="MediaServiceImageTags" ma:displayName="Image Tags" ma:readOnly="false" ma:fieldId="{5cf76f15-5ced-4ddc-b409-7134ff3c332f}" ma:taxonomyMulti="true" ma:sspId="2a774ad2-e6c6-4558-b660-ba11975b7caa" ma:termSetId="09814cd3-568e-fe90-9814-8d621ff8fb84" ma:anchorId="fba54fb3-c3e1-fe81-a776-ca4b69148c4d" ma:open="true" ma:isKeyword="false">
      <xsd:complexType>
        <xsd:sequence>
          <xsd:element ref="pc:Terms" minOccurs="0" maxOccurs="1"/>
        </xsd:sequence>
      </xsd:complexType>
    </xsd:element>
    <xsd:element name="BLOG_x002d_Collaboration" ma:index="25" nillable="true" ma:displayName="BLOG - Collaboration" ma:default="https://www.unltd.org.uk/index.php/blog/insights/how-social-entrepreneurs-and-public-bodies-can-collaborate-for-success/" ma:format="Dropdown" ma:internalName="BLOG_x002d_Collaboration">
      <xsd:simpleType>
        <xsd:restriction base="dms:Text">
          <xsd:maxLength value="255"/>
        </xsd:restriction>
      </xsd:simpleType>
    </xsd:element>
    <xsd:element name="DateandTime" ma:index="26" nillable="true" ma:displayName="Date and Time" ma:format="DateOnly" ma:internalName="DateandTime">
      <xsd:simpleType>
        <xsd:restriction base="dms:DateTime"/>
      </xsd:simpleType>
    </xsd:element>
    <xsd:element name="MediaServiceSearchProperties" ma:index="27" nillable="true" ma:displayName="MediaServiceSearchProperties" ma:hidden="true" ma:internalName="MediaServiceSearchProperties" ma:readOnly="true">
      <xsd:simpleType>
        <xsd:restriction base="dms:Note"/>
      </xsd:simpleType>
    </xsd:element>
    <xsd:element name="MediaServiceObjectDetectorVersions" ma:index="28" nillable="true" ma:displayName="MediaServiceObjectDetectorVersions" ma:description=""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3abfa4b-a0f2-4d12-ad9a-b145695fc677"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TaxCatchAll" ma:index="24" nillable="true" ma:displayName="Taxonomy Catch All Column" ma:hidden="true" ma:list="{c9a90a36-b46c-4868-b5e6-64a30970f0ed}" ma:internalName="TaxCatchAll" ma:showField="CatchAllData" ma:web="73abfa4b-a0f2-4d12-ad9a-b145695fc67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04C293D5-C732-4E98-BA0B-7580E0166E8E}">
  <ds:schemaRefs>
    <ds:schemaRef ds:uri="http://purl.org/dc/terms/"/>
    <ds:schemaRef ds:uri="http://schemas.microsoft.com/office/2006/metadata/properties"/>
    <ds:schemaRef ds:uri="http://purl.org/dc/elements/1.1/"/>
    <ds:schemaRef ds:uri="http://schemas.openxmlformats.org/package/2006/metadata/core-properties"/>
    <ds:schemaRef ds:uri="73abfa4b-a0f2-4d12-ad9a-b145695fc677"/>
    <ds:schemaRef ds:uri="648c2b2d-6726-49e7-93dd-88027be68ace"/>
    <ds:schemaRef ds:uri="http://schemas.microsoft.com/office/2006/documentManagement/types"/>
    <ds:schemaRef ds:uri="http://www.w3.org/XML/1998/namespace"/>
    <ds:schemaRef ds:uri="http://schemas.microsoft.com/office/infopath/2007/PartnerControls"/>
    <ds:schemaRef ds:uri="http://purl.org/dc/dcmitype/"/>
  </ds:schemaRefs>
</ds:datastoreItem>
</file>

<file path=customXml/itemProps2.xml><?xml version="1.0" encoding="utf-8"?>
<ds:datastoreItem xmlns:ds="http://schemas.openxmlformats.org/officeDocument/2006/customXml" ds:itemID="{0FB2E688-2D1B-410C-B107-1BA7793B081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48c2b2d-6726-49e7-93dd-88027be68ace"/>
    <ds:schemaRef ds:uri="73abfa4b-a0f2-4d12-ad9a-b145695fc67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F6056DBC-0466-4637-99F4-F43E0AC56F53}">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16</vt:i4>
      </vt:variant>
      <vt:variant>
        <vt:lpstr>Named Ranges</vt:lpstr>
      </vt:variant>
      <vt:variant>
        <vt:i4>3</vt:i4>
      </vt:variant>
    </vt:vector>
  </HeadingPairs>
  <TitlesOfParts>
    <vt:vector size="19" baseType="lpstr">
      <vt:lpstr>Overview of Framework</vt:lpstr>
      <vt:lpstr>Section 1</vt:lpstr>
      <vt:lpstr>Section 2</vt:lpstr>
      <vt:lpstr>Section 3</vt:lpstr>
      <vt:lpstr>Section 4</vt:lpstr>
      <vt:lpstr>Section 5</vt:lpstr>
      <vt:lpstr>Section 6</vt:lpstr>
      <vt:lpstr>Section 7</vt:lpstr>
      <vt:lpstr>Section 8</vt:lpstr>
      <vt:lpstr>Section 9</vt:lpstr>
      <vt:lpstr>Section 10</vt:lpstr>
      <vt:lpstr>EDI Framework Criteria</vt:lpstr>
      <vt:lpstr>EDI score outcomes</vt:lpstr>
      <vt:lpstr>Glossary</vt:lpstr>
      <vt:lpstr>Full Score Matrix</vt:lpstr>
      <vt:lpstr>Part ref table</vt:lpstr>
      <vt:lpstr>Glossary!_ftn1</vt:lpstr>
      <vt:lpstr>Glossary!_ftnref3</vt:lpstr>
      <vt:lpstr>'EDI Framework Criteria'!Print_Area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Work</dc:creator>
  <cp:keywords/>
  <dc:description/>
  <cp:lastModifiedBy>Tim Lages</cp:lastModifiedBy>
  <cp:revision/>
  <dcterms:created xsi:type="dcterms:W3CDTF">2015-06-05T18:17:20Z</dcterms:created>
  <dcterms:modified xsi:type="dcterms:W3CDTF">2024-08-18T19:05:39Z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0x010100950BE2B43B349348900C85168A22ADDF</vt:lpwstr>
  </property>
  <property fmtid="{D5CDD505-2E9C-101B-9397-08002B2CF9AE}" pid="3" name="MediaServiceImageTags">
    <vt:lpwstr/>
  </property>
</Properties>
</file>