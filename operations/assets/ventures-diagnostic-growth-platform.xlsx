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208"/>
  <workbookPr dateCompatibility="0" defaultThemeVersion="166925"/>
  <mc:AlternateContent xmlns:mc="http://schemas.openxmlformats.org/markup-compatibility/2006">
    <mc:Choice Requires="x15">
      <x15ac:absPath xmlns:x15ac="http://schemas.microsoft.com/office/spreadsheetml/2010/11/ac" url="/Users/tom/Documents/GitHub/docs/operations/assets/"/>
    </mc:Choice>
  </mc:AlternateContent>
  <xr:revisionPtr revIDLastSave="0" documentId="8_{302AB177-A2CD-F04D-84E3-61BB07893DAF}" xr6:coauthVersionLast="47" xr6:coauthVersionMax="47" xr10:uidLastSave="{00000000-0000-0000-0000-000000000000}"/>
  <workbookProtection workbookAlgorithmName="SHA-512" workbookHashValue="C55wdsVTJNdEmDxsL7bUWXlThKikZwq8tplsz6vGrT91O1XFgJC1R5BVWXzKiGNGXCU2Xz19NA6o96fYrIBIQQ==" workbookSaltValue="HUM8cxOaNccp/ZoDcyCUxg==" workbookSpinCount="100000" lockStructure="1"/>
  <bookViews>
    <workbookView xWindow="0" yWindow="660" windowWidth="30340" windowHeight="19480" firstSheet="3" activeTab="6" xr2:uid="{00000000-000D-0000-FFFF-FFFF00000000}"/>
  </bookViews>
  <sheets>
    <sheet name="Thrive" sheetId="8" r:id="rId1"/>
    <sheet name="Covering Page" sheetId="5" r:id="rId2"/>
    <sheet name="Overarching Ambition" sheetId="7" r:id="rId3"/>
    <sheet name="Diagnostic - start" sheetId="1" r:id="rId4"/>
    <sheet name="Growth Journey" sheetId="4" r:id="rId5"/>
    <sheet name="Diagnostic - end" sheetId="10" r:id="rId6"/>
    <sheet name="Distance travelled" sheetId="11" r:id="rId7"/>
  </sheets>
  <calcPr calcId="191029"/>
  <fileRecoveryPr autoRecover="0"/>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8" i="1" l="1"/>
  <c r="J8" i="4" s="1"/>
  <c r="F8" i="11"/>
  <c r="K8" i="10"/>
  <c r="G8" i="11"/>
  <c r="H8" i="11"/>
  <c r="J7" i="1"/>
  <c r="F7" i="11"/>
  <c r="K7" i="10"/>
  <c r="G7" i="11"/>
  <c r="H7" i="11"/>
  <c r="J5" i="1"/>
  <c r="J5" i="10" s="1"/>
  <c r="K5" i="10"/>
  <c r="G5" i="11"/>
  <c r="J6" i="1"/>
  <c r="F6" i="11"/>
  <c r="K6" i="10"/>
  <c r="G6" i="11"/>
  <c r="H6" i="11"/>
  <c r="K40" i="10"/>
  <c r="G40" i="11"/>
  <c r="J40" i="1"/>
  <c r="J40" i="4" s="1"/>
  <c r="F40" i="11"/>
  <c r="E40" i="11"/>
  <c r="D40" i="11"/>
  <c r="H40" i="11"/>
  <c r="J39" i="1"/>
  <c r="F39" i="11"/>
  <c r="K39" i="10"/>
  <c r="G39" i="11"/>
  <c r="H39" i="11"/>
  <c r="K38" i="10"/>
  <c r="G38" i="11"/>
  <c r="J38" i="1"/>
  <c r="F38" i="11"/>
  <c r="H38" i="11"/>
  <c r="J37" i="1"/>
  <c r="F37" i="11"/>
  <c r="K37" i="10"/>
  <c r="G37" i="11"/>
  <c r="H37" i="11" s="1"/>
  <c r="I37" i="11" s="1"/>
  <c r="K22" i="10"/>
  <c r="G22" i="11"/>
  <c r="J22" i="1"/>
  <c r="J22" i="4" s="1"/>
  <c r="F22" i="11"/>
  <c r="H22" i="11"/>
  <c r="E22" i="11"/>
  <c r="D22" i="11"/>
  <c r="E8" i="11"/>
  <c r="D8" i="11"/>
  <c r="J40" i="10"/>
  <c r="E40" i="10"/>
  <c r="D40" i="10"/>
  <c r="J22" i="10"/>
  <c r="E22" i="10"/>
  <c r="D22" i="10"/>
  <c r="J8" i="10"/>
  <c r="E8" i="10"/>
  <c r="D8" i="10"/>
  <c r="E40" i="4"/>
  <c r="D40" i="4"/>
  <c r="E22" i="4"/>
  <c r="D22" i="4"/>
  <c r="E8" i="4"/>
  <c r="D8" i="4"/>
  <c r="J25" i="1"/>
  <c r="J25" i="4" s="1"/>
  <c r="F25" i="11"/>
  <c r="K25" i="10"/>
  <c r="G25" i="11"/>
  <c r="H25" i="11"/>
  <c r="J26" i="1"/>
  <c r="F26" i="11"/>
  <c r="K26" i="10"/>
  <c r="G26" i="11"/>
  <c r="H26" i="11"/>
  <c r="J20" i="1"/>
  <c r="F20" i="11"/>
  <c r="K20" i="10"/>
  <c r="G20" i="11"/>
  <c r="H20" i="11"/>
  <c r="J21" i="1"/>
  <c r="F21" i="11"/>
  <c r="K21" i="10"/>
  <c r="G21" i="11"/>
  <c r="H21" i="11" s="1"/>
  <c r="J23" i="1"/>
  <c r="F23" i="11"/>
  <c r="K23" i="10"/>
  <c r="G23" i="11"/>
  <c r="H23" i="11"/>
  <c r="J24" i="1"/>
  <c r="F24" i="11"/>
  <c r="K24" i="10"/>
  <c r="G24" i="11" s="1"/>
  <c r="H24" i="11" s="1"/>
  <c r="E26" i="11"/>
  <c r="D26" i="11"/>
  <c r="J26" i="10"/>
  <c r="E26" i="10"/>
  <c r="D26" i="10"/>
  <c r="J26" i="4"/>
  <c r="E26" i="4"/>
  <c r="D26" i="4"/>
  <c r="J6" i="10"/>
  <c r="J7" i="10"/>
  <c r="J9" i="1"/>
  <c r="J10" i="1"/>
  <c r="J11" i="1"/>
  <c r="J12" i="1"/>
  <c r="J13" i="1"/>
  <c r="J14" i="1"/>
  <c r="J14" i="4" s="1"/>
  <c r="J14" i="10"/>
  <c r="J15" i="1"/>
  <c r="J15" i="4" s="1"/>
  <c r="J15" i="10"/>
  <c r="J16" i="1"/>
  <c r="J16" i="4" s="1"/>
  <c r="J16" i="10"/>
  <c r="J17" i="1"/>
  <c r="J17" i="4" s="1"/>
  <c r="J17" i="10"/>
  <c r="J18" i="1"/>
  <c r="J18" i="4" s="1"/>
  <c r="J18" i="10"/>
  <c r="J19" i="1"/>
  <c r="J19" i="4" s="1"/>
  <c r="J19" i="10"/>
  <c r="J25" i="10"/>
  <c r="J27" i="1"/>
  <c r="J27" i="4" s="1"/>
  <c r="J27" i="10"/>
  <c r="J28" i="1"/>
  <c r="J28" i="10"/>
  <c r="J29" i="1"/>
  <c r="J29" i="10"/>
  <c r="J30" i="1"/>
  <c r="J30" i="10"/>
  <c r="J31" i="1"/>
  <c r="J31" i="10"/>
  <c r="J32" i="1"/>
  <c r="J32" i="10"/>
  <c r="J33" i="1"/>
  <c r="J33" i="10"/>
  <c r="J34" i="1"/>
  <c r="J34" i="10"/>
  <c r="J35" i="1"/>
  <c r="J35" i="10"/>
  <c r="J36" i="1"/>
  <c r="J36" i="10"/>
  <c r="J41" i="1"/>
  <c r="J41" i="10"/>
  <c r="J42" i="1"/>
  <c r="J42" i="10"/>
  <c r="J43" i="1"/>
  <c r="J43" i="10"/>
  <c r="J44" i="1"/>
  <c r="J44" i="10"/>
  <c r="J45" i="1"/>
  <c r="J45" i="10"/>
  <c r="J46" i="1"/>
  <c r="J46" i="10"/>
  <c r="J6" i="4"/>
  <c r="J7" i="4"/>
  <c r="B2" i="10"/>
  <c r="B2" i="4"/>
  <c r="B2" i="1"/>
  <c r="H3" i="11"/>
  <c r="K9" i="10"/>
  <c r="G9" i="11"/>
  <c r="K10" i="10"/>
  <c r="G10" i="11"/>
  <c r="K11" i="10"/>
  <c r="G11" i="11"/>
  <c r="K12" i="10"/>
  <c r="G12" i="11"/>
  <c r="K13" i="10"/>
  <c r="G13" i="11"/>
  <c r="K14" i="10"/>
  <c r="G14" i="11"/>
  <c r="F14" i="11"/>
  <c r="H14" i="11"/>
  <c r="K15" i="10"/>
  <c r="G15" i="11"/>
  <c r="K16" i="10"/>
  <c r="G16" i="11"/>
  <c r="K17" i="10"/>
  <c r="G17" i="11"/>
  <c r="K18" i="10"/>
  <c r="G18" i="11"/>
  <c r="F18" i="11"/>
  <c r="H18" i="11"/>
  <c r="K19" i="10"/>
  <c r="G19" i="11"/>
  <c r="K27" i="10"/>
  <c r="G27" i="11"/>
  <c r="K28" i="10"/>
  <c r="G28" i="11"/>
  <c r="K29" i="10"/>
  <c r="G29" i="11"/>
  <c r="K30" i="10"/>
  <c r="G30" i="11"/>
  <c r="K31" i="10"/>
  <c r="G31" i="11"/>
  <c r="K32" i="10"/>
  <c r="G32" i="11"/>
  <c r="K33" i="10"/>
  <c r="G33" i="11"/>
  <c r="K34" i="10"/>
  <c r="G34" i="11"/>
  <c r="K35" i="10"/>
  <c r="G35" i="11"/>
  <c r="K36" i="10"/>
  <c r="G36" i="11"/>
  <c r="K41" i="10"/>
  <c r="G41" i="11"/>
  <c r="K42" i="10"/>
  <c r="G42" i="11"/>
  <c r="K43" i="10"/>
  <c r="G43" i="11"/>
  <c r="K44" i="10"/>
  <c r="G44" i="11"/>
  <c r="K45" i="10"/>
  <c r="G45" i="11"/>
  <c r="K46" i="10"/>
  <c r="G46" i="11"/>
  <c r="F15" i="11"/>
  <c r="H15" i="11"/>
  <c r="F16" i="11"/>
  <c r="F17" i="11"/>
  <c r="F19" i="11"/>
  <c r="H19" i="11"/>
  <c r="F27" i="11"/>
  <c r="E46" i="11"/>
  <c r="D46" i="11"/>
  <c r="E45" i="11"/>
  <c r="D45" i="11"/>
  <c r="E44" i="11"/>
  <c r="D44" i="11"/>
  <c r="E43" i="11"/>
  <c r="D43" i="11"/>
  <c r="E42" i="11"/>
  <c r="D42" i="11"/>
  <c r="E41" i="11"/>
  <c r="D41" i="11"/>
  <c r="C41" i="11"/>
  <c r="E39" i="11"/>
  <c r="D39" i="11"/>
  <c r="E38" i="11"/>
  <c r="D38" i="11"/>
  <c r="E37" i="11"/>
  <c r="D37" i="11"/>
  <c r="C37" i="11"/>
  <c r="B37" i="11"/>
  <c r="E36" i="11"/>
  <c r="D36" i="11"/>
  <c r="E35" i="11"/>
  <c r="D35" i="11"/>
  <c r="E34" i="11"/>
  <c r="D34" i="11"/>
  <c r="E33" i="11"/>
  <c r="D33" i="11"/>
  <c r="C33" i="11"/>
  <c r="E32" i="11"/>
  <c r="D32" i="11"/>
  <c r="E31" i="11"/>
  <c r="D31" i="11"/>
  <c r="E30" i="11"/>
  <c r="D30" i="11"/>
  <c r="E29" i="11"/>
  <c r="D29" i="11"/>
  <c r="E28" i="11"/>
  <c r="D28" i="11"/>
  <c r="E27" i="11"/>
  <c r="D27" i="11"/>
  <c r="C27" i="11"/>
  <c r="B27" i="11"/>
  <c r="E25" i="11"/>
  <c r="D25" i="11"/>
  <c r="E24" i="11"/>
  <c r="D24" i="11"/>
  <c r="E23" i="11"/>
  <c r="D23" i="11"/>
  <c r="E21" i="11"/>
  <c r="D21" i="11"/>
  <c r="E20" i="11"/>
  <c r="D20" i="11"/>
  <c r="C20" i="11"/>
  <c r="E19" i="11"/>
  <c r="D19" i="11"/>
  <c r="E18" i="11"/>
  <c r="D18" i="11"/>
  <c r="E17" i="11"/>
  <c r="D17" i="11"/>
  <c r="E16" i="11"/>
  <c r="D16" i="11"/>
  <c r="E15" i="11"/>
  <c r="D15" i="11"/>
  <c r="C15" i="11"/>
  <c r="B15" i="11"/>
  <c r="E14" i="11"/>
  <c r="D14" i="11"/>
  <c r="E13" i="11"/>
  <c r="D13" i="11"/>
  <c r="C13" i="11"/>
  <c r="E12" i="11"/>
  <c r="D12" i="11"/>
  <c r="E11" i="11"/>
  <c r="D11" i="11"/>
  <c r="E10" i="11"/>
  <c r="D10" i="11"/>
  <c r="E9" i="11"/>
  <c r="D9" i="11"/>
  <c r="C9" i="11"/>
  <c r="E7" i="11"/>
  <c r="D7" i="11"/>
  <c r="E6" i="11"/>
  <c r="D6" i="11"/>
  <c r="E5" i="11"/>
  <c r="D5" i="11"/>
  <c r="C5" i="11"/>
  <c r="B5" i="11"/>
  <c r="E4" i="11"/>
  <c r="C4" i="11"/>
  <c r="E46" i="10"/>
  <c r="D46" i="10"/>
  <c r="E45" i="10"/>
  <c r="D45" i="10"/>
  <c r="E44" i="10"/>
  <c r="D44" i="10"/>
  <c r="E43" i="10"/>
  <c r="D43" i="10"/>
  <c r="E42" i="10"/>
  <c r="D42" i="10"/>
  <c r="E41" i="10"/>
  <c r="D41" i="10"/>
  <c r="C41" i="10"/>
  <c r="E39" i="10"/>
  <c r="D39" i="10"/>
  <c r="E38" i="10"/>
  <c r="D38" i="10"/>
  <c r="E37" i="10"/>
  <c r="D37" i="10"/>
  <c r="C37" i="10"/>
  <c r="B37" i="10"/>
  <c r="E36" i="10"/>
  <c r="D36" i="10"/>
  <c r="E35" i="10"/>
  <c r="D35" i="10"/>
  <c r="E34" i="10"/>
  <c r="D34" i="10"/>
  <c r="E33" i="10"/>
  <c r="D33" i="10"/>
  <c r="C33" i="10"/>
  <c r="E32" i="10"/>
  <c r="D32" i="10"/>
  <c r="E31" i="10"/>
  <c r="D31" i="10"/>
  <c r="E30" i="10"/>
  <c r="D30" i="10"/>
  <c r="E29" i="10"/>
  <c r="D29" i="10"/>
  <c r="E28" i="10"/>
  <c r="D28" i="10"/>
  <c r="E27" i="10"/>
  <c r="D27" i="10"/>
  <c r="C27" i="10"/>
  <c r="B27" i="10"/>
  <c r="E25" i="10"/>
  <c r="D25" i="10"/>
  <c r="E24" i="10"/>
  <c r="D24" i="10"/>
  <c r="E23" i="10"/>
  <c r="D23" i="10"/>
  <c r="E21" i="10"/>
  <c r="D21" i="10"/>
  <c r="E20" i="10"/>
  <c r="D20" i="10"/>
  <c r="C20" i="10"/>
  <c r="E19" i="10"/>
  <c r="D19" i="10"/>
  <c r="E18" i="10"/>
  <c r="D18" i="10"/>
  <c r="E17" i="10"/>
  <c r="D17" i="10"/>
  <c r="E16" i="10"/>
  <c r="D16" i="10"/>
  <c r="E15" i="10"/>
  <c r="D15" i="10"/>
  <c r="C15" i="10"/>
  <c r="B15" i="10"/>
  <c r="E14" i="10"/>
  <c r="D14" i="10"/>
  <c r="E13" i="10"/>
  <c r="D13" i="10"/>
  <c r="C13" i="10"/>
  <c r="E12" i="10"/>
  <c r="D12" i="10"/>
  <c r="E11" i="10"/>
  <c r="D11" i="10"/>
  <c r="E10" i="10"/>
  <c r="D10" i="10"/>
  <c r="E9" i="10"/>
  <c r="D9" i="10"/>
  <c r="C9" i="10"/>
  <c r="E7" i="10"/>
  <c r="D7" i="10"/>
  <c r="E6" i="10"/>
  <c r="D6" i="10"/>
  <c r="E5" i="10"/>
  <c r="D5" i="10"/>
  <c r="C5" i="10"/>
  <c r="B5" i="10"/>
  <c r="E4" i="10"/>
  <c r="C4" i="10"/>
  <c r="H16" i="11"/>
  <c r="I15" i="11" s="1"/>
  <c r="H17" i="11"/>
  <c r="H27" i="11"/>
  <c r="E42" i="4"/>
  <c r="E41" i="4"/>
  <c r="E43" i="4"/>
  <c r="E44" i="4"/>
  <c r="E45" i="4"/>
  <c r="E46" i="4"/>
  <c r="E5" i="4"/>
  <c r="D6" i="4"/>
  <c r="D7" i="4"/>
  <c r="D9" i="4"/>
  <c r="D10" i="4"/>
  <c r="D11" i="4"/>
  <c r="D12" i="4"/>
  <c r="D13" i="4"/>
  <c r="D14" i="4"/>
  <c r="D15" i="4"/>
  <c r="D16" i="4"/>
  <c r="D17" i="4"/>
  <c r="D18" i="4"/>
  <c r="D19" i="4"/>
  <c r="D20" i="4"/>
  <c r="D21" i="4"/>
  <c r="D23" i="4"/>
  <c r="D24" i="4"/>
  <c r="D25" i="4"/>
  <c r="D27" i="4"/>
  <c r="D28" i="4"/>
  <c r="D29" i="4"/>
  <c r="D30" i="4"/>
  <c r="D31" i="4"/>
  <c r="D32" i="4"/>
  <c r="D33" i="4"/>
  <c r="D34" i="4"/>
  <c r="D35" i="4"/>
  <c r="D36" i="4"/>
  <c r="D37" i="4"/>
  <c r="D38" i="4"/>
  <c r="D39" i="4"/>
  <c r="D41" i="4"/>
  <c r="D42" i="4"/>
  <c r="D43" i="4"/>
  <c r="D44" i="4"/>
  <c r="D45" i="4"/>
  <c r="D46" i="4"/>
  <c r="D5" i="4"/>
  <c r="E4" i="4"/>
  <c r="C4" i="4"/>
  <c r="C41" i="4"/>
  <c r="C37" i="4"/>
  <c r="C33" i="4"/>
  <c r="C27" i="4"/>
  <c r="C20" i="4"/>
  <c r="C15" i="4"/>
  <c r="C13" i="4"/>
  <c r="C9" i="4"/>
  <c r="C5" i="4"/>
  <c r="B37" i="4"/>
  <c r="B27" i="4"/>
  <c r="B15" i="4"/>
  <c r="B5" i="4"/>
  <c r="E39" i="4"/>
  <c r="E38" i="4"/>
  <c r="E37" i="4"/>
  <c r="E36" i="4"/>
  <c r="E35" i="4"/>
  <c r="E34" i="4"/>
  <c r="E33" i="4"/>
  <c r="E32" i="4"/>
  <c r="E31" i="4"/>
  <c r="E30" i="4"/>
  <c r="E29" i="4"/>
  <c r="E28" i="4"/>
  <c r="E27" i="4"/>
  <c r="E25" i="4"/>
  <c r="E24" i="4"/>
  <c r="E23" i="4"/>
  <c r="E21" i="4"/>
  <c r="E20" i="4"/>
  <c r="E19" i="4"/>
  <c r="E18" i="4"/>
  <c r="E17" i="4"/>
  <c r="E16" i="4"/>
  <c r="E15" i="4"/>
  <c r="E14" i="4"/>
  <c r="E13" i="4"/>
  <c r="E12" i="4"/>
  <c r="E11" i="4"/>
  <c r="E10" i="4"/>
  <c r="E9" i="4"/>
  <c r="E7" i="4"/>
  <c r="E6" i="4"/>
  <c r="I20" i="11" l="1"/>
  <c r="J39" i="4"/>
  <c r="J39" i="10"/>
  <c r="J38" i="4"/>
  <c r="J38" i="10"/>
  <c r="J37" i="4"/>
  <c r="J37" i="10"/>
  <c r="J20" i="10"/>
  <c r="J20" i="4"/>
  <c r="J21" i="10"/>
  <c r="J21" i="4"/>
  <c r="J23" i="10"/>
  <c r="J23" i="4"/>
  <c r="J24" i="10"/>
  <c r="J24" i="4"/>
  <c r="F9" i="11"/>
  <c r="H9" i="11" s="1"/>
  <c r="J9" i="10"/>
  <c r="J9" i="4"/>
  <c r="F10" i="11"/>
  <c r="H10" i="11" s="1"/>
  <c r="J10" i="10"/>
  <c r="J10" i="4"/>
  <c r="F11" i="11"/>
  <c r="H11" i="11" s="1"/>
  <c r="J11" i="4"/>
  <c r="J11" i="10"/>
  <c r="F12" i="11"/>
  <c r="H12" i="11" s="1"/>
  <c r="J12" i="4"/>
  <c r="J12" i="10"/>
  <c r="J13" i="4"/>
  <c r="F13" i="11"/>
  <c r="H13" i="11" s="1"/>
  <c r="I13" i="11" s="1"/>
  <c r="J13" i="10"/>
  <c r="F28" i="11"/>
  <c r="H28" i="11" s="1"/>
  <c r="J28" i="4"/>
  <c r="F29" i="11"/>
  <c r="H29" i="11" s="1"/>
  <c r="J29" i="4"/>
  <c r="F30" i="11"/>
  <c r="H30" i="11" s="1"/>
  <c r="J30" i="4"/>
  <c r="F31" i="11"/>
  <c r="H31" i="11" s="1"/>
  <c r="J31" i="4"/>
  <c r="J32" i="4"/>
  <c r="F32" i="11"/>
  <c r="H32" i="11" s="1"/>
  <c r="I27" i="11" s="1"/>
  <c r="J33" i="4"/>
  <c r="F33" i="11"/>
  <c r="H33" i="11" s="1"/>
  <c r="J34" i="4"/>
  <c r="F34" i="11"/>
  <c r="H34" i="11" s="1"/>
  <c r="J35" i="4"/>
  <c r="F35" i="11"/>
  <c r="H35" i="11" s="1"/>
  <c r="F36" i="11"/>
  <c r="H36" i="11" s="1"/>
  <c r="J36" i="4"/>
  <c r="F41" i="11"/>
  <c r="H41" i="11" s="1"/>
  <c r="J41" i="4"/>
  <c r="F42" i="11"/>
  <c r="H42" i="11" s="1"/>
  <c r="J42" i="4"/>
  <c r="J43" i="4"/>
  <c r="F43" i="11"/>
  <c r="H43" i="11" s="1"/>
  <c r="J44" i="4"/>
  <c r="F44" i="11"/>
  <c r="H44" i="11" s="1"/>
  <c r="J45" i="4"/>
  <c r="F45" i="11"/>
  <c r="H45" i="11" s="1"/>
  <c r="F46" i="11"/>
  <c r="H46" i="11" s="1"/>
  <c r="J46" i="4"/>
  <c r="F5" i="11"/>
  <c r="H5" i="11" s="1"/>
  <c r="I5" i="11" s="1"/>
  <c r="J5" i="4"/>
  <c r="I41" i="11"/>
  <c r="I9" i="11" l="1"/>
  <c r="I33" i="11"/>
</calcChain>
</file>

<file path=xl/sharedStrings.xml><?xml version="1.0" encoding="utf-8"?>
<sst xmlns="http://purl.oclc.org/ooxml/spreadsheetml/main" count="110" uniqueCount="100">
  <si>
    <t>Ventures Diagnostic and Support Plan</t>
  </si>
  <si>
    <t xml:space="preserve">
A diagnostic tool and support plan for ventures</t>
  </si>
  <si>
    <t>How to use the growth platform</t>
  </si>
  <si>
    <t>How to use this with the venture</t>
  </si>
  <si>
    <r>
      <t xml:space="preserve">This is designed to be a working document, used to measure progress. After undertaking the venture's diagnostic and support plan, share this document with the venture. This will ensure a mutual understanding of stage and encourage a collaborative relationship. Our role is to work </t>
    </r>
    <r>
      <rPr>
        <i/>
        <sz val="11"/>
        <color theme="1"/>
        <rFont val="Calibri"/>
        <family val="2"/>
        <scheme val="minor"/>
      </rPr>
      <t>with</t>
    </r>
    <r>
      <rPr>
        <sz val="11"/>
        <color theme="1"/>
        <rFont val="Calibri"/>
        <family val="2"/>
        <scheme val="minor"/>
      </rPr>
      <t>ventures as they strive for impact growth, not dictate work they must undertake.</t>
    </r>
  </si>
  <si>
    <t>Overarching Ambition</t>
  </si>
  <si>
    <t>Within this tab, Venture Managers should capture and articulate the venture's overall ambition, aims for the support and success metrics against each objective.</t>
  </si>
  <si>
    <t>Diagnostic - start</t>
  </si>
  <si>
    <r>
      <t xml:space="preserve">The </t>
    </r>
    <r>
      <rPr>
        <i/>
        <sz val="11"/>
        <color theme="1"/>
        <rFont val="Calibri"/>
        <family val="2"/>
        <scheme val="minor"/>
      </rPr>
      <t>Diagnostic</t>
    </r>
    <r>
      <rPr>
        <sz val="11"/>
        <color theme="1"/>
        <rFont val="Calibri"/>
        <family val="2"/>
        <scheme val="minor"/>
      </rPr>
      <t xml:space="preserve"> tab should be used to assess and articulate the current stage of the venture and entrepreneur at the beginning of the support programme. Enter explanatory text into the relevant box indicating stage and summarise why the venture falls within this stage and not another. </t>
    </r>
    <r>
      <rPr>
        <u/>
        <sz val="11"/>
        <color theme="1"/>
        <rFont val="Calibri"/>
        <family val="2"/>
        <scheme val="minor"/>
      </rPr>
      <t xml:space="preserve">Only </t>
    </r>
    <r>
      <rPr>
        <sz val="11"/>
        <color theme="1"/>
        <rFont val="Calibri"/>
        <family val="2"/>
        <scheme val="minor"/>
      </rPr>
      <t xml:space="preserve">enter text into </t>
    </r>
    <r>
      <rPr>
        <u/>
        <sz val="11"/>
        <color theme="1"/>
        <rFont val="Calibri"/>
        <family val="2"/>
        <scheme val="minor"/>
      </rPr>
      <t>one</t>
    </r>
    <r>
      <rPr>
        <sz val="11"/>
        <color theme="1"/>
        <rFont val="Calibri"/>
        <family val="2"/>
        <scheme val="minor"/>
      </rPr>
      <t xml:space="preserve"> stage box per pillar. </t>
    </r>
  </si>
  <si>
    <t>Growth Journey</t>
  </si>
  <si>
    <r>
      <t xml:space="preserve">Based on the outcome of the </t>
    </r>
    <r>
      <rPr>
        <i/>
        <sz val="11"/>
        <color theme="1"/>
        <rFont val="Calibri"/>
        <family val="2"/>
        <scheme val="minor"/>
      </rPr>
      <t>Diagnostic - start</t>
    </r>
    <r>
      <rPr>
        <sz val="11"/>
        <color theme="1"/>
        <rFont val="Calibri"/>
        <family val="2"/>
        <scheme val="minor"/>
      </rPr>
      <t xml:space="preserve">, against each support objective, detail actions which are needed to help the venture grow, when this action should be completed by, what the output of this work will be, and what resources you need. Resources may include particular models or people inside or outside of the organisation. A large selection of support tools can be found within the </t>
    </r>
    <r>
      <rPr>
        <i/>
        <sz val="11"/>
        <color theme="1"/>
        <rFont val="Calibri"/>
        <family val="2"/>
        <scheme val="minor"/>
      </rPr>
      <t>VM Resource Pack</t>
    </r>
    <r>
      <rPr>
        <sz val="11"/>
        <color theme="1"/>
        <rFont val="Calibri"/>
        <family val="2"/>
        <scheme val="minor"/>
      </rPr>
      <t>.</t>
    </r>
  </si>
  <si>
    <t>Diagnostic - end</t>
  </si>
  <si>
    <r>
      <t xml:space="preserve">The </t>
    </r>
    <r>
      <rPr>
        <i/>
        <sz val="11"/>
        <color theme="1"/>
        <rFont val="Calibri"/>
        <family val="2"/>
        <scheme val="minor"/>
      </rPr>
      <t>Diagnostic</t>
    </r>
    <r>
      <rPr>
        <sz val="11"/>
        <color theme="1"/>
        <rFont val="Calibri"/>
        <family val="2"/>
        <scheme val="minor"/>
      </rPr>
      <t xml:space="preserve"> tab should be used to assess and articulate the current stage of the venture and entrepreneur at the end of the support programme. Enter explanatory text into the relevant box indicating stage and summarise why the venture falls within this stage and not another. </t>
    </r>
    <r>
      <rPr>
        <u/>
        <sz val="11"/>
        <color theme="1"/>
        <rFont val="Calibri"/>
        <family val="2"/>
        <scheme val="minor"/>
      </rPr>
      <t xml:space="preserve">Only </t>
    </r>
    <r>
      <rPr>
        <sz val="11"/>
        <color theme="1"/>
        <rFont val="Calibri"/>
        <family val="2"/>
        <scheme val="minor"/>
      </rPr>
      <t xml:space="preserve">enter text into the one stage box per pillar. </t>
    </r>
  </si>
  <si>
    <t>Distance travelled</t>
  </si>
  <si>
    <r>
      <t xml:space="preserve">Based on the inputs in the </t>
    </r>
    <r>
      <rPr>
        <i/>
        <sz val="11"/>
        <color theme="1"/>
        <rFont val="Calibri"/>
        <family val="2"/>
        <scheme val="minor"/>
      </rPr>
      <t xml:space="preserve">Diagnostic - start </t>
    </r>
    <r>
      <rPr>
        <sz val="11"/>
        <color theme="1"/>
        <rFont val="Calibri"/>
        <family val="2"/>
        <scheme val="minor"/>
      </rPr>
      <t xml:space="preserve">and </t>
    </r>
    <r>
      <rPr>
        <i/>
        <sz val="11"/>
        <color theme="1"/>
        <rFont val="Calibri"/>
        <family val="2"/>
        <scheme val="minor"/>
      </rPr>
      <t xml:space="preserve">Diagnostic - end </t>
    </r>
    <r>
      <rPr>
        <sz val="11"/>
        <color theme="1"/>
        <rFont val="Calibri"/>
        <family val="2"/>
        <scheme val="minor"/>
      </rPr>
      <t>tabs, a distance travelled for each support pillar will automatically populate. This will give you and the venture, an indication of improvements or deterioration during the support programme.</t>
    </r>
  </si>
  <si>
    <t>Making edits to the structure</t>
  </si>
  <si>
    <r>
      <t xml:space="preserve">If you wish to make edits to the wording of the pillars, objectives, or stages, please make these on the </t>
    </r>
    <r>
      <rPr>
        <i/>
        <sz val="11"/>
        <color theme="1"/>
        <rFont val="Calibri"/>
        <family val="2"/>
        <scheme val="minor"/>
      </rPr>
      <t xml:space="preserve">Diagnostic - start </t>
    </r>
    <r>
      <rPr>
        <sz val="11"/>
        <color theme="1"/>
        <rFont val="Calibri"/>
        <family val="2"/>
        <scheme val="minor"/>
      </rPr>
      <t xml:space="preserve">tab. These will automatically feed through to the subsequent </t>
    </r>
    <r>
      <rPr>
        <i/>
        <sz val="11"/>
        <color theme="1"/>
        <rFont val="Calibri"/>
        <family val="2"/>
        <scheme val="minor"/>
      </rPr>
      <t xml:space="preserve">Growth Journey, </t>
    </r>
    <r>
      <rPr>
        <sz val="11"/>
        <color theme="1"/>
        <rFont val="Calibri"/>
        <family val="2"/>
        <scheme val="minor"/>
      </rPr>
      <t xml:space="preserve">Diagnostic - end </t>
    </r>
    <r>
      <rPr>
        <i/>
        <sz val="11"/>
        <color theme="1"/>
        <rFont val="Calibri"/>
        <family val="2"/>
        <scheme val="minor"/>
      </rPr>
      <t xml:space="preserve">and </t>
    </r>
    <r>
      <rPr>
        <sz val="11"/>
        <color theme="1"/>
        <rFont val="Calibri"/>
        <family val="2"/>
        <scheme val="minor"/>
      </rPr>
      <t>Distance travelled</t>
    </r>
    <r>
      <rPr>
        <i/>
        <sz val="11"/>
        <color theme="1"/>
        <rFont val="Calibri"/>
        <family val="2"/>
        <scheme val="minor"/>
      </rPr>
      <t xml:space="preserve"> </t>
    </r>
    <r>
      <rPr>
        <sz val="11"/>
        <color theme="1"/>
        <rFont val="Calibri"/>
        <family val="2"/>
        <scheme val="minor"/>
      </rPr>
      <t>tabs.</t>
    </r>
  </si>
  <si>
    <t>Overarching ambition</t>
  </si>
  <si>
    <t>Venture Name</t>
  </si>
  <si>
    <t>Support objectives</t>
  </si>
  <si>
    <t>Success criteria</t>
  </si>
  <si>
    <t>Describe what the venture's long term ambition is. 
This is a very brief summary of the venture's aims and purpose.</t>
  </si>
  <si>
    <t xml:space="preserve">Describe the desired outcome over the award period. 
What improvements does the Award Winners anticipate as a result of the support? 
These could involve the following (this list is not exhaustive):
To achieve first trading income or order, 
To achieve demonstrable social impact (the level being specified if possible)
To reach be financially sustainable,
To grow the team,
To grow geographically,
To develop trading partnerships,
To grow revenue and/or impact.
</t>
  </si>
  <si>
    <r>
      <t xml:space="preserve">Against each support objective, define a measurable success indicator. These could involve the following (this list is not exhaustive). Note that these are indicators which demonstrate success of objectives, as opposed to improvements in the venture, which is measured using the </t>
    </r>
    <r>
      <rPr>
        <i/>
        <sz val="11"/>
        <color theme="1"/>
        <rFont val="Calibri"/>
        <family val="2"/>
        <scheme val="minor"/>
      </rPr>
      <t xml:space="preserve">Growth Journey </t>
    </r>
    <r>
      <rPr>
        <sz val="11"/>
        <color theme="1"/>
        <rFont val="Calibri"/>
        <family val="2"/>
        <scheme val="minor"/>
      </rPr>
      <t xml:space="preserve">tab.
Number of products/services delivered,
Case study or impact report highlighting creation of demonstrable impact
Reach breakeven
Employing first/additional member of staff
To begin opeations in a new area,
Contract signed with new trading partner
Growth of revenue, social impact, profit or other measure by a stated percentage or amount.
</t>
    </r>
  </si>
  <si>
    <t>Ventures Support framework - diagnostic - start of support</t>
  </si>
  <si>
    <t>Early stage &gt;&gt;&gt;</t>
  </si>
  <si>
    <t xml:space="preserve">&lt;&lt;&lt; Ready for scale </t>
  </si>
  <si>
    <t>Support pillar</t>
  </si>
  <si>
    <t>Unproven, no evidence</t>
  </si>
  <si>
    <t>Early proof, some evidence</t>
  </si>
  <si>
    <t>Proven, well evidenced</t>
  </si>
  <si>
    <t>Highly proven, significant evidence</t>
  </si>
  <si>
    <t>Pillar score</t>
  </si>
  <si>
    <t xml:space="preserve">Person / People </t>
  </si>
  <si>
    <t>1. Leadership</t>
  </si>
  <si>
    <r>
      <rPr>
        <b/>
        <sz val="11"/>
        <rFont val="Calibri"/>
        <family val="2"/>
        <scheme val="minor"/>
      </rPr>
      <t>CEO strategic leadership</t>
    </r>
    <r>
      <rPr>
        <sz val="11"/>
        <rFont val="Calibri"/>
        <family val="2"/>
        <scheme val="minor"/>
      </rPr>
      <t>: decision making reflects understanding of external big picture and alignment with mission</t>
    </r>
  </si>
  <si>
    <r>
      <rPr>
        <b/>
        <sz val="11"/>
        <rFont val="Calibri"/>
        <family val="2"/>
        <scheme val="minor"/>
      </rPr>
      <t>CEO performance management leadership</t>
    </r>
    <r>
      <rPr>
        <sz val="11"/>
        <rFont val="Calibri"/>
        <family val="2"/>
        <scheme val="minor"/>
      </rPr>
      <t>: strong self-awareness, ability to drive performance management and build learning organisation, informed by a command of detail across all areas of business</t>
    </r>
  </si>
  <si>
    <r>
      <rPr>
        <b/>
        <sz val="11"/>
        <rFont val="Calibri"/>
        <family val="2"/>
        <scheme val="minor"/>
      </rPr>
      <t>Resource allocation</t>
    </r>
    <r>
      <rPr>
        <sz val="11"/>
        <rFont val="Calibri"/>
        <family val="2"/>
        <scheme val="minor"/>
      </rPr>
      <t>: ability to allocate existing resources and investment in future resources (human and financial) against core outcome-generating activities</t>
    </r>
  </si>
  <si>
    <r>
      <rPr>
        <b/>
        <sz val="11"/>
        <rFont val="Calibri"/>
        <family val="2"/>
        <scheme val="minor"/>
      </rPr>
      <t>Sector knowledge</t>
    </r>
    <r>
      <rPr>
        <sz val="11"/>
        <rFont val="Calibri"/>
        <family val="2"/>
        <scheme val="minor"/>
      </rPr>
      <t>: deep understanding of the landscape of the sector in which they operate (for example key policies, polcy makers, influential organisations and bodies)</t>
    </r>
  </si>
  <si>
    <t>2. Team Building</t>
  </si>
  <si>
    <r>
      <rPr>
        <b/>
        <sz val="11"/>
        <rFont val="Calibri"/>
        <family val="2"/>
        <scheme val="minor"/>
      </rPr>
      <t>Key functional competencies in place</t>
    </r>
    <r>
      <rPr>
        <sz val="11"/>
        <rFont val="Calibri"/>
        <family val="2"/>
        <scheme val="minor"/>
      </rPr>
      <t>: finance, operations, sales, impact, HR, communications, etc</t>
    </r>
  </si>
  <si>
    <r>
      <rPr>
        <b/>
        <sz val="11"/>
        <rFont val="Calibri"/>
        <family val="2"/>
        <scheme val="minor"/>
      </rPr>
      <t xml:space="preserve">SMT: </t>
    </r>
    <r>
      <rPr>
        <sz val="11"/>
        <rFont val="Calibri"/>
        <family val="2"/>
        <scheme val="minor"/>
      </rPr>
      <t>team contains a broad mix of skills, is of an appropriate size relative to the company's maturity and has the capability to deliver and work well as a team</t>
    </r>
  </si>
  <si>
    <r>
      <rPr>
        <b/>
        <sz val="11"/>
        <rFont val="Calibri"/>
        <family val="2"/>
        <scheme val="minor"/>
      </rPr>
      <t>Resourcing:</t>
    </r>
    <r>
      <rPr>
        <sz val="11"/>
        <rFont val="Calibri"/>
        <family val="2"/>
        <scheme val="minor"/>
      </rPr>
      <t xml:space="preserve"> sufficiently resourced to deliver product/service without bottleneck/over resourcing; roles and responsibilities documented and clearly communicated across organisation</t>
    </r>
  </si>
  <si>
    <r>
      <rPr>
        <b/>
        <sz val="11"/>
        <rFont val="Calibri"/>
        <family val="2"/>
        <scheme val="minor"/>
      </rPr>
      <t xml:space="preserve">Team development: </t>
    </r>
    <r>
      <rPr>
        <sz val="11"/>
        <rFont val="Calibri"/>
        <family val="2"/>
        <scheme val="minor"/>
      </rPr>
      <t>provision for team development and training in place</t>
    </r>
  </si>
  <si>
    <t>3. Governance</t>
  </si>
  <si>
    <r>
      <rPr>
        <b/>
        <sz val="11"/>
        <rFont val="Calibri"/>
        <family val="2"/>
        <scheme val="minor"/>
      </rPr>
      <t>Overall governance:</t>
    </r>
    <r>
      <rPr>
        <sz val="11"/>
        <rFont val="Calibri"/>
        <family val="2"/>
        <scheme val="minor"/>
      </rPr>
      <t xml:space="preserve"> governance is in place, is supporting the Management Team and is of an appropriate size for scale of business and growth plans - including formal and informal advisory roles</t>
    </r>
  </si>
  <si>
    <r>
      <rPr>
        <b/>
        <sz val="11"/>
        <rFont val="Calibri"/>
        <family val="2"/>
        <scheme val="minor"/>
      </rPr>
      <t xml:space="preserve">Board: </t>
    </r>
    <r>
      <rPr>
        <sz val="11"/>
        <rFont val="Calibri"/>
        <family val="2"/>
        <scheme val="minor"/>
      </rPr>
      <t>oversight and accountability. Oversight of strategic and organisational effectiveness, holding the CEO to account and providing fiduciary oversight</t>
    </r>
  </si>
  <si>
    <t>Proposition</t>
  </si>
  <si>
    <t>4. Social Impact</t>
  </si>
  <si>
    <r>
      <rPr>
        <b/>
        <sz val="11"/>
        <rFont val="Calibri"/>
        <family val="2"/>
        <scheme val="minor"/>
      </rPr>
      <t>Theory of change</t>
    </r>
    <r>
      <rPr>
        <sz val="11"/>
        <rFont val="Calibri"/>
        <family val="2"/>
        <scheme val="minor"/>
      </rPr>
      <t>: is developed, understood and clearly communicated</t>
    </r>
  </si>
  <si>
    <r>
      <rPr>
        <b/>
        <sz val="11"/>
        <rFont val="Calibri"/>
        <family val="2"/>
        <scheme val="minor"/>
      </rPr>
      <t>Key metrics:</t>
    </r>
    <r>
      <rPr>
        <sz val="11"/>
        <rFont val="Calibri"/>
        <family val="2"/>
        <scheme val="minor"/>
      </rPr>
      <t xml:space="preserve"> these are clearly articulated and aid in demonstrating that the venture is achieving its mission</t>
    </r>
  </si>
  <si>
    <r>
      <rPr>
        <b/>
        <sz val="11"/>
        <rFont val="Calibri"/>
        <family val="2"/>
        <scheme val="minor"/>
      </rPr>
      <t>Data</t>
    </r>
    <r>
      <rPr>
        <sz val="11"/>
        <rFont val="Calibri"/>
        <family val="2"/>
        <scheme val="minor"/>
      </rPr>
      <t>: appropriate impact indicator data has been identified and is being collected against key metrics</t>
    </r>
  </si>
  <si>
    <r>
      <rPr>
        <b/>
        <sz val="11"/>
        <rFont val="Calibri"/>
        <family val="2"/>
        <scheme val="minor"/>
      </rPr>
      <t>Reporting</t>
    </r>
    <r>
      <rPr>
        <sz val="11"/>
        <rFont val="Calibri"/>
        <family val="2"/>
        <scheme val="minor"/>
      </rPr>
      <t>: social impact is being reported, is disseminated publicly and has an element of external validation</t>
    </r>
  </si>
  <si>
    <r>
      <rPr>
        <b/>
        <sz val="11"/>
        <rFont val="Calibri"/>
        <family val="2"/>
        <scheme val="minor"/>
      </rPr>
      <t>Social lock</t>
    </r>
    <r>
      <rPr>
        <sz val="11"/>
        <rFont val="Calibri"/>
        <family val="2"/>
        <scheme val="minor"/>
      </rPr>
      <t>: social impact is 'locked' into business' structure for the long term</t>
    </r>
  </si>
  <si>
    <t>5. Sales Planning</t>
  </si>
  <si>
    <r>
      <rPr>
        <b/>
        <sz val="11"/>
        <rFont val="Calibri"/>
        <family val="2"/>
        <scheme val="minor"/>
      </rPr>
      <t>Value proposition</t>
    </r>
    <r>
      <rPr>
        <sz val="11"/>
        <rFont val="Calibri"/>
        <family val="2"/>
        <scheme val="minor"/>
      </rPr>
      <t>: ability to articulate value proposition, target customers and routes to market</t>
    </r>
  </si>
  <si>
    <r>
      <rPr>
        <b/>
        <sz val="11"/>
        <rFont val="Calibri"/>
        <family val="2"/>
        <scheme val="minor"/>
      </rPr>
      <t>Market knowledge</t>
    </r>
    <r>
      <rPr>
        <sz val="11"/>
        <rFont val="Calibri"/>
        <family val="2"/>
        <scheme val="minor"/>
      </rPr>
      <t>: understanding of market and price sensitivities</t>
    </r>
  </si>
  <si>
    <r>
      <rPr>
        <b/>
        <sz val="11"/>
        <rFont val="Calibri"/>
        <family val="2"/>
        <scheme val="minor"/>
      </rPr>
      <t>Network building</t>
    </r>
    <r>
      <rPr>
        <sz val="11"/>
        <rFont val="Calibri"/>
        <family val="2"/>
        <scheme val="minor"/>
      </rPr>
      <t xml:space="preserve">: well-known and well positioned in the sector. Has to ability to build useful connections and grow their network, forming appropriate partnerships </t>
    </r>
  </si>
  <si>
    <r>
      <rPr>
        <b/>
        <sz val="11"/>
        <rFont val="Calibri"/>
        <family val="2"/>
        <scheme val="minor"/>
      </rPr>
      <t>Understanding of sales funnel</t>
    </r>
    <r>
      <rPr>
        <sz val="11"/>
        <rFont val="Calibri"/>
        <family val="2"/>
        <scheme val="minor"/>
      </rPr>
      <t>: conversion rates, customer acquisition costs and lead time known and documented</t>
    </r>
  </si>
  <si>
    <r>
      <rPr>
        <b/>
        <sz val="11"/>
        <rFont val="Calibri"/>
        <family val="2"/>
        <scheme val="minor"/>
      </rPr>
      <t>Forecasting</t>
    </r>
    <r>
      <rPr>
        <sz val="11"/>
        <rFont val="Calibri"/>
        <family val="2"/>
        <scheme val="minor"/>
      </rPr>
      <t>: ability to forecast sales growth and resource requirements for growth</t>
    </r>
  </si>
  <si>
    <r>
      <rPr>
        <b/>
        <sz val="11"/>
        <rFont val="Calibri"/>
        <family val="2"/>
        <scheme val="minor"/>
      </rPr>
      <t>Sales process:</t>
    </r>
    <r>
      <rPr>
        <sz val="11"/>
        <rFont val="Calibri"/>
        <family val="2"/>
        <scheme val="minor"/>
      </rPr>
      <t xml:space="preserve"> is in place and operational across teams / people in organisation</t>
    </r>
  </si>
  <si>
    <r>
      <rPr>
        <b/>
        <sz val="11"/>
        <rFont val="Calibri"/>
        <family val="2"/>
        <scheme val="minor"/>
      </rPr>
      <t>Comms and marketing</t>
    </r>
    <r>
      <rPr>
        <sz val="11"/>
        <rFont val="Calibri"/>
        <family val="2"/>
        <scheme val="minor"/>
      </rPr>
      <t xml:space="preserve">: presence and efficacy of comms and marketing strategy  </t>
    </r>
  </si>
  <si>
    <t>Performance</t>
  </si>
  <si>
    <t>6. Legals and reporting</t>
  </si>
  <si>
    <r>
      <rPr>
        <b/>
        <sz val="11"/>
        <rFont val="Calibri"/>
        <family val="2"/>
        <scheme val="minor"/>
      </rPr>
      <t>Incorporation</t>
    </r>
    <r>
      <rPr>
        <sz val="11"/>
        <rFont val="Calibri"/>
        <family val="2"/>
        <scheme val="minor"/>
      </rPr>
      <t>: business incorporated with appropriate legal structure for growth plans</t>
    </r>
  </si>
  <si>
    <r>
      <rPr>
        <b/>
        <sz val="11"/>
        <rFont val="Calibri"/>
        <family val="2"/>
        <scheme val="minor"/>
      </rPr>
      <t>Partner agreements</t>
    </r>
    <r>
      <rPr>
        <sz val="11"/>
        <rFont val="Calibri"/>
        <family val="2"/>
        <scheme val="minor"/>
      </rPr>
      <t xml:space="preserve">: any appropriate partner agreements and service level contracts in place </t>
    </r>
  </si>
  <si>
    <r>
      <rPr>
        <b/>
        <sz val="11"/>
        <rFont val="Calibri"/>
        <family val="2"/>
        <scheme val="minor"/>
      </rPr>
      <t xml:space="preserve">Intellectual Property: </t>
    </r>
    <r>
      <rPr>
        <sz val="11"/>
        <rFont val="Calibri"/>
        <family val="2"/>
        <scheme val="minor"/>
      </rPr>
      <t>any IP corrected documented and registered</t>
    </r>
  </si>
  <si>
    <r>
      <rPr>
        <b/>
        <sz val="11"/>
        <rFont val="Calibri"/>
        <family val="2"/>
        <scheme val="minor"/>
      </rPr>
      <t>Legal understanding</t>
    </r>
    <r>
      <rPr>
        <sz val="11"/>
        <rFont val="Calibri"/>
        <family val="2"/>
        <scheme val="minor"/>
      </rPr>
      <t>: knowledge of all relevant legal requirements and procedures in place to ensure compliance (particularly data protection)</t>
    </r>
  </si>
  <si>
    <r>
      <rPr>
        <b/>
        <sz val="11"/>
        <rFont val="Calibri"/>
        <family val="2"/>
        <scheme val="minor"/>
      </rPr>
      <t>Accountability</t>
    </r>
    <r>
      <rPr>
        <sz val="11"/>
        <rFont val="Calibri"/>
        <family val="2"/>
        <scheme val="minor"/>
      </rPr>
      <t>: relevant HR processes being used by managers to hold staff accountable to performance standards</t>
    </r>
  </si>
  <si>
    <r>
      <rPr>
        <b/>
        <sz val="11"/>
        <rFont val="Calibri"/>
        <family val="2"/>
        <scheme val="minor"/>
      </rPr>
      <t>Financial reporting</t>
    </r>
    <r>
      <rPr>
        <sz val="11"/>
        <rFont val="Calibri"/>
        <family val="2"/>
        <scheme val="minor"/>
      </rPr>
      <t>: submission of externally validated Accounts to company registrar; production of accurate financial statements and quarterly Management Information/Accounts</t>
    </r>
  </si>
  <si>
    <t>7. Operations and processes</t>
  </si>
  <si>
    <r>
      <rPr>
        <b/>
        <sz val="11"/>
        <rFont val="Calibri"/>
        <family val="2"/>
        <scheme val="minor"/>
      </rPr>
      <t>Operations planning</t>
    </r>
    <r>
      <rPr>
        <sz val="11"/>
        <rFont val="Calibri"/>
        <family val="2"/>
        <scheme val="minor"/>
      </rPr>
      <t>: processes and operations mapped out and documented to ensure risks and contingencies identified</t>
    </r>
  </si>
  <si>
    <r>
      <rPr>
        <b/>
        <sz val="11"/>
        <rFont val="Calibri"/>
        <family val="2"/>
        <scheme val="minor"/>
      </rPr>
      <t>Data system</t>
    </r>
    <r>
      <rPr>
        <sz val="11"/>
        <rFont val="Calibri"/>
        <family val="2"/>
        <scheme val="minor"/>
      </rPr>
      <t>: IT systems, tools and collection of data systems in place, including data security and compliance</t>
    </r>
  </si>
  <si>
    <r>
      <rPr>
        <b/>
        <sz val="11"/>
        <rFont val="Calibri"/>
        <family val="2"/>
        <scheme val="minor"/>
      </rPr>
      <t>Tactical performance management</t>
    </r>
    <r>
      <rPr>
        <sz val="11"/>
        <rFont val="Calibri"/>
        <family val="2"/>
        <scheme val="minor"/>
      </rPr>
      <t>: staff reviews, customer feedback and analyses data to make adjustments to delivery</t>
    </r>
  </si>
  <si>
    <r>
      <rPr>
        <b/>
        <sz val="11"/>
        <rFont val="Calibri"/>
        <family val="2"/>
        <scheme val="minor"/>
      </rPr>
      <t>Strategic performance management</t>
    </r>
    <r>
      <rPr>
        <sz val="11"/>
        <rFont val="Calibri"/>
        <family val="2"/>
        <scheme val="minor"/>
      </rPr>
      <t>: performance data created and disseminated in line with KPIs which can be used by managers to make decisions in order to improve outcomes of product/services</t>
    </r>
  </si>
  <si>
    <t>Plan</t>
  </si>
  <si>
    <t>8. Growth Plan</t>
  </si>
  <si>
    <r>
      <rPr>
        <b/>
        <sz val="11"/>
        <rFont val="Calibri"/>
        <family val="2"/>
        <scheme val="minor"/>
      </rPr>
      <t>Business / revenue model</t>
    </r>
    <r>
      <rPr>
        <sz val="11"/>
        <rFont val="Calibri"/>
        <family val="2"/>
        <scheme val="minor"/>
      </rPr>
      <t>: proven and scalable demonstrated by significant track record of sales and impact</t>
    </r>
  </si>
  <si>
    <r>
      <rPr>
        <b/>
        <sz val="11"/>
        <rFont val="Calibri"/>
        <family val="2"/>
        <scheme val="minor"/>
      </rPr>
      <t>Growth plan</t>
    </r>
    <r>
      <rPr>
        <sz val="11"/>
        <rFont val="Calibri"/>
        <family val="2"/>
        <scheme val="minor"/>
      </rPr>
      <t>: robust, thoughtful growth plan in place and is being operationalised</t>
    </r>
  </si>
  <si>
    <r>
      <rPr>
        <b/>
        <sz val="11"/>
        <rFont val="Calibri"/>
        <family val="2"/>
        <scheme val="minor"/>
      </rPr>
      <t>Growth plan communication</t>
    </r>
    <r>
      <rPr>
        <sz val="11"/>
        <rFont val="Calibri"/>
        <family val="2"/>
        <scheme val="minor"/>
      </rPr>
      <t>: across team in a durable medium</t>
    </r>
  </si>
  <si>
    <r>
      <rPr>
        <b/>
        <sz val="11"/>
        <rFont val="Calibri"/>
        <family val="2"/>
        <scheme val="minor"/>
      </rPr>
      <t>Market influence and positioning</t>
    </r>
    <r>
      <rPr>
        <sz val="11"/>
        <rFont val="Calibri"/>
        <family val="2"/>
        <scheme val="minor"/>
      </rPr>
      <t>: understands the organisation's role within the wider sector and has a desire and ability to become a prominent change-maker and influential at a policy level</t>
    </r>
  </si>
  <si>
    <t>9. Financial Modelling</t>
  </si>
  <si>
    <r>
      <rPr>
        <b/>
        <sz val="11"/>
        <rFont val="Calibri"/>
        <family val="2"/>
        <scheme val="minor"/>
      </rPr>
      <t>Modelling for future growth</t>
    </r>
    <r>
      <rPr>
        <sz val="11"/>
        <rFont val="Calibri"/>
        <family val="2"/>
        <scheme val="minor"/>
      </rPr>
      <t>: financial model in place that details growth plan and projections</t>
    </r>
  </si>
  <si>
    <r>
      <rPr>
        <b/>
        <sz val="11"/>
        <rFont val="Calibri"/>
        <family val="2"/>
        <scheme val="minor"/>
      </rPr>
      <t>Quality and consistency of data</t>
    </r>
    <r>
      <rPr>
        <sz val="11"/>
        <rFont val="Calibri"/>
        <family val="2"/>
        <scheme val="minor"/>
      </rPr>
      <t>: actual data used and available to support projection of current and future growth</t>
    </r>
  </si>
  <si>
    <r>
      <rPr>
        <b/>
        <sz val="11"/>
        <rFont val="Calibri"/>
        <family val="2"/>
        <scheme val="minor"/>
      </rPr>
      <t>Financial modelling capabilities</t>
    </r>
    <r>
      <rPr>
        <sz val="11"/>
        <rFont val="Calibri"/>
        <family val="2"/>
        <scheme val="minor"/>
      </rPr>
      <t>: model includes information on past performance as an indication of future projections</t>
    </r>
  </si>
  <si>
    <r>
      <rPr>
        <b/>
        <sz val="11"/>
        <rFont val="Calibri"/>
        <family val="2"/>
        <scheme val="minor"/>
      </rPr>
      <t>Financial modelling capabilities</t>
    </r>
    <r>
      <rPr>
        <sz val="11"/>
        <rFont val="Calibri"/>
        <family val="2"/>
        <scheme val="minor"/>
      </rPr>
      <t>: model includes breakdown of pricing, margins and key assumptions, allowing for analysis of key ratios where appropriate. Model is flexible to allow changes in variables: for example product volume, price, costs, staffing, investment</t>
    </r>
  </si>
  <si>
    <r>
      <rPr>
        <b/>
        <sz val="11"/>
        <rFont val="Calibri"/>
        <family val="2"/>
        <scheme val="minor"/>
      </rPr>
      <t>Financial modelling capabilities</t>
    </r>
    <r>
      <rPr>
        <sz val="11"/>
        <rFont val="Calibri"/>
        <family val="2"/>
        <scheme val="minor"/>
      </rPr>
      <t>: production of financial statements as outputs</t>
    </r>
  </si>
  <si>
    <r>
      <rPr>
        <b/>
        <sz val="11"/>
        <rFont val="Calibri"/>
        <family val="2"/>
        <scheme val="minor"/>
      </rPr>
      <t>Financial modelling</t>
    </r>
    <r>
      <rPr>
        <sz val="11"/>
        <rFont val="Calibri"/>
        <family val="2"/>
        <scheme val="minor"/>
      </rPr>
      <t xml:space="preserve">: clear understanding and communication at board level </t>
    </r>
  </si>
  <si>
    <t>Ventures Support framework - growth journey</t>
  </si>
  <si>
    <t>Action</t>
  </si>
  <si>
    <t>Time</t>
  </si>
  <si>
    <t>Output</t>
  </si>
  <si>
    <t>Resources (tools, people)</t>
  </si>
  <si>
    <t>Ventures Support framework - diagnostic - end of support</t>
  </si>
  <si>
    <t>Original pillar score</t>
  </si>
  <si>
    <t>New pillar score</t>
  </si>
  <si>
    <t>Ventures Support framework - distance travelled</t>
  </si>
  <si>
    <t>Pillar score start</t>
  </si>
  <si>
    <t>Pillar score end</t>
  </si>
  <si>
    <t>Pillar average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</si>
</sst>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name val="Calibri"/>
      <family val="2"/>
      <scheme val="minor"/>
    </font>
    <font>
      <b/>
      <sz val="16"/>
      <color theme="1"/>
      <name val="Calibri"/>
      <family val="2"/>
      <scheme val="minor"/>
    </font>
    <font>
      <sz val="11"/>
      <color theme="0"/>
      <name val="Calibri"/>
      <family val="2"/>
      <scheme val="minor"/>
    </font>
    <font>
      <i/>
      <sz val="11"/>
      <color theme="1"/>
      <name val="Calibri"/>
      <family val="2"/>
      <scheme val="minor"/>
    </font>
    <font>
      <sz val="18"/>
      <color theme="3"/>
      <name val="Calibri Light"/>
      <family val="2"/>
      <scheme val="major"/>
    </font>
    <font>
      <b/>
      <sz val="15"/>
      <color theme="3"/>
      <name val="Calibri"/>
      <family val="2"/>
      <scheme val="minor"/>
    </font>
    <font>
      <b/>
      <sz val="18"/>
      <color theme="3"/>
      <name val="Calibri Light"/>
      <family val="2"/>
      <scheme val="major"/>
    </font>
    <font>
      <sz val="11"/>
      <color theme="4" tint="0.39997558519241921"/>
      <name val="Calibri"/>
      <family val="2"/>
      <scheme val="minor"/>
    </font>
    <font>
      <u/>
      <sz val="11"/>
      <color theme="1"/>
      <name val="Calibri"/>
      <family val="2"/>
      <scheme val="minor"/>
    </font>
    <font>
      <sz val="14"/>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theme="3"/>
        <bgColor indexed="64"/>
      </patternFill>
    </fill>
    <fill>
      <patternFill patternType="solid">
        <fgColor theme="0" tint="-0.249977111117893"/>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79998168889431442"/>
        <bgColor indexed="64"/>
      </patternFill>
    </fill>
  </fills>
  <borders count="52">
    <border>
      <start/>
      <end/>
      <top/>
      <bottom/>
      <diagonal/>
    </border>
    <border>
      <start style="thin">
        <color indexed="64"/>
      </start>
      <end/>
      <top style="thin">
        <color indexed="64"/>
      </top>
      <bottom style="thin">
        <color indexed="64"/>
      </bottom>
      <diagonal/>
    </border>
    <border>
      <start/>
      <end/>
      <top style="thin">
        <color indexed="64"/>
      </top>
      <bottom style="thin">
        <color indexed="64"/>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style="dotted">
        <color theme="0" tint="-0.34998626667073579"/>
      </end>
      <top style="thin">
        <color indexed="64"/>
      </top>
      <bottom style="thin">
        <color indexed="64"/>
      </bottom>
      <diagonal/>
    </border>
    <border>
      <start style="dotted">
        <color theme="0" tint="-0.34998626667073579"/>
      </start>
      <end style="dotted">
        <color theme="0" tint="-0.34998626667073579"/>
      </end>
      <top style="thin">
        <color indexed="64"/>
      </top>
      <bottom style="thin">
        <color indexed="64"/>
      </bottom>
      <diagonal/>
    </border>
    <border>
      <start style="dotted">
        <color theme="0" tint="-0.34998626667073579"/>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style="dotted">
        <color theme="0" tint="-0.34998626667073579"/>
      </end>
      <top style="thin">
        <color indexed="64"/>
      </top>
      <bottom style="thin">
        <color indexed="64"/>
      </bottom>
      <diagonal/>
    </border>
    <border>
      <start style="thin">
        <color indexed="64"/>
      </start>
      <end style="dashed">
        <color theme="2" tint="-0.499984740745262"/>
      </end>
      <top style="thin">
        <color indexed="64"/>
      </top>
      <bottom style="dashed">
        <color theme="2" tint="-0.499984740745262"/>
      </bottom>
      <diagonal/>
    </border>
    <border>
      <start style="dashed">
        <color theme="2" tint="-0.499984740745262"/>
      </start>
      <end style="dashed">
        <color theme="2" tint="-0.499984740745262"/>
      </end>
      <top style="thin">
        <color indexed="64"/>
      </top>
      <bottom style="dashed">
        <color theme="2" tint="-0.499984740745262"/>
      </bottom>
      <diagonal/>
    </border>
    <border>
      <start style="dashed">
        <color theme="2" tint="-0.499984740745262"/>
      </start>
      <end style="thin">
        <color indexed="64"/>
      </end>
      <top style="thin">
        <color indexed="64"/>
      </top>
      <bottom style="dashed">
        <color theme="2" tint="-0.499984740745262"/>
      </bottom>
      <diagonal/>
    </border>
    <border>
      <start style="thin">
        <color indexed="64"/>
      </start>
      <end style="dashed">
        <color theme="2" tint="-0.499984740745262"/>
      </end>
      <top style="dashed">
        <color theme="2" tint="-0.499984740745262"/>
      </top>
      <bottom style="dashed">
        <color theme="2" tint="-0.499984740745262"/>
      </bottom>
      <diagonal/>
    </border>
    <border>
      <start style="dashed">
        <color theme="2" tint="-0.499984740745262"/>
      </start>
      <end style="dashed">
        <color theme="2" tint="-0.499984740745262"/>
      </end>
      <top style="dashed">
        <color theme="2" tint="-0.499984740745262"/>
      </top>
      <bottom style="dashed">
        <color theme="2" tint="-0.499984740745262"/>
      </bottom>
      <diagonal/>
    </border>
    <border>
      <start style="dashed">
        <color theme="2" tint="-0.499984740745262"/>
      </start>
      <end style="thin">
        <color indexed="64"/>
      </end>
      <top style="dashed">
        <color theme="2" tint="-0.499984740745262"/>
      </top>
      <bottom style="dashed">
        <color theme="2" tint="-0.499984740745262"/>
      </bottom>
      <diagonal/>
    </border>
    <border>
      <start style="thin">
        <color indexed="64"/>
      </start>
      <end style="dashed">
        <color theme="2" tint="-0.499984740745262"/>
      </end>
      <top style="dashed">
        <color theme="2" tint="-0.499984740745262"/>
      </top>
      <bottom style="thin">
        <color indexed="64"/>
      </bottom>
      <diagonal/>
    </border>
    <border>
      <start style="dashed">
        <color theme="2" tint="-0.499984740745262"/>
      </start>
      <end style="dashed">
        <color theme="2" tint="-0.499984740745262"/>
      </end>
      <top style="dashed">
        <color theme="2" tint="-0.499984740745262"/>
      </top>
      <bottom style="thin">
        <color indexed="64"/>
      </bottom>
      <diagonal/>
    </border>
    <border>
      <start style="dashed">
        <color theme="2" tint="-0.499984740745262"/>
      </start>
      <end style="thin">
        <color indexed="64"/>
      </end>
      <top style="dashed">
        <color theme="2" tint="-0.499984740745262"/>
      </top>
      <bottom style="thin">
        <color indexed="64"/>
      </bottom>
      <diagonal/>
    </border>
    <border>
      <start/>
      <end/>
      <top/>
      <bottom style="thick">
        <color theme="4"/>
      </bottom>
      <diagonal/>
    </border>
    <border>
      <start/>
      <end/>
      <top/>
      <bottom style="thick">
        <color rgb="FFFFC000"/>
      </bottom>
      <diagonal/>
    </border>
    <border>
      <start style="dotted">
        <color theme="0" tint="-0.34998626667073579"/>
      </start>
      <end/>
      <top style="thin">
        <color indexed="64"/>
      </top>
      <bottom style="thin">
        <color indexed="64"/>
      </bottom>
      <diagonal/>
    </border>
    <border>
      <start style="dashed">
        <color theme="2" tint="-0.499984740745262"/>
      </start>
      <end/>
      <top style="thin">
        <color indexed="64"/>
      </top>
      <bottom style="dashed">
        <color theme="2" tint="-0.499984740745262"/>
      </bottom>
      <diagonal/>
    </border>
    <border>
      <start style="dashed">
        <color theme="2" tint="-0.499984740745262"/>
      </start>
      <end/>
      <top style="dashed">
        <color theme="2" tint="-0.499984740745262"/>
      </top>
      <bottom style="dashed">
        <color theme="2" tint="-0.499984740745262"/>
      </bottom>
      <diagonal/>
    </border>
    <border>
      <start style="dashed">
        <color theme="2" tint="-0.499984740745262"/>
      </start>
      <end/>
      <top style="dashed">
        <color theme="2" tint="-0.499984740745262"/>
      </top>
      <bottom style="thin">
        <color indexed="64"/>
      </bottom>
      <diagonal/>
    </border>
    <border>
      <start style="thin">
        <color indexed="64"/>
      </start>
      <end style="dotted">
        <color theme="0" tint="-0.34998626667073579"/>
      </end>
      <top/>
      <bottom style="thin">
        <color indexed="64"/>
      </bottom>
      <diagonal/>
    </border>
    <border>
      <start/>
      <end style="dotted">
        <color theme="0" tint="-0.34998626667073579"/>
      </end>
      <top/>
      <bottom style="thin">
        <color indexed="64"/>
      </bottom>
      <diagonal/>
    </border>
    <border>
      <start style="dotted">
        <color theme="0" tint="-0.34998626667073579"/>
      </start>
      <end style="dotted">
        <color theme="0" tint="-0.34998626667073579"/>
      </end>
      <top/>
      <bottom style="thin">
        <color indexed="64"/>
      </bottom>
      <diagonal/>
    </border>
    <border>
      <start style="thin">
        <color indexed="64"/>
      </start>
      <end/>
      <top/>
      <bottom/>
      <diagonal/>
    </border>
    <border>
      <start style="dashed">
        <color indexed="64"/>
      </start>
      <end style="dashed">
        <color indexed="64"/>
      </end>
      <top style="dashed">
        <color indexed="64"/>
      </top>
      <bottom style="dashed">
        <color indexed="64"/>
      </bottom>
      <diagonal/>
    </border>
    <border>
      <start style="dotted">
        <color theme="0" tint="-0.34998626667073579"/>
      </start>
      <end style="dotted">
        <color theme="0" tint="-0.34998626667073579"/>
      </end>
      <top/>
      <bottom/>
      <diagonal/>
    </border>
    <border>
      <start style="dotted">
        <color theme="0" tint="-0.34998626667073579"/>
      </start>
      <end/>
      <top/>
      <bottom/>
      <diagonal/>
    </border>
    <border>
      <start style="dashed">
        <color indexed="64"/>
      </start>
      <end/>
      <top style="dashed">
        <color indexed="64"/>
      </top>
      <bottom style="dashed">
        <color indexed="64"/>
      </bottom>
      <diagonal/>
    </border>
    <border>
      <start style="dashed">
        <color theme="2" tint="-0.499984740745262"/>
      </start>
      <end/>
      <top/>
      <bottom/>
      <diagonal/>
    </border>
    <border>
      <start style="dashed">
        <color indexed="64"/>
      </start>
      <end style="dashed">
        <color indexed="64"/>
      </end>
      <top/>
      <bottom/>
      <diagonal/>
    </border>
    <border>
      <start style="dashed">
        <color indexed="64"/>
      </start>
      <end/>
      <top/>
      <bottom/>
      <diagonal/>
    </border>
    <border>
      <start style="dashed">
        <color indexed="64"/>
      </start>
      <end/>
      <top style="dashed">
        <color indexed="64"/>
      </top>
      <bottom/>
      <diagonal/>
    </border>
    <border>
      <start style="dotted">
        <color indexed="64"/>
      </start>
      <end style="dotted">
        <color indexed="64"/>
      </end>
      <top style="dotted">
        <color indexed="64"/>
      </top>
      <bottom style="dotted">
        <color indexed="64"/>
      </bottom>
      <diagonal/>
    </border>
    <border>
      <start style="thin">
        <color indexed="64"/>
      </start>
      <end style="dashed">
        <color theme="2" tint="-0.499984740745262"/>
      </end>
      <top/>
      <bottom/>
      <diagonal/>
    </border>
    <border>
      <start style="thin">
        <color indexed="64"/>
      </start>
      <end style="dashed">
        <color theme="2" tint="-0.499984740745262"/>
      </end>
      <top style="thin">
        <color indexed="64"/>
      </top>
      <bottom/>
      <diagonal/>
    </border>
    <border>
      <start style="thin">
        <color indexed="64"/>
      </start>
      <end style="dashed">
        <color theme="2" tint="-0.499984740745262"/>
      </end>
      <top/>
      <bottom style="thin">
        <color indexed="64"/>
      </bottom>
      <diagonal/>
    </border>
    <border>
      <start style="dashed">
        <color indexed="64"/>
      </start>
      <end style="thin">
        <color indexed="64"/>
      </end>
      <top style="dashed">
        <color indexed="64"/>
      </top>
      <bottom/>
      <diagonal/>
    </border>
    <border>
      <start style="dashed">
        <color indexed="64"/>
      </start>
      <end style="thin">
        <color indexed="64"/>
      </end>
      <top/>
      <bottom/>
      <diagonal/>
    </border>
    <border>
      <start style="dashed">
        <color indexed="64"/>
      </start>
      <end style="thin">
        <color indexed="64"/>
      </end>
      <top/>
      <bottom style="dashed">
        <color indexed="64"/>
      </bottom>
      <diagonal/>
    </border>
    <border>
      <start style="dashed">
        <color theme="2" tint="-0.499984740745262"/>
      </start>
      <end style="dashed">
        <color theme="2" tint="-0.499984740745262"/>
      </end>
      <top/>
      <bottom/>
      <diagonal/>
    </border>
    <border>
      <start style="dashed">
        <color theme="2" tint="-0.499984740745262"/>
      </start>
      <end style="thin">
        <color indexed="64"/>
      </end>
      <top/>
      <bottom style="thin">
        <color indexed="64"/>
      </bottom>
      <diagonal/>
    </border>
    <border>
      <start style="dashed">
        <color theme="2" tint="-0.499984740745262"/>
      </start>
      <end style="dashed">
        <color theme="2" tint="-0.499984740745262"/>
      </end>
      <top/>
      <bottom style="dashed">
        <color theme="2" tint="-0.499984740745262"/>
      </bottom>
      <diagonal/>
    </border>
    <border>
      <start style="dashed">
        <color theme="2" tint="-0.499984740745262"/>
      </start>
      <end style="dashed">
        <color indexed="64"/>
      </end>
      <top style="dashed">
        <color theme="2" tint="-0.499984740745262"/>
      </top>
      <bottom style="thin">
        <color indexed="64"/>
      </bottom>
      <diagonal/>
    </border>
    <border>
      <start style="dashed">
        <color theme="2" tint="-0.499984740745262"/>
      </start>
      <end/>
      <top/>
      <bottom style="dashed">
        <color theme="2" tint="-0.499984740745262"/>
      </bottom>
      <diagonal/>
    </border>
  </borders>
  <cellStyleXfs count="4">
    <xf numFmtId="0" fontId="0" fillId="0" borderId="0"/>
    <xf numFmtId="0" fontId="8" fillId="0" borderId="0" applyNumberFormat="0" applyFill="0" applyBorder="0" applyAlignment="0" applyProtection="0"/>
    <xf numFmtId="0" fontId="9" fillId="0" borderId="22" applyNumberFormat="0" applyFill="0" applyAlignment="0" applyProtection="0"/>
    <xf numFmtId="9" fontId="14" fillId="0" borderId="0" applyFont="0" applyFill="0" applyBorder="0" applyAlignment="0" applyProtection="0"/>
  </cellStyleXfs>
  <cellXfs count="110">
    <xf numFmtId="0" fontId="0" fillId="0" borderId="0" xfId="0"/>
    <xf numFmtId="0" fontId="5" fillId="4" borderId="0" xfId="0" applyFont="1" applyFill="1"/>
    <xf numFmtId="0" fontId="0" fillId="4" borderId="0" xfId="0" applyFill="1"/>
    <xf numFmtId="0" fontId="2" fillId="4" borderId="0" xfId="0" applyFont="1" applyFill="1"/>
    <xf numFmtId="0" fontId="0" fillId="4" borderId="0" xfId="0" applyFill="1" applyAlignment="1">
      <alignment horizontal="left" vertical="center" wrapText="1"/>
    </xf>
    <xf numFmtId="0" fontId="1" fillId="2" borderId="3" xfId="0" applyFont="1" applyFill="1" applyBorder="1"/>
    <xf numFmtId="0" fontId="1" fillId="2" borderId="4" xfId="0" applyFont="1" applyFill="1" applyBorder="1"/>
    <xf numFmtId="0" fontId="1" fillId="2" borderId="5" xfId="0" applyFont="1" applyFill="1" applyBorder="1" applyAlignment="1">
      <alignment horizontal="right"/>
    </xf>
    <xf numFmtId="0" fontId="2" fillId="3" borderId="1" xfId="0" applyFont="1" applyFill="1" applyBorder="1"/>
    <xf numFmtId="0" fontId="2" fillId="3" borderId="12" xfId="0" applyFont="1" applyFill="1" applyBorder="1"/>
    <xf numFmtId="0" fontId="2" fillId="3" borderId="7" xfId="0" applyFont="1" applyFill="1" applyBorder="1"/>
    <xf numFmtId="0" fontId="2" fillId="3" borderId="7" xfId="0" applyFont="1" applyFill="1" applyBorder="1" applyAlignment="1">
      <alignment horizontal="center"/>
    </xf>
    <xf numFmtId="0" fontId="2" fillId="3" borderId="8" xfId="0" applyFont="1" applyFill="1" applyBorder="1" applyAlignment="1">
      <alignment horizontal="center"/>
    </xf>
    <xf numFmtId="0" fontId="0" fillId="4" borderId="0" xfId="0" applyFill="1" applyAlignment="1">
      <alignment horizontal="left" vertical="top" wrapText="1"/>
    </xf>
    <xf numFmtId="0" fontId="11" fillId="4" borderId="0" xfId="0" applyFont="1" applyFill="1"/>
    <xf numFmtId="0" fontId="1" fillId="4" borderId="0" xfId="0" applyFont="1" applyFill="1"/>
    <xf numFmtId="0" fontId="6" fillId="4" borderId="0" xfId="0" applyFont="1" applyFill="1"/>
    <xf numFmtId="0" fontId="2" fillId="3" borderId="28" xfId="0" applyFont="1" applyFill="1" applyBorder="1"/>
    <xf numFmtId="0" fontId="2" fillId="3" borderId="29" xfId="0" applyFont="1" applyFill="1" applyBorder="1"/>
    <xf numFmtId="0" fontId="2" fillId="3" borderId="30" xfId="0" applyFont="1" applyFill="1" applyBorder="1"/>
    <xf numFmtId="0" fontId="2" fillId="3" borderId="33" xfId="0" applyFont="1" applyFill="1" applyBorder="1"/>
    <xf numFmtId="0" fontId="2" fillId="3" borderId="34" xfId="0" applyFont="1" applyFill="1" applyBorder="1"/>
    <xf numFmtId="0" fontId="0" fillId="4" borderId="31" xfId="0" applyFill="1" applyBorder="1"/>
    <xf numFmtId="0" fontId="4" fillId="5" borderId="14" xfId="0" applyFont="1" applyFill="1" applyBorder="1" applyAlignment="1">
      <alignment horizontal="center" vertical="top" wrapText="1"/>
    </xf>
    <xf numFmtId="0" fontId="3" fillId="5" borderId="25" xfId="0" applyFont="1" applyFill="1" applyBorder="1" applyAlignment="1">
      <alignment vertical="top" wrapText="1"/>
    </xf>
    <xf numFmtId="0" fontId="0" fillId="4" borderId="35" xfId="0" applyFill="1" applyBorder="1"/>
    <xf numFmtId="0" fontId="0" fillId="4" borderId="32" xfId="0" applyFill="1" applyBorder="1"/>
    <xf numFmtId="0" fontId="2" fillId="5" borderId="17" xfId="0" applyFont="1" applyFill="1" applyBorder="1" applyAlignment="1">
      <alignment horizontal="center" vertical="top" wrapText="1"/>
    </xf>
    <xf numFmtId="0" fontId="3" fillId="5" borderId="17" xfId="0" applyFont="1" applyFill="1" applyBorder="1" applyAlignment="1">
      <alignment vertical="top" wrapText="1"/>
    </xf>
    <xf numFmtId="0" fontId="0" fillId="4" borderId="36" xfId="0" applyFill="1" applyBorder="1"/>
    <xf numFmtId="0" fontId="0" fillId="4" borderId="37" xfId="0" applyFill="1" applyBorder="1"/>
    <xf numFmtId="0" fontId="0" fillId="4" borderId="38" xfId="0" applyFill="1" applyBorder="1"/>
    <xf numFmtId="0" fontId="2" fillId="5" borderId="20" xfId="0" applyFont="1" applyFill="1" applyBorder="1" applyAlignment="1">
      <alignment horizontal="center" vertical="top" wrapText="1"/>
    </xf>
    <xf numFmtId="0" fontId="3" fillId="5" borderId="27" xfId="0" applyFont="1" applyFill="1" applyBorder="1" applyAlignment="1">
      <alignment vertical="top" wrapText="1"/>
    </xf>
    <xf numFmtId="0" fontId="4" fillId="8" borderId="14" xfId="0" applyFont="1" applyFill="1" applyBorder="1" applyAlignment="1">
      <alignment horizontal="center" vertical="top" wrapText="1"/>
    </xf>
    <xf numFmtId="0" fontId="3" fillId="8" borderId="14" xfId="0" applyFont="1" applyFill="1" applyBorder="1" applyAlignment="1">
      <alignment vertical="top" wrapText="1"/>
    </xf>
    <xf numFmtId="0" fontId="4" fillId="8" borderId="17" xfId="0" applyFont="1" applyFill="1" applyBorder="1" applyAlignment="1">
      <alignment horizontal="center" vertical="top" wrapText="1"/>
    </xf>
    <xf numFmtId="0" fontId="3" fillId="8" borderId="26" xfId="0" applyFont="1" applyFill="1" applyBorder="1" applyAlignment="1">
      <alignment vertical="top" wrapText="1"/>
    </xf>
    <xf numFmtId="0" fontId="3" fillId="8" borderId="17" xfId="0" applyFont="1" applyFill="1" applyBorder="1" applyAlignment="1">
      <alignment vertical="top" wrapText="1"/>
    </xf>
    <xf numFmtId="0" fontId="4" fillId="8" borderId="20" xfId="0" applyFont="1" applyFill="1" applyBorder="1" applyAlignment="1">
      <alignment horizontal="center" vertical="top" wrapText="1"/>
    </xf>
    <xf numFmtId="0" fontId="3" fillId="8" borderId="27" xfId="0" applyFont="1" applyFill="1" applyBorder="1" applyAlignment="1">
      <alignment vertical="top" wrapText="1"/>
    </xf>
    <xf numFmtId="0" fontId="3" fillId="5" borderId="14" xfId="0" applyFont="1" applyFill="1" applyBorder="1" applyAlignment="1">
      <alignment vertical="top" wrapText="1"/>
    </xf>
    <xf numFmtId="0" fontId="4" fillId="5" borderId="20" xfId="0" applyFont="1" applyFill="1" applyBorder="1" applyAlignment="1">
      <alignment horizontal="center" vertical="top" wrapText="1"/>
    </xf>
    <xf numFmtId="0" fontId="3" fillId="8" borderId="20" xfId="0" applyFont="1" applyFill="1" applyBorder="1" applyAlignment="1">
      <alignment vertical="top" wrapText="1"/>
    </xf>
    <xf numFmtId="0" fontId="4" fillId="5" borderId="17" xfId="0" applyFont="1" applyFill="1" applyBorder="1" applyAlignment="1">
      <alignment horizontal="center" vertical="top" wrapText="1"/>
    </xf>
    <xf numFmtId="0" fontId="3" fillId="5" borderId="26" xfId="0" applyFont="1" applyFill="1" applyBorder="1" applyAlignment="1">
      <alignment vertical="top" wrapText="1"/>
    </xf>
    <xf numFmtId="0" fontId="3" fillId="5" borderId="20" xfId="0" applyFont="1" applyFill="1" applyBorder="1" applyAlignment="1">
      <alignment vertical="top" wrapText="1"/>
    </xf>
    <xf numFmtId="0" fontId="0" fillId="4" borderId="4" xfId="0" applyFill="1" applyBorder="1"/>
    <xf numFmtId="0" fontId="2" fillId="3" borderId="6" xfId="0" applyFont="1" applyFill="1" applyBorder="1"/>
    <xf numFmtId="0" fontId="1" fillId="2" borderId="1" xfId="0" applyFont="1" applyFill="1" applyBorder="1"/>
    <xf numFmtId="0" fontId="1" fillId="2" borderId="2" xfId="0" applyFont="1" applyFill="1" applyBorder="1"/>
    <xf numFmtId="0" fontId="2" fillId="3" borderId="24" xfId="0" applyFont="1" applyFill="1" applyBorder="1" applyAlignment="1">
      <alignment horizontal="center"/>
    </xf>
    <xf numFmtId="0" fontId="2" fillId="3" borderId="8" xfId="0" applyFont="1" applyFill="1" applyBorder="1"/>
    <xf numFmtId="0" fontId="8" fillId="10" borderId="0" xfId="1" applyFill="1" applyAlignment="1">
      <alignment horizontal="left" vertical="center"/>
    </xf>
    <xf numFmtId="0" fontId="10" fillId="10" borderId="0" xfId="1" applyFont="1" applyFill="1" applyAlignment="1">
      <alignment horizontal="left" vertical="center"/>
    </xf>
    <xf numFmtId="0" fontId="9" fillId="10" borderId="23" xfId="2" applyFill="1" applyBorder="1" applyAlignment="1">
      <alignment horizontal="center" vertical="top" wrapText="1"/>
    </xf>
    <xf numFmtId="0" fontId="9" fillId="10" borderId="23" xfId="2" applyFill="1" applyBorder="1" applyAlignment="1">
      <alignment horizontal="left" vertical="top" wrapText="1"/>
    </xf>
    <xf numFmtId="0" fontId="13" fillId="11" borderId="40" xfId="0" applyFont="1" applyFill="1" applyBorder="1" applyAlignment="1" applyProtection="1">
      <alignment horizontal="center"/>
      <protection locked="0"/>
    </xf>
    <xf numFmtId="0" fontId="0" fillId="6" borderId="14" xfId="0" applyFill="1" applyBorder="1" applyAlignment="1" applyProtection="1">
      <alignment wrapText="1"/>
      <protection locked="0"/>
    </xf>
    <xf numFmtId="0" fontId="0" fillId="6" borderId="15" xfId="0" applyFill="1" applyBorder="1" applyAlignment="1" applyProtection="1">
      <alignment wrapText="1"/>
      <protection locked="0"/>
    </xf>
    <xf numFmtId="0" fontId="0" fillId="6" borderId="17" xfId="0" applyFill="1" applyBorder="1" applyAlignment="1" applyProtection="1">
      <alignment wrapText="1"/>
      <protection locked="0"/>
    </xf>
    <xf numFmtId="0" fontId="0" fillId="6" borderId="18" xfId="0" applyFill="1" applyBorder="1" applyAlignment="1" applyProtection="1">
      <alignment wrapText="1"/>
      <protection locked="0"/>
    </xf>
    <xf numFmtId="0" fontId="0" fillId="6" borderId="20" xfId="0" applyFill="1" applyBorder="1" applyAlignment="1" applyProtection="1">
      <alignment wrapText="1"/>
      <protection locked="0"/>
    </xf>
    <xf numFmtId="0" fontId="0" fillId="6" borderId="21" xfId="0" applyFill="1" applyBorder="1" applyAlignment="1" applyProtection="1">
      <alignment wrapText="1"/>
      <protection locked="0"/>
    </xf>
    <xf numFmtId="0" fontId="0" fillId="9" borderId="14" xfId="0" applyFill="1" applyBorder="1" applyAlignment="1" applyProtection="1">
      <alignment wrapText="1"/>
      <protection locked="0"/>
    </xf>
    <xf numFmtId="0" fontId="0" fillId="9" borderId="15" xfId="0" applyFill="1" applyBorder="1" applyAlignment="1" applyProtection="1">
      <alignment wrapText="1"/>
      <protection locked="0"/>
    </xf>
    <xf numFmtId="0" fontId="0" fillId="9" borderId="17" xfId="0" applyFill="1" applyBorder="1" applyAlignment="1" applyProtection="1">
      <alignment wrapText="1"/>
      <protection locked="0"/>
    </xf>
    <xf numFmtId="0" fontId="0" fillId="9" borderId="18" xfId="0" applyFill="1" applyBorder="1" applyAlignment="1" applyProtection="1">
      <alignment wrapText="1"/>
      <protection locked="0"/>
    </xf>
    <xf numFmtId="0" fontId="0" fillId="9" borderId="20" xfId="0" applyFill="1" applyBorder="1" applyAlignment="1" applyProtection="1">
      <alignment wrapText="1"/>
      <protection locked="0"/>
    </xf>
    <xf numFmtId="0" fontId="0" fillId="9" borderId="21" xfId="0" applyFill="1" applyBorder="1" applyAlignment="1" applyProtection="1">
      <alignment wrapText="1"/>
      <protection locked="0"/>
    </xf>
    <xf numFmtId="0" fontId="2" fillId="4" borderId="31" xfId="0" applyFont="1" applyFill="1" applyBorder="1"/>
    <xf numFmtId="0" fontId="0" fillId="9" borderId="47" xfId="0" applyFill="1" applyBorder="1" applyAlignment="1" applyProtection="1">
      <alignment wrapText="1"/>
      <protection locked="0"/>
    </xf>
    <xf numFmtId="0" fontId="0" fillId="9" borderId="48" xfId="0" applyFill="1" applyBorder="1" applyAlignment="1" applyProtection="1">
      <alignment wrapText="1"/>
      <protection locked="0"/>
    </xf>
    <xf numFmtId="0" fontId="3" fillId="5" borderId="49" xfId="0" applyFont="1" applyFill="1" applyBorder="1" applyAlignment="1">
      <alignment vertical="top" wrapText="1"/>
    </xf>
    <xf numFmtId="0" fontId="4" fillId="5" borderId="49" xfId="0" applyFont="1" applyFill="1" applyBorder="1" applyAlignment="1">
      <alignment horizontal="center" vertical="top" wrapText="1"/>
    </xf>
    <xf numFmtId="0" fontId="3" fillId="5" borderId="51" xfId="0" applyFont="1" applyFill="1" applyBorder="1" applyAlignment="1">
      <alignment vertical="top" wrapText="1"/>
    </xf>
    <xf numFmtId="0" fontId="3" fillId="8" borderId="50" xfId="0" applyFont="1" applyFill="1" applyBorder="1" applyAlignment="1">
      <alignment vertical="top" wrapText="1"/>
    </xf>
    <xf numFmtId="0" fontId="1" fillId="7" borderId="9" xfId="0" applyFont="1" applyFill="1" applyBorder="1" applyAlignment="1">
      <alignment horizontal="center" vertical="center" textRotation="90" wrapText="1"/>
    </xf>
    <xf numFmtId="0" fontId="6" fillId="7" borderId="10" xfId="0" applyFont="1" applyFill="1" applyBorder="1" applyAlignment="1">
      <alignment horizontal="center" vertical="center" textRotation="90" wrapText="1"/>
    </xf>
    <xf numFmtId="0" fontId="6" fillId="7" borderId="10" xfId="0" applyFont="1" applyFill="1" applyBorder="1"/>
    <xf numFmtId="0" fontId="6" fillId="7" borderId="11" xfId="0" applyFont="1" applyFill="1" applyBorder="1"/>
    <xf numFmtId="0" fontId="4" fillId="5" borderId="13" xfId="0" applyFont="1" applyFill="1" applyBorder="1" applyAlignment="1">
      <alignment horizontal="center" vertical="center" textRotation="90" wrapText="1"/>
    </xf>
    <xf numFmtId="0" fontId="0" fillId="5" borderId="16" xfId="0" applyFill="1" applyBorder="1" applyAlignment="1">
      <alignment horizontal="center" vertical="center" textRotation="90" wrapText="1"/>
    </xf>
    <xf numFmtId="0" fontId="0" fillId="5" borderId="19" xfId="0" applyFill="1" applyBorder="1" applyAlignment="1">
      <alignment horizontal="center" vertical="center" textRotation="90" wrapText="1"/>
    </xf>
    <xf numFmtId="0" fontId="4" fillId="8" borderId="13" xfId="0" applyFont="1" applyFill="1" applyBorder="1" applyAlignment="1">
      <alignment horizontal="center" vertical="center" textRotation="90" wrapText="1"/>
    </xf>
    <xf numFmtId="0" fontId="4" fillId="8" borderId="16" xfId="0" applyFont="1" applyFill="1" applyBorder="1" applyAlignment="1">
      <alignment horizontal="center" vertical="center" textRotation="90" wrapText="1"/>
    </xf>
    <xf numFmtId="0" fontId="4" fillId="8" borderId="19" xfId="0" applyFont="1" applyFill="1" applyBorder="1" applyAlignment="1">
      <alignment horizontal="center" vertical="center" textRotation="90" wrapText="1"/>
    </xf>
    <xf numFmtId="0" fontId="4" fillId="5" borderId="16" xfId="0" applyFont="1" applyFill="1" applyBorder="1" applyAlignment="1">
      <alignment horizontal="center" vertical="center" textRotation="90" wrapText="1"/>
    </xf>
    <xf numFmtId="0" fontId="4" fillId="5" borderId="19" xfId="0" applyFont="1" applyFill="1" applyBorder="1" applyAlignment="1">
      <alignment horizontal="center" vertical="center" textRotation="90" wrapText="1"/>
    </xf>
    <xf numFmtId="0" fontId="4" fillId="5" borderId="42" xfId="0" applyFont="1" applyFill="1" applyBorder="1" applyAlignment="1">
      <alignment horizontal="center" vertical="center" textRotation="90" wrapText="1"/>
    </xf>
    <xf numFmtId="0" fontId="4" fillId="5" borderId="41" xfId="0" applyFont="1" applyFill="1" applyBorder="1" applyAlignment="1">
      <alignment horizontal="center" vertical="center" textRotation="90" wrapText="1"/>
    </xf>
    <xf numFmtId="0" fontId="4" fillId="5" borderId="43" xfId="0" applyFont="1" applyFill="1" applyBorder="1" applyAlignment="1">
      <alignment horizontal="center" vertical="center" textRotation="90" wrapText="1"/>
    </xf>
    <xf numFmtId="0" fontId="1" fillId="7" borderId="10" xfId="0" applyFont="1" applyFill="1" applyBorder="1" applyAlignment="1">
      <alignment horizontal="center" vertical="center" textRotation="90" wrapText="1"/>
    </xf>
    <xf numFmtId="0" fontId="1" fillId="7" borderId="11" xfId="0" applyFont="1" applyFill="1" applyBorder="1" applyAlignment="1">
      <alignment horizontal="center" vertical="center" textRotation="90" wrapText="1"/>
    </xf>
    <xf numFmtId="0" fontId="4" fillId="8" borderId="42" xfId="0" applyFont="1" applyFill="1" applyBorder="1" applyAlignment="1">
      <alignment horizontal="center" vertical="center" textRotation="90" wrapText="1"/>
    </xf>
    <xf numFmtId="0" fontId="4" fillId="8" borderId="41" xfId="0" applyFont="1" applyFill="1" applyBorder="1" applyAlignment="1">
      <alignment horizontal="center" vertical="center" textRotation="90" wrapText="1"/>
    </xf>
    <xf numFmtId="0" fontId="4" fillId="8" borderId="43" xfId="0" applyFont="1" applyFill="1" applyBorder="1" applyAlignment="1">
      <alignment horizontal="center" vertical="center" textRotation="90" wrapText="1"/>
    </xf>
    <xf numFmtId="0" fontId="0" fillId="4" borderId="0" xfId="0" applyFill="1" applyAlignment="1">
      <alignment horizontal="center"/>
    </xf>
    <xf numFmtId="0" fontId="0" fillId="4" borderId="0" xfId="0" applyFill="1" applyAlignment="1">
      <alignment horizontal="left" vertical="top" wrapText="1"/>
    </xf>
    <xf numFmtId="0" fontId="0" fillId="4" borderId="0" xfId="0" applyFill="1" applyAlignment="1">
      <alignment horizontal="left" wrapText="1"/>
    </xf>
    <xf numFmtId="0" fontId="0" fillId="11" borderId="9" xfId="0" applyFill="1" applyBorder="1" applyAlignment="1" applyProtection="1">
      <alignment horizontal="left" vertical="top" wrapText="1"/>
      <protection locked="0"/>
    </xf>
    <xf numFmtId="0" fontId="0" fillId="11" borderId="10" xfId="0" applyFill="1" applyBorder="1" applyAlignment="1" applyProtection="1">
      <alignment horizontal="left" vertical="top" wrapText="1"/>
      <protection locked="0"/>
    </xf>
    <xf numFmtId="0" fontId="0" fillId="11" borderId="11" xfId="0" applyFill="1" applyBorder="1" applyAlignment="1" applyProtection="1">
      <alignment horizontal="left" vertical="top" wrapText="1"/>
      <protection locked="0"/>
    </xf>
    <xf numFmtId="0" fontId="0" fillId="11" borderId="10" xfId="0" applyFill="1" applyBorder="1" applyAlignment="1" applyProtection="1">
      <alignment horizontal="left" vertical="top"/>
      <protection locked="0"/>
    </xf>
    <xf numFmtId="0" fontId="0" fillId="11" borderId="11" xfId="0" applyFill="1" applyBorder="1" applyAlignment="1" applyProtection="1">
      <alignment horizontal="left" vertical="top"/>
      <protection locked="0"/>
    </xf>
    <xf numFmtId="2" fontId="0" fillId="4" borderId="35" xfId="3" applyNumberFormat="1" applyFont="1" applyFill="1" applyBorder="1" applyAlignment="1" applyProtection="1">
      <alignment horizontal="center" vertical="center"/>
    </xf>
    <xf numFmtId="2" fontId="0" fillId="4" borderId="44" xfId="3" applyNumberFormat="1" applyFont="1" applyFill="1" applyBorder="1" applyAlignment="1" applyProtection="1">
      <alignment horizontal="center" vertical="center"/>
    </xf>
    <xf numFmtId="2" fontId="0" fillId="4" borderId="45" xfId="3" applyNumberFormat="1" applyFont="1" applyFill="1" applyBorder="1" applyAlignment="1" applyProtection="1">
      <alignment horizontal="center" vertical="center"/>
    </xf>
    <xf numFmtId="2" fontId="0" fillId="4" borderId="46" xfId="3" applyNumberFormat="1" applyFont="1" applyFill="1" applyBorder="1" applyAlignment="1" applyProtection="1">
      <alignment horizontal="center" vertical="center"/>
    </xf>
    <xf numFmtId="2" fontId="0" fillId="4" borderId="39" xfId="3" applyNumberFormat="1" applyFont="1" applyFill="1" applyBorder="1" applyAlignment="1" applyProtection="1">
      <alignment horizontal="center" vertical="center"/>
    </xf>
  </cellXfs>
  <cellStyles count="4">
    <cellStyle name="Heading 1" xfId="2" builtinId="16"/>
    <cellStyle name="Normal" xfId="0" builtinId="0"/>
    <cellStyle name="Per cent" xfId="3" builtinId="5"/>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13" Type="http://purl.oclc.org/ooxml/officeDocument/relationships/customXml" Target="../customXml/item2.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customXml" Target="../customXml/item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calcChain" Target="calcChain.xml"/><Relationship Id="rId5" Type="http://purl.oclc.org/ooxml/officeDocument/relationships/worksheet" Target="worksheets/sheet5.xml"/><Relationship Id="rId10" Type="http://purl.oclc.org/ooxml/officeDocument/relationships/sharedStrings" Target="sharedStrings.xml"/><Relationship Id="rId4" Type="http://purl.oclc.org/ooxml/officeDocument/relationships/worksheet" Target="worksheets/sheet4.xml"/><Relationship Id="rId9" Type="http://purl.oclc.org/ooxml/officeDocument/relationships/styles" Target="styles.xml"/><Relationship Id="rId14" Type="http://purl.oclc.org/ooxml/officeDocument/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v>Distance travelled</c:v>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extLst>
                <c:ext xmlns:c15="http://schemas.microsoft.com/office/drawing/2012/chart" uri="{02D57815-91ED-43cb-92C2-25804820EDAC}">
                  <c15:fullRef>
                    <c15:sqref>'Distance travelled'!$C$5:$C$46</c15:sqref>
                  </c15:fullRef>
                </c:ext>
              </c:extLst>
              <c:f>('Distance travelled'!$C$5,'Distance travelled'!$C$9,'Distance travelled'!$C$13,'Distance travelled'!$C$15,'Distance travelled'!$C$20,'Distance travelled'!$C$27,'Distance travelled'!$C$33,'Distance travelled'!$C$37,'Distance travelled'!$C$41)</c:f>
              <c:strCache>
                <c:ptCount val="9"/>
                <c:pt idx="0">
                  <c:v>1. Leadership</c:v>
                </c:pt>
                <c:pt idx="1">
                  <c:v>2. Team Building</c:v>
                </c:pt>
                <c:pt idx="2">
                  <c:v>3. Governance</c:v>
                </c:pt>
                <c:pt idx="3">
                  <c:v>4. Social Impact</c:v>
                </c:pt>
                <c:pt idx="4">
                  <c:v>5. Sales Planning</c:v>
                </c:pt>
                <c:pt idx="5">
                  <c:v>6. Legals and reporting</c:v>
                </c:pt>
                <c:pt idx="6">
                  <c:v>7. Operations and processes</c:v>
                </c:pt>
                <c:pt idx="7">
                  <c:v>8. Growth Plan</c:v>
                </c:pt>
                <c:pt idx="8">
                  <c:v>9. Financial Modelling</c:v>
                </c:pt>
              </c:strCache>
            </c:strRef>
          </c:cat>
          <c:val>
            <c:numRef>
              <c:extLst>
                <c:ext xmlns:c15="http://schemas.microsoft.com/office/drawing/2012/chart" uri="{02D57815-91ED-43cb-92C2-25804820EDAC}">
                  <c15:fullRef>
                    <c15:sqref>'Distance travelled'!$I$5:$I$46</c15:sqref>
                  </c15:fullRef>
                </c:ext>
              </c:extLst>
              <c:f>('Distance travelled'!$I$5,'Distance travelled'!$I$9,'Distance travelled'!$I$13,'Distance travelled'!$I$15,'Distance travelled'!$I$20,'Distance travelled'!$I$27,'Distance travelled'!$I$33,'Distance travelled'!$I$37,'Distance travelled'!$I$41)</c:f>
              <c:numCache>
                <c:formatCode>0.00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5ADE-4E78-A65F-BB2DA7E98F91}"/>
            </c:ext>
          </c:extLst>
        </c:ser>
        <c:dLbls>
          <c:showLegendKey val="0"/>
          <c:showVal val="0"/>
          <c:showCatName val="0"/>
          <c:showSerName val="0"/>
          <c:showPercent val="0"/>
          <c:showBubbleSize val="0"/>
        </c:dLbls>
        <c:gapWidth val="219"/>
        <c:overlap val="-27"/>
        <c:axId val="464328368"/>
        <c:axId val="328275648"/>
      </c:barChart>
      <c:catAx>
        <c:axId val="46432836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28275648"/>
        <c:crosses val="autoZero"/>
        <c:auto val="1"/>
        <c:lblAlgn val="ctr"/>
        <c:lblOffset val="100"/>
        <c:noMultiLvlLbl val="0"/>
      </c:catAx>
      <c:valAx>
        <c:axId val="328275648"/>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46432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purl.oclc.org/ooxml/officeDocument/relationships/image" Target="../media/image2.png"/><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0</xdr:col>
      <xdr:colOff>3476625</xdr:colOff>
      <xdr:row>1</xdr:row>
      <xdr:rowOff>971550</xdr:rowOff>
    </xdr:from>
    <xdr:to>
      <xdr:col>0</xdr:col>
      <xdr:colOff>3942969</xdr:colOff>
      <xdr:row>1</xdr:row>
      <xdr:rowOff>1383030</xdr:rowOff>
    </xdr:to>
    <xdr:sp macro="" textlink="">
      <xdr:nvSpPr>
        <xdr:cNvPr id="2" name="Freeform 9" descr="Accessibility logo">
          <a:extLst>
            <a:ext uri="{FF2B5EF4-FFF2-40B4-BE49-F238E27FC236}">
              <a16:creationId xmlns:a16="http://schemas.microsoft.com/office/drawing/2014/main" id="{6C0C9C4F-F7CC-4464-B53F-2057AD5E9BBE}"/>
            </a:ext>
          </a:extLst>
        </xdr:cNvPr>
        <xdr:cNvSpPr>
          <a:spLocks noEditPoints="1"/>
        </xdr:cNvSpPr>
      </xdr:nvSpPr>
      <xdr:spPr bwMode="auto">
        <a:xfrm>
          <a:off x="8239125" y="971550"/>
          <a:ext cx="466344" cy="411480"/>
        </a:xfrm>
        <a:custGeom>
          <a:avLst/>
          <a:gdLst>
            <a:gd name="T0" fmla="*/ 67 w 1064"/>
            <a:gd name="T1" fmla="*/ 467 h 932"/>
            <a:gd name="T2" fmla="*/ 150 w 1064"/>
            <a:gd name="T3" fmla="*/ 266 h 932"/>
            <a:gd name="T4" fmla="*/ 33 w 1064"/>
            <a:gd name="T5" fmla="*/ 335 h 932"/>
            <a:gd name="T6" fmla="*/ 67 w 1064"/>
            <a:gd name="T7" fmla="*/ 467 h 932"/>
            <a:gd name="T8" fmla="*/ 198 w 1064"/>
            <a:gd name="T9" fmla="*/ 218 h 932"/>
            <a:gd name="T10" fmla="*/ 398 w 1064"/>
            <a:gd name="T11" fmla="*/ 135 h 932"/>
            <a:gd name="T12" fmla="*/ 266 w 1064"/>
            <a:gd name="T13" fmla="*/ 100 h 932"/>
            <a:gd name="T14" fmla="*/ 198 w 1064"/>
            <a:gd name="T15" fmla="*/ 218 h 932"/>
            <a:gd name="T16" fmla="*/ 150 w 1064"/>
            <a:gd name="T17" fmla="*/ 734 h 932"/>
            <a:gd name="T18" fmla="*/ 67 w 1064"/>
            <a:gd name="T19" fmla="*/ 533 h 932"/>
            <a:gd name="T20" fmla="*/ 33 w 1064"/>
            <a:gd name="T21" fmla="*/ 666 h 932"/>
            <a:gd name="T22" fmla="*/ 150 w 1064"/>
            <a:gd name="T23" fmla="*/ 734 h 932"/>
            <a:gd name="T24" fmla="*/ 398 w 1064"/>
            <a:gd name="T25" fmla="*/ 865 h 932"/>
            <a:gd name="T26" fmla="*/ 198 w 1064"/>
            <a:gd name="T27" fmla="*/ 781 h 932"/>
            <a:gd name="T28" fmla="*/ 266 w 1064"/>
            <a:gd name="T29" fmla="*/ 900 h 932"/>
            <a:gd name="T30" fmla="*/ 398 w 1064"/>
            <a:gd name="T31" fmla="*/ 865 h 932"/>
            <a:gd name="T32" fmla="*/ 797 w 1064"/>
            <a:gd name="T33" fmla="*/ 533 h 932"/>
            <a:gd name="T34" fmla="*/ 713 w 1064"/>
            <a:gd name="T35" fmla="*/ 734 h 932"/>
            <a:gd name="T36" fmla="*/ 831 w 1064"/>
            <a:gd name="T37" fmla="*/ 666 h 932"/>
            <a:gd name="T38" fmla="*/ 797 w 1064"/>
            <a:gd name="T39" fmla="*/ 533 h 932"/>
            <a:gd name="T40" fmla="*/ 666 w 1064"/>
            <a:gd name="T41" fmla="*/ 781 h 932"/>
            <a:gd name="T42" fmla="*/ 465 w 1064"/>
            <a:gd name="T43" fmla="*/ 865 h 932"/>
            <a:gd name="T44" fmla="*/ 598 w 1064"/>
            <a:gd name="T45" fmla="*/ 900 h 932"/>
            <a:gd name="T46" fmla="*/ 666 w 1064"/>
            <a:gd name="T47" fmla="*/ 781 h 932"/>
            <a:gd name="T48" fmla="*/ 465 w 1064"/>
            <a:gd name="T49" fmla="*/ 0 h 932"/>
            <a:gd name="T50" fmla="*/ 365 w 1064"/>
            <a:gd name="T51" fmla="*/ 400 h 932"/>
            <a:gd name="T52" fmla="*/ 632 w 1064"/>
            <a:gd name="T53" fmla="*/ 400 h 932"/>
            <a:gd name="T54" fmla="*/ 531 w 1064"/>
            <a:gd name="T55" fmla="*/ 0 h 932"/>
            <a:gd name="T56" fmla="*/ 1064 w 1064"/>
            <a:gd name="T57" fmla="*/ 434 h 932"/>
            <a:gd name="T58" fmla="*/ 931 w 1064"/>
            <a:gd name="T59" fmla="*/ 300 h 932"/>
            <a:gd name="T60" fmla="*/ 726 w 1064"/>
            <a:gd name="T61" fmla="*/ 400 h 932"/>
            <a:gd name="T62" fmla="*/ 931 w 1064"/>
            <a:gd name="T63" fmla="*/ 467 h 932"/>
            <a:gd name="T64" fmla="*/ 1064 w 1064"/>
            <a:gd name="T65" fmla="*/ 434 h 9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1064" h="932">
              <a:moveTo>
                <a:pt x="67" y="467"/>
              </a:moveTo>
              <a:lnTo>
                <a:pt x="67" y="467"/>
              </a:lnTo>
              <a:cubicBezTo>
                <a:pt x="71" y="429"/>
                <a:pt x="80" y="394"/>
                <a:pt x="93" y="360"/>
              </a:cubicBezTo>
              <a:cubicBezTo>
                <a:pt x="107" y="326"/>
                <a:pt x="126" y="294"/>
                <a:pt x="150" y="266"/>
              </a:cubicBezTo>
              <a:lnTo>
                <a:pt x="103" y="218"/>
              </a:lnTo>
              <a:cubicBezTo>
                <a:pt x="73" y="254"/>
                <a:pt x="50" y="292"/>
                <a:pt x="33" y="335"/>
              </a:cubicBezTo>
              <a:cubicBezTo>
                <a:pt x="14" y="376"/>
                <a:pt x="4" y="421"/>
                <a:pt x="0" y="467"/>
              </a:cubicBezTo>
              <a:lnTo>
                <a:pt x="67" y="467"/>
              </a:lnTo>
              <a:close/>
              <a:moveTo>
                <a:pt x="198" y="218"/>
              </a:moveTo>
              <a:lnTo>
                <a:pt x="198" y="218"/>
              </a:lnTo>
              <a:cubicBezTo>
                <a:pt x="226" y="195"/>
                <a:pt x="258" y="176"/>
                <a:pt x="292" y="162"/>
              </a:cubicBezTo>
              <a:cubicBezTo>
                <a:pt x="326" y="148"/>
                <a:pt x="362" y="140"/>
                <a:pt x="398" y="135"/>
              </a:cubicBezTo>
              <a:lnTo>
                <a:pt x="398" y="68"/>
              </a:lnTo>
              <a:cubicBezTo>
                <a:pt x="352" y="72"/>
                <a:pt x="308" y="83"/>
                <a:pt x="266" y="100"/>
              </a:cubicBezTo>
              <a:cubicBezTo>
                <a:pt x="223" y="118"/>
                <a:pt x="185" y="142"/>
                <a:pt x="150" y="172"/>
              </a:cubicBezTo>
              <a:lnTo>
                <a:pt x="198" y="218"/>
              </a:lnTo>
              <a:close/>
              <a:moveTo>
                <a:pt x="150" y="734"/>
              </a:moveTo>
              <a:lnTo>
                <a:pt x="150" y="734"/>
              </a:lnTo>
              <a:cubicBezTo>
                <a:pt x="126" y="706"/>
                <a:pt x="107" y="675"/>
                <a:pt x="93" y="641"/>
              </a:cubicBezTo>
              <a:cubicBezTo>
                <a:pt x="80" y="605"/>
                <a:pt x="71" y="570"/>
                <a:pt x="67" y="533"/>
              </a:cubicBezTo>
              <a:lnTo>
                <a:pt x="0" y="533"/>
              </a:lnTo>
              <a:cubicBezTo>
                <a:pt x="4" y="580"/>
                <a:pt x="14" y="623"/>
                <a:pt x="33" y="666"/>
              </a:cubicBezTo>
              <a:cubicBezTo>
                <a:pt x="50" y="708"/>
                <a:pt x="73" y="747"/>
                <a:pt x="103" y="781"/>
              </a:cubicBezTo>
              <a:lnTo>
                <a:pt x="150" y="734"/>
              </a:lnTo>
              <a:close/>
              <a:moveTo>
                <a:pt x="398" y="865"/>
              </a:moveTo>
              <a:lnTo>
                <a:pt x="398" y="865"/>
              </a:lnTo>
              <a:cubicBezTo>
                <a:pt x="362" y="861"/>
                <a:pt x="326" y="853"/>
                <a:pt x="292" y="839"/>
              </a:cubicBezTo>
              <a:cubicBezTo>
                <a:pt x="258" y="825"/>
                <a:pt x="226" y="806"/>
                <a:pt x="198" y="781"/>
              </a:cubicBezTo>
              <a:lnTo>
                <a:pt x="150" y="828"/>
              </a:lnTo>
              <a:cubicBezTo>
                <a:pt x="185" y="858"/>
                <a:pt x="223" y="883"/>
                <a:pt x="266" y="900"/>
              </a:cubicBezTo>
              <a:cubicBezTo>
                <a:pt x="308" y="917"/>
                <a:pt x="352" y="927"/>
                <a:pt x="398" y="932"/>
              </a:cubicBezTo>
              <a:lnTo>
                <a:pt x="398" y="865"/>
              </a:lnTo>
              <a:close/>
              <a:moveTo>
                <a:pt x="797" y="533"/>
              </a:moveTo>
              <a:lnTo>
                <a:pt x="797" y="533"/>
              </a:lnTo>
              <a:cubicBezTo>
                <a:pt x="793" y="570"/>
                <a:pt x="784" y="605"/>
                <a:pt x="770" y="641"/>
              </a:cubicBezTo>
              <a:cubicBezTo>
                <a:pt x="756" y="675"/>
                <a:pt x="737" y="706"/>
                <a:pt x="713" y="734"/>
              </a:cubicBezTo>
              <a:lnTo>
                <a:pt x="760" y="781"/>
              </a:lnTo>
              <a:cubicBezTo>
                <a:pt x="789" y="747"/>
                <a:pt x="814" y="708"/>
                <a:pt x="831" y="666"/>
              </a:cubicBezTo>
              <a:cubicBezTo>
                <a:pt x="848" y="623"/>
                <a:pt x="859" y="580"/>
                <a:pt x="863" y="533"/>
              </a:cubicBezTo>
              <a:lnTo>
                <a:pt x="797" y="533"/>
              </a:lnTo>
              <a:close/>
              <a:moveTo>
                <a:pt x="666" y="781"/>
              </a:moveTo>
              <a:lnTo>
                <a:pt x="666" y="781"/>
              </a:lnTo>
              <a:cubicBezTo>
                <a:pt x="637" y="806"/>
                <a:pt x="606" y="825"/>
                <a:pt x="572" y="839"/>
              </a:cubicBezTo>
              <a:cubicBezTo>
                <a:pt x="537" y="853"/>
                <a:pt x="502" y="861"/>
                <a:pt x="465" y="865"/>
              </a:cubicBezTo>
              <a:lnTo>
                <a:pt x="465" y="932"/>
              </a:lnTo>
              <a:cubicBezTo>
                <a:pt x="511" y="927"/>
                <a:pt x="555" y="917"/>
                <a:pt x="598" y="900"/>
              </a:cubicBezTo>
              <a:cubicBezTo>
                <a:pt x="639" y="883"/>
                <a:pt x="679" y="858"/>
                <a:pt x="713" y="828"/>
              </a:cubicBezTo>
              <a:lnTo>
                <a:pt x="666" y="781"/>
              </a:lnTo>
              <a:close/>
              <a:moveTo>
                <a:pt x="465" y="0"/>
              </a:moveTo>
              <a:lnTo>
                <a:pt x="465" y="0"/>
              </a:lnTo>
              <a:lnTo>
                <a:pt x="465" y="400"/>
              </a:lnTo>
              <a:lnTo>
                <a:pt x="365" y="400"/>
              </a:lnTo>
              <a:lnTo>
                <a:pt x="498" y="533"/>
              </a:lnTo>
              <a:lnTo>
                <a:pt x="632" y="400"/>
              </a:lnTo>
              <a:lnTo>
                <a:pt x="531" y="400"/>
              </a:lnTo>
              <a:lnTo>
                <a:pt x="531" y="0"/>
              </a:lnTo>
              <a:lnTo>
                <a:pt x="465" y="0"/>
              </a:lnTo>
              <a:close/>
              <a:moveTo>
                <a:pt x="1064" y="434"/>
              </a:moveTo>
              <a:lnTo>
                <a:pt x="1064" y="434"/>
              </a:lnTo>
              <a:lnTo>
                <a:pt x="931" y="300"/>
              </a:lnTo>
              <a:lnTo>
                <a:pt x="931" y="400"/>
              </a:lnTo>
              <a:lnTo>
                <a:pt x="726" y="400"/>
              </a:lnTo>
              <a:lnTo>
                <a:pt x="659" y="467"/>
              </a:lnTo>
              <a:lnTo>
                <a:pt x="931" y="467"/>
              </a:lnTo>
              <a:lnTo>
                <a:pt x="931" y="567"/>
              </a:lnTo>
              <a:lnTo>
                <a:pt x="1064" y="434"/>
              </a:lnTo>
              <a:close/>
            </a:path>
          </a:pathLst>
        </a:custGeom>
        <a:solidFill>
          <a:schemeClr val="accent5"/>
        </a:solidFill>
        <a:ln w="0">
          <a:solidFill>
            <a:schemeClr val="accent5"/>
          </a:solid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731521</xdr:colOff>
      <xdr:row>1</xdr:row>
      <xdr:rowOff>167640</xdr:rowOff>
    </xdr:from>
    <xdr:to>
      <xdr:col>1</xdr:col>
      <xdr:colOff>3253741</xdr:colOff>
      <xdr:row>2</xdr:row>
      <xdr:rowOff>2918079</xdr:rowOff>
    </xdr:to>
    <xdr:grpSp>
      <xdr:nvGrpSpPr>
        <xdr:cNvPr id="7" name="Group 6">
          <a:extLst>
            <a:ext uri="{FF2B5EF4-FFF2-40B4-BE49-F238E27FC236}">
              <a16:creationId xmlns:a16="http://schemas.microsoft.com/office/drawing/2014/main" id="{74AB7B5A-F3C9-4B6E-89E4-36C8B3E1ED2B}"/>
            </a:ext>
          </a:extLst>
        </xdr:cNvPr>
        <xdr:cNvGrpSpPr/>
      </xdr:nvGrpSpPr>
      <xdr:grpSpPr>
        <a:xfrm>
          <a:off x="1112521" y="365196"/>
          <a:ext cx="2522220" cy="3060883"/>
          <a:chOff x="1074421" y="167640"/>
          <a:chExt cx="2522220" cy="3047619"/>
        </a:xfrm>
      </xdr:grpSpPr>
      <xdr:pic>
        <xdr:nvPicPr>
          <xdr:cNvPr id="4" name="Picture 3">
            <a:extLst>
              <a:ext uri="{FF2B5EF4-FFF2-40B4-BE49-F238E27FC236}">
                <a16:creationId xmlns:a16="http://schemas.microsoft.com/office/drawing/2014/main" id="{2C6C3278-82D5-4A43-B1D0-F03FBD0CC568}"/>
              </a:ext>
            </a:extLst>
          </xdr:cNvPr>
          <xdr:cNvPicPr>
            <a:picLocks noChangeAspect="1"/>
          </xdr:cNvPicPr>
        </xdr:nvPicPr>
        <xdr:blipFill rotWithShape="1">
          <a:blip xmlns:r="http://purl.oclc.org/ooxml/officeDocument/relationships" r:embed="rId1"/>
          <a:srcRect r="4.046%"/>
          <a:stretch/>
        </xdr:blipFill>
        <xdr:spPr>
          <a:xfrm>
            <a:off x="1074421" y="167640"/>
            <a:ext cx="2522220" cy="3047619"/>
          </a:xfrm>
          <a:prstGeom prst="rect">
            <a:avLst/>
          </a:prstGeom>
        </xdr:spPr>
      </xdr:pic>
      <xdr:pic>
        <xdr:nvPicPr>
          <xdr:cNvPr id="6" name="Picture 5" descr="https://unltd.org.uk/wp-content/uploads/2016/01/unltd_logo.png">
            <a:extLst>
              <a:ext uri="{FF2B5EF4-FFF2-40B4-BE49-F238E27FC236}">
                <a16:creationId xmlns:a16="http://schemas.microsoft.com/office/drawing/2014/main" id="{449BFBB6-57DD-48C5-B95A-164274967A3A}"/>
              </a:ext>
            </a:extLst>
          </xdr:cNvPr>
          <xdr:cNvPicPr>
            <a:picLocks noChangeAspect="1" noChangeArrowheads="1"/>
          </xdr:cNvPicPr>
        </xdr:nvPicPr>
        <xdr:blipFill>
          <a:blip xmlns:r="http://purl.oclc.org/ooxml/officeDocument/relationships" r:embed="rId2" cstate="print">
            <a:extLst>
              <a:ext uri="{28A0092B-C50C-407E-A947-70E740481C1C}">
                <a14:useLocalDpi xmlns:a14="http://schemas.microsoft.com/office/drawing/2010/main" val="0"/>
              </a:ext>
            </a:extLst>
          </a:blip>
          <a:srcRect/>
          <a:stretch>
            <a:fillRect/>
          </a:stretch>
        </xdr:blipFill>
        <xdr:spPr bwMode="auto">
          <a:xfrm>
            <a:off x="1158241" y="220980"/>
            <a:ext cx="579120" cy="20189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purl.oclc.org/ooxml/drawingml/spreadsheetDrawing" xmlns:a="http://purl.oclc.org/ooxml/drawingml/main">
  <xdr:twoCellAnchor>
    <xdr:from>
      <xdr:col>9</xdr:col>
      <xdr:colOff>80961</xdr:colOff>
      <xdr:row>0</xdr:row>
      <xdr:rowOff>209549</xdr:rowOff>
    </xdr:from>
    <xdr:to>
      <xdr:col>18</xdr:col>
      <xdr:colOff>600074</xdr:colOff>
      <xdr:row>13</xdr:row>
      <xdr:rowOff>114299</xdr:rowOff>
    </xdr:to>
    <xdr:graphicFrame macro="">
      <xdr:nvGraphicFramePr>
        <xdr:cNvPr id="3" name="Chart 2">
          <a:extLst>
            <a:ext uri="{FF2B5EF4-FFF2-40B4-BE49-F238E27FC236}">
              <a16:creationId xmlns:a16="http://schemas.microsoft.com/office/drawing/2014/main" id="{21ECB3F0-CFBB-4F33-8256-15077DFF138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theme/theme1.xml><?xml version="1.0" encoding="utf-8"?>
<a:theme xmlns:a="http://purl.oclc.org/ooxml/drawingml/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4.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1" Type="http://purl.oclc.org/ooxml/officeDocument/relationships/printerSettings" Target="../printerSettings/printerSettings4.bin"/></Relationships>
</file>

<file path=xl/worksheets/_rels/sheet6.xml.rels><?xml version="1.0" encoding="UTF-8" standalone="yes"?>
<Relationships xmlns="http://schemas.openxmlformats.org/package/2006/relationships"><Relationship Id="rId1" Type="http://purl.oclc.org/ooxml/officeDocument/relationships/printerSettings" Target="../printerSettings/printerSettings5.bin"/></Relationships>
</file>

<file path=xl/worksheets/_rels/sheet7.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CA351-55B4-4B12-8410-47C03C198EBD}">
  <dimension ref="B2:I4"/>
  <sheetViews>
    <sheetView zoomScale="90" zoomScaleNormal="90" workbookViewId="0">
      <selection activeCell="H11" sqref="H11"/>
    </sheetView>
  </sheetViews>
  <sheetFormatPr baseColWidth="10" defaultColWidth="9.1640625" defaultRowHeight="15" x14ac:dyDescent="0.2"/>
  <cols>
    <col min="1" max="1" width="5" style="2" customWidth="1"/>
    <col min="2" max="2" width="53.5" style="2" customWidth="1"/>
    <col min="3" max="3" width="60.6640625" style="2" customWidth="1"/>
    <col min="4" max="16384" width="9.1640625" style="2"/>
  </cols>
  <sheetData>
    <row r="2" spans="2:9" ht="24" x14ac:dyDescent="0.2">
      <c r="B2" s="53"/>
      <c r="C2" s="54" t="s">
        <v>0</v>
      </c>
    </row>
    <row r="3" spans="2:9" ht="258" customHeight="1" thickBot="1" x14ac:dyDescent="0.25">
      <c r="B3" s="55"/>
      <c r="C3" s="56" t="s">
        <v>1</v>
      </c>
      <c r="I3"/>
    </row>
    <row r="4" spans="2:9" ht="16" thickTop="1" x14ac:dyDescent="0.2"/>
  </sheetData>
  <sheetProtection algorithmName="SHA-512" hashValue="c/UWHGTP0UkFFFn9X8M6S8wqXO1z2OuZlO8FJ8UHJARcQEBqBhZS5iQMrcYUcGQi6l5gEITT2h3+GDlJquUMqg==" saltValue="ywPGzMFT0p/qAnbCVOGMIg==" spinCount="100000" sheet="1" objects="1" scenarios="1" selectLockedCells="1"/>
  <pageMargins left="0.7" right="0.7" top="0.75" bottom="0.75" header="0.3" footer="0.3"/>
  <drawing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F5A5-F9B5-4704-BC8D-319DADDB7483}">
  <dimension ref="A1:K39"/>
  <sheetViews>
    <sheetView topLeftCell="A15" zoomScale="80" zoomScaleNormal="80" workbookViewId="0">
      <selection activeCell="A8" sqref="A8"/>
    </sheetView>
  </sheetViews>
  <sheetFormatPr baseColWidth="10" defaultColWidth="9" defaultRowHeight="15" x14ac:dyDescent="0.2"/>
  <cols>
    <col min="1" max="16384" width="9" style="2"/>
  </cols>
  <sheetData>
    <row r="1" spans="1:11" ht="21" x14ac:dyDescent="0.25">
      <c r="A1" s="1" t="s">
        <v>2</v>
      </c>
    </row>
    <row r="2" spans="1:11" ht="14.5" customHeight="1" x14ac:dyDescent="0.25">
      <c r="A2" s="1"/>
    </row>
    <row r="3" spans="1:11" ht="14.5" customHeight="1" x14ac:dyDescent="0.2">
      <c r="B3" s="3" t="s">
        <v>3</v>
      </c>
    </row>
    <row r="4" spans="1:11" ht="14.5" customHeight="1" x14ac:dyDescent="0.2">
      <c r="B4" s="98" t="s">
        <v>4</v>
      </c>
      <c r="C4" s="98"/>
      <c r="D4" s="98"/>
      <c r="E4" s="98"/>
      <c r="F4" s="98"/>
      <c r="G4" s="98"/>
      <c r="H4" s="98"/>
      <c r="I4" s="98"/>
      <c r="J4" s="98"/>
      <c r="K4" s="98"/>
    </row>
    <row r="5" spans="1:11" ht="14.5" customHeight="1" x14ac:dyDescent="0.2">
      <c r="B5" s="98"/>
      <c r="C5" s="98"/>
      <c r="D5" s="98"/>
      <c r="E5" s="98"/>
      <c r="F5" s="98"/>
      <c r="G5" s="98"/>
      <c r="H5" s="98"/>
      <c r="I5" s="98"/>
      <c r="J5" s="98"/>
      <c r="K5" s="98"/>
    </row>
    <row r="6" spans="1:11" ht="14.5" customHeight="1" x14ac:dyDescent="0.2">
      <c r="B6" s="98"/>
      <c r="C6" s="98"/>
      <c r="D6" s="98"/>
      <c r="E6" s="98"/>
      <c r="F6" s="98"/>
      <c r="G6" s="98"/>
      <c r="H6" s="98"/>
      <c r="I6" s="98"/>
      <c r="J6" s="98"/>
      <c r="K6" s="98"/>
    </row>
    <row r="7" spans="1:11" x14ac:dyDescent="0.2">
      <c r="B7" s="98"/>
      <c r="C7" s="98"/>
      <c r="D7" s="98"/>
      <c r="E7" s="98"/>
      <c r="F7" s="98"/>
      <c r="G7" s="98"/>
      <c r="H7" s="98"/>
      <c r="I7" s="98"/>
      <c r="J7" s="98"/>
      <c r="K7" s="98"/>
    </row>
    <row r="8" spans="1:11" ht="14.5" customHeight="1" x14ac:dyDescent="0.2">
      <c r="B8" s="13"/>
      <c r="C8" s="13"/>
      <c r="D8" s="13"/>
      <c r="E8" s="13"/>
      <c r="F8" s="13"/>
      <c r="G8" s="13"/>
      <c r="H8" s="13"/>
      <c r="I8" s="13"/>
      <c r="J8" s="13"/>
      <c r="K8" s="13"/>
    </row>
    <row r="9" spans="1:11" ht="14.5" customHeight="1" x14ac:dyDescent="0.2">
      <c r="B9" s="3" t="s">
        <v>5</v>
      </c>
    </row>
    <row r="10" spans="1:11" ht="15" customHeight="1" x14ac:dyDescent="0.2">
      <c r="B10" s="98" t="s">
        <v>6</v>
      </c>
      <c r="C10" s="98"/>
      <c r="D10" s="98"/>
      <c r="E10" s="98"/>
      <c r="F10" s="98"/>
      <c r="G10" s="98"/>
      <c r="H10" s="98"/>
      <c r="I10" s="98"/>
      <c r="J10" s="98"/>
      <c r="K10" s="98"/>
    </row>
    <row r="11" spans="1:11" x14ac:dyDescent="0.2">
      <c r="B11" s="98"/>
      <c r="C11" s="98"/>
      <c r="D11" s="98"/>
      <c r="E11" s="98"/>
      <c r="F11" s="98"/>
      <c r="G11" s="98"/>
      <c r="H11" s="98"/>
      <c r="I11" s="98"/>
      <c r="J11" s="98"/>
      <c r="K11" s="98"/>
    </row>
    <row r="12" spans="1:11" x14ac:dyDescent="0.2">
      <c r="B12" s="98"/>
      <c r="C12" s="98"/>
      <c r="D12" s="98"/>
      <c r="E12" s="98"/>
      <c r="F12" s="98"/>
      <c r="G12" s="98"/>
      <c r="H12" s="98"/>
      <c r="I12" s="98"/>
      <c r="J12" s="98"/>
      <c r="K12" s="98"/>
    </row>
    <row r="13" spans="1:11" x14ac:dyDescent="0.2">
      <c r="B13" s="3" t="s">
        <v>7</v>
      </c>
    </row>
    <row r="14" spans="1:11" ht="15" customHeight="1" x14ac:dyDescent="0.2">
      <c r="B14" s="98" t="s">
        <v>8</v>
      </c>
      <c r="C14" s="98"/>
      <c r="D14" s="98"/>
      <c r="E14" s="98"/>
      <c r="F14" s="98"/>
      <c r="G14" s="98"/>
      <c r="H14" s="98"/>
      <c r="I14" s="98"/>
      <c r="J14" s="98"/>
      <c r="K14" s="98"/>
    </row>
    <row r="15" spans="1:11" x14ac:dyDescent="0.2">
      <c r="B15" s="98"/>
      <c r="C15" s="98"/>
      <c r="D15" s="98"/>
      <c r="E15" s="98"/>
      <c r="F15" s="98"/>
      <c r="G15" s="98"/>
      <c r="H15" s="98"/>
      <c r="I15" s="98"/>
      <c r="J15" s="98"/>
      <c r="K15" s="98"/>
    </row>
    <row r="16" spans="1:11" x14ac:dyDescent="0.2">
      <c r="B16" s="98"/>
      <c r="C16" s="98"/>
      <c r="D16" s="98"/>
      <c r="E16" s="98"/>
      <c r="F16" s="98"/>
      <c r="G16" s="98"/>
      <c r="H16" s="98"/>
      <c r="I16" s="98"/>
      <c r="J16" s="98"/>
      <c r="K16" s="98"/>
    </row>
    <row r="17" spans="2:11" x14ac:dyDescent="0.2">
      <c r="B17" s="98"/>
      <c r="C17" s="98"/>
      <c r="D17" s="98"/>
      <c r="E17" s="98"/>
      <c r="F17" s="98"/>
      <c r="G17" s="98"/>
      <c r="H17" s="98"/>
      <c r="I17" s="98"/>
      <c r="J17" s="98"/>
      <c r="K17" s="98"/>
    </row>
    <row r="18" spans="2:11" x14ac:dyDescent="0.2">
      <c r="B18" s="13"/>
      <c r="C18" s="13"/>
      <c r="D18" s="13"/>
      <c r="E18" s="13"/>
      <c r="F18" s="13"/>
      <c r="G18" s="13"/>
      <c r="H18" s="13"/>
      <c r="I18" s="13"/>
      <c r="J18" s="13"/>
      <c r="K18" s="13"/>
    </row>
    <row r="19" spans="2:11" x14ac:dyDescent="0.2">
      <c r="B19" s="3" t="s">
        <v>9</v>
      </c>
    </row>
    <row r="20" spans="2:11" ht="15" customHeight="1" x14ac:dyDescent="0.2">
      <c r="B20" s="98" t="s">
        <v>10</v>
      </c>
      <c r="C20" s="98"/>
      <c r="D20" s="98"/>
      <c r="E20" s="98"/>
      <c r="F20" s="98"/>
      <c r="G20" s="98"/>
      <c r="H20" s="98"/>
      <c r="I20" s="98"/>
      <c r="J20" s="98"/>
      <c r="K20" s="98"/>
    </row>
    <row r="21" spans="2:11" x14ac:dyDescent="0.2">
      <c r="B21" s="98"/>
      <c r="C21" s="98"/>
      <c r="D21" s="98"/>
      <c r="E21" s="98"/>
      <c r="F21" s="98"/>
      <c r="G21" s="98"/>
      <c r="H21" s="98"/>
      <c r="I21" s="98"/>
      <c r="J21" s="98"/>
      <c r="K21" s="98"/>
    </row>
    <row r="22" spans="2:11" x14ac:dyDescent="0.2">
      <c r="B22" s="98"/>
      <c r="C22" s="98"/>
      <c r="D22" s="98"/>
      <c r="E22" s="98"/>
      <c r="F22" s="98"/>
      <c r="G22" s="98"/>
      <c r="H22" s="98"/>
      <c r="I22" s="98"/>
      <c r="J22" s="98"/>
      <c r="K22" s="98"/>
    </row>
    <row r="23" spans="2:11" x14ac:dyDescent="0.2">
      <c r="B23" s="98"/>
      <c r="C23" s="98"/>
      <c r="D23" s="98"/>
      <c r="E23" s="98"/>
      <c r="F23" s="98"/>
      <c r="G23" s="98"/>
      <c r="H23" s="98"/>
      <c r="I23" s="98"/>
      <c r="J23" s="98"/>
      <c r="K23" s="98"/>
    </row>
    <row r="24" spans="2:11" x14ac:dyDescent="0.2">
      <c r="B24" s="13"/>
      <c r="C24" s="13"/>
      <c r="D24" s="13"/>
      <c r="E24" s="13"/>
      <c r="F24" s="13"/>
      <c r="G24" s="13"/>
      <c r="H24" s="13"/>
      <c r="I24" s="13"/>
      <c r="J24" s="13"/>
      <c r="K24" s="13"/>
    </row>
    <row r="25" spans="2:11" x14ac:dyDescent="0.2">
      <c r="B25" s="3" t="s">
        <v>11</v>
      </c>
    </row>
    <row r="26" spans="2:11" ht="15" customHeight="1" x14ac:dyDescent="0.2">
      <c r="B26" s="98" t="s">
        <v>12</v>
      </c>
      <c r="C26" s="98"/>
      <c r="D26" s="98"/>
      <c r="E26" s="98"/>
      <c r="F26" s="98"/>
      <c r="G26" s="98"/>
      <c r="H26" s="98"/>
      <c r="I26" s="98"/>
      <c r="J26" s="98"/>
      <c r="K26" s="98"/>
    </row>
    <row r="27" spans="2:11" x14ac:dyDescent="0.2">
      <c r="B27" s="98"/>
      <c r="C27" s="98"/>
      <c r="D27" s="98"/>
      <c r="E27" s="98"/>
      <c r="F27" s="98"/>
      <c r="G27" s="98"/>
      <c r="H27" s="98"/>
      <c r="I27" s="98"/>
      <c r="J27" s="98"/>
      <c r="K27" s="98"/>
    </row>
    <row r="28" spans="2:11" x14ac:dyDescent="0.2">
      <c r="B28" s="98"/>
      <c r="C28" s="98"/>
      <c r="D28" s="98"/>
      <c r="E28" s="98"/>
      <c r="F28" s="98"/>
      <c r="G28" s="98"/>
      <c r="H28" s="98"/>
      <c r="I28" s="98"/>
      <c r="J28" s="98"/>
      <c r="K28" s="98"/>
    </row>
    <row r="29" spans="2:11" x14ac:dyDescent="0.2">
      <c r="B29" s="98"/>
      <c r="C29" s="98"/>
      <c r="D29" s="98"/>
      <c r="E29" s="98"/>
      <c r="F29" s="98"/>
      <c r="G29" s="98"/>
      <c r="H29" s="98"/>
      <c r="I29" s="98"/>
      <c r="J29" s="98"/>
      <c r="K29" s="98"/>
    </row>
    <row r="30" spans="2:11" x14ac:dyDescent="0.2">
      <c r="B30" s="13"/>
      <c r="C30" s="13"/>
      <c r="D30" s="13"/>
      <c r="E30" s="13"/>
      <c r="F30" s="13"/>
      <c r="G30" s="13"/>
      <c r="H30" s="13"/>
      <c r="I30" s="13"/>
      <c r="J30" s="13"/>
      <c r="K30" s="13"/>
    </row>
    <row r="31" spans="2:11" x14ac:dyDescent="0.2">
      <c r="B31" s="3" t="s">
        <v>13</v>
      </c>
    </row>
    <row r="32" spans="2:11" x14ac:dyDescent="0.2">
      <c r="B32" s="99" t="s">
        <v>14</v>
      </c>
      <c r="C32" s="99"/>
      <c r="D32" s="99"/>
      <c r="E32" s="99"/>
      <c r="F32" s="99"/>
      <c r="G32" s="99"/>
      <c r="H32" s="99"/>
      <c r="I32" s="99"/>
      <c r="J32" s="99"/>
      <c r="K32" s="99"/>
    </row>
    <row r="33" spans="2:11" x14ac:dyDescent="0.2">
      <c r="B33" s="99"/>
      <c r="C33" s="99"/>
      <c r="D33" s="99"/>
      <c r="E33" s="99"/>
      <c r="F33" s="99"/>
      <c r="G33" s="99"/>
      <c r="H33" s="99"/>
      <c r="I33" s="99"/>
      <c r="J33" s="99"/>
      <c r="K33" s="99"/>
    </row>
    <row r="34" spans="2:11" x14ac:dyDescent="0.2">
      <c r="B34" s="99"/>
      <c r="C34" s="99"/>
      <c r="D34" s="99"/>
      <c r="E34" s="99"/>
      <c r="F34" s="99"/>
      <c r="G34" s="99"/>
      <c r="H34" s="99"/>
      <c r="I34" s="99"/>
      <c r="J34" s="99"/>
      <c r="K34" s="99"/>
    </row>
    <row r="35" spans="2:11" x14ac:dyDescent="0.2">
      <c r="B35" s="4"/>
      <c r="C35" s="4"/>
      <c r="D35" s="4"/>
      <c r="E35" s="4"/>
      <c r="F35" s="4"/>
      <c r="G35" s="4"/>
      <c r="H35" s="4"/>
      <c r="I35" s="4"/>
      <c r="J35" s="4"/>
      <c r="K35" s="4"/>
    </row>
    <row r="36" spans="2:11" hidden="1" x14ac:dyDescent="0.2">
      <c r="B36" s="3" t="s">
        <v>15</v>
      </c>
    </row>
    <row r="37" spans="2:11" ht="15" hidden="1" customHeight="1" x14ac:dyDescent="0.2">
      <c r="B37" s="98" t="s">
        <v>16</v>
      </c>
      <c r="C37" s="98"/>
      <c r="D37" s="98"/>
      <c r="E37" s="98"/>
      <c r="F37" s="98"/>
      <c r="G37" s="98"/>
      <c r="H37" s="98"/>
      <c r="I37" s="98"/>
      <c r="J37" s="98"/>
      <c r="K37" s="98"/>
    </row>
    <row r="38" spans="2:11" hidden="1" x14ac:dyDescent="0.2">
      <c r="B38" s="98"/>
      <c r="C38" s="98"/>
      <c r="D38" s="98"/>
      <c r="E38" s="98"/>
      <c r="F38" s="98"/>
      <c r="G38" s="98"/>
      <c r="H38" s="98"/>
      <c r="I38" s="98"/>
      <c r="J38" s="98"/>
      <c r="K38" s="98"/>
    </row>
    <row r="39" spans="2:11" hidden="1" x14ac:dyDescent="0.2">
      <c r="B39" s="98"/>
      <c r="C39" s="98"/>
      <c r="D39" s="98"/>
      <c r="E39" s="98"/>
      <c r="F39" s="98"/>
      <c r="G39" s="98"/>
      <c r="H39" s="98"/>
      <c r="I39" s="98"/>
      <c r="J39" s="98"/>
      <c r="K39" s="98"/>
    </row>
  </sheetData>
  <sheetProtection algorithmName="SHA-512" hashValue="2S9oXCiO5FZrsuzR6Zm+BbTj/riwOgWEd2PBF/TJxfrwBJ9mlMHRDCKNqAEMe2OercFh3uR7tL8bniJ6RXNdUg==" saltValue="/NDRLo39gLVyuzojtYuIjA==" spinCount="100000" sheet="1" objects="1" scenarios="1" formatColumns="0" formatRows="0" selectLockedCells="1"/>
  <mergeCells count="7">
    <mergeCell ref="B4:K7"/>
    <mergeCell ref="B37:K39"/>
    <mergeCell ref="B10:K12"/>
    <mergeCell ref="B14:K17"/>
    <mergeCell ref="B20:K23"/>
    <mergeCell ref="B26:K29"/>
    <mergeCell ref="B32:K34"/>
  </mergeCells>
  <pageMargins left="0.7" right="0.7" top="0.75" bottom="0.75" header="0.3" footer="0.3"/>
  <pageSetup paperSize="9" orientation="portrait"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4504-B960-43BF-9845-A8270F0B1B9A}">
  <dimension ref="A1:D20"/>
  <sheetViews>
    <sheetView zoomScale="80" zoomScaleNormal="80" workbookViewId="0">
      <selection activeCell="B2" sqref="B2"/>
    </sheetView>
  </sheetViews>
  <sheetFormatPr baseColWidth="10" defaultColWidth="9.1640625" defaultRowHeight="15" x14ac:dyDescent="0.2"/>
  <cols>
    <col min="1" max="1" width="1.83203125" style="2" customWidth="1"/>
    <col min="2" max="4" width="81.6640625" style="2" customWidth="1"/>
    <col min="5" max="16384" width="9.1640625" style="2"/>
  </cols>
  <sheetData>
    <row r="1" spans="1:4" ht="21" x14ac:dyDescent="0.25">
      <c r="A1" s="1" t="s">
        <v>17</v>
      </c>
    </row>
    <row r="2" spans="1:4" ht="19" x14ac:dyDescent="0.25">
      <c r="B2" s="57" t="s">
        <v>18</v>
      </c>
    </row>
    <row r="3" spans="1:4" ht="14" customHeight="1" x14ac:dyDescent="0.2"/>
    <row r="4" spans="1:4" x14ac:dyDescent="0.2">
      <c r="B4" s="48" t="s">
        <v>17</v>
      </c>
      <c r="C4" s="10" t="s">
        <v>19</v>
      </c>
      <c r="D4" s="52" t="s">
        <v>20</v>
      </c>
    </row>
    <row r="5" spans="1:4" ht="15.75" customHeight="1" x14ac:dyDescent="0.2">
      <c r="B5" s="100" t="s">
        <v>21</v>
      </c>
      <c r="C5" s="100" t="s">
        <v>22</v>
      </c>
      <c r="D5" s="100" t="s">
        <v>23</v>
      </c>
    </row>
    <row r="6" spans="1:4" ht="15" customHeight="1" x14ac:dyDescent="0.2">
      <c r="B6" s="101"/>
      <c r="C6" s="101"/>
      <c r="D6" s="103"/>
    </row>
    <row r="7" spans="1:4" ht="15" customHeight="1" x14ac:dyDescent="0.2">
      <c r="B7" s="101"/>
      <c r="C7" s="101"/>
      <c r="D7" s="103"/>
    </row>
    <row r="8" spans="1:4" ht="15" customHeight="1" x14ac:dyDescent="0.2">
      <c r="B8" s="101"/>
      <c r="C8" s="101"/>
      <c r="D8" s="103"/>
    </row>
    <row r="9" spans="1:4" ht="15" customHeight="1" x14ac:dyDescent="0.2">
      <c r="B9" s="101"/>
      <c r="C9" s="101"/>
      <c r="D9" s="103"/>
    </row>
    <row r="10" spans="1:4" ht="15" customHeight="1" x14ac:dyDescent="0.2">
      <c r="B10" s="101"/>
      <c r="C10" s="101"/>
      <c r="D10" s="103"/>
    </row>
    <row r="11" spans="1:4" ht="15" customHeight="1" x14ac:dyDescent="0.2">
      <c r="B11" s="101"/>
      <c r="C11" s="101"/>
      <c r="D11" s="103"/>
    </row>
    <row r="12" spans="1:4" ht="15" customHeight="1" x14ac:dyDescent="0.2">
      <c r="B12" s="101"/>
      <c r="C12" s="101"/>
      <c r="D12" s="103"/>
    </row>
    <row r="13" spans="1:4" ht="15" customHeight="1" x14ac:dyDescent="0.2">
      <c r="B13" s="101"/>
      <c r="C13" s="101"/>
      <c r="D13" s="103"/>
    </row>
    <row r="14" spans="1:4" ht="15" customHeight="1" x14ac:dyDescent="0.2">
      <c r="B14" s="101"/>
      <c r="C14" s="101"/>
      <c r="D14" s="103"/>
    </row>
    <row r="15" spans="1:4" ht="15" customHeight="1" x14ac:dyDescent="0.2">
      <c r="B15" s="101"/>
      <c r="C15" s="101"/>
      <c r="D15" s="103"/>
    </row>
    <row r="16" spans="1:4" ht="15" customHeight="1" x14ac:dyDescent="0.2">
      <c r="B16" s="101"/>
      <c r="C16" s="101"/>
      <c r="D16" s="103"/>
    </row>
    <row r="17" spans="2:4" ht="15" customHeight="1" x14ac:dyDescent="0.2">
      <c r="B17" s="101"/>
      <c r="C17" s="101"/>
      <c r="D17" s="103"/>
    </row>
    <row r="18" spans="2:4" ht="15" customHeight="1" x14ac:dyDescent="0.2">
      <c r="B18" s="101"/>
      <c r="C18" s="101"/>
      <c r="D18" s="103"/>
    </row>
    <row r="19" spans="2:4" ht="15" customHeight="1" x14ac:dyDescent="0.2">
      <c r="B19" s="101"/>
      <c r="C19" s="101"/>
      <c r="D19" s="103"/>
    </row>
    <row r="20" spans="2:4" ht="15" customHeight="1" x14ac:dyDescent="0.2">
      <c r="B20" s="102"/>
      <c r="C20" s="102"/>
      <c r="D20" s="104"/>
    </row>
  </sheetData>
  <sheetProtection algorithmName="SHA-512" hashValue="7pq/kpTkyADia1oOyTSGeVw5AzEpnf22fMhy9db2J6ANbbutSjf3QlDgsDvNYPeNSTBC6d38GNaapS2p+ncDiw==" saltValue="FezEv7tw2BUwTlR2fTmOCw==" spinCount="100000" sheet="1" objects="1" scenarios="1" formatColumns="0" formatRows="0" selectLockedCells="1"/>
  <mergeCells count="3">
    <mergeCell ref="C5:C20"/>
    <mergeCell ref="B5:B20"/>
    <mergeCell ref="D5:D20"/>
  </mergeCells>
  <pageMargins left="0.7" right="0.7" top="0.75" bottom="0.75" header="0.3" footer="0.3"/>
  <pageSetup paperSize="9"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zoomScale="80" zoomScaleNormal="80" workbookViewId="0">
      <selection activeCell="F5" sqref="F5"/>
    </sheetView>
  </sheetViews>
  <sheetFormatPr baseColWidth="10" defaultColWidth="9.1640625" defaultRowHeight="15" x14ac:dyDescent="0.2"/>
  <cols>
    <col min="1" max="1" width="1.83203125" style="2" customWidth="1"/>
    <col min="2" max="2" width="5.1640625" style="2" customWidth="1"/>
    <col min="3" max="3" width="13.33203125" style="2" customWidth="1"/>
    <col min="4" max="4" width="4.6640625" style="2" customWidth="1"/>
    <col min="5" max="5" width="81.83203125" style="2" customWidth="1"/>
    <col min="6" max="9" width="32.1640625" style="2" customWidth="1"/>
    <col min="10" max="10" width="10.5" style="2" bestFit="1" customWidth="1"/>
    <col min="11" max="11" width="20.33203125" style="2" customWidth="1"/>
    <col min="12" max="16384" width="9.1640625" style="2"/>
  </cols>
  <sheetData>
    <row r="1" spans="1:10" ht="21" x14ac:dyDescent="0.25">
      <c r="A1" s="1" t="s">
        <v>24</v>
      </c>
      <c r="B1" s="1"/>
    </row>
    <row r="2" spans="1:10" x14ac:dyDescent="0.2">
      <c r="B2" s="97" t="str">
        <f>'Overarching Ambition'!B2</f>
        <v>Venture Name</v>
      </c>
      <c r="C2" s="97"/>
      <c r="D2" s="97"/>
    </row>
    <row r="3" spans="1:10" x14ac:dyDescent="0.2">
      <c r="F3" s="5" t="s">
        <v>25</v>
      </c>
      <c r="G3" s="6"/>
      <c r="H3" s="6"/>
      <c r="I3" s="7" t="s">
        <v>26</v>
      </c>
    </row>
    <row r="4" spans="1:10" x14ac:dyDescent="0.2">
      <c r="C4" s="8" t="s">
        <v>27</v>
      </c>
      <c r="D4" s="9"/>
      <c r="E4" s="10" t="s">
        <v>19</v>
      </c>
      <c r="F4" s="11" t="s">
        <v>28</v>
      </c>
      <c r="G4" s="11" t="s">
        <v>29</v>
      </c>
      <c r="H4" s="11" t="s">
        <v>30</v>
      </c>
      <c r="I4" s="12" t="s">
        <v>31</v>
      </c>
      <c r="J4" s="3" t="s">
        <v>32</v>
      </c>
    </row>
    <row r="5" spans="1:10" ht="45" customHeight="1" x14ac:dyDescent="0.2">
      <c r="B5" s="77" t="s">
        <v>33</v>
      </c>
      <c r="C5" s="89" t="s">
        <v>34</v>
      </c>
      <c r="D5" s="23">
        <v>1.1000000000000001</v>
      </c>
      <c r="E5" s="41" t="s">
        <v>35</v>
      </c>
      <c r="F5" s="58"/>
      <c r="G5" s="58"/>
      <c r="H5" s="58"/>
      <c r="I5" s="59"/>
      <c r="J5" s="14" t="b">
        <f>IF(NOT(ISBLANK(F5)),1,IF(NOT(ISBLANK(G5)),2,IF(NOT(ISBLANK(H5)),3,IF(NOT(ISBLANK(I5)),4))))</f>
        <v>0</v>
      </c>
    </row>
    <row r="6" spans="1:10" ht="45" customHeight="1" x14ac:dyDescent="0.2">
      <c r="B6" s="92"/>
      <c r="C6" s="90"/>
      <c r="D6" s="27">
        <v>1.2</v>
      </c>
      <c r="E6" s="28" t="s">
        <v>36</v>
      </c>
      <c r="F6" s="60"/>
      <c r="G6" s="60"/>
      <c r="H6" s="60"/>
      <c r="I6" s="61"/>
      <c r="J6" s="14" t="b">
        <f t="shared" ref="J6:J46" si="0">IF(NOT(ISBLANK(F6)),1,IF(NOT(ISBLANK(G6)),2,IF(NOT(ISBLANK(H6)),3,IF(NOT(ISBLANK(I6)),4))))</f>
        <v>0</v>
      </c>
    </row>
    <row r="7" spans="1:10" ht="45" customHeight="1" x14ac:dyDescent="0.2">
      <c r="B7" s="92"/>
      <c r="C7" s="90"/>
      <c r="D7" s="27">
        <v>1.3</v>
      </c>
      <c r="E7" s="28" t="s">
        <v>37</v>
      </c>
      <c r="F7" s="60"/>
      <c r="G7" s="60"/>
      <c r="H7" s="60"/>
      <c r="I7" s="61"/>
      <c r="J7" s="14" t="b">
        <f t="shared" si="0"/>
        <v>0</v>
      </c>
    </row>
    <row r="8" spans="1:10" ht="45" customHeight="1" x14ac:dyDescent="0.2">
      <c r="B8" s="92"/>
      <c r="C8" s="91"/>
      <c r="D8" s="27">
        <v>1.4</v>
      </c>
      <c r="E8" s="28" t="s">
        <v>38</v>
      </c>
      <c r="F8" s="60"/>
      <c r="G8" s="60"/>
      <c r="H8" s="60"/>
      <c r="I8" s="61"/>
      <c r="J8" s="14" t="b">
        <f t="shared" si="0"/>
        <v>0</v>
      </c>
    </row>
    <row r="9" spans="1:10" ht="45" customHeight="1" x14ac:dyDescent="0.2">
      <c r="B9" s="92"/>
      <c r="C9" s="84" t="s">
        <v>39</v>
      </c>
      <c r="D9" s="34">
        <v>2.1</v>
      </c>
      <c r="E9" s="35" t="s">
        <v>40</v>
      </c>
      <c r="F9" s="64"/>
      <c r="G9" s="64"/>
      <c r="H9" s="64"/>
      <c r="I9" s="65"/>
      <c r="J9" s="14" t="b">
        <f t="shared" si="0"/>
        <v>0</v>
      </c>
    </row>
    <row r="10" spans="1:10" ht="45" customHeight="1" x14ac:dyDescent="0.2">
      <c r="B10" s="92"/>
      <c r="C10" s="85"/>
      <c r="D10" s="36">
        <v>2.2000000000000002</v>
      </c>
      <c r="E10" s="38" t="s">
        <v>41</v>
      </c>
      <c r="F10" s="66"/>
      <c r="G10" s="66"/>
      <c r="H10" s="66"/>
      <c r="I10" s="67"/>
      <c r="J10" s="14" t="b">
        <f t="shared" si="0"/>
        <v>0</v>
      </c>
    </row>
    <row r="11" spans="1:10" ht="45" customHeight="1" x14ac:dyDescent="0.2">
      <c r="B11" s="92"/>
      <c r="C11" s="85"/>
      <c r="D11" s="36">
        <v>2.2999999999999998</v>
      </c>
      <c r="E11" s="38" t="s">
        <v>42</v>
      </c>
      <c r="F11" s="66"/>
      <c r="G11" s="66"/>
      <c r="H11" s="66"/>
      <c r="I11" s="67"/>
      <c r="J11" s="14" t="b">
        <f t="shared" si="0"/>
        <v>0</v>
      </c>
    </row>
    <row r="12" spans="1:10" ht="45" customHeight="1" x14ac:dyDescent="0.2">
      <c r="B12" s="92"/>
      <c r="C12" s="86"/>
      <c r="D12" s="39">
        <v>2.4</v>
      </c>
      <c r="E12" s="43" t="s">
        <v>43</v>
      </c>
      <c r="F12" s="68"/>
      <c r="G12" s="68"/>
      <c r="H12" s="68"/>
      <c r="I12" s="69"/>
      <c r="J12" s="14" t="b">
        <f t="shared" si="0"/>
        <v>0</v>
      </c>
    </row>
    <row r="13" spans="1:10" ht="45" customHeight="1" x14ac:dyDescent="0.2">
      <c r="B13" s="92"/>
      <c r="C13" s="81" t="s">
        <v>44</v>
      </c>
      <c r="D13" s="23">
        <v>3.1</v>
      </c>
      <c r="E13" s="41" t="s">
        <v>45</v>
      </c>
      <c r="F13" s="58"/>
      <c r="G13" s="58"/>
      <c r="H13" s="58"/>
      <c r="I13" s="59"/>
      <c r="J13" s="14" t="b">
        <f t="shared" si="0"/>
        <v>0</v>
      </c>
    </row>
    <row r="14" spans="1:10" ht="45" customHeight="1" x14ac:dyDescent="0.2">
      <c r="B14" s="93"/>
      <c r="C14" s="88"/>
      <c r="D14" s="42">
        <v>3.2</v>
      </c>
      <c r="E14" s="46" t="s">
        <v>46</v>
      </c>
      <c r="F14" s="62"/>
      <c r="G14" s="62"/>
      <c r="H14" s="62"/>
      <c r="I14" s="63"/>
      <c r="J14" s="14" t="b">
        <f t="shared" si="0"/>
        <v>0</v>
      </c>
    </row>
    <row r="15" spans="1:10" ht="45" customHeight="1" x14ac:dyDescent="0.2">
      <c r="B15" s="77" t="s">
        <v>47</v>
      </c>
      <c r="C15" s="84" t="s">
        <v>48</v>
      </c>
      <c r="D15" s="34">
        <v>4.0999999999999996</v>
      </c>
      <c r="E15" s="35" t="s">
        <v>49</v>
      </c>
      <c r="F15" s="64"/>
      <c r="G15" s="64"/>
      <c r="H15" s="64"/>
      <c r="I15" s="65"/>
      <c r="J15" s="14" t="b">
        <f t="shared" si="0"/>
        <v>0</v>
      </c>
    </row>
    <row r="16" spans="1:10" ht="45" customHeight="1" x14ac:dyDescent="0.2">
      <c r="B16" s="92"/>
      <c r="C16" s="85"/>
      <c r="D16" s="36">
        <v>4.2</v>
      </c>
      <c r="E16" s="38" t="s">
        <v>50</v>
      </c>
      <c r="F16" s="66"/>
      <c r="G16" s="66"/>
      <c r="H16" s="66"/>
      <c r="I16" s="67"/>
      <c r="J16" s="14" t="b">
        <f t="shared" si="0"/>
        <v>0</v>
      </c>
    </row>
    <row r="17" spans="2:10" ht="45" customHeight="1" x14ac:dyDescent="0.2">
      <c r="B17" s="92"/>
      <c r="C17" s="85"/>
      <c r="D17" s="36">
        <v>4.3</v>
      </c>
      <c r="E17" s="38" t="s">
        <v>51</v>
      </c>
      <c r="F17" s="66"/>
      <c r="G17" s="66"/>
      <c r="H17" s="66"/>
      <c r="I17" s="67"/>
      <c r="J17" s="14" t="b">
        <f t="shared" si="0"/>
        <v>0</v>
      </c>
    </row>
    <row r="18" spans="2:10" ht="45" customHeight="1" x14ac:dyDescent="0.2">
      <c r="B18" s="92"/>
      <c r="C18" s="85"/>
      <c r="D18" s="36">
        <v>4.4000000000000004</v>
      </c>
      <c r="E18" s="38" t="s">
        <v>52</v>
      </c>
      <c r="F18" s="66"/>
      <c r="G18" s="66"/>
      <c r="H18" s="66"/>
      <c r="I18" s="67"/>
      <c r="J18" s="14" t="b">
        <f t="shared" si="0"/>
        <v>0</v>
      </c>
    </row>
    <row r="19" spans="2:10" ht="45" customHeight="1" x14ac:dyDescent="0.2">
      <c r="B19" s="92"/>
      <c r="C19" s="86"/>
      <c r="D19" s="39">
        <v>4.5</v>
      </c>
      <c r="E19" s="43" t="s">
        <v>53</v>
      </c>
      <c r="F19" s="68"/>
      <c r="G19" s="68"/>
      <c r="H19" s="68"/>
      <c r="I19" s="69"/>
      <c r="J19" s="14" t="b">
        <f t="shared" si="0"/>
        <v>0</v>
      </c>
    </row>
    <row r="20" spans="2:10" ht="45" customHeight="1" x14ac:dyDescent="0.2">
      <c r="B20" s="92"/>
      <c r="C20" s="89" t="s">
        <v>54</v>
      </c>
      <c r="D20" s="23">
        <v>5.0999999999999996</v>
      </c>
      <c r="E20" s="41" t="s">
        <v>55</v>
      </c>
      <c r="F20" s="58"/>
      <c r="G20" s="58"/>
      <c r="H20" s="58"/>
      <c r="I20" s="59"/>
      <c r="J20" s="14" t="b">
        <f t="shared" si="0"/>
        <v>0</v>
      </c>
    </row>
    <row r="21" spans="2:10" ht="45" customHeight="1" x14ac:dyDescent="0.2">
      <c r="B21" s="92"/>
      <c r="C21" s="90"/>
      <c r="D21" s="44">
        <v>5.2</v>
      </c>
      <c r="E21" s="28" t="s">
        <v>56</v>
      </c>
      <c r="F21" s="60"/>
      <c r="G21" s="60"/>
      <c r="H21" s="60"/>
      <c r="I21" s="61"/>
      <c r="J21" s="14" t="b">
        <f t="shared" si="0"/>
        <v>0</v>
      </c>
    </row>
    <row r="22" spans="2:10" ht="45" customHeight="1" x14ac:dyDescent="0.2">
      <c r="B22" s="92"/>
      <c r="C22" s="90"/>
      <c r="D22" s="44">
        <v>5.3</v>
      </c>
      <c r="E22" s="28" t="s">
        <v>57</v>
      </c>
      <c r="F22" s="60"/>
      <c r="G22" s="60"/>
      <c r="H22" s="60"/>
      <c r="I22" s="61"/>
      <c r="J22" s="14" t="b">
        <f t="shared" si="0"/>
        <v>0</v>
      </c>
    </row>
    <row r="23" spans="2:10" ht="45" customHeight="1" x14ac:dyDescent="0.2">
      <c r="B23" s="92"/>
      <c r="C23" s="90"/>
      <c r="D23" s="44">
        <v>5.4</v>
      </c>
      <c r="E23" s="28" t="s">
        <v>58</v>
      </c>
      <c r="F23" s="60"/>
      <c r="G23" s="60"/>
      <c r="H23" s="60"/>
      <c r="I23" s="61"/>
      <c r="J23" s="14" t="b">
        <f t="shared" si="0"/>
        <v>0</v>
      </c>
    </row>
    <row r="24" spans="2:10" ht="45" customHeight="1" x14ac:dyDescent="0.2">
      <c r="B24" s="92"/>
      <c r="C24" s="90"/>
      <c r="D24" s="44">
        <v>5.5</v>
      </c>
      <c r="E24" s="28" t="s">
        <v>59</v>
      </c>
      <c r="F24" s="60"/>
      <c r="G24" s="60"/>
      <c r="H24" s="60"/>
      <c r="I24" s="61"/>
      <c r="J24" s="14" t="b">
        <f t="shared" si="0"/>
        <v>0</v>
      </c>
    </row>
    <row r="25" spans="2:10" ht="45" customHeight="1" x14ac:dyDescent="0.2">
      <c r="B25" s="92"/>
      <c r="C25" s="90"/>
      <c r="D25" s="44">
        <v>5.6</v>
      </c>
      <c r="E25" s="28" t="s">
        <v>60</v>
      </c>
      <c r="F25" s="60"/>
      <c r="G25" s="60"/>
      <c r="H25" s="60"/>
      <c r="I25" s="61"/>
      <c r="J25" s="14" t="b">
        <f t="shared" si="0"/>
        <v>0</v>
      </c>
    </row>
    <row r="26" spans="2:10" ht="45" customHeight="1" x14ac:dyDescent="0.2">
      <c r="B26" s="93"/>
      <c r="C26" s="91"/>
      <c r="D26" s="44">
        <v>5.7</v>
      </c>
      <c r="E26" s="28" t="s">
        <v>61</v>
      </c>
      <c r="F26" s="60"/>
      <c r="G26" s="60"/>
      <c r="H26" s="60"/>
      <c r="I26" s="63"/>
      <c r="J26" s="14" t="b">
        <f t="shared" si="0"/>
        <v>0</v>
      </c>
    </row>
    <row r="27" spans="2:10" ht="45" customHeight="1" x14ac:dyDescent="0.2">
      <c r="B27" s="77" t="s">
        <v>62</v>
      </c>
      <c r="C27" s="84" t="s">
        <v>63</v>
      </c>
      <c r="D27" s="34">
        <v>6.1</v>
      </c>
      <c r="E27" s="35" t="s">
        <v>64</v>
      </c>
      <c r="F27" s="64"/>
      <c r="G27" s="64"/>
      <c r="H27" s="64"/>
      <c r="I27" s="65"/>
      <c r="J27" s="14" t="b">
        <f t="shared" si="0"/>
        <v>0</v>
      </c>
    </row>
    <row r="28" spans="2:10" ht="45" customHeight="1" x14ac:dyDescent="0.2">
      <c r="B28" s="78"/>
      <c r="C28" s="85"/>
      <c r="D28" s="36">
        <v>6.2</v>
      </c>
      <c r="E28" s="38" t="s">
        <v>65</v>
      </c>
      <c r="F28" s="66"/>
      <c r="G28" s="66"/>
      <c r="H28" s="66"/>
      <c r="I28" s="67"/>
      <c r="J28" s="14" t="b">
        <f t="shared" si="0"/>
        <v>0</v>
      </c>
    </row>
    <row r="29" spans="2:10" ht="45" customHeight="1" x14ac:dyDescent="0.2">
      <c r="B29" s="78"/>
      <c r="C29" s="85"/>
      <c r="D29" s="36">
        <v>6.3</v>
      </c>
      <c r="E29" s="38" t="s">
        <v>66</v>
      </c>
      <c r="F29" s="66"/>
      <c r="G29" s="66"/>
      <c r="H29" s="66"/>
      <c r="I29" s="67"/>
      <c r="J29" s="14" t="b">
        <f t="shared" si="0"/>
        <v>0</v>
      </c>
    </row>
    <row r="30" spans="2:10" ht="45" customHeight="1" x14ac:dyDescent="0.2">
      <c r="B30" s="78"/>
      <c r="C30" s="85"/>
      <c r="D30" s="36">
        <v>6.4</v>
      </c>
      <c r="E30" s="38" t="s">
        <v>67</v>
      </c>
      <c r="F30" s="66"/>
      <c r="G30" s="66"/>
      <c r="H30" s="66"/>
      <c r="I30" s="67"/>
      <c r="J30" s="14" t="b">
        <f t="shared" si="0"/>
        <v>0</v>
      </c>
    </row>
    <row r="31" spans="2:10" ht="45" customHeight="1" x14ac:dyDescent="0.2">
      <c r="B31" s="78"/>
      <c r="C31" s="85"/>
      <c r="D31" s="36">
        <v>6.5</v>
      </c>
      <c r="E31" s="38" t="s">
        <v>68</v>
      </c>
      <c r="F31" s="66"/>
      <c r="G31" s="66"/>
      <c r="H31" s="66"/>
      <c r="I31" s="67"/>
      <c r="J31" s="14" t="b">
        <f t="shared" si="0"/>
        <v>0</v>
      </c>
    </row>
    <row r="32" spans="2:10" ht="45" customHeight="1" x14ac:dyDescent="0.2">
      <c r="B32" s="78"/>
      <c r="C32" s="86"/>
      <c r="D32" s="39">
        <v>6.6</v>
      </c>
      <c r="E32" s="43" t="s">
        <v>69</v>
      </c>
      <c r="F32" s="68"/>
      <c r="G32" s="68"/>
      <c r="H32" s="68"/>
      <c r="I32" s="69"/>
      <c r="J32" s="14" t="b">
        <f t="shared" si="0"/>
        <v>0</v>
      </c>
    </row>
    <row r="33" spans="2:10" ht="45" customHeight="1" x14ac:dyDescent="0.2">
      <c r="B33" s="78"/>
      <c r="C33" s="81" t="s">
        <v>70</v>
      </c>
      <c r="D33" s="23">
        <v>7.1</v>
      </c>
      <c r="E33" s="41" t="s">
        <v>71</v>
      </c>
      <c r="F33" s="58"/>
      <c r="G33" s="58"/>
      <c r="H33" s="58"/>
      <c r="I33" s="59"/>
      <c r="J33" s="14" t="b">
        <f t="shared" si="0"/>
        <v>0</v>
      </c>
    </row>
    <row r="34" spans="2:10" ht="45" customHeight="1" x14ac:dyDescent="0.2">
      <c r="B34" s="78"/>
      <c r="C34" s="87"/>
      <c r="D34" s="44">
        <v>7.2</v>
      </c>
      <c r="E34" s="28" t="s">
        <v>72</v>
      </c>
      <c r="F34" s="60"/>
      <c r="G34" s="60"/>
      <c r="H34" s="60"/>
      <c r="I34" s="61"/>
      <c r="J34" s="14" t="b">
        <f t="shared" si="0"/>
        <v>0</v>
      </c>
    </row>
    <row r="35" spans="2:10" ht="45" customHeight="1" x14ac:dyDescent="0.2">
      <c r="B35" s="79"/>
      <c r="C35" s="87"/>
      <c r="D35" s="44">
        <v>7.3</v>
      </c>
      <c r="E35" s="28" t="s">
        <v>73</v>
      </c>
      <c r="F35" s="60"/>
      <c r="G35" s="60"/>
      <c r="H35" s="60"/>
      <c r="I35" s="61"/>
      <c r="J35" s="14" t="b">
        <f t="shared" si="0"/>
        <v>0</v>
      </c>
    </row>
    <row r="36" spans="2:10" ht="45" customHeight="1" x14ac:dyDescent="0.2">
      <c r="B36" s="80"/>
      <c r="C36" s="88"/>
      <c r="D36" s="42">
        <v>7.4</v>
      </c>
      <c r="E36" s="46" t="s">
        <v>74</v>
      </c>
      <c r="F36" s="62"/>
      <c r="G36" s="62"/>
      <c r="H36" s="62"/>
      <c r="I36" s="63"/>
      <c r="J36" s="14" t="b">
        <f t="shared" si="0"/>
        <v>0</v>
      </c>
    </row>
    <row r="37" spans="2:10" ht="45" customHeight="1" x14ac:dyDescent="0.2">
      <c r="B37" s="77" t="s">
        <v>75</v>
      </c>
      <c r="C37" s="94" t="s">
        <v>76</v>
      </c>
      <c r="D37" s="34">
        <v>8.1</v>
      </c>
      <c r="E37" s="35" t="s">
        <v>77</v>
      </c>
      <c r="F37" s="64"/>
      <c r="G37" s="64"/>
      <c r="H37" s="64"/>
      <c r="I37" s="65"/>
      <c r="J37" s="14" t="b">
        <f t="shared" si="0"/>
        <v>0</v>
      </c>
    </row>
    <row r="38" spans="2:10" ht="45" customHeight="1" x14ac:dyDescent="0.2">
      <c r="B38" s="78"/>
      <c r="C38" s="95"/>
      <c r="D38" s="36">
        <v>8.1999999999999993</v>
      </c>
      <c r="E38" s="38" t="s">
        <v>78</v>
      </c>
      <c r="F38" s="66"/>
      <c r="G38" s="66"/>
      <c r="H38" s="66"/>
      <c r="I38" s="67"/>
      <c r="J38" s="14" t="b">
        <f t="shared" si="0"/>
        <v>0</v>
      </c>
    </row>
    <row r="39" spans="2:10" ht="45" customHeight="1" x14ac:dyDescent="0.2">
      <c r="B39" s="78"/>
      <c r="C39" s="95"/>
      <c r="D39" s="36">
        <v>8.3000000000000007</v>
      </c>
      <c r="E39" s="38" t="s">
        <v>79</v>
      </c>
      <c r="F39" s="66"/>
      <c r="G39" s="66"/>
      <c r="H39" s="66"/>
      <c r="I39" s="67"/>
      <c r="J39" s="14" t="b">
        <f t="shared" si="0"/>
        <v>0</v>
      </c>
    </row>
    <row r="40" spans="2:10" ht="45" customHeight="1" x14ac:dyDescent="0.2">
      <c r="B40" s="78"/>
      <c r="C40" s="96"/>
      <c r="D40" s="36">
        <v>8.4</v>
      </c>
      <c r="E40" s="43" t="s">
        <v>80</v>
      </c>
      <c r="F40" s="71"/>
      <c r="G40" s="71"/>
      <c r="H40" s="71"/>
      <c r="I40" s="72"/>
      <c r="J40" s="14" t="b">
        <f t="shared" si="0"/>
        <v>0</v>
      </c>
    </row>
    <row r="41" spans="2:10" ht="45" customHeight="1" x14ac:dyDescent="0.2">
      <c r="B41" s="78"/>
      <c r="C41" s="81" t="s">
        <v>81</v>
      </c>
      <c r="D41" s="23">
        <v>9.1</v>
      </c>
      <c r="E41" s="73" t="s">
        <v>82</v>
      </c>
      <c r="F41" s="58"/>
      <c r="G41" s="58"/>
      <c r="H41" s="58"/>
      <c r="I41" s="59"/>
      <c r="J41" s="14" t="b">
        <f t="shared" si="0"/>
        <v>0</v>
      </c>
    </row>
    <row r="42" spans="2:10" ht="45" customHeight="1" x14ac:dyDescent="0.2">
      <c r="B42" s="78"/>
      <c r="C42" s="82"/>
      <c r="D42" s="27">
        <v>9.1999999999999993</v>
      </c>
      <c r="E42" s="28" t="s">
        <v>83</v>
      </c>
      <c r="F42" s="60"/>
      <c r="G42" s="60"/>
      <c r="H42" s="60"/>
      <c r="I42" s="61"/>
      <c r="J42" s="14" t="b">
        <f t="shared" si="0"/>
        <v>0</v>
      </c>
    </row>
    <row r="43" spans="2:10" ht="45" customHeight="1" x14ac:dyDescent="0.2">
      <c r="B43" s="78"/>
      <c r="C43" s="82"/>
      <c r="D43" s="27">
        <v>9.3000000000000007</v>
      </c>
      <c r="E43" s="28" t="s">
        <v>84</v>
      </c>
      <c r="F43" s="60"/>
      <c r="G43" s="60"/>
      <c r="H43" s="60"/>
      <c r="I43" s="61"/>
      <c r="J43" s="14" t="b">
        <f t="shared" si="0"/>
        <v>0</v>
      </c>
    </row>
    <row r="44" spans="2:10" ht="45" customHeight="1" x14ac:dyDescent="0.2">
      <c r="B44" s="79"/>
      <c r="C44" s="82"/>
      <c r="D44" s="27">
        <v>9.4</v>
      </c>
      <c r="E44" s="28" t="s">
        <v>85</v>
      </c>
      <c r="F44" s="60"/>
      <c r="G44" s="60"/>
      <c r="H44" s="60"/>
      <c r="I44" s="61"/>
      <c r="J44" s="14" t="b">
        <f t="shared" si="0"/>
        <v>0</v>
      </c>
    </row>
    <row r="45" spans="2:10" ht="45" customHeight="1" x14ac:dyDescent="0.2">
      <c r="B45" s="79"/>
      <c r="C45" s="82"/>
      <c r="D45" s="27">
        <v>9.5</v>
      </c>
      <c r="E45" s="28" t="s">
        <v>86</v>
      </c>
      <c r="F45" s="60"/>
      <c r="G45" s="60"/>
      <c r="H45" s="60"/>
      <c r="I45" s="61"/>
      <c r="J45" s="14" t="b">
        <f t="shared" si="0"/>
        <v>0</v>
      </c>
    </row>
    <row r="46" spans="2:10" ht="45" customHeight="1" x14ac:dyDescent="0.2">
      <c r="B46" s="80"/>
      <c r="C46" s="83"/>
      <c r="D46" s="32">
        <v>9.6</v>
      </c>
      <c r="E46" s="46" t="s">
        <v>87</v>
      </c>
      <c r="F46" s="62"/>
      <c r="G46" s="62"/>
      <c r="H46" s="62"/>
      <c r="I46" s="63"/>
      <c r="J46" s="14" t="b">
        <f t="shared" si="0"/>
        <v>0</v>
      </c>
    </row>
  </sheetData>
  <sheetProtection algorithmName="SHA-512" hashValue="aA65njDl9tlYW8e2tnyAbMxmpLAX4l7PbIAWOSCrMIOvV7oELiucFjPx+SE2HupYVCcgyFxm2xxZgLh+LRruYA==" saltValue="BTBfbbvL616R04oVIn8PYg==" spinCount="100000" sheet="1" objects="1" scenarios="1" formatColumns="0" formatRows="0" selectLockedCells="1"/>
  <mergeCells count="14">
    <mergeCell ref="B2:D2"/>
    <mergeCell ref="B5:B14"/>
    <mergeCell ref="C27:C32"/>
    <mergeCell ref="C9:C12"/>
    <mergeCell ref="C13:C14"/>
    <mergeCell ref="B27:B36"/>
    <mergeCell ref="C5:C8"/>
    <mergeCell ref="B37:B46"/>
    <mergeCell ref="C41:C46"/>
    <mergeCell ref="C15:C19"/>
    <mergeCell ref="C33:C36"/>
    <mergeCell ref="C20:C26"/>
    <mergeCell ref="B15:B26"/>
    <mergeCell ref="C37:C40"/>
  </mergeCells>
  <pageMargins left="0.7" right="0.7" top="0.75" bottom="0.75" header="0.3" footer="0.3"/>
  <pageSetup paperSize="9" orientation="portrait" r:id="rId1"/>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C2B2-02DB-441B-9929-98FC0A76E5DF}">
  <dimension ref="A1:J46"/>
  <sheetViews>
    <sheetView zoomScale="80" zoomScaleNormal="80" workbookViewId="0">
      <selection activeCell="F5" sqref="F5"/>
    </sheetView>
  </sheetViews>
  <sheetFormatPr baseColWidth="10" defaultColWidth="9.1640625" defaultRowHeight="15" x14ac:dyDescent="0.2"/>
  <cols>
    <col min="1" max="1" width="1.83203125" style="2" customWidth="1"/>
    <col min="2" max="2" width="5.1640625" style="2" customWidth="1"/>
    <col min="3" max="3" width="13.33203125" style="2" customWidth="1"/>
    <col min="4" max="4" width="4.6640625" style="2" customWidth="1"/>
    <col min="5" max="5" width="81.83203125" style="2" customWidth="1"/>
    <col min="6" max="9" width="31" style="2" customWidth="1"/>
    <col min="10" max="10" width="9.5" style="2" bestFit="1" customWidth="1"/>
    <col min="11" max="16384" width="9.1640625" style="2"/>
  </cols>
  <sheetData>
    <row r="1" spans="1:10" ht="21" x14ac:dyDescent="0.25">
      <c r="A1" s="1" t="s">
        <v>88</v>
      </c>
      <c r="B1" s="1"/>
    </row>
    <row r="2" spans="1:10" x14ac:dyDescent="0.2">
      <c r="B2" s="97" t="str">
        <f>'Overarching Ambition'!B2</f>
        <v>Venture Name</v>
      </c>
      <c r="C2" s="97"/>
      <c r="D2" s="97"/>
    </row>
    <row r="3" spans="1:10" x14ac:dyDescent="0.2">
      <c r="F3" s="49" t="s">
        <v>89</v>
      </c>
      <c r="G3" s="50" t="s">
        <v>90</v>
      </c>
      <c r="H3" s="50" t="s">
        <v>91</v>
      </c>
      <c r="I3" s="50" t="s">
        <v>92</v>
      </c>
      <c r="J3" s="22"/>
    </row>
    <row r="4" spans="1:10" x14ac:dyDescent="0.2">
      <c r="C4" s="48" t="str">
        <f>'Diagnostic - start'!C4</f>
        <v>Support pillar</v>
      </c>
      <c r="D4" s="9"/>
      <c r="E4" s="10" t="str">
        <f>'Diagnostic - start'!E4</f>
        <v>Support objectives</v>
      </c>
      <c r="F4" s="11"/>
      <c r="G4" s="11"/>
      <c r="H4" s="11"/>
      <c r="I4" s="51"/>
      <c r="J4" s="70" t="s">
        <v>32</v>
      </c>
    </row>
    <row r="5" spans="1:10" ht="45" customHeight="1" x14ac:dyDescent="0.2">
      <c r="B5" s="77" t="str">
        <f>'Diagnostic - start'!B5:B14</f>
        <v xml:space="preserve">Person / People </v>
      </c>
      <c r="C5" s="89" t="str">
        <f>'Diagnostic - start'!C5:C7</f>
        <v>1. Leadership</v>
      </c>
      <c r="D5" s="23">
        <f>'Diagnostic - start'!D5</f>
        <v>1.1000000000000001</v>
      </c>
      <c r="E5" s="41" t="str">
        <f>'Diagnostic - start'!E5</f>
        <v>CEO strategic leadership: decision making reflects understanding of external big picture and alignment with mission</v>
      </c>
      <c r="F5" s="58"/>
      <c r="G5" s="58"/>
      <c r="H5" s="58"/>
      <c r="I5" s="59"/>
      <c r="J5" s="14" t="b">
        <f>'Diagnostic - start'!J5</f>
        <v>0</v>
      </c>
    </row>
    <row r="6" spans="1:10" ht="45" customHeight="1" x14ac:dyDescent="0.2">
      <c r="B6" s="92"/>
      <c r="C6" s="90"/>
      <c r="D6" s="27">
        <f>'Diagnostic - start'!D6</f>
        <v>1.2</v>
      </c>
      <c r="E6" s="28" t="str">
        <f>'Diagnostic - start'!E6</f>
        <v>CEO performance management leadership: strong self-awareness, ability to drive performance management and build learning organisation, informed by a command of detail across all areas of business</v>
      </c>
      <c r="F6" s="60"/>
      <c r="G6" s="60"/>
      <c r="H6" s="60"/>
      <c r="I6" s="61"/>
      <c r="J6" s="14" t="b">
        <f>'Diagnostic - start'!J6</f>
        <v>0</v>
      </c>
    </row>
    <row r="7" spans="1:10" ht="45" customHeight="1" x14ac:dyDescent="0.2">
      <c r="B7" s="92"/>
      <c r="C7" s="90"/>
      <c r="D7" s="27">
        <f>'Diagnostic - start'!D7</f>
        <v>1.3</v>
      </c>
      <c r="E7" s="28" t="str">
        <f>'Diagnostic - start'!E7</f>
        <v>Resource allocation: ability to allocate existing resources and investment in future resources (human and financial) against core outcome-generating activities</v>
      </c>
      <c r="F7" s="60"/>
      <c r="G7" s="60"/>
      <c r="H7" s="60"/>
      <c r="I7" s="61"/>
      <c r="J7" s="14" t="b">
        <f>'Diagnostic - start'!J7</f>
        <v>0</v>
      </c>
    </row>
    <row r="8" spans="1:10" ht="45" customHeight="1" x14ac:dyDescent="0.2">
      <c r="B8" s="92"/>
      <c r="C8" s="91"/>
      <c r="D8" s="27">
        <f>'Diagnostic - start'!D8</f>
        <v>1.4</v>
      </c>
      <c r="E8" s="28" t="str">
        <f>'Diagnostic - start'!E8</f>
        <v>Sector knowledge: deep understanding of the landscape of the sector in which they operate (for example key policies, polcy makers, influential organisations and bodies)</v>
      </c>
      <c r="F8" s="60"/>
      <c r="G8" s="60"/>
      <c r="H8" s="60"/>
      <c r="I8" s="63"/>
      <c r="J8" s="14" t="b">
        <f>'Diagnostic - start'!J8</f>
        <v>0</v>
      </c>
    </row>
    <row r="9" spans="1:10" ht="45" customHeight="1" x14ac:dyDescent="0.2">
      <c r="B9" s="92"/>
      <c r="C9" s="84" t="str">
        <f>'Diagnostic - start'!C9:C12</f>
        <v>2. Team Building</v>
      </c>
      <c r="D9" s="34">
        <f>'Diagnostic - start'!D9</f>
        <v>2.1</v>
      </c>
      <c r="E9" s="35" t="str">
        <f>'Diagnostic - start'!E9</f>
        <v>Key functional competencies in place: finance, operations, sales, impact, HR, communications, etc</v>
      </c>
      <c r="F9" s="64"/>
      <c r="G9" s="64"/>
      <c r="H9" s="64"/>
      <c r="I9" s="65"/>
      <c r="J9" s="14" t="b">
        <f>'Diagnostic - start'!J9</f>
        <v>0</v>
      </c>
    </row>
    <row r="10" spans="1:10" ht="45" customHeight="1" x14ac:dyDescent="0.2">
      <c r="B10" s="92"/>
      <c r="C10" s="85"/>
      <c r="D10" s="36">
        <f>'Diagnostic - start'!D10</f>
        <v>2.2000000000000002</v>
      </c>
      <c r="E10" s="38" t="str">
        <f>'Diagnostic - start'!E10</f>
        <v>SMT: team contains a broad mix of skills, is of an appropriate size relative to the company's maturity and has the capability to deliver and work well as a team</v>
      </c>
      <c r="F10" s="66"/>
      <c r="G10" s="66"/>
      <c r="H10" s="66"/>
      <c r="I10" s="67"/>
      <c r="J10" s="14" t="b">
        <f>'Diagnostic - start'!J10</f>
        <v>0</v>
      </c>
    </row>
    <row r="11" spans="1:10" ht="45" customHeight="1" x14ac:dyDescent="0.2">
      <c r="B11" s="92"/>
      <c r="C11" s="85"/>
      <c r="D11" s="36">
        <f>'Diagnostic - start'!D11</f>
        <v>2.2999999999999998</v>
      </c>
      <c r="E11" s="38" t="str">
        <f>'Diagnostic - start'!E11</f>
        <v>Resourcing: sufficiently resourced to deliver product/service without bottleneck/over resourcing; roles and responsibilities documented and clearly communicated across organisation</v>
      </c>
      <c r="F11" s="66"/>
      <c r="G11" s="66"/>
      <c r="H11" s="66"/>
      <c r="I11" s="67"/>
      <c r="J11" s="14" t="b">
        <f>'Diagnostic - start'!J11</f>
        <v>0</v>
      </c>
    </row>
    <row r="12" spans="1:10" ht="45" customHeight="1" x14ac:dyDescent="0.2">
      <c r="B12" s="92"/>
      <c r="C12" s="86"/>
      <c r="D12" s="39">
        <f>'Diagnostic - start'!D12</f>
        <v>2.4</v>
      </c>
      <c r="E12" s="43" t="str">
        <f>'Diagnostic - start'!E12</f>
        <v>Team development: provision for team development and training in place</v>
      </c>
      <c r="F12" s="68"/>
      <c r="G12" s="68"/>
      <c r="H12" s="68"/>
      <c r="I12" s="69"/>
      <c r="J12" s="14" t="b">
        <f>'Diagnostic - start'!J12</f>
        <v>0</v>
      </c>
    </row>
    <row r="13" spans="1:10" ht="45" customHeight="1" x14ac:dyDescent="0.2">
      <c r="B13" s="92"/>
      <c r="C13" s="81" t="str">
        <f>'Diagnostic - start'!C13:C14</f>
        <v>3. Governance</v>
      </c>
      <c r="D13" s="23">
        <f>'Diagnostic - start'!D13</f>
        <v>3.1</v>
      </c>
      <c r="E13" s="41" t="str">
        <f>'Diagnostic - start'!E13</f>
        <v>Overall governance: governance is in place, is supporting the Management Team and is of an appropriate size for scale of business and growth plans - including formal and informal advisory roles</v>
      </c>
      <c r="F13" s="58"/>
      <c r="G13" s="58"/>
      <c r="H13" s="58"/>
      <c r="I13" s="59"/>
      <c r="J13" s="14" t="b">
        <f>'Diagnostic - start'!J13</f>
        <v>0</v>
      </c>
    </row>
    <row r="14" spans="1:10" ht="45" customHeight="1" x14ac:dyDescent="0.2">
      <c r="B14" s="93"/>
      <c r="C14" s="88"/>
      <c r="D14" s="42">
        <f>'Diagnostic - start'!D14</f>
        <v>3.2</v>
      </c>
      <c r="E14" s="46" t="str">
        <f>'Diagnostic - start'!E14</f>
        <v>Board: oversight and accountability. Oversight of strategic and organisational effectiveness, holding the CEO to account and providing fiduciary oversight</v>
      </c>
      <c r="F14" s="62"/>
      <c r="G14" s="62"/>
      <c r="H14" s="62"/>
      <c r="I14" s="63"/>
      <c r="J14" s="14" t="b">
        <f>'Diagnostic - start'!J14</f>
        <v>0</v>
      </c>
    </row>
    <row r="15" spans="1:10" ht="45" customHeight="1" x14ac:dyDescent="0.2">
      <c r="B15" s="77" t="str">
        <f>'Diagnostic - start'!B15:B25</f>
        <v>Proposition</v>
      </c>
      <c r="C15" s="84" t="str">
        <f>'Diagnostic - start'!C15:C19</f>
        <v>4. Social Impact</v>
      </c>
      <c r="D15" s="34">
        <f>'Diagnostic - start'!D15</f>
        <v>4.0999999999999996</v>
      </c>
      <c r="E15" s="35" t="str">
        <f>'Diagnostic - start'!E15</f>
        <v>Theory of change: is developed, understood and clearly communicated</v>
      </c>
      <c r="F15" s="64"/>
      <c r="G15" s="64"/>
      <c r="H15" s="64"/>
      <c r="I15" s="65"/>
      <c r="J15" s="14" t="b">
        <f>'Diagnostic - start'!J15</f>
        <v>0</v>
      </c>
    </row>
    <row r="16" spans="1:10" ht="45" customHeight="1" x14ac:dyDescent="0.2">
      <c r="B16" s="92"/>
      <c r="C16" s="85"/>
      <c r="D16" s="36">
        <f>'Diagnostic - start'!D16</f>
        <v>4.2</v>
      </c>
      <c r="E16" s="38" t="str">
        <f>'Diagnostic - start'!E16</f>
        <v>Key metrics: these are clearly articulated and aid in demonstrating that the venture is achieving its mission</v>
      </c>
      <c r="F16" s="66"/>
      <c r="G16" s="66"/>
      <c r="H16" s="66"/>
      <c r="I16" s="67"/>
      <c r="J16" s="14" t="b">
        <f>'Diagnostic - start'!J16</f>
        <v>0</v>
      </c>
    </row>
    <row r="17" spans="2:10" ht="45" customHeight="1" x14ac:dyDescent="0.2">
      <c r="B17" s="92"/>
      <c r="C17" s="85"/>
      <c r="D17" s="36">
        <f>'Diagnostic - start'!D17</f>
        <v>4.3</v>
      </c>
      <c r="E17" s="38" t="str">
        <f>'Diagnostic - start'!E17</f>
        <v>Data: appropriate impact indicator data has been identified and is being collected against key metrics</v>
      </c>
      <c r="F17" s="66"/>
      <c r="G17" s="66"/>
      <c r="H17" s="66"/>
      <c r="I17" s="67"/>
      <c r="J17" s="14" t="b">
        <f>'Diagnostic - start'!J17</f>
        <v>0</v>
      </c>
    </row>
    <row r="18" spans="2:10" ht="45" customHeight="1" x14ac:dyDescent="0.2">
      <c r="B18" s="92"/>
      <c r="C18" s="85"/>
      <c r="D18" s="36">
        <f>'Diagnostic - start'!D18</f>
        <v>4.4000000000000004</v>
      </c>
      <c r="E18" s="38" t="str">
        <f>'Diagnostic - start'!E18</f>
        <v>Reporting: social impact is being reported, is disseminated publicly and has an element of external validation</v>
      </c>
      <c r="F18" s="66"/>
      <c r="G18" s="66"/>
      <c r="H18" s="66"/>
      <c r="I18" s="67"/>
      <c r="J18" s="14" t="b">
        <f>'Diagnostic - start'!J18</f>
        <v>0</v>
      </c>
    </row>
    <row r="19" spans="2:10" ht="45" customHeight="1" x14ac:dyDescent="0.2">
      <c r="B19" s="92"/>
      <c r="C19" s="86"/>
      <c r="D19" s="39">
        <f>'Diagnostic - start'!D19</f>
        <v>4.5</v>
      </c>
      <c r="E19" s="43" t="str">
        <f>'Diagnostic - start'!E19</f>
        <v>Social lock: social impact is 'locked' into business' structure for the long term</v>
      </c>
      <c r="F19" s="68"/>
      <c r="G19" s="68"/>
      <c r="H19" s="68"/>
      <c r="I19" s="69"/>
      <c r="J19" s="14" t="b">
        <f>'Diagnostic - start'!J19</f>
        <v>0</v>
      </c>
    </row>
    <row r="20" spans="2:10" ht="45" customHeight="1" x14ac:dyDescent="0.2">
      <c r="B20" s="92"/>
      <c r="C20" s="89" t="str">
        <f>'Diagnostic - start'!C20:C25</f>
        <v>5. Sales Planning</v>
      </c>
      <c r="D20" s="23">
        <f>'Diagnostic - start'!D20</f>
        <v>5.0999999999999996</v>
      </c>
      <c r="E20" s="41" t="str">
        <f>'Diagnostic - start'!E20</f>
        <v>Value proposition: ability to articulate value proposition, target customers and routes to market</v>
      </c>
      <c r="F20" s="58"/>
      <c r="G20" s="58"/>
      <c r="H20" s="58"/>
      <c r="I20" s="59"/>
      <c r="J20" s="14" t="b">
        <f>'Diagnostic - start'!J20</f>
        <v>0</v>
      </c>
    </row>
    <row r="21" spans="2:10" ht="45" customHeight="1" x14ac:dyDescent="0.2">
      <c r="B21" s="92"/>
      <c r="C21" s="90"/>
      <c r="D21" s="44">
        <f>'Diagnostic - start'!D21</f>
        <v>5.2</v>
      </c>
      <c r="E21" s="28" t="str">
        <f>'Diagnostic - start'!E21</f>
        <v>Market knowledge: understanding of market and price sensitivities</v>
      </c>
      <c r="F21" s="60"/>
      <c r="G21" s="60"/>
      <c r="H21" s="60"/>
      <c r="I21" s="61"/>
      <c r="J21" s="14" t="b">
        <f>'Diagnostic - start'!J21</f>
        <v>0</v>
      </c>
    </row>
    <row r="22" spans="2:10" ht="45" customHeight="1" x14ac:dyDescent="0.2">
      <c r="B22" s="92"/>
      <c r="C22" s="90"/>
      <c r="D22" s="44">
        <f>'Diagnostic - start'!D22</f>
        <v>5.3</v>
      </c>
      <c r="E22" s="28" t="str">
        <f>'Diagnostic - start'!E22</f>
        <v xml:space="preserve">Network building: well-known and well positioned in the sector. Has to ability to build useful connections and grow their network, forming appropriate partnerships </v>
      </c>
      <c r="F22" s="60"/>
      <c r="G22" s="60"/>
      <c r="H22" s="60"/>
      <c r="I22" s="61"/>
      <c r="J22" s="14" t="b">
        <f>'Diagnostic - start'!J22</f>
        <v>0</v>
      </c>
    </row>
    <row r="23" spans="2:10" ht="45" customHeight="1" x14ac:dyDescent="0.2">
      <c r="B23" s="92"/>
      <c r="C23" s="90"/>
      <c r="D23" s="44">
        <f>'Diagnostic - start'!D23</f>
        <v>5.4</v>
      </c>
      <c r="E23" s="28" t="str">
        <f>'Diagnostic - start'!E23</f>
        <v>Understanding of sales funnel: conversion rates, customer acquisition costs and lead time known and documented</v>
      </c>
      <c r="F23" s="60"/>
      <c r="G23" s="60"/>
      <c r="H23" s="60"/>
      <c r="I23" s="61"/>
      <c r="J23" s="14" t="b">
        <f>'Diagnostic - start'!J23</f>
        <v>0</v>
      </c>
    </row>
    <row r="24" spans="2:10" ht="45" customHeight="1" x14ac:dyDescent="0.2">
      <c r="B24" s="92"/>
      <c r="C24" s="90"/>
      <c r="D24" s="44">
        <f>'Diagnostic - start'!D24</f>
        <v>5.5</v>
      </c>
      <c r="E24" s="28" t="str">
        <f>'Diagnostic - start'!E24</f>
        <v>Forecasting: ability to forecast sales growth and resource requirements for growth</v>
      </c>
      <c r="F24" s="60"/>
      <c r="G24" s="60"/>
      <c r="H24" s="60"/>
      <c r="I24" s="61"/>
      <c r="J24" s="14" t="b">
        <f>'Diagnostic - start'!J24</f>
        <v>0</v>
      </c>
    </row>
    <row r="25" spans="2:10" ht="45" customHeight="1" x14ac:dyDescent="0.2">
      <c r="B25" s="92"/>
      <c r="C25" s="90"/>
      <c r="D25" s="44">
        <f>'Diagnostic - start'!D25</f>
        <v>5.6</v>
      </c>
      <c r="E25" s="28" t="str">
        <f>'Diagnostic - start'!E25</f>
        <v>Sales process: is in place and operational across teams / people in organisation</v>
      </c>
      <c r="F25" s="60"/>
      <c r="G25" s="60"/>
      <c r="H25" s="60"/>
      <c r="I25" s="61"/>
      <c r="J25" s="14" t="b">
        <f>'Diagnostic - start'!J25</f>
        <v>0</v>
      </c>
    </row>
    <row r="26" spans="2:10" ht="45" customHeight="1" x14ac:dyDescent="0.2">
      <c r="B26" s="93"/>
      <c r="C26" s="91"/>
      <c r="D26" s="44">
        <f>'Diagnostic - start'!D26</f>
        <v>5.7</v>
      </c>
      <c r="E26" s="28" t="str">
        <f>'Diagnostic - start'!E26</f>
        <v xml:space="preserve">Comms and marketing: presence and efficacy of comms and marketing strategy  </v>
      </c>
      <c r="F26" s="60"/>
      <c r="G26" s="60"/>
      <c r="H26" s="60"/>
      <c r="I26" s="63"/>
      <c r="J26" s="14" t="b">
        <f>'Diagnostic - start'!J26</f>
        <v>0</v>
      </c>
    </row>
    <row r="27" spans="2:10" ht="45" customHeight="1" x14ac:dyDescent="0.2">
      <c r="B27" s="77" t="str">
        <f>'Diagnostic - start'!B27:B36</f>
        <v>Performance</v>
      </c>
      <c r="C27" s="84" t="str">
        <f>'Diagnostic - start'!C27:C32</f>
        <v>6. Legals and reporting</v>
      </c>
      <c r="D27" s="34">
        <f>'Diagnostic - start'!D27</f>
        <v>6.1</v>
      </c>
      <c r="E27" s="35" t="str">
        <f>'Diagnostic - start'!E27</f>
        <v>Incorporation: business incorporated with appropriate legal structure for growth plans</v>
      </c>
      <c r="F27" s="64"/>
      <c r="G27" s="64"/>
      <c r="H27" s="64"/>
      <c r="I27" s="65"/>
      <c r="J27" s="14" t="b">
        <f>'Diagnostic - start'!J27</f>
        <v>0</v>
      </c>
    </row>
    <row r="28" spans="2:10" ht="45" customHeight="1" x14ac:dyDescent="0.2">
      <c r="B28" s="78"/>
      <c r="C28" s="85"/>
      <c r="D28" s="36">
        <f>'Diagnostic - start'!D28</f>
        <v>6.2</v>
      </c>
      <c r="E28" s="38" t="str">
        <f>'Diagnostic - start'!E28</f>
        <v xml:space="preserve">Partner agreements: any appropriate partner agreements and service level contracts in place </v>
      </c>
      <c r="F28" s="66"/>
      <c r="G28" s="66"/>
      <c r="H28" s="66"/>
      <c r="I28" s="67"/>
      <c r="J28" s="14" t="b">
        <f>'Diagnostic - start'!J28</f>
        <v>0</v>
      </c>
    </row>
    <row r="29" spans="2:10" ht="45" customHeight="1" x14ac:dyDescent="0.2">
      <c r="B29" s="78"/>
      <c r="C29" s="85"/>
      <c r="D29" s="36">
        <f>'Diagnostic - start'!D29</f>
        <v>6.3</v>
      </c>
      <c r="E29" s="38" t="str">
        <f>'Diagnostic - start'!E29</f>
        <v>Intellectual Property: any IP corrected documented and registered</v>
      </c>
      <c r="F29" s="66"/>
      <c r="G29" s="66"/>
      <c r="H29" s="66"/>
      <c r="I29" s="67"/>
      <c r="J29" s="14" t="b">
        <f>'Diagnostic - start'!J29</f>
        <v>0</v>
      </c>
    </row>
    <row r="30" spans="2:10" ht="45" customHeight="1" x14ac:dyDescent="0.2">
      <c r="B30" s="78"/>
      <c r="C30" s="85"/>
      <c r="D30" s="36">
        <f>'Diagnostic - start'!D30</f>
        <v>6.4</v>
      </c>
      <c r="E30" s="38" t="str">
        <f>'Diagnostic - start'!E30</f>
        <v>Legal understanding: knowledge of all relevant legal requirements and procedures in place to ensure compliance (particularly data protection)</v>
      </c>
      <c r="F30" s="66"/>
      <c r="G30" s="66"/>
      <c r="H30" s="66"/>
      <c r="I30" s="67"/>
      <c r="J30" s="14" t="b">
        <f>'Diagnostic - start'!J30</f>
        <v>0</v>
      </c>
    </row>
    <row r="31" spans="2:10" ht="45" customHeight="1" x14ac:dyDescent="0.2">
      <c r="B31" s="78"/>
      <c r="C31" s="85"/>
      <c r="D31" s="36">
        <f>'Diagnostic - start'!D31</f>
        <v>6.5</v>
      </c>
      <c r="E31" s="38" t="str">
        <f>'Diagnostic - start'!E31</f>
        <v>Accountability: relevant HR processes being used by managers to hold staff accountable to performance standards</v>
      </c>
      <c r="F31" s="66"/>
      <c r="G31" s="66"/>
      <c r="H31" s="66"/>
      <c r="I31" s="67"/>
      <c r="J31" s="14" t="b">
        <f>'Diagnostic - start'!J31</f>
        <v>0</v>
      </c>
    </row>
    <row r="32" spans="2:10" ht="45" customHeight="1" x14ac:dyDescent="0.2">
      <c r="B32" s="78"/>
      <c r="C32" s="86"/>
      <c r="D32" s="39">
        <f>'Diagnostic - start'!D32</f>
        <v>6.6</v>
      </c>
      <c r="E32" s="43" t="str">
        <f>'Diagnostic - start'!E32</f>
        <v>Financial reporting: submission of externally validated Accounts to company registrar; production of accurate financial statements and quarterly Management Information/Accounts</v>
      </c>
      <c r="F32" s="68"/>
      <c r="G32" s="68"/>
      <c r="H32" s="68"/>
      <c r="I32" s="69"/>
      <c r="J32" s="14" t="b">
        <f>'Diagnostic - start'!J32</f>
        <v>0</v>
      </c>
    </row>
    <row r="33" spans="2:10" ht="45" customHeight="1" x14ac:dyDescent="0.2">
      <c r="B33" s="78"/>
      <c r="C33" s="81" t="str">
        <f>'Diagnostic - start'!C33:C36</f>
        <v>7. Operations and processes</v>
      </c>
      <c r="D33" s="23">
        <f>'Diagnostic - start'!D33</f>
        <v>7.1</v>
      </c>
      <c r="E33" s="41" t="str">
        <f>'Diagnostic - start'!E33</f>
        <v>Operations planning: processes and operations mapped out and documented to ensure risks and contingencies identified</v>
      </c>
      <c r="F33" s="58"/>
      <c r="G33" s="58"/>
      <c r="H33" s="58"/>
      <c r="I33" s="59"/>
      <c r="J33" s="14" t="b">
        <f>'Diagnostic - start'!J33</f>
        <v>0</v>
      </c>
    </row>
    <row r="34" spans="2:10" ht="45" customHeight="1" x14ac:dyDescent="0.2">
      <c r="B34" s="78"/>
      <c r="C34" s="87"/>
      <c r="D34" s="44">
        <f>'Diagnostic - start'!D34</f>
        <v>7.2</v>
      </c>
      <c r="E34" s="28" t="str">
        <f>'Diagnostic - start'!E34</f>
        <v>Data system: IT systems, tools and collection of data systems in place, including data security and compliance</v>
      </c>
      <c r="F34" s="60"/>
      <c r="G34" s="60"/>
      <c r="H34" s="60"/>
      <c r="I34" s="61"/>
      <c r="J34" s="14" t="b">
        <f>'Diagnostic - start'!J34</f>
        <v>0</v>
      </c>
    </row>
    <row r="35" spans="2:10" ht="45" customHeight="1" x14ac:dyDescent="0.2">
      <c r="B35" s="79"/>
      <c r="C35" s="87"/>
      <c r="D35" s="44">
        <f>'Diagnostic - start'!D35</f>
        <v>7.3</v>
      </c>
      <c r="E35" s="28" t="str">
        <f>'Diagnostic - start'!E35</f>
        <v>Tactical performance management: staff reviews, customer feedback and analyses data to make adjustments to delivery</v>
      </c>
      <c r="F35" s="60"/>
      <c r="G35" s="60"/>
      <c r="H35" s="60"/>
      <c r="I35" s="61"/>
      <c r="J35" s="14" t="b">
        <f>'Diagnostic - start'!J35</f>
        <v>0</v>
      </c>
    </row>
    <row r="36" spans="2:10" ht="45" customHeight="1" x14ac:dyDescent="0.2">
      <c r="B36" s="80"/>
      <c r="C36" s="88"/>
      <c r="D36" s="42">
        <f>'Diagnostic - start'!D36</f>
        <v>7.4</v>
      </c>
      <c r="E36" s="46" t="str">
        <f>'Diagnostic - start'!E36</f>
        <v>Strategic performance management: performance data created and disseminated in line with KPIs which can be used by managers to make decisions in order to improve outcomes of product/services</v>
      </c>
      <c r="F36" s="62"/>
      <c r="G36" s="62"/>
      <c r="H36" s="62"/>
      <c r="I36" s="63"/>
      <c r="J36" s="14" t="b">
        <f>'Diagnostic - start'!J36</f>
        <v>0</v>
      </c>
    </row>
    <row r="37" spans="2:10" ht="45" customHeight="1" x14ac:dyDescent="0.2">
      <c r="B37" s="77" t="str">
        <f>'Diagnostic - start'!B37:B46</f>
        <v>Plan</v>
      </c>
      <c r="C37" s="94" t="str">
        <f>'Diagnostic - start'!C37:C39</f>
        <v>8. Growth Plan</v>
      </c>
      <c r="D37" s="34">
        <f>'Diagnostic - start'!D37</f>
        <v>8.1</v>
      </c>
      <c r="E37" s="35" t="str">
        <f>'Diagnostic - start'!E37</f>
        <v>Business / revenue model: proven and scalable demonstrated by significant track record of sales and impact</v>
      </c>
      <c r="F37" s="64"/>
      <c r="G37" s="64"/>
      <c r="H37" s="64"/>
      <c r="I37" s="65"/>
      <c r="J37" s="14" t="b">
        <f>'Diagnostic - start'!J37</f>
        <v>0</v>
      </c>
    </row>
    <row r="38" spans="2:10" ht="45" customHeight="1" x14ac:dyDescent="0.2">
      <c r="B38" s="78"/>
      <c r="C38" s="95"/>
      <c r="D38" s="36">
        <f>'Diagnostic - start'!D38</f>
        <v>8.1999999999999993</v>
      </c>
      <c r="E38" s="38" t="str">
        <f>'Diagnostic - start'!E38</f>
        <v>Growth plan: robust, thoughtful growth plan in place and is being operationalised</v>
      </c>
      <c r="F38" s="66"/>
      <c r="G38" s="66"/>
      <c r="H38" s="66"/>
      <c r="I38" s="67"/>
      <c r="J38" s="14" t="b">
        <f>'Diagnostic - start'!J38</f>
        <v>0</v>
      </c>
    </row>
    <row r="39" spans="2:10" ht="45" customHeight="1" x14ac:dyDescent="0.2">
      <c r="B39" s="78"/>
      <c r="C39" s="95"/>
      <c r="D39" s="36">
        <f>'Diagnostic - start'!D39</f>
        <v>8.3000000000000007</v>
      </c>
      <c r="E39" s="38" t="str">
        <f>'Diagnostic - start'!E39</f>
        <v>Growth plan communication: across team in a durable medium</v>
      </c>
      <c r="F39" s="66"/>
      <c r="G39" s="66"/>
      <c r="H39" s="66"/>
      <c r="I39" s="67"/>
      <c r="J39" s="14" t="b">
        <f>'Diagnostic - start'!J39</f>
        <v>0</v>
      </c>
    </row>
    <row r="40" spans="2:10" ht="45" customHeight="1" x14ac:dyDescent="0.2">
      <c r="B40" s="78"/>
      <c r="C40" s="96"/>
      <c r="D40" s="39">
        <f>'Diagnostic - start'!D40</f>
        <v>8.4</v>
      </c>
      <c r="E40" s="43" t="str">
        <f>'Diagnostic - start'!E40</f>
        <v>Market influence and positioning: understands the organisation's role within the wider sector and has a desire and ability to become a prominent change-maker and influential at a policy level</v>
      </c>
      <c r="F40" s="66"/>
      <c r="G40" s="66"/>
      <c r="H40" s="66"/>
      <c r="I40" s="69"/>
      <c r="J40" s="14" t="b">
        <f>'Diagnostic - start'!J40</f>
        <v>0</v>
      </c>
    </row>
    <row r="41" spans="2:10" ht="45" customHeight="1" x14ac:dyDescent="0.2">
      <c r="B41" s="78"/>
      <c r="C41" s="81" t="str">
        <f>'Diagnostic - start'!C41:C46</f>
        <v>9. Financial Modelling</v>
      </c>
      <c r="D41" s="74">
        <f>'Diagnostic - start'!D41</f>
        <v>9.1</v>
      </c>
      <c r="E41" s="73" t="str">
        <f>'Diagnostic - start'!E41</f>
        <v>Modelling for future growth: financial model in place that details growth plan and projections</v>
      </c>
      <c r="F41" s="58"/>
      <c r="G41" s="58"/>
      <c r="H41" s="58"/>
      <c r="I41" s="59"/>
      <c r="J41" s="14" t="b">
        <f>'Diagnostic - start'!J41</f>
        <v>0</v>
      </c>
    </row>
    <row r="42" spans="2:10" ht="45" customHeight="1" x14ac:dyDescent="0.2">
      <c r="B42" s="78"/>
      <c r="C42" s="82"/>
      <c r="D42" s="27">
        <f>'Diagnostic - start'!D42</f>
        <v>9.1999999999999993</v>
      </c>
      <c r="E42" s="28" t="str">
        <f>'Diagnostic - start'!E42</f>
        <v>Quality and consistency of data: actual data used and available to support projection of current and future growth</v>
      </c>
      <c r="F42" s="60"/>
      <c r="G42" s="60"/>
      <c r="H42" s="60"/>
      <c r="I42" s="61"/>
      <c r="J42" s="14" t="b">
        <f>'Diagnostic - start'!J42</f>
        <v>0</v>
      </c>
    </row>
    <row r="43" spans="2:10" ht="45" customHeight="1" x14ac:dyDescent="0.2">
      <c r="B43" s="78"/>
      <c r="C43" s="82"/>
      <c r="D43" s="27">
        <f>'Diagnostic - start'!D43</f>
        <v>9.3000000000000007</v>
      </c>
      <c r="E43" s="28" t="str">
        <f>'Diagnostic - start'!E43</f>
        <v>Financial modelling capabilities: model includes information on past performance as an indication of future projections</v>
      </c>
      <c r="F43" s="60"/>
      <c r="G43" s="60"/>
      <c r="H43" s="60"/>
      <c r="I43" s="61"/>
      <c r="J43" s="14" t="b">
        <f>'Diagnostic - start'!J43</f>
        <v>0</v>
      </c>
    </row>
    <row r="44" spans="2:10" ht="45" customHeight="1" x14ac:dyDescent="0.2">
      <c r="B44" s="79"/>
      <c r="C44" s="82"/>
      <c r="D44" s="27">
        <f>'Diagnostic - start'!D44</f>
        <v>9.4</v>
      </c>
      <c r="E44" s="28" t="str">
        <f>'Diagnostic - start'!E44</f>
        <v>Financial modelling capabilities: model includes breakdown of pricing, margins and key assumptions, allowing for analysis of key ratios where appropriate. Model is flexible to allow changes in variables: for example product volume, price, costs, staffing, investment</v>
      </c>
      <c r="F44" s="60"/>
      <c r="G44" s="60"/>
      <c r="H44" s="60"/>
      <c r="I44" s="61"/>
      <c r="J44" s="14" t="b">
        <f>'Diagnostic - start'!J44</f>
        <v>0</v>
      </c>
    </row>
    <row r="45" spans="2:10" ht="45" customHeight="1" x14ac:dyDescent="0.2">
      <c r="B45" s="79"/>
      <c r="C45" s="82"/>
      <c r="D45" s="27">
        <f>'Diagnostic - start'!D45</f>
        <v>9.5</v>
      </c>
      <c r="E45" s="28" t="str">
        <f>'Diagnostic - start'!E45</f>
        <v>Financial modelling capabilities: production of financial statements as outputs</v>
      </c>
      <c r="F45" s="60"/>
      <c r="G45" s="60"/>
      <c r="H45" s="60"/>
      <c r="I45" s="61"/>
      <c r="J45" s="14" t="b">
        <f>'Diagnostic - start'!J45</f>
        <v>0</v>
      </c>
    </row>
    <row r="46" spans="2:10" ht="45" customHeight="1" x14ac:dyDescent="0.2">
      <c r="B46" s="80"/>
      <c r="C46" s="83"/>
      <c r="D46" s="32">
        <f>'Diagnostic - start'!D46</f>
        <v>9.6</v>
      </c>
      <c r="E46" s="46" t="str">
        <f>'Diagnostic - start'!E46</f>
        <v xml:space="preserve">Financial modelling: clear understanding and communication at board level </v>
      </c>
      <c r="F46" s="62"/>
      <c r="G46" s="62"/>
      <c r="H46" s="62"/>
      <c r="I46" s="63"/>
      <c r="J46" s="14" t="b">
        <f>'Diagnostic - start'!J46</f>
        <v>0</v>
      </c>
    </row>
  </sheetData>
  <sheetProtection algorithmName="SHA-512" hashValue="YxfMPNkULRjMTjdxnbChEM6xPCLFhGFXMgmmLl7ZpDIYGAQ/cM6waL7/f2Qm0enmTr0ZOWb2WLFGMrwti1wQCQ==" saltValue="wVxGbep3906Qr56H7883Rg==" spinCount="100000" sheet="1" objects="1" scenarios="1" formatColumns="0" formatRows="0" selectLockedCells="1"/>
  <mergeCells count="14">
    <mergeCell ref="B2:D2"/>
    <mergeCell ref="B27:B36"/>
    <mergeCell ref="C27:C32"/>
    <mergeCell ref="C33:C36"/>
    <mergeCell ref="B37:B46"/>
    <mergeCell ref="C41:C46"/>
    <mergeCell ref="B5:B14"/>
    <mergeCell ref="C9:C12"/>
    <mergeCell ref="C13:C14"/>
    <mergeCell ref="C15:C19"/>
    <mergeCell ref="C20:C26"/>
    <mergeCell ref="B15:B26"/>
    <mergeCell ref="C5:C8"/>
    <mergeCell ref="C37:C40"/>
  </mergeCells>
  <pageMargins left="0.7" right="0.7" top="0.75" bottom="0.75" header="0.3" footer="0.3"/>
  <pageSetup paperSize="9" orientation="portrait" r:id="rId1"/>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110B-9C6F-4806-A824-B0ADF6E4A8E6}">
  <dimension ref="A1:K46"/>
  <sheetViews>
    <sheetView zoomScale="80" zoomScaleNormal="80" workbookViewId="0">
      <selection activeCell="F5" sqref="F5"/>
    </sheetView>
  </sheetViews>
  <sheetFormatPr baseColWidth="10" defaultColWidth="9.1640625" defaultRowHeight="15" x14ac:dyDescent="0.2"/>
  <cols>
    <col min="1" max="1" width="1.83203125" style="2" customWidth="1"/>
    <col min="2" max="2" width="5.1640625" style="2" customWidth="1"/>
    <col min="3" max="3" width="13.33203125" style="2" customWidth="1"/>
    <col min="4" max="4" width="4.6640625" style="2" customWidth="1"/>
    <col min="5" max="5" width="81.83203125" style="2" customWidth="1"/>
    <col min="6" max="9" width="31" style="2" customWidth="1"/>
    <col min="10" max="10" width="16.33203125" style="2" bestFit="1" customWidth="1"/>
    <col min="11" max="11" width="13.6640625" style="2" bestFit="1" customWidth="1"/>
    <col min="12" max="16384" width="9.1640625" style="2"/>
  </cols>
  <sheetData>
    <row r="1" spans="1:11" ht="21" x14ac:dyDescent="0.25">
      <c r="A1" s="1" t="s">
        <v>93</v>
      </c>
      <c r="B1" s="1"/>
    </row>
    <row r="2" spans="1:11" x14ac:dyDescent="0.2">
      <c r="B2" s="97" t="str">
        <f>'Overarching Ambition'!B2</f>
        <v>Venture Name</v>
      </c>
      <c r="C2" s="97"/>
      <c r="D2" s="97"/>
    </row>
    <row r="3" spans="1:11" x14ac:dyDescent="0.2">
      <c r="F3" s="5" t="s">
        <v>25</v>
      </c>
      <c r="G3" s="6"/>
      <c r="H3" s="6"/>
      <c r="I3" s="7" t="s">
        <v>26</v>
      </c>
    </row>
    <row r="4" spans="1:11" x14ac:dyDescent="0.2">
      <c r="C4" s="48" t="str">
        <f>'Diagnostic - start'!C4</f>
        <v>Support pillar</v>
      </c>
      <c r="D4" s="9"/>
      <c r="E4" s="10" t="str">
        <f>'Diagnostic - start'!E4</f>
        <v>Support objectives</v>
      </c>
      <c r="F4" s="11" t="s">
        <v>28</v>
      </c>
      <c r="G4" s="11" t="s">
        <v>29</v>
      </c>
      <c r="H4" s="11" t="s">
        <v>30</v>
      </c>
      <c r="I4" s="12" t="s">
        <v>31</v>
      </c>
      <c r="J4" s="3" t="s">
        <v>94</v>
      </c>
      <c r="K4" s="3" t="s">
        <v>95</v>
      </c>
    </row>
    <row r="5" spans="1:11" ht="45" customHeight="1" x14ac:dyDescent="0.2">
      <c r="B5" s="77" t="str">
        <f>'Diagnostic - start'!B5:B14</f>
        <v xml:space="preserve">Person / People </v>
      </c>
      <c r="C5" s="89" t="str">
        <f>'Diagnostic - start'!C5:C7</f>
        <v>1. Leadership</v>
      </c>
      <c r="D5" s="23">
        <f>'Diagnostic - start'!D5</f>
        <v>1.1000000000000001</v>
      </c>
      <c r="E5" s="41" t="str">
        <f>'Diagnostic - start'!E5</f>
        <v>CEO strategic leadership: decision making reflects understanding of external big picture and alignment with mission</v>
      </c>
      <c r="F5" s="58"/>
      <c r="G5" s="58"/>
      <c r="H5" s="58"/>
      <c r="I5" s="59"/>
      <c r="J5" s="14" t="b">
        <f>'Diagnostic - start'!J5</f>
        <v>0</v>
      </c>
      <c r="K5" s="14" t="b">
        <f>IF(NOT(ISBLANK(F5)),1,IF(NOT(ISBLANK(G5)),2,IF(NOT(ISBLANK(H5)),3,IF(NOT(ISBLANK(I5)),4))))</f>
        <v>0</v>
      </c>
    </row>
    <row r="6" spans="1:11" ht="45" customHeight="1" x14ac:dyDescent="0.2">
      <c r="B6" s="92"/>
      <c r="C6" s="90"/>
      <c r="D6" s="27">
        <f>'Diagnostic - start'!D6</f>
        <v>1.2</v>
      </c>
      <c r="E6" s="28" t="str">
        <f>'Diagnostic - start'!E6</f>
        <v>CEO performance management leadership: strong self-awareness, ability to drive performance management and build learning organisation, informed by a command of detail across all areas of business</v>
      </c>
      <c r="F6" s="60"/>
      <c r="G6" s="60"/>
      <c r="H6" s="60"/>
      <c r="I6" s="61"/>
      <c r="J6" s="14" t="b">
        <f>'Diagnostic - start'!J6</f>
        <v>0</v>
      </c>
      <c r="K6" s="14" t="b">
        <f t="shared" ref="K6:K46" si="0">IF(NOT(ISBLANK(F6)),1,IF(NOT(ISBLANK(G6)),2,IF(NOT(ISBLANK(H6)),3,IF(NOT(ISBLANK(I6)),4))))</f>
        <v>0</v>
      </c>
    </row>
    <row r="7" spans="1:11" ht="45" customHeight="1" x14ac:dyDescent="0.2">
      <c r="B7" s="92"/>
      <c r="C7" s="90"/>
      <c r="D7" s="27">
        <f>'Diagnostic - start'!D7</f>
        <v>1.3</v>
      </c>
      <c r="E7" s="28" t="str">
        <f>'Diagnostic - start'!E7</f>
        <v>Resource allocation: ability to allocate existing resources and investment in future resources (human and financial) against core outcome-generating activities</v>
      </c>
      <c r="F7" s="60"/>
      <c r="G7" s="60"/>
      <c r="H7" s="60"/>
      <c r="I7" s="61"/>
      <c r="J7" s="14" t="b">
        <f>'Diagnostic - start'!J7</f>
        <v>0</v>
      </c>
      <c r="K7" s="14" t="b">
        <f t="shared" si="0"/>
        <v>0</v>
      </c>
    </row>
    <row r="8" spans="1:11" ht="45" customHeight="1" x14ac:dyDescent="0.2">
      <c r="B8" s="92"/>
      <c r="C8" s="91"/>
      <c r="D8" s="27">
        <f>'Diagnostic - start'!D8</f>
        <v>1.4</v>
      </c>
      <c r="E8" s="28" t="str">
        <f>'Diagnostic - start'!E8</f>
        <v>Sector knowledge: deep understanding of the landscape of the sector in which they operate (for example key policies, polcy makers, influential organisations and bodies)</v>
      </c>
      <c r="F8" s="60"/>
      <c r="G8" s="60"/>
      <c r="H8" s="60"/>
      <c r="I8" s="63"/>
      <c r="J8" s="14" t="b">
        <f>'Diagnostic - start'!J8</f>
        <v>0</v>
      </c>
      <c r="K8" s="14" t="b">
        <f t="shared" si="0"/>
        <v>0</v>
      </c>
    </row>
    <row r="9" spans="1:11" ht="45" customHeight="1" x14ac:dyDescent="0.2">
      <c r="B9" s="92"/>
      <c r="C9" s="84" t="str">
        <f>'Diagnostic - start'!C9:C12</f>
        <v>2. Team Building</v>
      </c>
      <c r="D9" s="34">
        <f>'Diagnostic - start'!D9</f>
        <v>2.1</v>
      </c>
      <c r="E9" s="35" t="str">
        <f>'Diagnostic - start'!E9</f>
        <v>Key functional competencies in place: finance, operations, sales, impact, HR, communications, etc</v>
      </c>
      <c r="F9" s="64"/>
      <c r="G9" s="64"/>
      <c r="H9" s="64"/>
      <c r="I9" s="65"/>
      <c r="J9" s="14" t="b">
        <f>'Diagnostic - start'!J9</f>
        <v>0</v>
      </c>
      <c r="K9" s="14" t="b">
        <f t="shared" si="0"/>
        <v>0</v>
      </c>
    </row>
    <row r="10" spans="1:11" ht="45" customHeight="1" x14ac:dyDescent="0.2">
      <c r="B10" s="92"/>
      <c r="C10" s="85"/>
      <c r="D10" s="36">
        <f>'Diagnostic - start'!D10</f>
        <v>2.2000000000000002</v>
      </c>
      <c r="E10" s="38" t="str">
        <f>'Diagnostic - start'!E10</f>
        <v>SMT: team contains a broad mix of skills, is of an appropriate size relative to the company's maturity and has the capability to deliver and work well as a team</v>
      </c>
      <c r="F10" s="66"/>
      <c r="G10" s="66"/>
      <c r="H10" s="66"/>
      <c r="I10" s="67"/>
      <c r="J10" s="14" t="b">
        <f>'Diagnostic - start'!J10</f>
        <v>0</v>
      </c>
      <c r="K10" s="14" t="b">
        <f t="shared" si="0"/>
        <v>0</v>
      </c>
    </row>
    <row r="11" spans="1:11" ht="45" customHeight="1" x14ac:dyDescent="0.2">
      <c r="B11" s="92"/>
      <c r="C11" s="85"/>
      <c r="D11" s="36">
        <f>'Diagnostic - start'!D11</f>
        <v>2.2999999999999998</v>
      </c>
      <c r="E11" s="38" t="str">
        <f>'Diagnostic - start'!E11</f>
        <v>Resourcing: sufficiently resourced to deliver product/service without bottleneck/over resourcing; roles and responsibilities documented and clearly communicated across organisation</v>
      </c>
      <c r="F11" s="66"/>
      <c r="G11" s="66"/>
      <c r="H11" s="66"/>
      <c r="I11" s="67"/>
      <c r="J11" s="14" t="b">
        <f>'Diagnostic - start'!J11</f>
        <v>0</v>
      </c>
      <c r="K11" s="14" t="b">
        <f t="shared" si="0"/>
        <v>0</v>
      </c>
    </row>
    <row r="12" spans="1:11" ht="45" customHeight="1" x14ac:dyDescent="0.2">
      <c r="B12" s="92"/>
      <c r="C12" s="86"/>
      <c r="D12" s="39">
        <f>'Diagnostic - start'!D12</f>
        <v>2.4</v>
      </c>
      <c r="E12" s="43" t="str">
        <f>'Diagnostic - start'!E12</f>
        <v>Team development: provision for team development and training in place</v>
      </c>
      <c r="F12" s="68"/>
      <c r="G12" s="68"/>
      <c r="H12" s="68"/>
      <c r="I12" s="69"/>
      <c r="J12" s="14" t="b">
        <f>'Diagnostic - start'!J12</f>
        <v>0</v>
      </c>
      <c r="K12" s="14" t="b">
        <f t="shared" si="0"/>
        <v>0</v>
      </c>
    </row>
    <row r="13" spans="1:11" ht="45" customHeight="1" x14ac:dyDescent="0.2">
      <c r="B13" s="92"/>
      <c r="C13" s="81" t="str">
        <f>'Diagnostic - start'!C13:C14</f>
        <v>3. Governance</v>
      </c>
      <c r="D13" s="23">
        <f>'Diagnostic - start'!D13</f>
        <v>3.1</v>
      </c>
      <c r="E13" s="41" t="str">
        <f>'Diagnostic - start'!E13</f>
        <v>Overall governance: governance is in place, is supporting the Management Team and is of an appropriate size for scale of business and growth plans - including formal and informal advisory roles</v>
      </c>
      <c r="F13" s="58"/>
      <c r="G13" s="58"/>
      <c r="H13" s="58"/>
      <c r="I13" s="59"/>
      <c r="J13" s="14" t="b">
        <f>'Diagnostic - start'!J13</f>
        <v>0</v>
      </c>
      <c r="K13" s="14" t="b">
        <f t="shared" si="0"/>
        <v>0</v>
      </c>
    </row>
    <row r="14" spans="1:11" ht="45" customHeight="1" x14ac:dyDescent="0.2">
      <c r="B14" s="93"/>
      <c r="C14" s="88"/>
      <c r="D14" s="42">
        <f>'Diagnostic - start'!D14</f>
        <v>3.2</v>
      </c>
      <c r="E14" s="46" t="str">
        <f>'Diagnostic - start'!E14</f>
        <v>Board: oversight and accountability. Oversight of strategic and organisational effectiveness, holding the CEO to account and providing fiduciary oversight</v>
      </c>
      <c r="F14" s="62"/>
      <c r="G14" s="62"/>
      <c r="H14" s="62"/>
      <c r="I14" s="63"/>
      <c r="J14" s="14" t="b">
        <f>'Diagnostic - start'!J14</f>
        <v>0</v>
      </c>
      <c r="K14" s="14" t="b">
        <f t="shared" si="0"/>
        <v>0</v>
      </c>
    </row>
    <row r="15" spans="1:11" ht="45" customHeight="1" x14ac:dyDescent="0.2">
      <c r="B15" s="77" t="str">
        <f>'Diagnostic - start'!B15:B25</f>
        <v>Proposition</v>
      </c>
      <c r="C15" s="84" t="str">
        <f>'Diagnostic - start'!C15:C19</f>
        <v>4. Social Impact</v>
      </c>
      <c r="D15" s="34">
        <f>'Diagnostic - start'!D15</f>
        <v>4.0999999999999996</v>
      </c>
      <c r="E15" s="35" t="str">
        <f>'Diagnostic - start'!E15</f>
        <v>Theory of change: is developed, understood and clearly communicated</v>
      </c>
      <c r="F15" s="64"/>
      <c r="G15" s="64"/>
      <c r="H15" s="64"/>
      <c r="I15" s="65"/>
      <c r="J15" s="14" t="b">
        <f>'Diagnostic - start'!J15</f>
        <v>0</v>
      </c>
      <c r="K15" s="14" t="b">
        <f t="shared" si="0"/>
        <v>0</v>
      </c>
    </row>
    <row r="16" spans="1:11" ht="45" customHeight="1" x14ac:dyDescent="0.2">
      <c r="B16" s="92"/>
      <c r="C16" s="85"/>
      <c r="D16" s="36">
        <f>'Diagnostic - start'!D16</f>
        <v>4.2</v>
      </c>
      <c r="E16" s="38" t="str">
        <f>'Diagnostic - start'!E16</f>
        <v>Key metrics: these are clearly articulated and aid in demonstrating that the venture is achieving its mission</v>
      </c>
      <c r="F16" s="66"/>
      <c r="G16" s="66"/>
      <c r="H16" s="66"/>
      <c r="I16" s="67"/>
      <c r="J16" s="14" t="b">
        <f>'Diagnostic - start'!J16</f>
        <v>0</v>
      </c>
      <c r="K16" s="14" t="b">
        <f t="shared" si="0"/>
        <v>0</v>
      </c>
    </row>
    <row r="17" spans="2:11" ht="45" customHeight="1" x14ac:dyDescent="0.2">
      <c r="B17" s="92"/>
      <c r="C17" s="85"/>
      <c r="D17" s="36">
        <f>'Diagnostic - start'!D17</f>
        <v>4.3</v>
      </c>
      <c r="E17" s="38" t="str">
        <f>'Diagnostic - start'!E17</f>
        <v>Data: appropriate impact indicator data has been identified and is being collected against key metrics</v>
      </c>
      <c r="F17" s="66"/>
      <c r="G17" s="66"/>
      <c r="H17" s="66"/>
      <c r="I17" s="67"/>
      <c r="J17" s="14" t="b">
        <f>'Diagnostic - start'!J17</f>
        <v>0</v>
      </c>
      <c r="K17" s="14" t="b">
        <f t="shared" si="0"/>
        <v>0</v>
      </c>
    </row>
    <row r="18" spans="2:11" ht="45" customHeight="1" x14ac:dyDescent="0.2">
      <c r="B18" s="92"/>
      <c r="C18" s="85"/>
      <c r="D18" s="36">
        <f>'Diagnostic - start'!D18</f>
        <v>4.4000000000000004</v>
      </c>
      <c r="E18" s="38" t="str">
        <f>'Diagnostic - start'!E18</f>
        <v>Reporting: social impact is being reported, is disseminated publicly and has an element of external validation</v>
      </c>
      <c r="F18" s="66"/>
      <c r="G18" s="66"/>
      <c r="H18" s="66"/>
      <c r="I18" s="67"/>
      <c r="J18" s="14" t="b">
        <f>'Diagnostic - start'!J18</f>
        <v>0</v>
      </c>
      <c r="K18" s="14" t="b">
        <f t="shared" si="0"/>
        <v>0</v>
      </c>
    </row>
    <row r="19" spans="2:11" ht="45" customHeight="1" x14ac:dyDescent="0.2">
      <c r="B19" s="92"/>
      <c r="C19" s="86"/>
      <c r="D19" s="39">
        <f>'Diagnostic - start'!D19</f>
        <v>4.5</v>
      </c>
      <c r="E19" s="43" t="str">
        <f>'Diagnostic - start'!E19</f>
        <v>Social lock: social impact is 'locked' into business' structure for the long term</v>
      </c>
      <c r="F19" s="68"/>
      <c r="G19" s="68"/>
      <c r="H19" s="68"/>
      <c r="I19" s="69"/>
      <c r="J19" s="14" t="b">
        <f>'Diagnostic - start'!J19</f>
        <v>0</v>
      </c>
      <c r="K19" s="14" t="b">
        <f t="shared" si="0"/>
        <v>0</v>
      </c>
    </row>
    <row r="20" spans="2:11" ht="45" customHeight="1" x14ac:dyDescent="0.2">
      <c r="B20" s="92"/>
      <c r="C20" s="89" t="str">
        <f>'Diagnostic - start'!C20:C25</f>
        <v>5. Sales Planning</v>
      </c>
      <c r="D20" s="23">
        <f>'Diagnostic - start'!D20</f>
        <v>5.0999999999999996</v>
      </c>
      <c r="E20" s="41" t="str">
        <f>'Diagnostic - start'!E20</f>
        <v>Value proposition: ability to articulate value proposition, target customers and routes to market</v>
      </c>
      <c r="F20" s="58"/>
      <c r="G20" s="58"/>
      <c r="H20" s="58"/>
      <c r="I20" s="59"/>
      <c r="J20" s="14" t="b">
        <f>'Diagnostic - start'!J20</f>
        <v>0</v>
      </c>
      <c r="K20" s="14" t="b">
        <f t="shared" si="0"/>
        <v>0</v>
      </c>
    </row>
    <row r="21" spans="2:11" ht="45" customHeight="1" x14ac:dyDescent="0.2">
      <c r="B21" s="92"/>
      <c r="C21" s="90"/>
      <c r="D21" s="44">
        <f>'Diagnostic - start'!D21</f>
        <v>5.2</v>
      </c>
      <c r="E21" s="28" t="str">
        <f>'Diagnostic - start'!E21</f>
        <v>Market knowledge: understanding of market and price sensitivities</v>
      </c>
      <c r="F21" s="60"/>
      <c r="G21" s="60"/>
      <c r="H21" s="60"/>
      <c r="I21" s="61"/>
      <c r="J21" s="14" t="b">
        <f>'Diagnostic - start'!J21</f>
        <v>0</v>
      </c>
      <c r="K21" s="14" t="b">
        <f t="shared" si="0"/>
        <v>0</v>
      </c>
    </row>
    <row r="22" spans="2:11" ht="45" customHeight="1" x14ac:dyDescent="0.2">
      <c r="B22" s="92"/>
      <c r="C22" s="90"/>
      <c r="D22" s="44">
        <f>'Diagnostic - start'!D22</f>
        <v>5.3</v>
      </c>
      <c r="E22" s="28" t="str">
        <f>'Diagnostic - start'!E22</f>
        <v xml:space="preserve">Network building: well-known and well positioned in the sector. Has to ability to build useful connections and grow their network, forming appropriate partnerships </v>
      </c>
      <c r="F22" s="60"/>
      <c r="G22" s="60"/>
      <c r="H22" s="60"/>
      <c r="I22" s="61"/>
      <c r="J22" s="14" t="b">
        <f>'Diagnostic - start'!J22</f>
        <v>0</v>
      </c>
      <c r="K22" s="14" t="b">
        <f t="shared" si="0"/>
        <v>0</v>
      </c>
    </row>
    <row r="23" spans="2:11" ht="45" customHeight="1" x14ac:dyDescent="0.2">
      <c r="B23" s="92"/>
      <c r="C23" s="90"/>
      <c r="D23" s="44">
        <f>'Diagnostic - start'!D23</f>
        <v>5.4</v>
      </c>
      <c r="E23" s="28" t="str">
        <f>'Diagnostic - start'!E23</f>
        <v>Understanding of sales funnel: conversion rates, customer acquisition costs and lead time known and documented</v>
      </c>
      <c r="F23" s="60"/>
      <c r="G23" s="60"/>
      <c r="H23" s="60"/>
      <c r="I23" s="61"/>
      <c r="J23" s="14" t="b">
        <f>'Diagnostic - start'!J23</f>
        <v>0</v>
      </c>
      <c r="K23" s="14" t="b">
        <f t="shared" si="0"/>
        <v>0</v>
      </c>
    </row>
    <row r="24" spans="2:11" ht="45" customHeight="1" x14ac:dyDescent="0.2">
      <c r="B24" s="92"/>
      <c r="C24" s="90"/>
      <c r="D24" s="44">
        <f>'Diagnostic - start'!D24</f>
        <v>5.5</v>
      </c>
      <c r="E24" s="28" t="str">
        <f>'Diagnostic - start'!E24</f>
        <v>Forecasting: ability to forecast sales growth and resource requirements for growth</v>
      </c>
      <c r="F24" s="60"/>
      <c r="G24" s="60"/>
      <c r="H24" s="60"/>
      <c r="I24" s="61"/>
      <c r="J24" s="14" t="b">
        <f>'Diagnostic - start'!J24</f>
        <v>0</v>
      </c>
      <c r="K24" s="14" t="b">
        <f t="shared" si="0"/>
        <v>0</v>
      </c>
    </row>
    <row r="25" spans="2:11" ht="45" customHeight="1" x14ac:dyDescent="0.2">
      <c r="B25" s="92"/>
      <c r="C25" s="90"/>
      <c r="D25" s="44">
        <f>'Diagnostic - start'!D25</f>
        <v>5.6</v>
      </c>
      <c r="E25" s="28" t="str">
        <f>'Diagnostic - start'!E25</f>
        <v>Sales process: is in place and operational across teams / people in organisation</v>
      </c>
      <c r="F25" s="60"/>
      <c r="G25" s="60"/>
      <c r="H25" s="60"/>
      <c r="I25" s="61"/>
      <c r="J25" s="14" t="b">
        <f>'Diagnostic - start'!J25</f>
        <v>0</v>
      </c>
      <c r="K25" s="14" t="b">
        <f t="shared" si="0"/>
        <v>0</v>
      </c>
    </row>
    <row r="26" spans="2:11" ht="45" customHeight="1" x14ac:dyDescent="0.2">
      <c r="B26" s="93"/>
      <c r="C26" s="91"/>
      <c r="D26" s="44">
        <f>'Diagnostic - start'!D26</f>
        <v>5.7</v>
      </c>
      <c r="E26" s="28" t="str">
        <f>'Diagnostic - start'!E26</f>
        <v xml:space="preserve">Comms and marketing: presence and efficacy of comms and marketing strategy  </v>
      </c>
      <c r="F26" s="60"/>
      <c r="G26" s="60"/>
      <c r="H26" s="60"/>
      <c r="I26" s="63"/>
      <c r="J26" s="14" t="b">
        <f>'Diagnostic - start'!J26</f>
        <v>0</v>
      </c>
      <c r="K26" s="14" t="b">
        <f t="shared" si="0"/>
        <v>0</v>
      </c>
    </row>
    <row r="27" spans="2:11" ht="45" customHeight="1" x14ac:dyDescent="0.2">
      <c r="B27" s="77" t="str">
        <f>'Diagnostic - start'!B27:B36</f>
        <v>Performance</v>
      </c>
      <c r="C27" s="84" t="str">
        <f>'Diagnostic - start'!C27:C32</f>
        <v>6. Legals and reporting</v>
      </c>
      <c r="D27" s="34">
        <f>'Diagnostic - start'!D27</f>
        <v>6.1</v>
      </c>
      <c r="E27" s="35" t="str">
        <f>'Diagnostic - start'!E27</f>
        <v>Incorporation: business incorporated with appropriate legal structure for growth plans</v>
      </c>
      <c r="F27" s="64"/>
      <c r="G27" s="64"/>
      <c r="H27" s="64"/>
      <c r="I27" s="65"/>
      <c r="J27" s="14" t="b">
        <f>'Diagnostic - start'!J27</f>
        <v>0</v>
      </c>
      <c r="K27" s="14" t="b">
        <f t="shared" si="0"/>
        <v>0</v>
      </c>
    </row>
    <row r="28" spans="2:11" ht="45" customHeight="1" x14ac:dyDescent="0.2">
      <c r="B28" s="78"/>
      <c r="C28" s="85"/>
      <c r="D28" s="36">
        <f>'Diagnostic - start'!D28</f>
        <v>6.2</v>
      </c>
      <c r="E28" s="38" t="str">
        <f>'Diagnostic - start'!E28</f>
        <v xml:space="preserve">Partner agreements: any appropriate partner agreements and service level contracts in place </v>
      </c>
      <c r="F28" s="66"/>
      <c r="G28" s="66"/>
      <c r="H28" s="66"/>
      <c r="I28" s="67"/>
      <c r="J28" s="14" t="b">
        <f>'Diagnostic - start'!J28</f>
        <v>0</v>
      </c>
      <c r="K28" s="14" t="b">
        <f t="shared" si="0"/>
        <v>0</v>
      </c>
    </row>
    <row r="29" spans="2:11" ht="45" customHeight="1" x14ac:dyDescent="0.2">
      <c r="B29" s="78"/>
      <c r="C29" s="85"/>
      <c r="D29" s="36">
        <f>'Diagnostic - start'!D29</f>
        <v>6.3</v>
      </c>
      <c r="E29" s="38" t="str">
        <f>'Diagnostic - start'!E29</f>
        <v>Intellectual Property: any IP corrected documented and registered</v>
      </c>
      <c r="F29" s="66"/>
      <c r="G29" s="66"/>
      <c r="H29" s="66"/>
      <c r="I29" s="67"/>
      <c r="J29" s="14" t="b">
        <f>'Diagnostic - start'!J29</f>
        <v>0</v>
      </c>
      <c r="K29" s="14" t="b">
        <f t="shared" si="0"/>
        <v>0</v>
      </c>
    </row>
    <row r="30" spans="2:11" ht="45" customHeight="1" x14ac:dyDescent="0.2">
      <c r="B30" s="78"/>
      <c r="C30" s="85"/>
      <c r="D30" s="36">
        <f>'Diagnostic - start'!D30</f>
        <v>6.4</v>
      </c>
      <c r="E30" s="38" t="str">
        <f>'Diagnostic - start'!E30</f>
        <v>Legal understanding: knowledge of all relevant legal requirements and procedures in place to ensure compliance (particularly data protection)</v>
      </c>
      <c r="F30" s="66"/>
      <c r="G30" s="66"/>
      <c r="H30" s="66"/>
      <c r="I30" s="67"/>
      <c r="J30" s="14" t="b">
        <f>'Diagnostic - start'!J30</f>
        <v>0</v>
      </c>
      <c r="K30" s="14" t="b">
        <f t="shared" si="0"/>
        <v>0</v>
      </c>
    </row>
    <row r="31" spans="2:11" ht="45" customHeight="1" x14ac:dyDescent="0.2">
      <c r="B31" s="78"/>
      <c r="C31" s="85"/>
      <c r="D31" s="36">
        <f>'Diagnostic - start'!D31</f>
        <v>6.5</v>
      </c>
      <c r="E31" s="38" t="str">
        <f>'Diagnostic - start'!E31</f>
        <v>Accountability: relevant HR processes being used by managers to hold staff accountable to performance standards</v>
      </c>
      <c r="F31" s="66"/>
      <c r="G31" s="66"/>
      <c r="H31" s="66"/>
      <c r="I31" s="67"/>
      <c r="J31" s="14" t="b">
        <f>'Diagnostic - start'!J31</f>
        <v>0</v>
      </c>
      <c r="K31" s="14" t="b">
        <f t="shared" si="0"/>
        <v>0</v>
      </c>
    </row>
    <row r="32" spans="2:11" ht="45" customHeight="1" x14ac:dyDescent="0.2">
      <c r="B32" s="78"/>
      <c r="C32" s="86"/>
      <c r="D32" s="39">
        <f>'Diagnostic - start'!D32</f>
        <v>6.6</v>
      </c>
      <c r="E32" s="43" t="str">
        <f>'Diagnostic - start'!E32</f>
        <v>Financial reporting: submission of externally validated Accounts to company registrar; production of accurate financial statements and quarterly Management Information/Accounts</v>
      </c>
      <c r="F32" s="68"/>
      <c r="G32" s="68"/>
      <c r="H32" s="68"/>
      <c r="I32" s="69"/>
      <c r="J32" s="14" t="b">
        <f>'Diagnostic - start'!J32</f>
        <v>0</v>
      </c>
      <c r="K32" s="14" t="b">
        <f t="shared" si="0"/>
        <v>0</v>
      </c>
    </row>
    <row r="33" spans="2:11" ht="45" customHeight="1" x14ac:dyDescent="0.2">
      <c r="B33" s="78"/>
      <c r="C33" s="81" t="str">
        <f>'Diagnostic - start'!C33:C36</f>
        <v>7. Operations and processes</v>
      </c>
      <c r="D33" s="23">
        <f>'Diagnostic - start'!D33</f>
        <v>7.1</v>
      </c>
      <c r="E33" s="41" t="str">
        <f>'Diagnostic - start'!E33</f>
        <v>Operations planning: processes and operations mapped out and documented to ensure risks and contingencies identified</v>
      </c>
      <c r="F33" s="58"/>
      <c r="G33" s="58"/>
      <c r="H33" s="58"/>
      <c r="I33" s="59"/>
      <c r="J33" s="14" t="b">
        <f>'Diagnostic - start'!J33</f>
        <v>0</v>
      </c>
      <c r="K33" s="14" t="b">
        <f t="shared" si="0"/>
        <v>0</v>
      </c>
    </row>
    <row r="34" spans="2:11" ht="45" customHeight="1" x14ac:dyDescent="0.2">
      <c r="B34" s="78"/>
      <c r="C34" s="87"/>
      <c r="D34" s="44">
        <f>'Diagnostic - start'!D34</f>
        <v>7.2</v>
      </c>
      <c r="E34" s="28" t="str">
        <f>'Diagnostic - start'!E34</f>
        <v>Data system: IT systems, tools and collection of data systems in place, including data security and compliance</v>
      </c>
      <c r="F34" s="60"/>
      <c r="G34" s="60"/>
      <c r="H34" s="60"/>
      <c r="I34" s="61"/>
      <c r="J34" s="14" t="b">
        <f>'Diagnostic - start'!J34</f>
        <v>0</v>
      </c>
      <c r="K34" s="14" t="b">
        <f t="shared" si="0"/>
        <v>0</v>
      </c>
    </row>
    <row r="35" spans="2:11" ht="45" customHeight="1" x14ac:dyDescent="0.2">
      <c r="B35" s="79"/>
      <c r="C35" s="87"/>
      <c r="D35" s="44">
        <f>'Diagnostic - start'!D35</f>
        <v>7.3</v>
      </c>
      <c r="E35" s="28" t="str">
        <f>'Diagnostic - start'!E35</f>
        <v>Tactical performance management: staff reviews, customer feedback and analyses data to make adjustments to delivery</v>
      </c>
      <c r="F35" s="60"/>
      <c r="G35" s="60"/>
      <c r="H35" s="60"/>
      <c r="I35" s="61"/>
      <c r="J35" s="14" t="b">
        <f>'Diagnostic - start'!J35</f>
        <v>0</v>
      </c>
      <c r="K35" s="14" t="b">
        <f t="shared" si="0"/>
        <v>0</v>
      </c>
    </row>
    <row r="36" spans="2:11" ht="45" customHeight="1" x14ac:dyDescent="0.2">
      <c r="B36" s="80"/>
      <c r="C36" s="88"/>
      <c r="D36" s="42">
        <f>'Diagnostic - start'!D36</f>
        <v>7.4</v>
      </c>
      <c r="E36" s="46" t="str">
        <f>'Diagnostic - start'!E36</f>
        <v>Strategic performance management: performance data created and disseminated in line with KPIs which can be used by managers to make decisions in order to improve outcomes of product/services</v>
      </c>
      <c r="F36" s="62"/>
      <c r="G36" s="62"/>
      <c r="H36" s="62"/>
      <c r="I36" s="63"/>
      <c r="J36" s="14" t="b">
        <f>'Diagnostic - start'!J36</f>
        <v>0</v>
      </c>
      <c r="K36" s="14" t="b">
        <f t="shared" si="0"/>
        <v>0</v>
      </c>
    </row>
    <row r="37" spans="2:11" ht="45" customHeight="1" x14ac:dyDescent="0.2">
      <c r="B37" s="77" t="str">
        <f>'Diagnostic - start'!B37:B46</f>
        <v>Plan</v>
      </c>
      <c r="C37" s="94" t="str">
        <f>'Diagnostic - start'!C37:C39</f>
        <v>8. Growth Plan</v>
      </c>
      <c r="D37" s="34">
        <f>'Diagnostic - start'!D37</f>
        <v>8.1</v>
      </c>
      <c r="E37" s="35" t="str">
        <f>'Diagnostic - start'!E37</f>
        <v>Business / revenue model: proven and scalable demonstrated by significant track record of sales and impact</v>
      </c>
      <c r="F37" s="64"/>
      <c r="G37" s="64"/>
      <c r="H37" s="64"/>
      <c r="I37" s="65"/>
      <c r="J37" s="14" t="b">
        <f>'Diagnostic - start'!J37</f>
        <v>0</v>
      </c>
      <c r="K37" s="14" t="b">
        <f t="shared" si="0"/>
        <v>0</v>
      </c>
    </row>
    <row r="38" spans="2:11" ht="45" customHeight="1" x14ac:dyDescent="0.2">
      <c r="B38" s="78"/>
      <c r="C38" s="95"/>
      <c r="D38" s="36">
        <f>'Diagnostic - start'!D38</f>
        <v>8.1999999999999993</v>
      </c>
      <c r="E38" s="38" t="str">
        <f>'Diagnostic - start'!E38</f>
        <v>Growth plan: robust, thoughtful growth plan in place and is being operationalised</v>
      </c>
      <c r="F38" s="66"/>
      <c r="G38" s="66"/>
      <c r="H38" s="66"/>
      <c r="I38" s="67"/>
      <c r="J38" s="14" t="b">
        <f>'Diagnostic - start'!J38</f>
        <v>0</v>
      </c>
      <c r="K38" s="14" t="b">
        <f t="shared" si="0"/>
        <v>0</v>
      </c>
    </row>
    <row r="39" spans="2:11" ht="45" customHeight="1" x14ac:dyDescent="0.2">
      <c r="B39" s="78"/>
      <c r="C39" s="95"/>
      <c r="D39" s="36">
        <f>'Diagnostic - start'!D39</f>
        <v>8.3000000000000007</v>
      </c>
      <c r="E39" s="38" t="str">
        <f>'Diagnostic - start'!E39</f>
        <v>Growth plan communication: across team in a durable medium</v>
      </c>
      <c r="F39" s="66"/>
      <c r="G39" s="66"/>
      <c r="H39" s="66"/>
      <c r="I39" s="67"/>
      <c r="J39" s="14" t="b">
        <f>'Diagnostic - start'!J39</f>
        <v>0</v>
      </c>
      <c r="K39" s="14" t="b">
        <f t="shared" si="0"/>
        <v>0</v>
      </c>
    </row>
    <row r="40" spans="2:11" ht="45" customHeight="1" x14ac:dyDescent="0.2">
      <c r="B40" s="78"/>
      <c r="C40" s="96"/>
      <c r="D40" s="36">
        <f>'Diagnostic - start'!D40</f>
        <v>8.4</v>
      </c>
      <c r="E40" s="43" t="str">
        <f>'Diagnostic - start'!E40</f>
        <v>Market influence and positioning: understands the organisation's role within the wider sector and has a desire and ability to become a prominent change-maker and influential at a policy level</v>
      </c>
      <c r="F40" s="66"/>
      <c r="G40" s="66"/>
      <c r="H40" s="66"/>
      <c r="I40" s="69"/>
      <c r="J40" s="14" t="b">
        <f>'Diagnostic - start'!J40</f>
        <v>0</v>
      </c>
      <c r="K40" s="14" t="b">
        <f t="shared" si="0"/>
        <v>0</v>
      </c>
    </row>
    <row r="41" spans="2:11" ht="45" customHeight="1" x14ac:dyDescent="0.2">
      <c r="B41" s="78"/>
      <c r="C41" s="81" t="str">
        <f>'Diagnostic - start'!C41:C46</f>
        <v>9. Financial Modelling</v>
      </c>
      <c r="D41" s="23">
        <f>'Diagnostic - start'!D41</f>
        <v>9.1</v>
      </c>
      <c r="E41" s="73" t="str">
        <f>'Diagnostic - start'!E41</f>
        <v>Modelling for future growth: financial model in place that details growth plan and projections</v>
      </c>
      <c r="F41" s="58"/>
      <c r="G41" s="58"/>
      <c r="H41" s="58"/>
      <c r="I41" s="59"/>
      <c r="J41" s="14" t="b">
        <f>'Diagnostic - start'!J41</f>
        <v>0</v>
      </c>
      <c r="K41" s="14" t="b">
        <f t="shared" si="0"/>
        <v>0</v>
      </c>
    </row>
    <row r="42" spans="2:11" ht="45" customHeight="1" x14ac:dyDescent="0.2">
      <c r="B42" s="78"/>
      <c r="C42" s="82"/>
      <c r="D42" s="27">
        <f>'Diagnostic - start'!D42</f>
        <v>9.1999999999999993</v>
      </c>
      <c r="E42" s="28" t="str">
        <f>'Diagnostic - start'!E42</f>
        <v>Quality and consistency of data: actual data used and available to support projection of current and future growth</v>
      </c>
      <c r="F42" s="60"/>
      <c r="G42" s="60"/>
      <c r="H42" s="60"/>
      <c r="I42" s="61"/>
      <c r="J42" s="14" t="b">
        <f>'Diagnostic - start'!J42</f>
        <v>0</v>
      </c>
      <c r="K42" s="14" t="b">
        <f t="shared" si="0"/>
        <v>0</v>
      </c>
    </row>
    <row r="43" spans="2:11" ht="45" customHeight="1" x14ac:dyDescent="0.2">
      <c r="B43" s="78"/>
      <c r="C43" s="82"/>
      <c r="D43" s="27">
        <f>'Diagnostic - start'!D43</f>
        <v>9.3000000000000007</v>
      </c>
      <c r="E43" s="28" t="str">
        <f>'Diagnostic - start'!E43</f>
        <v>Financial modelling capabilities: model includes information on past performance as an indication of future projections</v>
      </c>
      <c r="F43" s="60"/>
      <c r="G43" s="60"/>
      <c r="H43" s="60"/>
      <c r="I43" s="61"/>
      <c r="J43" s="14" t="b">
        <f>'Diagnostic - start'!J43</f>
        <v>0</v>
      </c>
      <c r="K43" s="14" t="b">
        <f t="shared" si="0"/>
        <v>0</v>
      </c>
    </row>
    <row r="44" spans="2:11" ht="45" customHeight="1" x14ac:dyDescent="0.2">
      <c r="B44" s="79"/>
      <c r="C44" s="82"/>
      <c r="D44" s="27">
        <f>'Diagnostic - start'!D44</f>
        <v>9.4</v>
      </c>
      <c r="E44" s="28" t="str">
        <f>'Diagnostic - start'!E44</f>
        <v>Financial modelling capabilities: model includes breakdown of pricing, margins and key assumptions, allowing for analysis of key ratios where appropriate. Model is flexible to allow changes in variables: for example product volume, price, costs, staffing, investment</v>
      </c>
      <c r="F44" s="60"/>
      <c r="G44" s="60"/>
      <c r="H44" s="60"/>
      <c r="I44" s="61"/>
      <c r="J44" s="14" t="b">
        <f>'Diagnostic - start'!J44</f>
        <v>0</v>
      </c>
      <c r="K44" s="14" t="b">
        <f t="shared" si="0"/>
        <v>0</v>
      </c>
    </row>
    <row r="45" spans="2:11" ht="45" customHeight="1" x14ac:dyDescent="0.2">
      <c r="B45" s="79"/>
      <c r="C45" s="82"/>
      <c r="D45" s="27">
        <f>'Diagnostic - start'!D45</f>
        <v>9.5</v>
      </c>
      <c r="E45" s="28" t="str">
        <f>'Diagnostic - start'!E45</f>
        <v>Financial modelling capabilities: production of financial statements as outputs</v>
      </c>
      <c r="F45" s="60"/>
      <c r="G45" s="60"/>
      <c r="H45" s="60"/>
      <c r="I45" s="61"/>
      <c r="J45" s="14" t="b">
        <f>'Diagnostic - start'!J45</f>
        <v>0</v>
      </c>
      <c r="K45" s="14" t="b">
        <f t="shared" si="0"/>
        <v>0</v>
      </c>
    </row>
    <row r="46" spans="2:11" ht="45" customHeight="1" x14ac:dyDescent="0.2">
      <c r="B46" s="80"/>
      <c r="C46" s="83"/>
      <c r="D46" s="32">
        <f>'Diagnostic - start'!D46</f>
        <v>9.6</v>
      </c>
      <c r="E46" s="46" t="str">
        <f>'Diagnostic - start'!E46</f>
        <v xml:space="preserve">Financial modelling: clear understanding and communication at board level </v>
      </c>
      <c r="F46" s="62"/>
      <c r="G46" s="62"/>
      <c r="H46" s="62"/>
      <c r="I46" s="63"/>
      <c r="J46" s="14" t="b">
        <f>'Diagnostic - start'!J46</f>
        <v>0</v>
      </c>
      <c r="K46" s="14" t="b">
        <f t="shared" si="0"/>
        <v>0</v>
      </c>
    </row>
  </sheetData>
  <sheetProtection algorithmName="SHA-512" hashValue="yrmcPDylkc90q2YaYp8gYjT99d3/RpqYfUeimRUskQllgd/eQIOBoGGygiscxr6HA3hTBKjS/9yE18CjAxCGJg==" saltValue="lTLn9jTWgJkZZGZNs0H2AA==" spinCount="100000" sheet="1" objects="1" scenarios="1" formatColumns="0" formatRows="0" selectLockedCells="1"/>
  <mergeCells count="14">
    <mergeCell ref="B2:D2"/>
    <mergeCell ref="B5:B14"/>
    <mergeCell ref="C9:C12"/>
    <mergeCell ref="C13:C14"/>
    <mergeCell ref="C5:C8"/>
    <mergeCell ref="B37:B46"/>
    <mergeCell ref="C41:C46"/>
    <mergeCell ref="C15:C19"/>
    <mergeCell ref="B27:B36"/>
    <mergeCell ref="C27:C32"/>
    <mergeCell ref="C33:C36"/>
    <mergeCell ref="C20:C26"/>
    <mergeCell ref="B15:B26"/>
    <mergeCell ref="C37:C40"/>
  </mergeCells>
  <pageMargins left="0.7" right="0.7" top="0.75" bottom="0.75" header="0.3" footer="0.3"/>
  <pageSetup paperSize="9" orientation="portrait" r:id="rId1"/>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69AA-C60E-422F-974D-D1E7C41FDB5F}">
  <dimension ref="A1:J47"/>
  <sheetViews>
    <sheetView tabSelected="1" zoomScale="70" zoomScaleNormal="70" workbookViewId="0">
      <selection activeCell="F5" sqref="F5"/>
    </sheetView>
  </sheetViews>
  <sheetFormatPr baseColWidth="10" defaultColWidth="9.1640625" defaultRowHeight="15" x14ac:dyDescent="0.2"/>
  <cols>
    <col min="1" max="1" width="1.83203125" style="2" customWidth="1"/>
    <col min="2" max="2" width="5.1640625" style="2" customWidth="1"/>
    <col min="3" max="3" width="13.33203125" style="2" customWidth="1"/>
    <col min="4" max="4" width="4.6640625" style="2" customWidth="1"/>
    <col min="5" max="5" width="81.83203125" style="2" customWidth="1"/>
    <col min="6" max="6" width="14.83203125" style="2" bestFit="1" customWidth="1"/>
    <col min="7" max="7" width="14.1640625" style="2" bestFit="1" customWidth="1"/>
    <col min="8" max="8" width="16.6640625" style="2" bestFit="1" customWidth="1"/>
    <col min="9" max="9" width="12.6640625" style="2" bestFit="1" customWidth="1"/>
    <col min="10" max="16384" width="9.1640625" style="2"/>
  </cols>
  <sheetData>
    <row r="1" spans="1:10" ht="21" x14ac:dyDescent="0.25">
      <c r="A1" s="1" t="s">
        <v>96</v>
      </c>
      <c r="B1" s="1"/>
    </row>
    <row r="2" spans="1:10" x14ac:dyDescent="0.2">
      <c r="B2" s="97"/>
      <c r="C2" s="97"/>
      <c r="D2" s="97"/>
      <c r="F2" s="16"/>
      <c r="G2" s="16"/>
      <c r="H2" s="16"/>
    </row>
    <row r="3" spans="1:10" x14ac:dyDescent="0.2">
      <c r="F3" s="15">
        <v>1</v>
      </c>
      <c r="G3" s="15">
        <v>3</v>
      </c>
      <c r="H3" s="15">
        <f>G3-F3</f>
        <v>2</v>
      </c>
    </row>
    <row r="4" spans="1:10" x14ac:dyDescent="0.2">
      <c r="C4" s="17" t="str">
        <f>'Diagnostic - start'!C4</f>
        <v>Support pillar</v>
      </c>
      <c r="D4" s="18"/>
      <c r="E4" s="19" t="str">
        <f>'Diagnostic - start'!E4</f>
        <v>Support objectives</v>
      </c>
      <c r="F4" s="20" t="s">
        <v>97</v>
      </c>
      <c r="G4" s="20" t="s">
        <v>98</v>
      </c>
      <c r="H4" s="20" t="s">
        <v>13</v>
      </c>
      <c r="I4" s="21" t="s">
        <v>99</v>
      </c>
      <c r="J4" s="22"/>
    </row>
    <row r="5" spans="1:10" ht="45" customHeight="1" x14ac:dyDescent="0.2">
      <c r="B5" s="77" t="str">
        <f>'Diagnostic - start'!B5:B14</f>
        <v xml:space="preserve">Person / People </v>
      </c>
      <c r="C5" s="89" t="str">
        <f>'Diagnostic - start'!C5:C7</f>
        <v>1. Leadership</v>
      </c>
      <c r="D5" s="23">
        <f>'Diagnostic - start'!D5</f>
        <v>1.1000000000000001</v>
      </c>
      <c r="E5" s="24" t="str">
        <f>'Diagnostic - start'!E5</f>
        <v>CEO strategic leadership: decision making reflects understanding of external big picture and alignment with mission</v>
      </c>
      <c r="F5" s="25" t="b">
        <f>'Diagnostic - start'!J5</f>
        <v>0</v>
      </c>
      <c r="G5" s="26" t="b">
        <f>'Diagnostic - end'!K5</f>
        <v>0</v>
      </c>
      <c r="H5" s="25">
        <f>G5-F5</f>
        <v>0</v>
      </c>
      <c r="I5" s="106">
        <f>AVERAGE(H5:H8)</f>
        <v>0</v>
      </c>
      <c r="J5" s="22"/>
    </row>
    <row r="6" spans="1:10" ht="45" customHeight="1" x14ac:dyDescent="0.2">
      <c r="B6" s="92"/>
      <c r="C6" s="90"/>
      <c r="D6" s="27">
        <f>'Diagnostic - start'!D6</f>
        <v>1.2</v>
      </c>
      <c r="E6" s="28" t="str">
        <f>'Diagnostic - start'!E6</f>
        <v>CEO performance management leadership: strong self-awareness, ability to drive performance management and build learning organisation, informed by a command of detail across all areas of business</v>
      </c>
      <c r="F6" s="29" t="b">
        <f>'Diagnostic - start'!J6</f>
        <v>0</v>
      </c>
      <c r="G6" s="30" t="b">
        <f>'Diagnostic - end'!K6</f>
        <v>0</v>
      </c>
      <c r="H6" s="31">
        <f t="shared" ref="H6:H46" si="0">G6-F6</f>
        <v>0</v>
      </c>
      <c r="I6" s="107"/>
      <c r="J6" s="22"/>
    </row>
    <row r="7" spans="1:10" ht="45" customHeight="1" x14ac:dyDescent="0.2">
      <c r="B7" s="92"/>
      <c r="C7" s="90"/>
      <c r="D7" s="27">
        <f>'Diagnostic - start'!D7</f>
        <v>1.3</v>
      </c>
      <c r="E7" s="28" t="str">
        <f>'Diagnostic - start'!E7</f>
        <v>Resource allocation: ability to allocate existing resources and investment in future resources (human and financial) against core outcome-generating activities</v>
      </c>
      <c r="F7" s="25" t="b">
        <f>'Diagnostic - start'!J7</f>
        <v>0</v>
      </c>
      <c r="G7" s="25" t="b">
        <f>'Diagnostic - end'!K7</f>
        <v>0</v>
      </c>
      <c r="H7" s="25">
        <f t="shared" si="0"/>
        <v>0</v>
      </c>
      <c r="I7" s="107"/>
      <c r="J7" s="22"/>
    </row>
    <row r="8" spans="1:10" ht="45" customHeight="1" x14ac:dyDescent="0.2">
      <c r="B8" s="92"/>
      <c r="C8" s="91"/>
      <c r="D8" s="27">
        <f>'Diagnostic - start'!D8</f>
        <v>1.4</v>
      </c>
      <c r="E8" s="28" t="str">
        <f>'Diagnostic - start'!E8</f>
        <v>Sector knowledge: deep understanding of the landscape of the sector in which they operate (for example key policies, polcy makers, influential organisations and bodies)</v>
      </c>
      <c r="F8" s="25" t="b">
        <f>'Diagnostic - start'!J8</f>
        <v>0</v>
      </c>
      <c r="G8" s="25" t="b">
        <f>'Diagnostic - end'!K8</f>
        <v>0</v>
      </c>
      <c r="H8" s="25">
        <f t="shared" si="0"/>
        <v>0</v>
      </c>
      <c r="I8" s="108"/>
      <c r="J8" s="22"/>
    </row>
    <row r="9" spans="1:10" ht="45" customHeight="1" x14ac:dyDescent="0.2">
      <c r="B9" s="92"/>
      <c r="C9" s="84" t="str">
        <f>'Diagnostic - start'!C9:C12</f>
        <v>2. Team Building</v>
      </c>
      <c r="D9" s="34">
        <f>'Diagnostic - start'!D9</f>
        <v>2.1</v>
      </c>
      <c r="E9" s="35" t="str">
        <f>'Diagnostic - start'!E9</f>
        <v>Key functional competencies in place: finance, operations, sales, impact, HR, communications, etc</v>
      </c>
      <c r="F9" s="29" t="b">
        <f>'Diagnostic - start'!J9</f>
        <v>0</v>
      </c>
      <c r="G9" s="30" t="b">
        <f>'Diagnostic - end'!K9</f>
        <v>0</v>
      </c>
      <c r="H9" s="31">
        <f t="shared" si="0"/>
        <v>0</v>
      </c>
      <c r="I9" s="105">
        <f>AVERAGE(H9:H12)</f>
        <v>0</v>
      </c>
      <c r="J9" s="22"/>
    </row>
    <row r="10" spans="1:10" ht="45" customHeight="1" x14ac:dyDescent="0.2">
      <c r="B10" s="92"/>
      <c r="C10" s="85"/>
      <c r="D10" s="36">
        <f>'Diagnostic - start'!D10</f>
        <v>2.2000000000000002</v>
      </c>
      <c r="E10" s="37" t="str">
        <f>'Diagnostic - start'!E10</f>
        <v>SMT: team contains a broad mix of skills, is of an appropriate size relative to the company's maturity and has the capability to deliver and work well as a team</v>
      </c>
      <c r="F10" s="25" t="b">
        <f>'Diagnostic - start'!J10</f>
        <v>0</v>
      </c>
      <c r="G10" s="26" t="b">
        <f>'Diagnostic - end'!K10</f>
        <v>0</v>
      </c>
      <c r="H10" s="25">
        <f t="shared" si="0"/>
        <v>0</v>
      </c>
      <c r="I10" s="105"/>
      <c r="J10" s="22"/>
    </row>
    <row r="11" spans="1:10" ht="45" customHeight="1" x14ac:dyDescent="0.2">
      <c r="B11" s="92"/>
      <c r="C11" s="85"/>
      <c r="D11" s="36">
        <f>'Diagnostic - start'!D11</f>
        <v>2.2999999999999998</v>
      </c>
      <c r="E11" s="38" t="str">
        <f>'Diagnostic - start'!E11</f>
        <v>Resourcing: sufficiently resourced to deliver product/service without bottleneck/over resourcing; roles and responsibilities documented and clearly communicated across organisation</v>
      </c>
      <c r="F11" s="29" t="b">
        <f>'Diagnostic - start'!J11</f>
        <v>0</v>
      </c>
      <c r="G11" s="30" t="b">
        <f>'Diagnostic - end'!K11</f>
        <v>0</v>
      </c>
      <c r="H11" s="31">
        <f t="shared" si="0"/>
        <v>0</v>
      </c>
      <c r="I11" s="105"/>
      <c r="J11" s="22"/>
    </row>
    <row r="12" spans="1:10" ht="45" customHeight="1" x14ac:dyDescent="0.2">
      <c r="B12" s="92"/>
      <c r="C12" s="86"/>
      <c r="D12" s="39">
        <f>'Diagnostic - start'!D12</f>
        <v>2.4</v>
      </c>
      <c r="E12" s="40" t="str">
        <f>'Diagnostic - start'!E12</f>
        <v>Team development: provision for team development and training in place</v>
      </c>
      <c r="F12" s="25" t="b">
        <f>'Diagnostic - start'!J12</f>
        <v>0</v>
      </c>
      <c r="G12" s="26" t="b">
        <f>'Diagnostic - end'!K12</f>
        <v>0</v>
      </c>
      <c r="H12" s="25">
        <f t="shared" si="0"/>
        <v>0</v>
      </c>
      <c r="I12" s="105"/>
      <c r="J12" s="22"/>
    </row>
    <row r="13" spans="1:10" ht="45" customHeight="1" x14ac:dyDescent="0.2">
      <c r="B13" s="92"/>
      <c r="C13" s="81" t="str">
        <f>'Diagnostic - start'!C13:C14</f>
        <v>3. Governance</v>
      </c>
      <c r="D13" s="23">
        <f>'Diagnostic - start'!D13</f>
        <v>3.1</v>
      </c>
      <c r="E13" s="41" t="str">
        <f>'Diagnostic - start'!E13</f>
        <v>Overall governance: governance is in place, is supporting the Management Team and is of an appropriate size for scale of business and growth plans - including formal and informal advisory roles</v>
      </c>
      <c r="F13" s="29" t="b">
        <f>'Diagnostic - start'!J13</f>
        <v>0</v>
      </c>
      <c r="G13" s="30" t="b">
        <f>'Diagnostic - end'!K13</f>
        <v>0</v>
      </c>
      <c r="H13" s="31">
        <f t="shared" si="0"/>
        <v>0</v>
      </c>
      <c r="I13" s="105">
        <f>AVERAGE(H13:H14)</f>
        <v>0</v>
      </c>
      <c r="J13" s="22"/>
    </row>
    <row r="14" spans="1:10" ht="45" customHeight="1" x14ac:dyDescent="0.2">
      <c r="B14" s="93"/>
      <c r="C14" s="88"/>
      <c r="D14" s="42">
        <f>'Diagnostic - start'!D14</f>
        <v>3.2</v>
      </c>
      <c r="E14" s="33" t="str">
        <f>'Diagnostic - start'!E14</f>
        <v>Board: oversight and accountability. Oversight of strategic and organisational effectiveness, holding the CEO to account and providing fiduciary oversight</v>
      </c>
      <c r="F14" s="25" t="b">
        <f>'Diagnostic - start'!J14</f>
        <v>0</v>
      </c>
      <c r="G14" s="26" t="b">
        <f>'Diagnostic - end'!K14</f>
        <v>0</v>
      </c>
      <c r="H14" s="25">
        <f t="shared" si="0"/>
        <v>0</v>
      </c>
      <c r="I14" s="105"/>
      <c r="J14" s="22"/>
    </row>
    <row r="15" spans="1:10" ht="45" customHeight="1" x14ac:dyDescent="0.2">
      <c r="B15" s="77" t="str">
        <f>'Diagnostic - start'!B15:B25</f>
        <v>Proposition</v>
      </c>
      <c r="C15" s="84" t="str">
        <f>'Diagnostic - start'!C15:C19</f>
        <v>4. Social Impact</v>
      </c>
      <c r="D15" s="34">
        <f>'Diagnostic - start'!D15</f>
        <v>4.0999999999999996</v>
      </c>
      <c r="E15" s="35" t="str">
        <f>'Diagnostic - start'!E15</f>
        <v>Theory of change: is developed, understood and clearly communicated</v>
      </c>
      <c r="F15" s="29" t="b">
        <f>'Diagnostic - start'!J15</f>
        <v>0</v>
      </c>
      <c r="G15" s="30" t="b">
        <f>'Diagnostic - end'!K15</f>
        <v>0</v>
      </c>
      <c r="H15" s="31">
        <f t="shared" si="0"/>
        <v>0</v>
      </c>
      <c r="I15" s="105">
        <f>AVERAGE(H15:H19)</f>
        <v>0</v>
      </c>
      <c r="J15" s="22"/>
    </row>
    <row r="16" spans="1:10" ht="45" customHeight="1" x14ac:dyDescent="0.2">
      <c r="B16" s="92"/>
      <c r="C16" s="85"/>
      <c r="D16" s="36">
        <f>'Diagnostic - start'!D16</f>
        <v>4.2</v>
      </c>
      <c r="E16" s="37" t="str">
        <f>'Diagnostic - start'!E16</f>
        <v>Key metrics: these are clearly articulated and aid in demonstrating that the venture is achieving its mission</v>
      </c>
      <c r="F16" s="25" t="b">
        <f>'Diagnostic - start'!J16</f>
        <v>0</v>
      </c>
      <c r="G16" s="26" t="b">
        <f>'Diagnostic - end'!K16</f>
        <v>0</v>
      </c>
      <c r="H16" s="25">
        <f t="shared" si="0"/>
        <v>0</v>
      </c>
      <c r="I16" s="105"/>
      <c r="J16" s="22"/>
    </row>
    <row r="17" spans="2:10" ht="45" customHeight="1" x14ac:dyDescent="0.2">
      <c r="B17" s="92"/>
      <c r="C17" s="85"/>
      <c r="D17" s="36">
        <f>'Diagnostic - start'!D17</f>
        <v>4.3</v>
      </c>
      <c r="E17" s="38" t="str">
        <f>'Diagnostic - start'!E17</f>
        <v>Data: appropriate impact indicator data has been identified and is being collected against key metrics</v>
      </c>
      <c r="F17" s="29" t="b">
        <f>'Diagnostic - start'!J17</f>
        <v>0</v>
      </c>
      <c r="G17" s="30" t="b">
        <f>'Diagnostic - end'!K17</f>
        <v>0</v>
      </c>
      <c r="H17" s="31">
        <f t="shared" si="0"/>
        <v>0</v>
      </c>
      <c r="I17" s="105"/>
      <c r="J17" s="22"/>
    </row>
    <row r="18" spans="2:10" ht="45" customHeight="1" x14ac:dyDescent="0.2">
      <c r="B18" s="92"/>
      <c r="C18" s="85"/>
      <c r="D18" s="36">
        <f>'Diagnostic - start'!D18</f>
        <v>4.4000000000000004</v>
      </c>
      <c r="E18" s="37" t="str">
        <f>'Diagnostic - start'!E18</f>
        <v>Reporting: social impact is being reported, is disseminated publicly and has an element of external validation</v>
      </c>
      <c r="F18" s="25" t="b">
        <f>'Diagnostic - start'!J18</f>
        <v>0</v>
      </c>
      <c r="G18" s="26" t="b">
        <f>'Diagnostic - end'!K18</f>
        <v>0</v>
      </c>
      <c r="H18" s="25">
        <f t="shared" si="0"/>
        <v>0</v>
      </c>
      <c r="I18" s="105"/>
      <c r="J18" s="22"/>
    </row>
    <row r="19" spans="2:10" ht="45" customHeight="1" x14ac:dyDescent="0.2">
      <c r="B19" s="92"/>
      <c r="C19" s="86"/>
      <c r="D19" s="39">
        <f>'Diagnostic - start'!D19</f>
        <v>4.5</v>
      </c>
      <c r="E19" s="43" t="str">
        <f>'Diagnostic - start'!E19</f>
        <v>Social lock: social impact is 'locked' into business' structure for the long term</v>
      </c>
      <c r="F19" s="29" t="b">
        <f>'Diagnostic - start'!J19</f>
        <v>0</v>
      </c>
      <c r="G19" s="30" t="b">
        <f>'Diagnostic - end'!K19</f>
        <v>0</v>
      </c>
      <c r="H19" s="31">
        <f t="shared" si="0"/>
        <v>0</v>
      </c>
      <c r="I19" s="105"/>
      <c r="J19" s="22"/>
    </row>
    <row r="20" spans="2:10" ht="45" customHeight="1" x14ac:dyDescent="0.2">
      <c r="B20" s="92"/>
      <c r="C20" s="89" t="str">
        <f>'Diagnostic - start'!C20:C25</f>
        <v>5. Sales Planning</v>
      </c>
      <c r="D20" s="23">
        <f>'Diagnostic - start'!D20</f>
        <v>5.0999999999999996</v>
      </c>
      <c r="E20" s="24" t="str">
        <f>'Diagnostic - start'!E20</f>
        <v>Value proposition: ability to articulate value proposition, target customers and routes to market</v>
      </c>
      <c r="F20" s="25" t="b">
        <f>'Diagnostic - start'!J20</f>
        <v>0</v>
      </c>
      <c r="G20" s="26" t="b">
        <f>'Diagnostic - end'!K20</f>
        <v>0</v>
      </c>
      <c r="H20" s="25">
        <f t="shared" si="0"/>
        <v>0</v>
      </c>
      <c r="I20" s="106">
        <f>AVERAGE(H20:H26)</f>
        <v>0</v>
      </c>
      <c r="J20" s="22"/>
    </row>
    <row r="21" spans="2:10" ht="45" customHeight="1" x14ac:dyDescent="0.2">
      <c r="B21" s="92"/>
      <c r="C21" s="90"/>
      <c r="D21" s="44">
        <f>'Diagnostic - start'!D21</f>
        <v>5.2</v>
      </c>
      <c r="E21" s="28" t="str">
        <f>'Diagnostic - start'!E21</f>
        <v>Market knowledge: understanding of market and price sensitivities</v>
      </c>
      <c r="F21" s="25" t="b">
        <f>'Diagnostic - start'!J21</f>
        <v>0</v>
      </c>
      <c r="G21" s="25" t="b">
        <f>'Diagnostic - end'!K21</f>
        <v>0</v>
      </c>
      <c r="H21" s="31">
        <f t="shared" si="0"/>
        <v>0</v>
      </c>
      <c r="I21" s="107"/>
      <c r="J21" s="22"/>
    </row>
    <row r="22" spans="2:10" ht="45" customHeight="1" x14ac:dyDescent="0.2">
      <c r="B22" s="92"/>
      <c r="C22" s="90"/>
      <c r="D22" s="44">
        <f>'Diagnostic - start'!D22</f>
        <v>5.3</v>
      </c>
      <c r="E22" s="45" t="str">
        <f>'Diagnostic - start'!E22</f>
        <v xml:space="preserve">Network building: well-known and well positioned in the sector. Has to ability to build useful connections and grow their network, forming appropriate partnerships </v>
      </c>
      <c r="F22" s="25" t="b">
        <f>'Diagnostic - start'!J22</f>
        <v>0</v>
      </c>
      <c r="G22" s="25" t="b">
        <f>'Diagnostic - end'!K22</f>
        <v>0</v>
      </c>
      <c r="H22" s="31">
        <f t="shared" si="0"/>
        <v>0</v>
      </c>
      <c r="I22" s="107"/>
      <c r="J22" s="22"/>
    </row>
    <row r="23" spans="2:10" ht="45" customHeight="1" x14ac:dyDescent="0.2">
      <c r="B23" s="92"/>
      <c r="C23" s="90"/>
      <c r="D23" s="44">
        <f>'Diagnostic - start'!D23</f>
        <v>5.4</v>
      </c>
      <c r="E23" s="45" t="str">
        <f>'Diagnostic - start'!E23</f>
        <v>Understanding of sales funnel: conversion rates, customer acquisition costs and lead time known and documented</v>
      </c>
      <c r="F23" s="25" t="b">
        <f>'Diagnostic - start'!J23</f>
        <v>0</v>
      </c>
      <c r="G23" s="26" t="b">
        <f>'Diagnostic - end'!K23</f>
        <v>0</v>
      </c>
      <c r="H23" s="25">
        <f t="shared" si="0"/>
        <v>0</v>
      </c>
      <c r="I23" s="107"/>
      <c r="J23" s="22"/>
    </row>
    <row r="24" spans="2:10" ht="45" customHeight="1" x14ac:dyDescent="0.2">
      <c r="B24" s="92"/>
      <c r="C24" s="90"/>
      <c r="D24" s="44">
        <f>'Diagnostic - start'!D24</f>
        <v>5.5</v>
      </c>
      <c r="E24" s="28" t="str">
        <f>'Diagnostic - start'!E24</f>
        <v>Forecasting: ability to forecast sales growth and resource requirements for growth</v>
      </c>
      <c r="F24" s="29" t="b">
        <f>'Diagnostic - start'!J24</f>
        <v>0</v>
      </c>
      <c r="G24" s="30" t="b">
        <f>'Diagnostic - end'!K24</f>
        <v>0</v>
      </c>
      <c r="H24" s="31">
        <f t="shared" si="0"/>
        <v>0</v>
      </c>
      <c r="I24" s="107"/>
      <c r="J24" s="22"/>
    </row>
    <row r="25" spans="2:10" ht="45" customHeight="1" x14ac:dyDescent="0.2">
      <c r="B25" s="92"/>
      <c r="C25" s="90"/>
      <c r="D25" s="44">
        <f>'Diagnostic - start'!D25</f>
        <v>5.6</v>
      </c>
      <c r="E25" s="28" t="str">
        <f>'Diagnostic - start'!E25</f>
        <v>Sales process: is in place and operational across teams / people in organisation</v>
      </c>
      <c r="F25" s="25" t="b">
        <f>'Diagnostic - start'!J25</f>
        <v>0</v>
      </c>
      <c r="G25" s="26" t="b">
        <f>'Diagnostic - end'!K25</f>
        <v>0</v>
      </c>
      <c r="H25" s="25">
        <f t="shared" si="0"/>
        <v>0</v>
      </c>
      <c r="I25" s="107"/>
      <c r="J25" s="22"/>
    </row>
    <row r="26" spans="2:10" ht="45" customHeight="1" x14ac:dyDescent="0.2">
      <c r="B26" s="93"/>
      <c r="C26" s="91"/>
      <c r="D26" s="44">
        <f>'Diagnostic - start'!D26</f>
        <v>5.7</v>
      </c>
      <c r="E26" s="28" t="str">
        <f>'Diagnostic - start'!E26</f>
        <v xml:space="preserve">Comms and marketing: presence and efficacy of comms and marketing strategy  </v>
      </c>
      <c r="F26" s="25" t="b">
        <f>'Diagnostic - start'!J26</f>
        <v>0</v>
      </c>
      <c r="G26" s="25" t="b">
        <f>'Diagnostic - end'!K26</f>
        <v>0</v>
      </c>
      <c r="H26" s="25">
        <f t="shared" si="0"/>
        <v>0</v>
      </c>
      <c r="I26" s="108"/>
      <c r="J26" s="22"/>
    </row>
    <row r="27" spans="2:10" ht="45" customHeight="1" x14ac:dyDescent="0.2">
      <c r="B27" s="77" t="str">
        <f>'Diagnostic - start'!B27:B36</f>
        <v>Performance</v>
      </c>
      <c r="C27" s="84" t="str">
        <f>'Diagnostic - start'!C27:C32</f>
        <v>6. Legals and reporting</v>
      </c>
      <c r="D27" s="34">
        <f>'Diagnostic - start'!D27</f>
        <v>6.1</v>
      </c>
      <c r="E27" s="35" t="str">
        <f>'Diagnostic - start'!E27</f>
        <v>Incorporation: business incorporated with appropriate legal structure for growth plans</v>
      </c>
      <c r="F27" s="29" t="b">
        <f>'Diagnostic - start'!J27</f>
        <v>0</v>
      </c>
      <c r="G27" s="30" t="b">
        <f>'Diagnostic - end'!K27</f>
        <v>0</v>
      </c>
      <c r="H27" s="31">
        <f t="shared" si="0"/>
        <v>0</v>
      </c>
      <c r="I27" s="105">
        <f>AVERAGE(H27:H32)</f>
        <v>0</v>
      </c>
      <c r="J27" s="22"/>
    </row>
    <row r="28" spans="2:10" ht="45" customHeight="1" x14ac:dyDescent="0.2">
      <c r="B28" s="78"/>
      <c r="C28" s="85"/>
      <c r="D28" s="36">
        <f>'Diagnostic - start'!D28</f>
        <v>6.2</v>
      </c>
      <c r="E28" s="37" t="str">
        <f>'Diagnostic - start'!E28</f>
        <v xml:space="preserve">Partner agreements: any appropriate partner agreements and service level contracts in place </v>
      </c>
      <c r="F28" s="25" t="b">
        <f>'Diagnostic - start'!J28</f>
        <v>0</v>
      </c>
      <c r="G28" s="26" t="b">
        <f>'Diagnostic - end'!K28</f>
        <v>0</v>
      </c>
      <c r="H28" s="25">
        <f t="shared" si="0"/>
        <v>0</v>
      </c>
      <c r="I28" s="105"/>
      <c r="J28" s="22"/>
    </row>
    <row r="29" spans="2:10" ht="45" customHeight="1" x14ac:dyDescent="0.2">
      <c r="B29" s="78"/>
      <c r="C29" s="85"/>
      <c r="D29" s="36">
        <f>'Diagnostic - start'!D29</f>
        <v>6.3</v>
      </c>
      <c r="E29" s="38" t="str">
        <f>'Diagnostic - start'!E29</f>
        <v>Intellectual Property: any IP corrected documented and registered</v>
      </c>
      <c r="F29" s="29" t="b">
        <f>'Diagnostic - start'!J29</f>
        <v>0</v>
      </c>
      <c r="G29" s="30" t="b">
        <f>'Diagnostic - end'!K29</f>
        <v>0</v>
      </c>
      <c r="H29" s="31">
        <f t="shared" si="0"/>
        <v>0</v>
      </c>
      <c r="I29" s="105"/>
      <c r="J29" s="22"/>
    </row>
    <row r="30" spans="2:10" ht="45" customHeight="1" x14ac:dyDescent="0.2">
      <c r="B30" s="78"/>
      <c r="C30" s="85"/>
      <c r="D30" s="36">
        <f>'Diagnostic - start'!D30</f>
        <v>6.4</v>
      </c>
      <c r="E30" s="37" t="str">
        <f>'Diagnostic - start'!E30</f>
        <v>Legal understanding: knowledge of all relevant legal requirements and procedures in place to ensure compliance (particularly data protection)</v>
      </c>
      <c r="F30" s="25" t="b">
        <f>'Diagnostic - start'!J30</f>
        <v>0</v>
      </c>
      <c r="G30" s="26" t="b">
        <f>'Diagnostic - end'!K30</f>
        <v>0</v>
      </c>
      <c r="H30" s="25">
        <f t="shared" si="0"/>
        <v>0</v>
      </c>
      <c r="I30" s="105"/>
      <c r="J30" s="22"/>
    </row>
    <row r="31" spans="2:10" ht="45" customHeight="1" x14ac:dyDescent="0.2">
      <c r="B31" s="78"/>
      <c r="C31" s="85"/>
      <c r="D31" s="36">
        <f>'Diagnostic - start'!D31</f>
        <v>6.5</v>
      </c>
      <c r="E31" s="38" t="str">
        <f>'Diagnostic - start'!E31</f>
        <v>Accountability: relevant HR processes being used by managers to hold staff accountable to performance standards</v>
      </c>
      <c r="F31" s="29" t="b">
        <f>'Diagnostic - start'!J31</f>
        <v>0</v>
      </c>
      <c r="G31" s="30" t="b">
        <f>'Diagnostic - end'!K31</f>
        <v>0</v>
      </c>
      <c r="H31" s="31">
        <f t="shared" si="0"/>
        <v>0</v>
      </c>
      <c r="I31" s="105"/>
      <c r="J31" s="22"/>
    </row>
    <row r="32" spans="2:10" ht="45" customHeight="1" x14ac:dyDescent="0.2">
      <c r="B32" s="78"/>
      <c r="C32" s="86"/>
      <c r="D32" s="39">
        <f>'Diagnostic - start'!D32</f>
        <v>6.6</v>
      </c>
      <c r="E32" s="40" t="str">
        <f>'Diagnostic - start'!E32</f>
        <v>Financial reporting: submission of externally validated Accounts to company registrar; production of accurate financial statements and quarterly Management Information/Accounts</v>
      </c>
      <c r="F32" s="25" t="b">
        <f>'Diagnostic - start'!J32</f>
        <v>0</v>
      </c>
      <c r="G32" s="26" t="b">
        <f>'Diagnostic - end'!K32</f>
        <v>0</v>
      </c>
      <c r="H32" s="25">
        <f t="shared" si="0"/>
        <v>0</v>
      </c>
      <c r="I32" s="105"/>
      <c r="J32" s="22"/>
    </row>
    <row r="33" spans="2:10" ht="45" customHeight="1" x14ac:dyDescent="0.2">
      <c r="B33" s="78"/>
      <c r="C33" s="81" t="str">
        <f>'Diagnostic - start'!C33:C36</f>
        <v>7. Operations and processes</v>
      </c>
      <c r="D33" s="23">
        <f>'Diagnostic - start'!D33</f>
        <v>7.1</v>
      </c>
      <c r="E33" s="41" t="str">
        <f>'Diagnostic - start'!E33</f>
        <v>Operations planning: processes and operations mapped out and documented to ensure risks and contingencies identified</v>
      </c>
      <c r="F33" s="29" t="b">
        <f>'Diagnostic - start'!J33</f>
        <v>0</v>
      </c>
      <c r="G33" s="30" t="b">
        <f>'Diagnostic - end'!K33</f>
        <v>0</v>
      </c>
      <c r="H33" s="31">
        <f t="shared" si="0"/>
        <v>0</v>
      </c>
      <c r="I33" s="105">
        <f>AVERAGE(H33:H36)</f>
        <v>0</v>
      </c>
      <c r="J33" s="22"/>
    </row>
    <row r="34" spans="2:10" ht="45" customHeight="1" x14ac:dyDescent="0.2">
      <c r="B34" s="78"/>
      <c r="C34" s="87"/>
      <c r="D34" s="44">
        <f>'Diagnostic - start'!D34</f>
        <v>7.2</v>
      </c>
      <c r="E34" s="45" t="str">
        <f>'Diagnostic - start'!E34</f>
        <v>Data system: IT systems, tools and collection of data systems in place, including data security and compliance</v>
      </c>
      <c r="F34" s="25" t="b">
        <f>'Diagnostic - start'!J34</f>
        <v>0</v>
      </c>
      <c r="G34" s="26" t="b">
        <f>'Diagnostic - end'!K34</f>
        <v>0</v>
      </c>
      <c r="H34" s="25">
        <f t="shared" si="0"/>
        <v>0</v>
      </c>
      <c r="I34" s="105"/>
      <c r="J34" s="22"/>
    </row>
    <row r="35" spans="2:10" ht="45" customHeight="1" x14ac:dyDescent="0.2">
      <c r="B35" s="79"/>
      <c r="C35" s="87"/>
      <c r="D35" s="44">
        <f>'Diagnostic - start'!D35</f>
        <v>7.3</v>
      </c>
      <c r="E35" s="28" t="str">
        <f>'Diagnostic - start'!E35</f>
        <v>Tactical performance management: staff reviews, customer feedback and analyses data to make adjustments to delivery</v>
      </c>
      <c r="F35" s="29" t="b">
        <f>'Diagnostic - start'!J35</f>
        <v>0</v>
      </c>
      <c r="G35" s="30" t="b">
        <f>'Diagnostic - end'!K35</f>
        <v>0</v>
      </c>
      <c r="H35" s="31">
        <f t="shared" si="0"/>
        <v>0</v>
      </c>
      <c r="I35" s="105"/>
      <c r="J35" s="22"/>
    </row>
    <row r="36" spans="2:10" ht="45" customHeight="1" x14ac:dyDescent="0.2">
      <c r="B36" s="80"/>
      <c r="C36" s="88"/>
      <c r="D36" s="42">
        <f>'Diagnostic - start'!D36</f>
        <v>7.4</v>
      </c>
      <c r="E36" s="33" t="str">
        <f>'Diagnostic - start'!E36</f>
        <v>Strategic performance management: performance data created and disseminated in line with KPIs which can be used by managers to make decisions in order to improve outcomes of product/services</v>
      </c>
      <c r="F36" s="25" t="b">
        <f>'Diagnostic - start'!J36</f>
        <v>0</v>
      </c>
      <c r="G36" s="26" t="b">
        <f>'Diagnostic - end'!K36</f>
        <v>0</v>
      </c>
      <c r="H36" s="25">
        <f t="shared" si="0"/>
        <v>0</v>
      </c>
      <c r="I36" s="105"/>
      <c r="J36" s="22"/>
    </row>
    <row r="37" spans="2:10" ht="45" customHeight="1" x14ac:dyDescent="0.2">
      <c r="B37" s="77" t="str">
        <f>'Diagnostic - start'!B37:B46</f>
        <v>Plan</v>
      </c>
      <c r="C37" s="94" t="str">
        <f>'Diagnostic - start'!C37:C39</f>
        <v>8. Growth Plan</v>
      </c>
      <c r="D37" s="34">
        <f>'Diagnostic - start'!D37</f>
        <v>8.1</v>
      </c>
      <c r="E37" s="35" t="str">
        <f>'Diagnostic - start'!E37</f>
        <v>Business / revenue model: proven and scalable demonstrated by significant track record of sales and impact</v>
      </c>
      <c r="F37" s="29" t="b">
        <f>'Diagnostic - start'!J37</f>
        <v>0</v>
      </c>
      <c r="G37" s="30" t="b">
        <f>'Diagnostic - end'!K37</f>
        <v>0</v>
      </c>
      <c r="H37" s="31">
        <f t="shared" si="0"/>
        <v>0</v>
      </c>
      <c r="I37" s="106">
        <f>AVERAGE(H37:H40)</f>
        <v>0</v>
      </c>
      <c r="J37" s="22"/>
    </row>
    <row r="38" spans="2:10" ht="45" customHeight="1" x14ac:dyDescent="0.2">
      <c r="B38" s="78"/>
      <c r="C38" s="95"/>
      <c r="D38" s="36">
        <f>'Diagnostic - start'!D38</f>
        <v>8.1999999999999993</v>
      </c>
      <c r="E38" s="37" t="str">
        <f>'Diagnostic - start'!E38</f>
        <v>Growth plan: robust, thoughtful growth plan in place and is being operationalised</v>
      </c>
      <c r="F38" s="25" t="b">
        <f>'Diagnostic - start'!J38</f>
        <v>0</v>
      </c>
      <c r="G38" s="25" t="b">
        <f>'Diagnostic - end'!K38</f>
        <v>0</v>
      </c>
      <c r="H38" s="25">
        <f t="shared" si="0"/>
        <v>0</v>
      </c>
      <c r="I38" s="107"/>
      <c r="J38" s="22"/>
    </row>
    <row r="39" spans="2:10" ht="45" customHeight="1" x14ac:dyDescent="0.2">
      <c r="B39" s="78"/>
      <c r="C39" s="95"/>
      <c r="D39" s="36">
        <f>'Diagnostic - start'!D39</f>
        <v>8.3000000000000007</v>
      </c>
      <c r="E39" s="37" t="str">
        <f>'Diagnostic - start'!E39</f>
        <v>Growth plan communication: across team in a durable medium</v>
      </c>
      <c r="F39" s="25" t="b">
        <f>'Diagnostic - start'!J39</f>
        <v>0</v>
      </c>
      <c r="G39" s="25" t="b">
        <f>'Diagnostic - end'!K39</f>
        <v>0</v>
      </c>
      <c r="H39" s="25">
        <f t="shared" si="0"/>
        <v>0</v>
      </c>
      <c r="I39" s="107"/>
      <c r="J39" s="22"/>
    </row>
    <row r="40" spans="2:10" ht="45" customHeight="1" x14ac:dyDescent="0.2">
      <c r="B40" s="78"/>
      <c r="C40" s="96"/>
      <c r="D40" s="36">
        <f>'Diagnostic - start'!D40</f>
        <v>8.4</v>
      </c>
      <c r="E40" s="76" t="str">
        <f>'Diagnostic - start'!E40</f>
        <v>Market influence and positioning: understands the organisation's role within the wider sector and has a desire and ability to become a prominent change-maker and influential at a policy level</v>
      </c>
      <c r="F40" s="25" t="b">
        <f>'Diagnostic - start'!J40</f>
        <v>0</v>
      </c>
      <c r="G40" s="25" t="b">
        <f>'Diagnostic - end'!K40</f>
        <v>0</v>
      </c>
      <c r="H40" s="25">
        <f t="shared" si="0"/>
        <v>0</v>
      </c>
      <c r="I40" s="108"/>
      <c r="J40" s="22"/>
    </row>
    <row r="41" spans="2:10" ht="45" customHeight="1" x14ac:dyDescent="0.2">
      <c r="B41" s="78"/>
      <c r="C41" s="81" t="str">
        <f>'Diagnostic - start'!C41:C46</f>
        <v>9. Financial Modelling</v>
      </c>
      <c r="D41" s="23">
        <f>'Diagnostic - start'!D41</f>
        <v>9.1</v>
      </c>
      <c r="E41" s="75" t="str">
        <f>'Diagnostic - start'!E41</f>
        <v>Modelling for future growth: financial model in place that details growth plan and projections</v>
      </c>
      <c r="F41" s="25" t="b">
        <f>'Diagnostic - start'!J41</f>
        <v>0</v>
      </c>
      <c r="G41" s="26" t="b">
        <f>'Diagnostic - end'!K41</f>
        <v>0</v>
      </c>
      <c r="H41" s="25">
        <f t="shared" si="0"/>
        <v>0</v>
      </c>
      <c r="I41" s="105">
        <f>AVERAGE(H41:H46)</f>
        <v>0</v>
      </c>
      <c r="J41" s="22"/>
    </row>
    <row r="42" spans="2:10" ht="45" customHeight="1" x14ac:dyDescent="0.2">
      <c r="B42" s="78"/>
      <c r="C42" s="82"/>
      <c r="D42" s="27">
        <f>'Diagnostic - start'!D42</f>
        <v>9.1999999999999993</v>
      </c>
      <c r="E42" s="28" t="str">
        <f>'Diagnostic - start'!E42</f>
        <v>Quality and consistency of data: actual data used and available to support projection of current and future growth</v>
      </c>
      <c r="F42" s="29" t="b">
        <f>'Diagnostic - start'!J42</f>
        <v>0</v>
      </c>
      <c r="G42" s="30" t="b">
        <f>'Diagnostic - end'!K42</f>
        <v>0</v>
      </c>
      <c r="H42" s="31">
        <f t="shared" si="0"/>
        <v>0</v>
      </c>
      <c r="I42" s="105"/>
      <c r="J42" s="22"/>
    </row>
    <row r="43" spans="2:10" ht="45" customHeight="1" x14ac:dyDescent="0.2">
      <c r="B43" s="78"/>
      <c r="C43" s="82"/>
      <c r="D43" s="27">
        <f>'Diagnostic - start'!D43</f>
        <v>9.3000000000000007</v>
      </c>
      <c r="E43" s="45" t="str">
        <f>'Diagnostic - start'!E43</f>
        <v>Financial modelling capabilities: model includes information on past performance as an indication of future projections</v>
      </c>
      <c r="F43" s="25" t="b">
        <f>'Diagnostic - start'!J43</f>
        <v>0</v>
      </c>
      <c r="G43" s="26" t="b">
        <f>'Diagnostic - end'!K43</f>
        <v>0</v>
      </c>
      <c r="H43" s="25">
        <f t="shared" si="0"/>
        <v>0</v>
      </c>
      <c r="I43" s="105"/>
      <c r="J43" s="22"/>
    </row>
    <row r="44" spans="2:10" ht="45" customHeight="1" x14ac:dyDescent="0.2">
      <c r="B44" s="79"/>
      <c r="C44" s="82"/>
      <c r="D44" s="27">
        <f>'Diagnostic - start'!D44</f>
        <v>9.4</v>
      </c>
      <c r="E44" s="28" t="str">
        <f>'Diagnostic - start'!E44</f>
        <v>Financial modelling capabilities: model includes breakdown of pricing, margins and key assumptions, allowing for analysis of key ratios where appropriate. Model is flexible to allow changes in variables: for example product volume, price, costs, staffing, investment</v>
      </c>
      <c r="F44" s="29" t="b">
        <f>'Diagnostic - start'!J44</f>
        <v>0</v>
      </c>
      <c r="G44" s="30" t="b">
        <f>'Diagnostic - end'!K44</f>
        <v>0</v>
      </c>
      <c r="H44" s="31">
        <f t="shared" si="0"/>
        <v>0</v>
      </c>
      <c r="I44" s="105"/>
      <c r="J44" s="22"/>
    </row>
    <row r="45" spans="2:10" ht="45" customHeight="1" x14ac:dyDescent="0.2">
      <c r="B45" s="79"/>
      <c r="C45" s="82"/>
      <c r="D45" s="27">
        <f>'Diagnostic - start'!D45</f>
        <v>9.5</v>
      </c>
      <c r="E45" s="45" t="str">
        <f>'Diagnostic - start'!E45</f>
        <v>Financial modelling capabilities: production of financial statements as outputs</v>
      </c>
      <c r="F45" s="25" t="b">
        <f>'Diagnostic - start'!J45</f>
        <v>0</v>
      </c>
      <c r="G45" s="26" t="b">
        <f>'Diagnostic - end'!K45</f>
        <v>0</v>
      </c>
      <c r="H45" s="25">
        <f t="shared" si="0"/>
        <v>0</v>
      </c>
      <c r="I45" s="105"/>
      <c r="J45" s="22"/>
    </row>
    <row r="46" spans="2:10" ht="45" customHeight="1" x14ac:dyDescent="0.2">
      <c r="B46" s="80"/>
      <c r="C46" s="83"/>
      <c r="D46" s="32">
        <f>'Diagnostic - start'!D46</f>
        <v>9.6</v>
      </c>
      <c r="E46" s="46" t="str">
        <f>'Diagnostic - start'!E46</f>
        <v xml:space="preserve">Financial modelling: clear understanding and communication at board level </v>
      </c>
      <c r="F46" s="29" t="b">
        <f>'Diagnostic - start'!J46</f>
        <v>0</v>
      </c>
      <c r="G46" s="30" t="b">
        <f>'Diagnostic - end'!K46</f>
        <v>0</v>
      </c>
      <c r="H46" s="31">
        <f t="shared" si="0"/>
        <v>0</v>
      </c>
      <c r="I46" s="109"/>
      <c r="J46" s="22"/>
    </row>
    <row r="47" spans="2:10" x14ac:dyDescent="0.2">
      <c r="F47" s="47"/>
      <c r="G47" s="47"/>
      <c r="H47" s="47"/>
      <c r="I47" s="47"/>
    </row>
  </sheetData>
  <sheetProtection algorithmName="SHA-512" hashValue="I/D04fNDJN03UM+7GuCZGtVw/Dw9ZHi7c/E5tebqQwmZlfiassWKMDHJT3x6PgB9N9WnZ2GZBeShF2bPMWfx/Q==" saltValue="gzWgduQ17/4dBNW5aKnWmQ==" spinCount="100000" sheet="1" selectLockedCells="1"/>
  <mergeCells count="23">
    <mergeCell ref="I9:I12"/>
    <mergeCell ref="I13:I14"/>
    <mergeCell ref="B2:D2"/>
    <mergeCell ref="B5:B14"/>
    <mergeCell ref="C9:C12"/>
    <mergeCell ref="C13:C14"/>
    <mergeCell ref="C5:C8"/>
    <mergeCell ref="I15:I19"/>
    <mergeCell ref="I20:I26"/>
    <mergeCell ref="I5:I8"/>
    <mergeCell ref="B37:B46"/>
    <mergeCell ref="C41:C46"/>
    <mergeCell ref="I33:I36"/>
    <mergeCell ref="I41:I46"/>
    <mergeCell ref="C37:C40"/>
    <mergeCell ref="I37:I40"/>
    <mergeCell ref="C15:C19"/>
    <mergeCell ref="B27:B36"/>
    <mergeCell ref="C27:C32"/>
    <mergeCell ref="C33:C36"/>
    <mergeCell ref="B15:B26"/>
    <mergeCell ref="C20:C26"/>
    <mergeCell ref="I27:I32"/>
  </mergeCells>
  <conditionalFormatting sqref="G5:H5">
    <cfRule type="iconSet" priority="6">
      <iconSet iconSet="3Arrows">
        <cfvo type="percent" val="0"/>
        <cfvo type="percent" val="33"/>
        <cfvo type="percent" val="67"/>
      </iconSet>
    </cfRule>
  </conditionalFormatting>
  <conditionalFormatting sqref="H5">
    <cfRule type="iconSet" priority="10">
      <iconSet iconSet="3Arrows">
        <cfvo type="percent" val="0"/>
        <cfvo type="percent" val="33"/>
        <cfvo type="percent" val="67"/>
      </iconSet>
    </cfRule>
  </conditionalFormatting>
  <conditionalFormatting sqref="H5:H46">
    <cfRule type="iconSet" priority="1">
      <iconSet iconSet="3Arrows">
        <cfvo type="percent" val="0"/>
        <cfvo type="num" val="0"/>
        <cfvo type="num" val="1"/>
      </iconSet>
    </cfRule>
  </conditionalFormatting>
  <conditionalFormatting sqref="H6">
    <cfRule type="iconSet" priority="7">
      <iconSet iconSet="3Arrows">
        <cfvo type="percent" val="0"/>
        <cfvo type="percent" val="33"/>
        <cfvo type="percent" val="67"/>
      </iconSet>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48c2b2d-6726-49e7-93dd-88027be68ace">
      <Terms xmlns="http://schemas.microsoft.com/office/infopath/2007/PartnerControls"/>
    </lcf76f155ced4ddcb4097134ff3c332f>
    <BriefDescription xmlns="648c2b2d-6726-49e7-93dd-88027be68ace" xsi:nil="true"/>
    <TaxCatchAll xmlns="73abfa4b-a0f2-4d12-ad9a-b145695fc677" xsi:nil="true"/>
    <BLOG_x002d_Collaboration xmlns="648c2b2d-6726-49e7-93dd-88027be68ace">https://www.unltd.org.uk/index.php/blog/insights/how-social-entrepreneurs-and-public-bodies-can-collaborate-for-success/</BLOG_x002d_Collaboration>
    <DateandTime xmlns="648c2b2d-6726-49e7-93dd-88027be68ac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50BE2B43B349348900C85168A22ADDF" ma:contentTypeVersion="21" ma:contentTypeDescription="Create a new document." ma:contentTypeScope="" ma:versionID="33167032221d4af4359df03961fd0025">
  <xsd:schema xmlns:xsd="http://www.w3.org/2001/XMLSchema" xmlns:xs="http://www.w3.org/2001/XMLSchema" xmlns:p="http://schemas.microsoft.com/office/2006/metadata/properties" xmlns:ns2="648c2b2d-6726-49e7-93dd-88027be68ace" xmlns:ns3="73abfa4b-a0f2-4d12-ad9a-b145695fc677" targetNamespace="http://schemas.microsoft.com/office/2006/metadata/properties" ma:root="true" ma:fieldsID="f544c11a2ba4278f5f66d63fc1d2f3ed" ns2:_="" ns3:_="">
    <xsd:import namespace="648c2b2d-6726-49e7-93dd-88027be68ace"/>
    <xsd:import namespace="73abfa4b-a0f2-4d12-ad9a-b145695fc6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BriefDescription" minOccurs="0"/>
                <xsd:element ref="ns2:lcf76f155ced4ddcb4097134ff3c332f" minOccurs="0"/>
                <xsd:element ref="ns3:TaxCatchAll" minOccurs="0"/>
                <xsd:element ref="ns2:BLOG_x002d_Collaboration" minOccurs="0"/>
                <xsd:element ref="ns2:DateandTim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2b2d-6726-49e7-93dd-88027be68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BriefDescription" ma:index="21" nillable="true" ma:displayName="Brief Description" ma:format="Dropdown" ma:internalName="Brief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a774ad2-e6c6-4558-b660-ba11975b7caa" ma:termSetId="09814cd3-568e-fe90-9814-8d621ff8fb84" ma:anchorId="fba54fb3-c3e1-fe81-a776-ca4b69148c4d" ma:open="true" ma:isKeyword="false">
      <xsd:complexType>
        <xsd:sequence>
          <xsd:element ref="pc:Terms" minOccurs="0" maxOccurs="1"/>
        </xsd:sequence>
      </xsd:complexType>
    </xsd:element>
    <xsd:element name="BLOG_x002d_Collaboration" ma:index="25" nillable="true" ma:displayName="BLOG - Collaboration" ma:default="https://www.unltd.org.uk/index.php/blog/insights/how-social-entrepreneurs-and-public-bodies-can-collaborate-for-success/" ma:format="Dropdown" ma:internalName="BLOG_x002d_Collaboration">
      <xsd:simpleType>
        <xsd:restriction base="dms:Text">
          <xsd:maxLength value="255"/>
        </xsd:restriction>
      </xsd:simpleType>
    </xsd:element>
    <xsd:element name="DateandTime" ma:index="26" nillable="true" ma:displayName="Date and Time" ma:format="DateOnly" ma:internalName="DateandTim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abfa4b-a0f2-4d12-ad9a-b145695fc6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9a90a36-b46c-4868-b5e6-64a30970f0ed}" ma:internalName="TaxCatchAll" ma:showField="CatchAllData" ma:web="73abfa4b-a0f2-4d12-ad9a-b145695fc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purl.oclc.org/ooxml/officeDocument/customXml" ds:itemID="{D1C63AAF-BBC0-4638-8A8C-7F6B471BED53}">
  <ds:schemaRefs>
    <ds:schemaRef ds:uri="http://schemas.microsoft.com/office/2006/metadata/properties"/>
    <ds:schemaRef ds:uri="http://schemas.microsoft.com/office/infopath/2007/PartnerControls"/>
    <ds:schemaRef ds:uri="648c2b2d-6726-49e7-93dd-88027be68ace"/>
    <ds:schemaRef ds:uri="73abfa4b-a0f2-4d12-ad9a-b145695fc677"/>
  </ds:schemaRefs>
</ds:datastoreItem>
</file>

<file path=customXml/itemProps2.xml><?xml version="1.0" encoding="utf-8"?>
<ds:datastoreItem xmlns:ds="http://purl.oclc.org/ooxml/officeDocument/customXml" ds:itemID="{52716CA0-4D84-4C4E-9FA0-3E3532EDCBC4}">
  <ds:schemaRefs>
    <ds:schemaRef ds:uri="http://schemas.microsoft.com/sharepoint/v3/contenttype/forms"/>
  </ds:schemaRefs>
</ds:datastoreItem>
</file>

<file path=customXml/itemProps3.xml><?xml version="1.0" encoding="utf-8"?>
<ds:datastoreItem xmlns:ds="http://purl.oclc.org/ooxml/officeDocument/customXml" ds:itemID="{4F71125F-20F2-4B38-9ACD-446B8191BC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c2b2d-6726-49e7-93dd-88027be68ace"/>
    <ds:schemaRef ds:uri="73abfa4b-a0f2-4d12-ad9a-b145695fc6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Thrive</vt:lpstr>
      <vt:lpstr>Covering Page</vt:lpstr>
      <vt:lpstr>Overarching Ambition</vt:lpstr>
      <vt:lpstr>Diagnostic - start</vt:lpstr>
      <vt:lpstr>Growth Journey</vt:lpstr>
      <vt:lpstr>Diagnostic - end</vt:lpstr>
      <vt:lpstr>Distance travelled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Bartram</dc:creator>
  <cp:keywords/>
  <dc:description/>
  <cp:lastModifiedBy>Tom Sheppard</cp:lastModifiedBy>
  <cp:revision/>
  <dcterms:created xsi:type="dcterms:W3CDTF">2017-08-03T10:05:04Z</dcterms:created>
  <dcterms:modified xsi:type="dcterms:W3CDTF">2026-02-12T12:52:47Z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0x010100950BE2B43B349348900C85168A22ADDF</vt:lpwstr>
  </property>
  <property fmtid="{D5CDD505-2E9C-101B-9397-08002B2CF9AE}" pid="3" name="Order">
    <vt:r8>13489600</vt:r8>
  </property>
  <property fmtid="{D5CDD505-2E9C-101B-9397-08002B2CF9AE}" pid="4" name="MediaServiceImageTags">
    <vt:lpwstr/>
  </property>
</Properties>
</file>