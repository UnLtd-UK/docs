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Ltd Ventures\Ventures support model\VM Resource Pack\VM Key Resources\12. Funding and Investment\"/>
    </mc:Choice>
  </mc:AlternateContent>
  <xr:revisionPtr revIDLastSave="0" documentId="13_ncr:1_{12C1532E-8E0F-4D46-88D9-5C27973263B3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Debt calculator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1" l="1"/>
  <c r="F11" i="1"/>
  <c r="G20" i="1"/>
  <c r="C20" i="1"/>
  <c r="F12" i="1"/>
  <c r="F20" i="1"/>
  <c r="J3" i="1"/>
  <c r="F15" i="1"/>
  <c r="E40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258" i="1"/>
  <c r="E254" i="1"/>
  <c r="E250" i="1"/>
  <c r="E246" i="1"/>
  <c r="E242" i="1"/>
  <c r="E238" i="1"/>
  <c r="E234" i="1"/>
  <c r="E230" i="1"/>
  <c r="E226" i="1"/>
  <c r="E222" i="1"/>
  <c r="E218" i="1"/>
  <c r="E214" i="1"/>
  <c r="E210" i="1"/>
  <c r="E206" i="1"/>
  <c r="E257" i="1"/>
  <c r="E253" i="1"/>
  <c r="E249" i="1"/>
  <c r="E245" i="1"/>
  <c r="E241" i="1"/>
  <c r="E237" i="1"/>
  <c r="E233" i="1"/>
  <c r="E229" i="1"/>
  <c r="E225" i="1"/>
  <c r="E221" i="1"/>
  <c r="E217" i="1"/>
  <c r="E213" i="1"/>
  <c r="E209" i="1"/>
  <c r="E205" i="1"/>
  <c r="E260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E208" i="1"/>
  <c r="E204" i="1"/>
  <c r="D260" i="1"/>
  <c r="D258" i="1"/>
  <c r="F258" i="1"/>
  <c r="D256" i="1"/>
  <c r="F256" i="1"/>
  <c r="D254" i="1"/>
  <c r="D252" i="1"/>
  <c r="D250" i="1"/>
  <c r="D248" i="1"/>
  <c r="D246" i="1"/>
  <c r="D244" i="1"/>
  <c r="D242" i="1"/>
  <c r="F242" i="1"/>
  <c r="D240" i="1"/>
  <c r="F240" i="1"/>
  <c r="D238" i="1"/>
  <c r="D236" i="1"/>
  <c r="D234" i="1"/>
  <c r="D232" i="1"/>
  <c r="D230" i="1"/>
  <c r="D228" i="1"/>
  <c r="D226" i="1"/>
  <c r="F226" i="1"/>
  <c r="D224" i="1"/>
  <c r="F224" i="1"/>
  <c r="D222" i="1"/>
  <c r="D220" i="1"/>
  <c r="D218" i="1"/>
  <c r="D216" i="1"/>
  <c r="D214" i="1"/>
  <c r="D212" i="1"/>
  <c r="D210" i="1"/>
  <c r="F210" i="1"/>
  <c r="D208" i="1"/>
  <c r="F208" i="1"/>
  <c r="D206" i="1"/>
  <c r="D204" i="1"/>
  <c r="D259" i="1"/>
  <c r="D257" i="1"/>
  <c r="D255" i="1"/>
  <c r="F255" i="1"/>
  <c r="D253" i="1"/>
  <c r="F253" i="1"/>
  <c r="D251" i="1"/>
  <c r="D249" i="1"/>
  <c r="D247" i="1"/>
  <c r="D245" i="1"/>
  <c r="D243" i="1"/>
  <c r="D241" i="1"/>
  <c r="D239" i="1"/>
  <c r="F239" i="1"/>
  <c r="D237" i="1"/>
  <c r="F237" i="1"/>
  <c r="D235" i="1"/>
  <c r="D233" i="1"/>
  <c r="D231" i="1"/>
  <c r="D229" i="1"/>
  <c r="D227" i="1"/>
  <c r="D225" i="1"/>
  <c r="D223" i="1"/>
  <c r="F223" i="1"/>
  <c r="D221" i="1"/>
  <c r="F221" i="1"/>
  <c r="D219" i="1"/>
  <c r="D217" i="1"/>
  <c r="D215" i="1"/>
  <c r="D213" i="1"/>
  <c r="D211" i="1"/>
  <c r="D209" i="1"/>
  <c r="D207" i="1"/>
  <c r="F207" i="1"/>
  <c r="D205" i="1"/>
  <c r="F205" i="1"/>
  <c r="D203" i="1"/>
  <c r="F213" i="1"/>
  <c r="F229" i="1"/>
  <c r="F245" i="1"/>
  <c r="F211" i="1"/>
  <c r="F227" i="1"/>
  <c r="F243" i="1"/>
  <c r="F259" i="1"/>
  <c r="F231" i="1"/>
  <c r="F247" i="1"/>
  <c r="F204" i="1"/>
  <c r="F220" i="1"/>
  <c r="F236" i="1"/>
  <c r="F252" i="1"/>
  <c r="F218" i="1"/>
  <c r="F234" i="1"/>
  <c r="F250" i="1"/>
  <c r="F212" i="1"/>
  <c r="F228" i="1"/>
  <c r="F260" i="1"/>
  <c r="F215" i="1"/>
  <c r="F244" i="1"/>
  <c r="F217" i="1"/>
  <c r="F233" i="1"/>
  <c r="F249" i="1"/>
  <c r="F214" i="1"/>
  <c r="F230" i="1"/>
  <c r="F246" i="1"/>
  <c r="F216" i="1"/>
  <c r="F232" i="1"/>
  <c r="F248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E88" i="1"/>
  <c r="E104" i="1"/>
  <c r="E120" i="1"/>
  <c r="E136" i="1"/>
  <c r="E152" i="1"/>
  <c r="E168" i="1"/>
  <c r="E184" i="1"/>
  <c r="E200" i="1"/>
  <c r="E81" i="1"/>
  <c r="E97" i="1"/>
  <c r="E113" i="1"/>
  <c r="E129" i="1"/>
  <c r="E145" i="1"/>
  <c r="E161" i="1"/>
  <c r="E177" i="1"/>
  <c r="E193" i="1"/>
  <c r="E94" i="1"/>
  <c r="E110" i="1"/>
  <c r="F110" i="1"/>
  <c r="E126" i="1"/>
  <c r="E142" i="1"/>
  <c r="E158" i="1"/>
  <c r="E174" i="1"/>
  <c r="F174" i="1"/>
  <c r="E190" i="1"/>
  <c r="E91" i="1"/>
  <c r="E107" i="1"/>
  <c r="E123" i="1"/>
  <c r="E139" i="1"/>
  <c r="E155" i="1"/>
  <c r="E171" i="1"/>
  <c r="E187" i="1"/>
  <c r="D202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E92" i="1"/>
  <c r="E108" i="1"/>
  <c r="F108" i="1"/>
  <c r="E124" i="1"/>
  <c r="E140" i="1"/>
  <c r="F140" i="1"/>
  <c r="E156" i="1"/>
  <c r="E172" i="1"/>
  <c r="F172" i="1"/>
  <c r="E188" i="1"/>
  <c r="E85" i="1"/>
  <c r="E101" i="1"/>
  <c r="E117" i="1"/>
  <c r="E133" i="1"/>
  <c r="E149" i="1"/>
  <c r="F149" i="1"/>
  <c r="E165" i="1"/>
  <c r="E181" i="1"/>
  <c r="E197" i="1"/>
  <c r="E82" i="1"/>
  <c r="E98" i="1"/>
  <c r="E114" i="1"/>
  <c r="E130" i="1"/>
  <c r="E146" i="1"/>
  <c r="E162" i="1"/>
  <c r="E178" i="1"/>
  <c r="E194" i="1"/>
  <c r="E95" i="1"/>
  <c r="E111" i="1"/>
  <c r="E127" i="1"/>
  <c r="E143" i="1"/>
  <c r="E159" i="1"/>
  <c r="E175" i="1"/>
  <c r="E191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E96" i="1"/>
  <c r="E112" i="1"/>
  <c r="E128" i="1"/>
  <c r="E144" i="1"/>
  <c r="E160" i="1"/>
  <c r="E176" i="1"/>
  <c r="E192" i="1"/>
  <c r="E89" i="1"/>
  <c r="E105" i="1"/>
  <c r="E121" i="1"/>
  <c r="E137" i="1"/>
  <c r="E153" i="1"/>
  <c r="E169" i="1"/>
  <c r="E185" i="1"/>
  <c r="E201" i="1"/>
  <c r="E86" i="1"/>
  <c r="E102" i="1"/>
  <c r="E118" i="1"/>
  <c r="E134" i="1"/>
  <c r="E150" i="1"/>
  <c r="E166" i="1"/>
  <c r="E182" i="1"/>
  <c r="E198" i="1"/>
  <c r="E83" i="1"/>
  <c r="F83" i="1"/>
  <c r="E99" i="1"/>
  <c r="E115" i="1"/>
  <c r="E131" i="1"/>
  <c r="E147" i="1"/>
  <c r="E163" i="1"/>
  <c r="E179" i="1"/>
  <c r="E195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E100" i="1"/>
  <c r="F100" i="1"/>
  <c r="E116" i="1"/>
  <c r="E132" i="1"/>
  <c r="E148" i="1"/>
  <c r="E164" i="1"/>
  <c r="F164" i="1"/>
  <c r="E180" i="1"/>
  <c r="E196" i="1"/>
  <c r="E93" i="1"/>
  <c r="E109" i="1"/>
  <c r="E125" i="1"/>
  <c r="E141" i="1"/>
  <c r="F141" i="1"/>
  <c r="E157" i="1"/>
  <c r="E173" i="1"/>
  <c r="E189" i="1"/>
  <c r="E90" i="1"/>
  <c r="E106" i="1"/>
  <c r="F106" i="1"/>
  <c r="E122" i="1"/>
  <c r="E138" i="1"/>
  <c r="F138" i="1"/>
  <c r="E154" i="1"/>
  <c r="E170" i="1"/>
  <c r="F170" i="1"/>
  <c r="E186" i="1"/>
  <c r="E202" i="1"/>
  <c r="E87" i="1"/>
  <c r="E103" i="1"/>
  <c r="E119" i="1"/>
  <c r="E135" i="1"/>
  <c r="E151" i="1"/>
  <c r="E167" i="1"/>
  <c r="E183" i="1"/>
  <c r="E199" i="1"/>
  <c r="E84" i="1"/>
  <c r="F84" i="1"/>
  <c r="F113" i="1"/>
  <c r="F120" i="1"/>
  <c r="F209" i="1"/>
  <c r="F225" i="1"/>
  <c r="F241" i="1"/>
  <c r="F257" i="1"/>
  <c r="F203" i="1"/>
  <c r="F219" i="1"/>
  <c r="F235" i="1"/>
  <c r="F251" i="1"/>
  <c r="F206" i="1"/>
  <c r="F222" i="1"/>
  <c r="F238" i="1"/>
  <c r="F254" i="1"/>
  <c r="D25" i="1"/>
  <c r="D26" i="1"/>
  <c r="D27" i="1"/>
  <c r="D80" i="1"/>
  <c r="D72" i="1"/>
  <c r="D64" i="1"/>
  <c r="D56" i="1"/>
  <c r="D48" i="1"/>
  <c r="D40" i="1"/>
  <c r="F40" i="1"/>
  <c r="E79" i="1"/>
  <c r="E71" i="1"/>
  <c r="E63" i="1"/>
  <c r="E55" i="1"/>
  <c r="E47" i="1"/>
  <c r="E39" i="1"/>
  <c r="D79" i="1"/>
  <c r="D71" i="1"/>
  <c r="D63" i="1"/>
  <c r="D55" i="1"/>
  <c r="D47" i="1"/>
  <c r="D39" i="1"/>
  <c r="E78" i="1"/>
  <c r="E70" i="1"/>
  <c r="E62" i="1"/>
  <c r="E54" i="1"/>
  <c r="E46" i="1"/>
  <c r="E38" i="1"/>
  <c r="D32" i="1"/>
  <c r="D29" i="1"/>
  <c r="D30" i="1"/>
  <c r="D22" i="1"/>
  <c r="D31" i="1"/>
  <c r="D78" i="1"/>
  <c r="D70" i="1"/>
  <c r="D62" i="1"/>
  <c r="D54" i="1"/>
  <c r="D46" i="1"/>
  <c r="D38" i="1"/>
  <c r="E77" i="1"/>
  <c r="E69" i="1"/>
  <c r="E61" i="1"/>
  <c r="E53" i="1"/>
  <c r="E45" i="1"/>
  <c r="E37" i="1"/>
  <c r="D77" i="1"/>
  <c r="D69" i="1"/>
  <c r="D61" i="1"/>
  <c r="D53" i="1"/>
  <c r="D45" i="1"/>
  <c r="D37" i="1"/>
  <c r="E76" i="1"/>
  <c r="E68" i="1"/>
  <c r="E60" i="1"/>
  <c r="E52" i="1"/>
  <c r="E44" i="1"/>
  <c r="E36" i="1"/>
  <c r="E33" i="1"/>
  <c r="D33" i="1"/>
  <c r="D24" i="1"/>
  <c r="D76" i="1"/>
  <c r="D68" i="1"/>
  <c r="D60" i="1"/>
  <c r="D52" i="1"/>
  <c r="D44" i="1"/>
  <c r="D36" i="1"/>
  <c r="E75" i="1"/>
  <c r="E67" i="1"/>
  <c r="E59" i="1"/>
  <c r="E51" i="1"/>
  <c r="E43" i="1"/>
  <c r="E35" i="1"/>
  <c r="D75" i="1"/>
  <c r="D67" i="1"/>
  <c r="D59" i="1"/>
  <c r="D51" i="1"/>
  <c r="D43" i="1"/>
  <c r="D35" i="1"/>
  <c r="E74" i="1"/>
  <c r="E66" i="1"/>
  <c r="E58" i="1"/>
  <c r="E50" i="1"/>
  <c r="E42" i="1"/>
  <c r="E34" i="1"/>
  <c r="D21" i="1"/>
  <c r="D23" i="1"/>
  <c r="D28" i="1"/>
  <c r="D74" i="1"/>
  <c r="D66" i="1"/>
  <c r="D58" i="1"/>
  <c r="D50" i="1"/>
  <c r="D42" i="1"/>
  <c r="D34" i="1"/>
  <c r="E73" i="1"/>
  <c r="E65" i="1"/>
  <c r="E57" i="1"/>
  <c r="E49" i="1"/>
  <c r="E41" i="1"/>
  <c r="D73" i="1"/>
  <c r="D65" i="1"/>
  <c r="D57" i="1"/>
  <c r="D49" i="1"/>
  <c r="D41" i="1"/>
  <c r="E80" i="1"/>
  <c r="E72" i="1"/>
  <c r="E64" i="1"/>
  <c r="E56" i="1"/>
  <c r="E48" i="1"/>
  <c r="F177" i="1"/>
  <c r="F184" i="1"/>
  <c r="F134" i="1"/>
  <c r="F197" i="1"/>
  <c r="F133" i="1"/>
  <c r="F99" i="1"/>
  <c r="F139" i="1"/>
  <c r="F171" i="1"/>
  <c r="F165" i="1"/>
  <c r="F97" i="1"/>
  <c r="F85" i="1"/>
  <c r="F173" i="1"/>
  <c r="F109" i="1"/>
  <c r="F123" i="1"/>
  <c r="F187" i="1"/>
  <c r="F142" i="1"/>
  <c r="G21" i="1"/>
  <c r="E21" i="1"/>
  <c r="J4" i="1"/>
  <c r="F180" i="1"/>
  <c r="F116" i="1"/>
  <c r="F161" i="1"/>
  <c r="F104" i="1"/>
  <c r="F168" i="1"/>
  <c r="F148" i="1"/>
  <c r="F107" i="1"/>
  <c r="F145" i="1"/>
  <c r="F81" i="1"/>
  <c r="F152" i="1"/>
  <c r="F38" i="1"/>
  <c r="F122" i="1"/>
  <c r="F181" i="1"/>
  <c r="F117" i="1"/>
  <c r="F70" i="1"/>
  <c r="F186" i="1"/>
  <c r="F188" i="1"/>
  <c r="F154" i="1"/>
  <c r="F90" i="1"/>
  <c r="F156" i="1"/>
  <c r="F124" i="1"/>
  <c r="F101" i="1"/>
  <c r="F92" i="1"/>
  <c r="F60" i="1"/>
  <c r="F78" i="1"/>
  <c r="F64" i="1"/>
  <c r="F46" i="1"/>
  <c r="F42" i="1"/>
  <c r="F74" i="1"/>
  <c r="F126" i="1"/>
  <c r="F190" i="1"/>
  <c r="F34" i="1"/>
  <c r="F155" i="1"/>
  <c r="F91" i="1"/>
  <c r="F193" i="1"/>
  <c r="F129" i="1"/>
  <c r="F200" i="1"/>
  <c r="F136" i="1"/>
  <c r="F94" i="1"/>
  <c r="F158" i="1"/>
  <c r="F52" i="1"/>
  <c r="F72" i="1"/>
  <c r="F157" i="1"/>
  <c r="F93" i="1"/>
  <c r="F196" i="1"/>
  <c r="F132" i="1"/>
  <c r="F189" i="1"/>
  <c r="F125" i="1"/>
  <c r="F169" i="1"/>
  <c r="F105" i="1"/>
  <c r="F160" i="1"/>
  <c r="F96" i="1"/>
  <c r="F162" i="1"/>
  <c r="F98" i="1"/>
  <c r="F103" i="1"/>
  <c r="F135" i="1"/>
  <c r="F167" i="1"/>
  <c r="F199" i="1"/>
  <c r="F153" i="1"/>
  <c r="F89" i="1"/>
  <c r="F144" i="1"/>
  <c r="F115" i="1"/>
  <c r="F147" i="1"/>
  <c r="F179" i="1"/>
  <c r="F146" i="1"/>
  <c r="F82" i="1"/>
  <c r="F88" i="1"/>
  <c r="F111" i="1"/>
  <c r="F143" i="1"/>
  <c r="F175" i="1"/>
  <c r="F86" i="1"/>
  <c r="F118" i="1"/>
  <c r="F150" i="1"/>
  <c r="F182" i="1"/>
  <c r="F201" i="1"/>
  <c r="F137" i="1"/>
  <c r="F192" i="1"/>
  <c r="F128" i="1"/>
  <c r="F194" i="1"/>
  <c r="F130" i="1"/>
  <c r="F87" i="1"/>
  <c r="F119" i="1"/>
  <c r="F151" i="1"/>
  <c r="F183" i="1"/>
  <c r="F185" i="1"/>
  <c r="F121" i="1"/>
  <c r="F176" i="1"/>
  <c r="F112" i="1"/>
  <c r="F131" i="1"/>
  <c r="F163" i="1"/>
  <c r="F195" i="1"/>
  <c r="F178" i="1"/>
  <c r="F114" i="1"/>
  <c r="F202" i="1"/>
  <c r="F95" i="1"/>
  <c r="F127" i="1"/>
  <c r="F159" i="1"/>
  <c r="F191" i="1"/>
  <c r="F102" i="1"/>
  <c r="F166" i="1"/>
  <c r="F198" i="1"/>
  <c r="F36" i="1"/>
  <c r="F54" i="1"/>
  <c r="F80" i="1"/>
  <c r="F62" i="1"/>
  <c r="F48" i="1"/>
  <c r="F58" i="1"/>
  <c r="F68" i="1"/>
  <c r="F66" i="1"/>
  <c r="F50" i="1"/>
  <c r="F44" i="1"/>
  <c r="F76" i="1"/>
  <c r="F56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F35" i="1"/>
  <c r="F67" i="1"/>
  <c r="F45" i="1"/>
  <c r="F43" i="1"/>
  <c r="F75" i="1"/>
  <c r="F53" i="1"/>
  <c r="F49" i="1"/>
  <c r="F59" i="1"/>
  <c r="F37" i="1"/>
  <c r="F69" i="1"/>
  <c r="F63" i="1"/>
  <c r="F57" i="1"/>
  <c r="F77" i="1"/>
  <c r="F39" i="1"/>
  <c r="F71" i="1"/>
  <c r="F65" i="1"/>
  <c r="F47" i="1"/>
  <c r="F79" i="1"/>
  <c r="F41" i="1"/>
  <c r="F73" i="1"/>
  <c r="F51" i="1"/>
  <c r="F33" i="1"/>
  <c r="F61" i="1"/>
  <c r="F55" i="1"/>
  <c r="K4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J5" i="1"/>
  <c r="J2" i="1"/>
</calcChain>
</file>

<file path=xl/sharedStrings.xml><?xml version="1.0" encoding="utf-8"?>
<sst xmlns="http://schemas.openxmlformats.org/spreadsheetml/2006/main" count="29" uniqueCount="26">
  <si>
    <t>Term Loan payments</t>
  </si>
  <si>
    <t>Setup</t>
  </si>
  <si>
    <t>Loan Amount</t>
  </si>
  <si>
    <t>Calculations</t>
  </si>
  <si>
    <t>IntRate</t>
  </si>
  <si>
    <t>LoanPds</t>
  </si>
  <si>
    <t>Debt payment table</t>
  </si>
  <si>
    <t>Interest</t>
  </si>
  <si>
    <t>Payment</t>
  </si>
  <si>
    <t>Balance</t>
  </si>
  <si>
    <t>Arrangement fee (%)</t>
  </si>
  <si>
    <t>Annual Interest Rate (%)</t>
  </si>
  <si>
    <t>Arrangement Fee</t>
  </si>
  <si>
    <t>Loan term</t>
  </si>
  <si>
    <t>Loan Term (years)</t>
  </si>
  <si>
    <t>Monthly</t>
  </si>
  <si>
    <t>Interest accrual periods per year</t>
  </si>
  <si>
    <t>Arrangement fee</t>
  </si>
  <si>
    <t>Capital</t>
  </si>
  <si>
    <t>Total cost of debt</t>
  </si>
  <si>
    <t>Capital Repayment Holiday (months)</t>
  </si>
  <si>
    <t>First capital repayment</t>
  </si>
  <si>
    <t>Total number of interest payments</t>
  </si>
  <si>
    <t>Periodic interest rate</t>
  </si>
  <si>
    <t>Months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</si>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</sst>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_);_(* \(#,##0\);_(* &quot;-&quot;??_);_(@_)"/>
    <numFmt numFmtId="165" formatCode="&quot;£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 applyAlignment="1"/>
    <xf numFmtId="0" fontId="2" fillId="0" borderId="0" xfId="0" applyFont="1" applyAlignment="1"/>
    <xf numFmtId="0" fontId="4" fillId="0" borderId="2" xfId="0" applyFont="1" applyFill="1" applyBorder="1" applyAlignment="1">
      <alignment horizontal="left"/>
    </xf>
    <xf numFmtId="0" fontId="4" fillId="0" borderId="2" xfId="0" applyFont="1" applyBorder="1" applyAlignment="1"/>
    <xf numFmtId="0" fontId="4" fillId="0" borderId="2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164" fontId="4" fillId="0" borderId="0" xfId="1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4" fontId="4" fillId="0" borderId="0" xfId="1" applyNumberFormat="1" applyFont="1" applyAlignment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/>
    <xf numFmtId="4" fontId="5" fillId="0" borderId="0" xfId="2" applyNumberFormat="1" applyFont="1" applyAlignment="1"/>
    <xf numFmtId="164" fontId="4" fillId="2" borderId="5" xfId="1" applyNumberFormat="1" applyFont="1" applyFill="1" applyBorder="1" applyAlignment="1"/>
    <xf numFmtId="10" fontId="4" fillId="2" borderId="5" xfId="3" applyNumberFormat="1" applyFont="1" applyFill="1" applyBorder="1" applyAlignment="1"/>
    <xf numFmtId="43" fontId="4" fillId="2" borderId="4" xfId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Border="1" applyAlignment="1"/>
    <xf numFmtId="10" fontId="4" fillId="0" borderId="0" xfId="3" applyNumberFormat="1" applyFont="1" applyBorder="1" applyAlignment="1"/>
    <xf numFmtId="0" fontId="3" fillId="0" borderId="2" xfId="0" applyFont="1" applyFill="1" applyBorder="1" applyAlignment="1">
      <alignment horizontal="left"/>
    </xf>
    <xf numFmtId="164" fontId="4" fillId="0" borderId="2" xfId="1" applyNumberFormat="1" applyFont="1" applyFill="1" applyBorder="1" applyAlignment="1"/>
    <xf numFmtId="164" fontId="4" fillId="0" borderId="0" xfId="0" applyNumberFormat="1" applyFont="1" applyAlignment="1"/>
    <xf numFmtId="43" fontId="4" fillId="0" borderId="0" xfId="0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right"/>
    </xf>
    <xf numFmtId="0" fontId="6" fillId="0" borderId="0" xfId="0" applyFont="1" applyAlignme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0" xfId="2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"/>
  <sheetViews>
    <sheetView tabSelected="1" zoomScale="80" zoomScaleNormal="80" workbookViewId="0">
      <selection activeCell="F35" sqref="F35"/>
    </sheetView>
  </sheetViews>
  <sheetFormatPr defaultRowHeight="15.75" x14ac:dyDescent="0.25"/>
  <cols>
    <col min="1" max="1" width="36.85546875" style="3" bestFit="1" customWidth="1"/>
    <col min="2" max="2" width="1.42578125" style="3" customWidth="1"/>
    <col min="3" max="3" width="17.7109375" style="3" customWidth="1"/>
    <col min="4" max="7" width="16.42578125" style="3" customWidth="1"/>
    <col min="8" max="8" width="9.140625" style="3"/>
    <col min="9" max="9" width="23.85546875" style="3" bestFit="1" customWidth="1"/>
    <col min="10" max="10" width="13.28515625" style="3" bestFit="1" customWidth="1"/>
    <col min="11" max="11" width="9.140625" style="3"/>
    <col min="12" max="13" width="10.7109375" style="3" bestFit="1" customWidth="1"/>
    <col min="14" max="252" width="9.140625" style="3"/>
    <col min="253" max="253" width="6.140625" style="3" customWidth="1"/>
    <col min="254" max="254" width="1.42578125" style="3" customWidth="1"/>
    <col min="255" max="255" width="9.85546875" style="3" customWidth="1"/>
    <col min="256" max="256" width="11.42578125" style="3" customWidth="1"/>
    <col min="257" max="257" width="11.5703125" style="3" customWidth="1"/>
    <col min="258" max="258" width="10.7109375" style="3" customWidth="1"/>
    <col min="259" max="259" width="2.5703125" style="3" customWidth="1"/>
    <col min="260" max="260" width="7.85546875" style="3" customWidth="1"/>
    <col min="261" max="261" width="7" style="3" customWidth="1"/>
    <col min="262" max="262" width="8.7109375" style="3" customWidth="1"/>
    <col min="263" max="263" width="10.42578125" style="3" customWidth="1"/>
    <col min="264" max="508" width="9.140625" style="3"/>
    <col min="509" max="509" width="6.140625" style="3" customWidth="1"/>
    <col min="510" max="510" width="1.42578125" style="3" customWidth="1"/>
    <col min="511" max="511" width="9.85546875" style="3" customWidth="1"/>
    <col min="512" max="512" width="11.42578125" style="3" customWidth="1"/>
    <col min="513" max="513" width="11.5703125" style="3" customWidth="1"/>
    <col min="514" max="514" width="10.7109375" style="3" customWidth="1"/>
    <col min="515" max="515" width="2.5703125" style="3" customWidth="1"/>
    <col min="516" max="516" width="7.85546875" style="3" customWidth="1"/>
    <col min="517" max="517" width="7" style="3" customWidth="1"/>
    <col min="518" max="518" width="8.7109375" style="3" customWidth="1"/>
    <col min="519" max="519" width="10.42578125" style="3" customWidth="1"/>
    <col min="520" max="764" width="9.140625" style="3"/>
    <col min="765" max="765" width="6.140625" style="3" customWidth="1"/>
    <col min="766" max="766" width="1.42578125" style="3" customWidth="1"/>
    <col min="767" max="767" width="9.85546875" style="3" customWidth="1"/>
    <col min="768" max="768" width="11.42578125" style="3" customWidth="1"/>
    <col min="769" max="769" width="11.5703125" style="3" customWidth="1"/>
    <col min="770" max="770" width="10.7109375" style="3" customWidth="1"/>
    <col min="771" max="771" width="2.5703125" style="3" customWidth="1"/>
    <col min="772" max="772" width="7.85546875" style="3" customWidth="1"/>
    <col min="773" max="773" width="7" style="3" customWidth="1"/>
    <col min="774" max="774" width="8.7109375" style="3" customWidth="1"/>
    <col min="775" max="775" width="10.42578125" style="3" customWidth="1"/>
    <col min="776" max="1020" width="9.140625" style="3"/>
    <col min="1021" max="1021" width="6.140625" style="3" customWidth="1"/>
    <col min="1022" max="1022" width="1.42578125" style="3" customWidth="1"/>
    <col min="1023" max="1023" width="9.85546875" style="3" customWidth="1"/>
    <col min="1024" max="1024" width="11.42578125" style="3" customWidth="1"/>
    <col min="1025" max="1025" width="11.5703125" style="3" customWidth="1"/>
    <col min="1026" max="1026" width="10.7109375" style="3" customWidth="1"/>
    <col min="1027" max="1027" width="2.5703125" style="3" customWidth="1"/>
    <col min="1028" max="1028" width="7.85546875" style="3" customWidth="1"/>
    <col min="1029" max="1029" width="7" style="3" customWidth="1"/>
    <col min="1030" max="1030" width="8.7109375" style="3" customWidth="1"/>
    <col min="1031" max="1031" width="10.42578125" style="3" customWidth="1"/>
    <col min="1032" max="1276" width="9.140625" style="3"/>
    <col min="1277" max="1277" width="6.140625" style="3" customWidth="1"/>
    <col min="1278" max="1278" width="1.42578125" style="3" customWidth="1"/>
    <col min="1279" max="1279" width="9.85546875" style="3" customWidth="1"/>
    <col min="1280" max="1280" width="11.42578125" style="3" customWidth="1"/>
    <col min="1281" max="1281" width="11.5703125" style="3" customWidth="1"/>
    <col min="1282" max="1282" width="10.7109375" style="3" customWidth="1"/>
    <col min="1283" max="1283" width="2.5703125" style="3" customWidth="1"/>
    <col min="1284" max="1284" width="7.85546875" style="3" customWidth="1"/>
    <col min="1285" max="1285" width="7" style="3" customWidth="1"/>
    <col min="1286" max="1286" width="8.7109375" style="3" customWidth="1"/>
    <col min="1287" max="1287" width="10.42578125" style="3" customWidth="1"/>
    <col min="1288" max="1532" width="9.140625" style="3"/>
    <col min="1533" max="1533" width="6.140625" style="3" customWidth="1"/>
    <col min="1534" max="1534" width="1.42578125" style="3" customWidth="1"/>
    <col min="1535" max="1535" width="9.85546875" style="3" customWidth="1"/>
    <col min="1536" max="1536" width="11.42578125" style="3" customWidth="1"/>
    <col min="1537" max="1537" width="11.5703125" style="3" customWidth="1"/>
    <col min="1538" max="1538" width="10.7109375" style="3" customWidth="1"/>
    <col min="1539" max="1539" width="2.5703125" style="3" customWidth="1"/>
    <col min="1540" max="1540" width="7.85546875" style="3" customWidth="1"/>
    <col min="1541" max="1541" width="7" style="3" customWidth="1"/>
    <col min="1542" max="1542" width="8.7109375" style="3" customWidth="1"/>
    <col min="1543" max="1543" width="10.42578125" style="3" customWidth="1"/>
    <col min="1544" max="1788" width="9.140625" style="3"/>
    <col min="1789" max="1789" width="6.140625" style="3" customWidth="1"/>
    <col min="1790" max="1790" width="1.42578125" style="3" customWidth="1"/>
    <col min="1791" max="1791" width="9.85546875" style="3" customWidth="1"/>
    <col min="1792" max="1792" width="11.42578125" style="3" customWidth="1"/>
    <col min="1793" max="1793" width="11.5703125" style="3" customWidth="1"/>
    <col min="1794" max="1794" width="10.7109375" style="3" customWidth="1"/>
    <col min="1795" max="1795" width="2.5703125" style="3" customWidth="1"/>
    <col min="1796" max="1796" width="7.85546875" style="3" customWidth="1"/>
    <col min="1797" max="1797" width="7" style="3" customWidth="1"/>
    <col min="1798" max="1798" width="8.7109375" style="3" customWidth="1"/>
    <col min="1799" max="1799" width="10.42578125" style="3" customWidth="1"/>
    <col min="1800" max="2044" width="9.140625" style="3"/>
    <col min="2045" max="2045" width="6.140625" style="3" customWidth="1"/>
    <col min="2046" max="2046" width="1.42578125" style="3" customWidth="1"/>
    <col min="2047" max="2047" width="9.85546875" style="3" customWidth="1"/>
    <col min="2048" max="2048" width="11.42578125" style="3" customWidth="1"/>
    <col min="2049" max="2049" width="11.5703125" style="3" customWidth="1"/>
    <col min="2050" max="2050" width="10.7109375" style="3" customWidth="1"/>
    <col min="2051" max="2051" width="2.5703125" style="3" customWidth="1"/>
    <col min="2052" max="2052" width="7.85546875" style="3" customWidth="1"/>
    <col min="2053" max="2053" width="7" style="3" customWidth="1"/>
    <col min="2054" max="2054" width="8.7109375" style="3" customWidth="1"/>
    <col min="2055" max="2055" width="10.42578125" style="3" customWidth="1"/>
    <col min="2056" max="2300" width="9.140625" style="3"/>
    <col min="2301" max="2301" width="6.140625" style="3" customWidth="1"/>
    <col min="2302" max="2302" width="1.42578125" style="3" customWidth="1"/>
    <col min="2303" max="2303" width="9.85546875" style="3" customWidth="1"/>
    <col min="2304" max="2304" width="11.42578125" style="3" customWidth="1"/>
    <col min="2305" max="2305" width="11.5703125" style="3" customWidth="1"/>
    <col min="2306" max="2306" width="10.7109375" style="3" customWidth="1"/>
    <col min="2307" max="2307" width="2.5703125" style="3" customWidth="1"/>
    <col min="2308" max="2308" width="7.85546875" style="3" customWidth="1"/>
    <col min="2309" max="2309" width="7" style="3" customWidth="1"/>
    <col min="2310" max="2310" width="8.7109375" style="3" customWidth="1"/>
    <col min="2311" max="2311" width="10.42578125" style="3" customWidth="1"/>
    <col min="2312" max="2556" width="9.140625" style="3"/>
    <col min="2557" max="2557" width="6.140625" style="3" customWidth="1"/>
    <col min="2558" max="2558" width="1.42578125" style="3" customWidth="1"/>
    <col min="2559" max="2559" width="9.85546875" style="3" customWidth="1"/>
    <col min="2560" max="2560" width="11.42578125" style="3" customWidth="1"/>
    <col min="2561" max="2561" width="11.5703125" style="3" customWidth="1"/>
    <col min="2562" max="2562" width="10.7109375" style="3" customWidth="1"/>
    <col min="2563" max="2563" width="2.5703125" style="3" customWidth="1"/>
    <col min="2564" max="2564" width="7.85546875" style="3" customWidth="1"/>
    <col min="2565" max="2565" width="7" style="3" customWidth="1"/>
    <col min="2566" max="2566" width="8.7109375" style="3" customWidth="1"/>
    <col min="2567" max="2567" width="10.42578125" style="3" customWidth="1"/>
    <col min="2568" max="2812" width="9.140625" style="3"/>
    <col min="2813" max="2813" width="6.140625" style="3" customWidth="1"/>
    <col min="2814" max="2814" width="1.42578125" style="3" customWidth="1"/>
    <col min="2815" max="2815" width="9.85546875" style="3" customWidth="1"/>
    <col min="2816" max="2816" width="11.42578125" style="3" customWidth="1"/>
    <col min="2817" max="2817" width="11.5703125" style="3" customWidth="1"/>
    <col min="2818" max="2818" width="10.7109375" style="3" customWidth="1"/>
    <col min="2819" max="2819" width="2.5703125" style="3" customWidth="1"/>
    <col min="2820" max="2820" width="7.85546875" style="3" customWidth="1"/>
    <col min="2821" max="2821" width="7" style="3" customWidth="1"/>
    <col min="2822" max="2822" width="8.7109375" style="3" customWidth="1"/>
    <col min="2823" max="2823" width="10.42578125" style="3" customWidth="1"/>
    <col min="2824" max="3068" width="9.140625" style="3"/>
    <col min="3069" max="3069" width="6.140625" style="3" customWidth="1"/>
    <col min="3070" max="3070" width="1.42578125" style="3" customWidth="1"/>
    <col min="3071" max="3071" width="9.85546875" style="3" customWidth="1"/>
    <col min="3072" max="3072" width="11.42578125" style="3" customWidth="1"/>
    <col min="3073" max="3073" width="11.5703125" style="3" customWidth="1"/>
    <col min="3074" max="3074" width="10.7109375" style="3" customWidth="1"/>
    <col min="3075" max="3075" width="2.5703125" style="3" customWidth="1"/>
    <col min="3076" max="3076" width="7.85546875" style="3" customWidth="1"/>
    <col min="3077" max="3077" width="7" style="3" customWidth="1"/>
    <col min="3078" max="3078" width="8.7109375" style="3" customWidth="1"/>
    <col min="3079" max="3079" width="10.42578125" style="3" customWidth="1"/>
    <col min="3080" max="3324" width="9.140625" style="3"/>
    <col min="3325" max="3325" width="6.140625" style="3" customWidth="1"/>
    <col min="3326" max="3326" width="1.42578125" style="3" customWidth="1"/>
    <col min="3327" max="3327" width="9.85546875" style="3" customWidth="1"/>
    <col min="3328" max="3328" width="11.42578125" style="3" customWidth="1"/>
    <col min="3329" max="3329" width="11.5703125" style="3" customWidth="1"/>
    <col min="3330" max="3330" width="10.7109375" style="3" customWidth="1"/>
    <col min="3331" max="3331" width="2.5703125" style="3" customWidth="1"/>
    <col min="3332" max="3332" width="7.85546875" style="3" customWidth="1"/>
    <col min="3333" max="3333" width="7" style="3" customWidth="1"/>
    <col min="3334" max="3334" width="8.7109375" style="3" customWidth="1"/>
    <col min="3335" max="3335" width="10.42578125" style="3" customWidth="1"/>
    <col min="3336" max="3580" width="9.140625" style="3"/>
    <col min="3581" max="3581" width="6.140625" style="3" customWidth="1"/>
    <col min="3582" max="3582" width="1.42578125" style="3" customWidth="1"/>
    <col min="3583" max="3583" width="9.85546875" style="3" customWidth="1"/>
    <col min="3584" max="3584" width="11.42578125" style="3" customWidth="1"/>
    <col min="3585" max="3585" width="11.5703125" style="3" customWidth="1"/>
    <col min="3586" max="3586" width="10.7109375" style="3" customWidth="1"/>
    <col min="3587" max="3587" width="2.5703125" style="3" customWidth="1"/>
    <col min="3588" max="3588" width="7.85546875" style="3" customWidth="1"/>
    <col min="3589" max="3589" width="7" style="3" customWidth="1"/>
    <col min="3590" max="3590" width="8.7109375" style="3" customWidth="1"/>
    <col min="3591" max="3591" width="10.42578125" style="3" customWidth="1"/>
    <col min="3592" max="3836" width="9.140625" style="3"/>
    <col min="3837" max="3837" width="6.140625" style="3" customWidth="1"/>
    <col min="3838" max="3838" width="1.42578125" style="3" customWidth="1"/>
    <col min="3839" max="3839" width="9.85546875" style="3" customWidth="1"/>
    <col min="3840" max="3840" width="11.42578125" style="3" customWidth="1"/>
    <col min="3841" max="3841" width="11.5703125" style="3" customWidth="1"/>
    <col min="3842" max="3842" width="10.7109375" style="3" customWidth="1"/>
    <col min="3843" max="3843" width="2.5703125" style="3" customWidth="1"/>
    <col min="3844" max="3844" width="7.85546875" style="3" customWidth="1"/>
    <col min="3845" max="3845" width="7" style="3" customWidth="1"/>
    <col min="3846" max="3846" width="8.7109375" style="3" customWidth="1"/>
    <col min="3847" max="3847" width="10.42578125" style="3" customWidth="1"/>
    <col min="3848" max="4092" width="9.140625" style="3"/>
    <col min="4093" max="4093" width="6.140625" style="3" customWidth="1"/>
    <col min="4094" max="4094" width="1.42578125" style="3" customWidth="1"/>
    <col min="4095" max="4095" width="9.85546875" style="3" customWidth="1"/>
    <col min="4096" max="4096" width="11.42578125" style="3" customWidth="1"/>
    <col min="4097" max="4097" width="11.5703125" style="3" customWidth="1"/>
    <col min="4098" max="4098" width="10.7109375" style="3" customWidth="1"/>
    <col min="4099" max="4099" width="2.5703125" style="3" customWidth="1"/>
    <col min="4100" max="4100" width="7.85546875" style="3" customWidth="1"/>
    <col min="4101" max="4101" width="7" style="3" customWidth="1"/>
    <col min="4102" max="4102" width="8.7109375" style="3" customWidth="1"/>
    <col min="4103" max="4103" width="10.42578125" style="3" customWidth="1"/>
    <col min="4104" max="4348" width="9.140625" style="3"/>
    <col min="4349" max="4349" width="6.140625" style="3" customWidth="1"/>
    <col min="4350" max="4350" width="1.42578125" style="3" customWidth="1"/>
    <col min="4351" max="4351" width="9.85546875" style="3" customWidth="1"/>
    <col min="4352" max="4352" width="11.42578125" style="3" customWidth="1"/>
    <col min="4353" max="4353" width="11.5703125" style="3" customWidth="1"/>
    <col min="4354" max="4354" width="10.7109375" style="3" customWidth="1"/>
    <col min="4355" max="4355" width="2.5703125" style="3" customWidth="1"/>
    <col min="4356" max="4356" width="7.85546875" style="3" customWidth="1"/>
    <col min="4357" max="4357" width="7" style="3" customWidth="1"/>
    <col min="4358" max="4358" width="8.7109375" style="3" customWidth="1"/>
    <col min="4359" max="4359" width="10.42578125" style="3" customWidth="1"/>
    <col min="4360" max="4604" width="9.140625" style="3"/>
    <col min="4605" max="4605" width="6.140625" style="3" customWidth="1"/>
    <col min="4606" max="4606" width="1.42578125" style="3" customWidth="1"/>
    <col min="4607" max="4607" width="9.85546875" style="3" customWidth="1"/>
    <col min="4608" max="4608" width="11.42578125" style="3" customWidth="1"/>
    <col min="4609" max="4609" width="11.5703125" style="3" customWidth="1"/>
    <col min="4610" max="4610" width="10.7109375" style="3" customWidth="1"/>
    <col min="4611" max="4611" width="2.5703125" style="3" customWidth="1"/>
    <col min="4612" max="4612" width="7.85546875" style="3" customWidth="1"/>
    <col min="4613" max="4613" width="7" style="3" customWidth="1"/>
    <col min="4614" max="4614" width="8.7109375" style="3" customWidth="1"/>
    <col min="4615" max="4615" width="10.42578125" style="3" customWidth="1"/>
    <col min="4616" max="4860" width="9.140625" style="3"/>
    <col min="4861" max="4861" width="6.140625" style="3" customWidth="1"/>
    <col min="4862" max="4862" width="1.42578125" style="3" customWidth="1"/>
    <col min="4863" max="4863" width="9.85546875" style="3" customWidth="1"/>
    <col min="4864" max="4864" width="11.42578125" style="3" customWidth="1"/>
    <col min="4865" max="4865" width="11.5703125" style="3" customWidth="1"/>
    <col min="4866" max="4866" width="10.7109375" style="3" customWidth="1"/>
    <col min="4867" max="4867" width="2.5703125" style="3" customWidth="1"/>
    <col min="4868" max="4868" width="7.85546875" style="3" customWidth="1"/>
    <col min="4869" max="4869" width="7" style="3" customWidth="1"/>
    <col min="4870" max="4870" width="8.7109375" style="3" customWidth="1"/>
    <col min="4871" max="4871" width="10.42578125" style="3" customWidth="1"/>
    <col min="4872" max="5116" width="9.140625" style="3"/>
    <col min="5117" max="5117" width="6.140625" style="3" customWidth="1"/>
    <col min="5118" max="5118" width="1.42578125" style="3" customWidth="1"/>
    <col min="5119" max="5119" width="9.85546875" style="3" customWidth="1"/>
    <col min="5120" max="5120" width="11.42578125" style="3" customWidth="1"/>
    <col min="5121" max="5121" width="11.5703125" style="3" customWidth="1"/>
    <col min="5122" max="5122" width="10.7109375" style="3" customWidth="1"/>
    <col min="5123" max="5123" width="2.5703125" style="3" customWidth="1"/>
    <col min="5124" max="5124" width="7.85546875" style="3" customWidth="1"/>
    <col min="5125" max="5125" width="7" style="3" customWidth="1"/>
    <col min="5126" max="5126" width="8.7109375" style="3" customWidth="1"/>
    <col min="5127" max="5127" width="10.42578125" style="3" customWidth="1"/>
    <col min="5128" max="5372" width="9.140625" style="3"/>
    <col min="5373" max="5373" width="6.140625" style="3" customWidth="1"/>
    <col min="5374" max="5374" width="1.42578125" style="3" customWidth="1"/>
    <col min="5375" max="5375" width="9.85546875" style="3" customWidth="1"/>
    <col min="5376" max="5376" width="11.42578125" style="3" customWidth="1"/>
    <col min="5377" max="5377" width="11.5703125" style="3" customWidth="1"/>
    <col min="5378" max="5378" width="10.7109375" style="3" customWidth="1"/>
    <col min="5379" max="5379" width="2.5703125" style="3" customWidth="1"/>
    <col min="5380" max="5380" width="7.85546875" style="3" customWidth="1"/>
    <col min="5381" max="5381" width="7" style="3" customWidth="1"/>
    <col min="5382" max="5382" width="8.7109375" style="3" customWidth="1"/>
    <col min="5383" max="5383" width="10.42578125" style="3" customWidth="1"/>
    <col min="5384" max="5628" width="9.140625" style="3"/>
    <col min="5629" max="5629" width="6.140625" style="3" customWidth="1"/>
    <col min="5630" max="5630" width="1.42578125" style="3" customWidth="1"/>
    <col min="5631" max="5631" width="9.85546875" style="3" customWidth="1"/>
    <col min="5632" max="5632" width="11.42578125" style="3" customWidth="1"/>
    <col min="5633" max="5633" width="11.5703125" style="3" customWidth="1"/>
    <col min="5634" max="5634" width="10.7109375" style="3" customWidth="1"/>
    <col min="5635" max="5635" width="2.5703125" style="3" customWidth="1"/>
    <col min="5636" max="5636" width="7.85546875" style="3" customWidth="1"/>
    <col min="5637" max="5637" width="7" style="3" customWidth="1"/>
    <col min="5638" max="5638" width="8.7109375" style="3" customWidth="1"/>
    <col min="5639" max="5639" width="10.42578125" style="3" customWidth="1"/>
    <col min="5640" max="5884" width="9.140625" style="3"/>
    <col min="5885" max="5885" width="6.140625" style="3" customWidth="1"/>
    <col min="5886" max="5886" width="1.42578125" style="3" customWidth="1"/>
    <col min="5887" max="5887" width="9.85546875" style="3" customWidth="1"/>
    <col min="5888" max="5888" width="11.42578125" style="3" customWidth="1"/>
    <col min="5889" max="5889" width="11.5703125" style="3" customWidth="1"/>
    <col min="5890" max="5890" width="10.7109375" style="3" customWidth="1"/>
    <col min="5891" max="5891" width="2.5703125" style="3" customWidth="1"/>
    <col min="5892" max="5892" width="7.85546875" style="3" customWidth="1"/>
    <col min="5893" max="5893" width="7" style="3" customWidth="1"/>
    <col min="5894" max="5894" width="8.7109375" style="3" customWidth="1"/>
    <col min="5895" max="5895" width="10.42578125" style="3" customWidth="1"/>
    <col min="5896" max="6140" width="9.140625" style="3"/>
    <col min="6141" max="6141" width="6.140625" style="3" customWidth="1"/>
    <col min="6142" max="6142" width="1.42578125" style="3" customWidth="1"/>
    <col min="6143" max="6143" width="9.85546875" style="3" customWidth="1"/>
    <col min="6144" max="6144" width="11.42578125" style="3" customWidth="1"/>
    <col min="6145" max="6145" width="11.5703125" style="3" customWidth="1"/>
    <col min="6146" max="6146" width="10.7109375" style="3" customWidth="1"/>
    <col min="6147" max="6147" width="2.5703125" style="3" customWidth="1"/>
    <col min="6148" max="6148" width="7.85546875" style="3" customWidth="1"/>
    <col min="6149" max="6149" width="7" style="3" customWidth="1"/>
    <col min="6150" max="6150" width="8.7109375" style="3" customWidth="1"/>
    <col min="6151" max="6151" width="10.42578125" style="3" customWidth="1"/>
    <col min="6152" max="6396" width="9.140625" style="3"/>
    <col min="6397" max="6397" width="6.140625" style="3" customWidth="1"/>
    <col min="6398" max="6398" width="1.42578125" style="3" customWidth="1"/>
    <col min="6399" max="6399" width="9.85546875" style="3" customWidth="1"/>
    <col min="6400" max="6400" width="11.42578125" style="3" customWidth="1"/>
    <col min="6401" max="6401" width="11.5703125" style="3" customWidth="1"/>
    <col min="6402" max="6402" width="10.7109375" style="3" customWidth="1"/>
    <col min="6403" max="6403" width="2.5703125" style="3" customWidth="1"/>
    <col min="6404" max="6404" width="7.85546875" style="3" customWidth="1"/>
    <col min="6405" max="6405" width="7" style="3" customWidth="1"/>
    <col min="6406" max="6406" width="8.7109375" style="3" customWidth="1"/>
    <col min="6407" max="6407" width="10.42578125" style="3" customWidth="1"/>
    <col min="6408" max="6652" width="9.140625" style="3"/>
    <col min="6653" max="6653" width="6.140625" style="3" customWidth="1"/>
    <col min="6654" max="6654" width="1.42578125" style="3" customWidth="1"/>
    <col min="6655" max="6655" width="9.85546875" style="3" customWidth="1"/>
    <col min="6656" max="6656" width="11.42578125" style="3" customWidth="1"/>
    <col min="6657" max="6657" width="11.5703125" style="3" customWidth="1"/>
    <col min="6658" max="6658" width="10.7109375" style="3" customWidth="1"/>
    <col min="6659" max="6659" width="2.5703125" style="3" customWidth="1"/>
    <col min="6660" max="6660" width="7.85546875" style="3" customWidth="1"/>
    <col min="6661" max="6661" width="7" style="3" customWidth="1"/>
    <col min="6662" max="6662" width="8.7109375" style="3" customWidth="1"/>
    <col min="6663" max="6663" width="10.42578125" style="3" customWidth="1"/>
    <col min="6664" max="6908" width="9.140625" style="3"/>
    <col min="6909" max="6909" width="6.140625" style="3" customWidth="1"/>
    <col min="6910" max="6910" width="1.42578125" style="3" customWidth="1"/>
    <col min="6911" max="6911" width="9.85546875" style="3" customWidth="1"/>
    <col min="6912" max="6912" width="11.42578125" style="3" customWidth="1"/>
    <col min="6913" max="6913" width="11.5703125" style="3" customWidth="1"/>
    <col min="6914" max="6914" width="10.7109375" style="3" customWidth="1"/>
    <col min="6915" max="6915" width="2.5703125" style="3" customWidth="1"/>
    <col min="6916" max="6916" width="7.85546875" style="3" customWidth="1"/>
    <col min="6917" max="6917" width="7" style="3" customWidth="1"/>
    <col min="6918" max="6918" width="8.7109375" style="3" customWidth="1"/>
    <col min="6919" max="6919" width="10.42578125" style="3" customWidth="1"/>
    <col min="6920" max="7164" width="9.140625" style="3"/>
    <col min="7165" max="7165" width="6.140625" style="3" customWidth="1"/>
    <col min="7166" max="7166" width="1.42578125" style="3" customWidth="1"/>
    <col min="7167" max="7167" width="9.85546875" style="3" customWidth="1"/>
    <col min="7168" max="7168" width="11.42578125" style="3" customWidth="1"/>
    <col min="7169" max="7169" width="11.5703125" style="3" customWidth="1"/>
    <col min="7170" max="7170" width="10.7109375" style="3" customWidth="1"/>
    <col min="7171" max="7171" width="2.5703125" style="3" customWidth="1"/>
    <col min="7172" max="7172" width="7.85546875" style="3" customWidth="1"/>
    <col min="7173" max="7173" width="7" style="3" customWidth="1"/>
    <col min="7174" max="7174" width="8.7109375" style="3" customWidth="1"/>
    <col min="7175" max="7175" width="10.42578125" style="3" customWidth="1"/>
    <col min="7176" max="7420" width="9.140625" style="3"/>
    <col min="7421" max="7421" width="6.140625" style="3" customWidth="1"/>
    <col min="7422" max="7422" width="1.42578125" style="3" customWidth="1"/>
    <col min="7423" max="7423" width="9.85546875" style="3" customWidth="1"/>
    <col min="7424" max="7424" width="11.42578125" style="3" customWidth="1"/>
    <col min="7425" max="7425" width="11.5703125" style="3" customWidth="1"/>
    <col min="7426" max="7426" width="10.7109375" style="3" customWidth="1"/>
    <col min="7427" max="7427" width="2.5703125" style="3" customWidth="1"/>
    <col min="7428" max="7428" width="7.85546875" style="3" customWidth="1"/>
    <col min="7429" max="7429" width="7" style="3" customWidth="1"/>
    <col min="7430" max="7430" width="8.7109375" style="3" customWidth="1"/>
    <col min="7431" max="7431" width="10.42578125" style="3" customWidth="1"/>
    <col min="7432" max="7676" width="9.140625" style="3"/>
    <col min="7677" max="7677" width="6.140625" style="3" customWidth="1"/>
    <col min="7678" max="7678" width="1.42578125" style="3" customWidth="1"/>
    <col min="7679" max="7679" width="9.85546875" style="3" customWidth="1"/>
    <col min="7680" max="7680" width="11.42578125" style="3" customWidth="1"/>
    <col min="7681" max="7681" width="11.5703125" style="3" customWidth="1"/>
    <col min="7682" max="7682" width="10.7109375" style="3" customWidth="1"/>
    <col min="7683" max="7683" width="2.5703125" style="3" customWidth="1"/>
    <col min="7684" max="7684" width="7.85546875" style="3" customWidth="1"/>
    <col min="7685" max="7685" width="7" style="3" customWidth="1"/>
    <col min="7686" max="7686" width="8.7109375" style="3" customWidth="1"/>
    <col min="7687" max="7687" width="10.42578125" style="3" customWidth="1"/>
    <col min="7688" max="7932" width="9.140625" style="3"/>
    <col min="7933" max="7933" width="6.140625" style="3" customWidth="1"/>
    <col min="7934" max="7934" width="1.42578125" style="3" customWidth="1"/>
    <col min="7935" max="7935" width="9.85546875" style="3" customWidth="1"/>
    <col min="7936" max="7936" width="11.42578125" style="3" customWidth="1"/>
    <col min="7937" max="7937" width="11.5703125" style="3" customWidth="1"/>
    <col min="7938" max="7938" width="10.7109375" style="3" customWidth="1"/>
    <col min="7939" max="7939" width="2.5703125" style="3" customWidth="1"/>
    <col min="7940" max="7940" width="7.85546875" style="3" customWidth="1"/>
    <col min="7941" max="7941" width="7" style="3" customWidth="1"/>
    <col min="7942" max="7942" width="8.7109375" style="3" customWidth="1"/>
    <col min="7943" max="7943" width="10.42578125" style="3" customWidth="1"/>
    <col min="7944" max="8188" width="9.140625" style="3"/>
    <col min="8189" max="8189" width="6.140625" style="3" customWidth="1"/>
    <col min="8190" max="8190" width="1.42578125" style="3" customWidth="1"/>
    <col min="8191" max="8191" width="9.85546875" style="3" customWidth="1"/>
    <col min="8192" max="8192" width="11.42578125" style="3" customWidth="1"/>
    <col min="8193" max="8193" width="11.5703125" style="3" customWidth="1"/>
    <col min="8194" max="8194" width="10.7109375" style="3" customWidth="1"/>
    <col min="8195" max="8195" width="2.5703125" style="3" customWidth="1"/>
    <col min="8196" max="8196" width="7.85546875" style="3" customWidth="1"/>
    <col min="8197" max="8197" width="7" style="3" customWidth="1"/>
    <col min="8198" max="8198" width="8.7109375" style="3" customWidth="1"/>
    <col min="8199" max="8199" width="10.42578125" style="3" customWidth="1"/>
    <col min="8200" max="8444" width="9.140625" style="3"/>
    <col min="8445" max="8445" width="6.140625" style="3" customWidth="1"/>
    <col min="8446" max="8446" width="1.42578125" style="3" customWidth="1"/>
    <col min="8447" max="8447" width="9.85546875" style="3" customWidth="1"/>
    <col min="8448" max="8448" width="11.42578125" style="3" customWidth="1"/>
    <col min="8449" max="8449" width="11.5703125" style="3" customWidth="1"/>
    <col min="8450" max="8450" width="10.7109375" style="3" customWidth="1"/>
    <col min="8451" max="8451" width="2.5703125" style="3" customWidth="1"/>
    <col min="8452" max="8452" width="7.85546875" style="3" customWidth="1"/>
    <col min="8453" max="8453" width="7" style="3" customWidth="1"/>
    <col min="8454" max="8454" width="8.7109375" style="3" customWidth="1"/>
    <col min="8455" max="8455" width="10.42578125" style="3" customWidth="1"/>
    <col min="8456" max="8700" width="9.140625" style="3"/>
    <col min="8701" max="8701" width="6.140625" style="3" customWidth="1"/>
    <col min="8702" max="8702" width="1.42578125" style="3" customWidth="1"/>
    <col min="8703" max="8703" width="9.85546875" style="3" customWidth="1"/>
    <col min="8704" max="8704" width="11.42578125" style="3" customWidth="1"/>
    <col min="8705" max="8705" width="11.5703125" style="3" customWidth="1"/>
    <col min="8706" max="8706" width="10.7109375" style="3" customWidth="1"/>
    <col min="8707" max="8707" width="2.5703125" style="3" customWidth="1"/>
    <col min="8708" max="8708" width="7.85546875" style="3" customWidth="1"/>
    <col min="8709" max="8709" width="7" style="3" customWidth="1"/>
    <col min="8710" max="8710" width="8.7109375" style="3" customWidth="1"/>
    <col min="8711" max="8711" width="10.42578125" style="3" customWidth="1"/>
    <col min="8712" max="8956" width="9.140625" style="3"/>
    <col min="8957" max="8957" width="6.140625" style="3" customWidth="1"/>
    <col min="8958" max="8958" width="1.42578125" style="3" customWidth="1"/>
    <col min="8959" max="8959" width="9.85546875" style="3" customWidth="1"/>
    <col min="8960" max="8960" width="11.42578125" style="3" customWidth="1"/>
    <col min="8961" max="8961" width="11.5703125" style="3" customWidth="1"/>
    <col min="8962" max="8962" width="10.7109375" style="3" customWidth="1"/>
    <col min="8963" max="8963" width="2.5703125" style="3" customWidth="1"/>
    <col min="8964" max="8964" width="7.85546875" style="3" customWidth="1"/>
    <col min="8965" max="8965" width="7" style="3" customWidth="1"/>
    <col min="8966" max="8966" width="8.7109375" style="3" customWidth="1"/>
    <col min="8967" max="8967" width="10.42578125" style="3" customWidth="1"/>
    <col min="8968" max="9212" width="9.140625" style="3"/>
    <col min="9213" max="9213" width="6.140625" style="3" customWidth="1"/>
    <col min="9214" max="9214" width="1.42578125" style="3" customWidth="1"/>
    <col min="9215" max="9215" width="9.85546875" style="3" customWidth="1"/>
    <col min="9216" max="9216" width="11.42578125" style="3" customWidth="1"/>
    <col min="9217" max="9217" width="11.5703125" style="3" customWidth="1"/>
    <col min="9218" max="9218" width="10.7109375" style="3" customWidth="1"/>
    <col min="9219" max="9219" width="2.5703125" style="3" customWidth="1"/>
    <col min="9220" max="9220" width="7.85546875" style="3" customWidth="1"/>
    <col min="9221" max="9221" width="7" style="3" customWidth="1"/>
    <col min="9222" max="9222" width="8.7109375" style="3" customWidth="1"/>
    <col min="9223" max="9223" width="10.42578125" style="3" customWidth="1"/>
    <col min="9224" max="9468" width="9.140625" style="3"/>
    <col min="9469" max="9469" width="6.140625" style="3" customWidth="1"/>
    <col min="9470" max="9470" width="1.42578125" style="3" customWidth="1"/>
    <col min="9471" max="9471" width="9.85546875" style="3" customWidth="1"/>
    <col min="9472" max="9472" width="11.42578125" style="3" customWidth="1"/>
    <col min="9473" max="9473" width="11.5703125" style="3" customWidth="1"/>
    <col min="9474" max="9474" width="10.7109375" style="3" customWidth="1"/>
    <col min="9475" max="9475" width="2.5703125" style="3" customWidth="1"/>
    <col min="9476" max="9476" width="7.85546875" style="3" customWidth="1"/>
    <col min="9477" max="9477" width="7" style="3" customWidth="1"/>
    <col min="9478" max="9478" width="8.7109375" style="3" customWidth="1"/>
    <col min="9479" max="9479" width="10.42578125" style="3" customWidth="1"/>
    <col min="9480" max="9724" width="9.140625" style="3"/>
    <col min="9725" max="9725" width="6.140625" style="3" customWidth="1"/>
    <col min="9726" max="9726" width="1.42578125" style="3" customWidth="1"/>
    <col min="9727" max="9727" width="9.85546875" style="3" customWidth="1"/>
    <col min="9728" max="9728" width="11.42578125" style="3" customWidth="1"/>
    <col min="9729" max="9729" width="11.5703125" style="3" customWidth="1"/>
    <col min="9730" max="9730" width="10.7109375" style="3" customWidth="1"/>
    <col min="9731" max="9731" width="2.5703125" style="3" customWidth="1"/>
    <col min="9732" max="9732" width="7.85546875" style="3" customWidth="1"/>
    <col min="9733" max="9733" width="7" style="3" customWidth="1"/>
    <col min="9734" max="9734" width="8.7109375" style="3" customWidth="1"/>
    <col min="9735" max="9735" width="10.42578125" style="3" customWidth="1"/>
    <col min="9736" max="9980" width="9.140625" style="3"/>
    <col min="9981" max="9981" width="6.140625" style="3" customWidth="1"/>
    <col min="9982" max="9982" width="1.42578125" style="3" customWidth="1"/>
    <col min="9983" max="9983" width="9.85546875" style="3" customWidth="1"/>
    <col min="9984" max="9984" width="11.42578125" style="3" customWidth="1"/>
    <col min="9985" max="9985" width="11.5703125" style="3" customWidth="1"/>
    <col min="9986" max="9986" width="10.7109375" style="3" customWidth="1"/>
    <col min="9987" max="9987" width="2.5703125" style="3" customWidth="1"/>
    <col min="9988" max="9988" width="7.85546875" style="3" customWidth="1"/>
    <col min="9989" max="9989" width="7" style="3" customWidth="1"/>
    <col min="9990" max="9990" width="8.7109375" style="3" customWidth="1"/>
    <col min="9991" max="9991" width="10.42578125" style="3" customWidth="1"/>
    <col min="9992" max="10236" width="9.140625" style="3"/>
    <col min="10237" max="10237" width="6.140625" style="3" customWidth="1"/>
    <col min="10238" max="10238" width="1.42578125" style="3" customWidth="1"/>
    <col min="10239" max="10239" width="9.85546875" style="3" customWidth="1"/>
    <col min="10240" max="10240" width="11.42578125" style="3" customWidth="1"/>
    <col min="10241" max="10241" width="11.5703125" style="3" customWidth="1"/>
    <col min="10242" max="10242" width="10.7109375" style="3" customWidth="1"/>
    <col min="10243" max="10243" width="2.5703125" style="3" customWidth="1"/>
    <col min="10244" max="10244" width="7.85546875" style="3" customWidth="1"/>
    <col min="10245" max="10245" width="7" style="3" customWidth="1"/>
    <col min="10246" max="10246" width="8.7109375" style="3" customWidth="1"/>
    <col min="10247" max="10247" width="10.42578125" style="3" customWidth="1"/>
    <col min="10248" max="10492" width="9.140625" style="3"/>
    <col min="10493" max="10493" width="6.140625" style="3" customWidth="1"/>
    <col min="10494" max="10494" width="1.42578125" style="3" customWidth="1"/>
    <col min="10495" max="10495" width="9.85546875" style="3" customWidth="1"/>
    <col min="10496" max="10496" width="11.42578125" style="3" customWidth="1"/>
    <col min="10497" max="10497" width="11.5703125" style="3" customWidth="1"/>
    <col min="10498" max="10498" width="10.7109375" style="3" customWidth="1"/>
    <col min="10499" max="10499" width="2.5703125" style="3" customWidth="1"/>
    <col min="10500" max="10500" width="7.85546875" style="3" customWidth="1"/>
    <col min="10501" max="10501" width="7" style="3" customWidth="1"/>
    <col min="10502" max="10502" width="8.7109375" style="3" customWidth="1"/>
    <col min="10503" max="10503" width="10.42578125" style="3" customWidth="1"/>
    <col min="10504" max="10748" width="9.140625" style="3"/>
    <col min="10749" max="10749" width="6.140625" style="3" customWidth="1"/>
    <col min="10750" max="10750" width="1.42578125" style="3" customWidth="1"/>
    <col min="10751" max="10751" width="9.85546875" style="3" customWidth="1"/>
    <col min="10752" max="10752" width="11.42578125" style="3" customWidth="1"/>
    <col min="10753" max="10753" width="11.5703125" style="3" customWidth="1"/>
    <col min="10754" max="10754" width="10.7109375" style="3" customWidth="1"/>
    <col min="10755" max="10755" width="2.5703125" style="3" customWidth="1"/>
    <col min="10756" max="10756" width="7.85546875" style="3" customWidth="1"/>
    <col min="10757" max="10757" width="7" style="3" customWidth="1"/>
    <col min="10758" max="10758" width="8.7109375" style="3" customWidth="1"/>
    <col min="10759" max="10759" width="10.42578125" style="3" customWidth="1"/>
    <col min="10760" max="11004" width="9.140625" style="3"/>
    <col min="11005" max="11005" width="6.140625" style="3" customWidth="1"/>
    <col min="11006" max="11006" width="1.42578125" style="3" customWidth="1"/>
    <col min="11007" max="11007" width="9.85546875" style="3" customWidth="1"/>
    <col min="11008" max="11008" width="11.42578125" style="3" customWidth="1"/>
    <col min="11009" max="11009" width="11.5703125" style="3" customWidth="1"/>
    <col min="11010" max="11010" width="10.7109375" style="3" customWidth="1"/>
    <col min="11011" max="11011" width="2.5703125" style="3" customWidth="1"/>
    <col min="11012" max="11012" width="7.85546875" style="3" customWidth="1"/>
    <col min="11013" max="11013" width="7" style="3" customWidth="1"/>
    <col min="11014" max="11014" width="8.7109375" style="3" customWidth="1"/>
    <col min="11015" max="11015" width="10.42578125" style="3" customWidth="1"/>
    <col min="11016" max="11260" width="9.140625" style="3"/>
    <col min="11261" max="11261" width="6.140625" style="3" customWidth="1"/>
    <col min="11262" max="11262" width="1.42578125" style="3" customWidth="1"/>
    <col min="11263" max="11263" width="9.85546875" style="3" customWidth="1"/>
    <col min="11264" max="11264" width="11.42578125" style="3" customWidth="1"/>
    <col min="11265" max="11265" width="11.5703125" style="3" customWidth="1"/>
    <col min="11266" max="11266" width="10.7109375" style="3" customWidth="1"/>
    <col min="11267" max="11267" width="2.5703125" style="3" customWidth="1"/>
    <col min="11268" max="11268" width="7.85546875" style="3" customWidth="1"/>
    <col min="11269" max="11269" width="7" style="3" customWidth="1"/>
    <col min="11270" max="11270" width="8.7109375" style="3" customWidth="1"/>
    <col min="11271" max="11271" width="10.42578125" style="3" customWidth="1"/>
    <col min="11272" max="11516" width="9.140625" style="3"/>
    <col min="11517" max="11517" width="6.140625" style="3" customWidth="1"/>
    <col min="11518" max="11518" width="1.42578125" style="3" customWidth="1"/>
    <col min="11519" max="11519" width="9.85546875" style="3" customWidth="1"/>
    <col min="11520" max="11520" width="11.42578125" style="3" customWidth="1"/>
    <col min="11521" max="11521" width="11.5703125" style="3" customWidth="1"/>
    <col min="11522" max="11522" width="10.7109375" style="3" customWidth="1"/>
    <col min="11523" max="11523" width="2.5703125" style="3" customWidth="1"/>
    <col min="11524" max="11524" width="7.85546875" style="3" customWidth="1"/>
    <col min="11525" max="11525" width="7" style="3" customWidth="1"/>
    <col min="11526" max="11526" width="8.7109375" style="3" customWidth="1"/>
    <col min="11527" max="11527" width="10.42578125" style="3" customWidth="1"/>
    <col min="11528" max="11772" width="9.140625" style="3"/>
    <col min="11773" max="11773" width="6.140625" style="3" customWidth="1"/>
    <col min="11774" max="11774" width="1.42578125" style="3" customWidth="1"/>
    <col min="11775" max="11775" width="9.85546875" style="3" customWidth="1"/>
    <col min="11776" max="11776" width="11.42578125" style="3" customWidth="1"/>
    <col min="11777" max="11777" width="11.5703125" style="3" customWidth="1"/>
    <col min="11778" max="11778" width="10.7109375" style="3" customWidth="1"/>
    <col min="11779" max="11779" width="2.5703125" style="3" customWidth="1"/>
    <col min="11780" max="11780" width="7.85546875" style="3" customWidth="1"/>
    <col min="11781" max="11781" width="7" style="3" customWidth="1"/>
    <col min="11782" max="11782" width="8.7109375" style="3" customWidth="1"/>
    <col min="11783" max="11783" width="10.42578125" style="3" customWidth="1"/>
    <col min="11784" max="12028" width="9.140625" style="3"/>
    <col min="12029" max="12029" width="6.140625" style="3" customWidth="1"/>
    <col min="12030" max="12030" width="1.42578125" style="3" customWidth="1"/>
    <col min="12031" max="12031" width="9.85546875" style="3" customWidth="1"/>
    <col min="12032" max="12032" width="11.42578125" style="3" customWidth="1"/>
    <col min="12033" max="12033" width="11.5703125" style="3" customWidth="1"/>
    <col min="12034" max="12034" width="10.7109375" style="3" customWidth="1"/>
    <col min="12035" max="12035" width="2.5703125" style="3" customWidth="1"/>
    <col min="12036" max="12036" width="7.85546875" style="3" customWidth="1"/>
    <col min="12037" max="12037" width="7" style="3" customWidth="1"/>
    <col min="12038" max="12038" width="8.7109375" style="3" customWidth="1"/>
    <col min="12039" max="12039" width="10.42578125" style="3" customWidth="1"/>
    <col min="12040" max="12284" width="9.140625" style="3"/>
    <col min="12285" max="12285" width="6.140625" style="3" customWidth="1"/>
    <col min="12286" max="12286" width="1.42578125" style="3" customWidth="1"/>
    <col min="12287" max="12287" width="9.85546875" style="3" customWidth="1"/>
    <col min="12288" max="12288" width="11.42578125" style="3" customWidth="1"/>
    <col min="12289" max="12289" width="11.5703125" style="3" customWidth="1"/>
    <col min="12290" max="12290" width="10.7109375" style="3" customWidth="1"/>
    <col min="12291" max="12291" width="2.5703125" style="3" customWidth="1"/>
    <col min="12292" max="12292" width="7.85546875" style="3" customWidth="1"/>
    <col min="12293" max="12293" width="7" style="3" customWidth="1"/>
    <col min="12294" max="12294" width="8.7109375" style="3" customWidth="1"/>
    <col min="12295" max="12295" width="10.42578125" style="3" customWidth="1"/>
    <col min="12296" max="12540" width="9.140625" style="3"/>
    <col min="12541" max="12541" width="6.140625" style="3" customWidth="1"/>
    <col min="12542" max="12542" width="1.42578125" style="3" customWidth="1"/>
    <col min="12543" max="12543" width="9.85546875" style="3" customWidth="1"/>
    <col min="12544" max="12544" width="11.42578125" style="3" customWidth="1"/>
    <col min="12545" max="12545" width="11.5703125" style="3" customWidth="1"/>
    <col min="12546" max="12546" width="10.7109375" style="3" customWidth="1"/>
    <col min="12547" max="12547" width="2.5703125" style="3" customWidth="1"/>
    <col min="12548" max="12548" width="7.85546875" style="3" customWidth="1"/>
    <col min="12549" max="12549" width="7" style="3" customWidth="1"/>
    <col min="12550" max="12550" width="8.7109375" style="3" customWidth="1"/>
    <col min="12551" max="12551" width="10.42578125" style="3" customWidth="1"/>
    <col min="12552" max="12796" width="9.140625" style="3"/>
    <col min="12797" max="12797" width="6.140625" style="3" customWidth="1"/>
    <col min="12798" max="12798" width="1.42578125" style="3" customWidth="1"/>
    <col min="12799" max="12799" width="9.85546875" style="3" customWidth="1"/>
    <col min="12800" max="12800" width="11.42578125" style="3" customWidth="1"/>
    <col min="12801" max="12801" width="11.5703125" style="3" customWidth="1"/>
    <col min="12802" max="12802" width="10.7109375" style="3" customWidth="1"/>
    <col min="12803" max="12803" width="2.5703125" style="3" customWidth="1"/>
    <col min="12804" max="12804" width="7.85546875" style="3" customWidth="1"/>
    <col min="12805" max="12805" width="7" style="3" customWidth="1"/>
    <col min="12806" max="12806" width="8.7109375" style="3" customWidth="1"/>
    <col min="12807" max="12807" width="10.42578125" style="3" customWidth="1"/>
    <col min="12808" max="13052" width="9.140625" style="3"/>
    <col min="13053" max="13053" width="6.140625" style="3" customWidth="1"/>
    <col min="13054" max="13054" width="1.42578125" style="3" customWidth="1"/>
    <col min="13055" max="13055" width="9.85546875" style="3" customWidth="1"/>
    <col min="13056" max="13056" width="11.42578125" style="3" customWidth="1"/>
    <col min="13057" max="13057" width="11.5703125" style="3" customWidth="1"/>
    <col min="13058" max="13058" width="10.7109375" style="3" customWidth="1"/>
    <col min="13059" max="13059" width="2.5703125" style="3" customWidth="1"/>
    <col min="13060" max="13060" width="7.85546875" style="3" customWidth="1"/>
    <col min="13061" max="13061" width="7" style="3" customWidth="1"/>
    <col min="13062" max="13062" width="8.7109375" style="3" customWidth="1"/>
    <col min="13063" max="13063" width="10.42578125" style="3" customWidth="1"/>
    <col min="13064" max="13308" width="9.140625" style="3"/>
    <col min="13309" max="13309" width="6.140625" style="3" customWidth="1"/>
    <col min="13310" max="13310" width="1.42578125" style="3" customWidth="1"/>
    <col min="13311" max="13311" width="9.85546875" style="3" customWidth="1"/>
    <col min="13312" max="13312" width="11.42578125" style="3" customWidth="1"/>
    <col min="13313" max="13313" width="11.5703125" style="3" customWidth="1"/>
    <col min="13314" max="13314" width="10.7109375" style="3" customWidth="1"/>
    <col min="13315" max="13315" width="2.5703125" style="3" customWidth="1"/>
    <col min="13316" max="13316" width="7.85546875" style="3" customWidth="1"/>
    <col min="13317" max="13317" width="7" style="3" customWidth="1"/>
    <col min="13318" max="13318" width="8.7109375" style="3" customWidth="1"/>
    <col min="13319" max="13319" width="10.42578125" style="3" customWidth="1"/>
    <col min="13320" max="13564" width="9.140625" style="3"/>
    <col min="13565" max="13565" width="6.140625" style="3" customWidth="1"/>
    <col min="13566" max="13566" width="1.42578125" style="3" customWidth="1"/>
    <col min="13567" max="13567" width="9.85546875" style="3" customWidth="1"/>
    <col min="13568" max="13568" width="11.42578125" style="3" customWidth="1"/>
    <col min="13569" max="13569" width="11.5703125" style="3" customWidth="1"/>
    <col min="13570" max="13570" width="10.7109375" style="3" customWidth="1"/>
    <col min="13571" max="13571" width="2.5703125" style="3" customWidth="1"/>
    <col min="13572" max="13572" width="7.85546875" style="3" customWidth="1"/>
    <col min="13573" max="13573" width="7" style="3" customWidth="1"/>
    <col min="13574" max="13574" width="8.7109375" style="3" customWidth="1"/>
    <col min="13575" max="13575" width="10.42578125" style="3" customWidth="1"/>
    <col min="13576" max="13820" width="9.140625" style="3"/>
    <col min="13821" max="13821" width="6.140625" style="3" customWidth="1"/>
    <col min="13822" max="13822" width="1.42578125" style="3" customWidth="1"/>
    <col min="13823" max="13823" width="9.85546875" style="3" customWidth="1"/>
    <col min="13824" max="13824" width="11.42578125" style="3" customWidth="1"/>
    <col min="13825" max="13825" width="11.5703125" style="3" customWidth="1"/>
    <col min="13826" max="13826" width="10.7109375" style="3" customWidth="1"/>
    <col min="13827" max="13827" width="2.5703125" style="3" customWidth="1"/>
    <col min="13828" max="13828" width="7.85546875" style="3" customWidth="1"/>
    <col min="13829" max="13829" width="7" style="3" customWidth="1"/>
    <col min="13830" max="13830" width="8.7109375" style="3" customWidth="1"/>
    <col min="13831" max="13831" width="10.42578125" style="3" customWidth="1"/>
    <col min="13832" max="14076" width="9.140625" style="3"/>
    <col min="14077" max="14077" width="6.140625" style="3" customWidth="1"/>
    <col min="14078" max="14078" width="1.42578125" style="3" customWidth="1"/>
    <col min="14079" max="14079" width="9.85546875" style="3" customWidth="1"/>
    <col min="14080" max="14080" width="11.42578125" style="3" customWidth="1"/>
    <col min="14081" max="14081" width="11.5703125" style="3" customWidth="1"/>
    <col min="14082" max="14082" width="10.7109375" style="3" customWidth="1"/>
    <col min="14083" max="14083" width="2.5703125" style="3" customWidth="1"/>
    <col min="14084" max="14084" width="7.85546875" style="3" customWidth="1"/>
    <col min="14085" max="14085" width="7" style="3" customWidth="1"/>
    <col min="14086" max="14086" width="8.7109375" style="3" customWidth="1"/>
    <col min="14087" max="14087" width="10.42578125" style="3" customWidth="1"/>
    <col min="14088" max="14332" width="9.140625" style="3"/>
    <col min="14333" max="14333" width="6.140625" style="3" customWidth="1"/>
    <col min="14334" max="14334" width="1.42578125" style="3" customWidth="1"/>
    <col min="14335" max="14335" width="9.85546875" style="3" customWidth="1"/>
    <col min="14336" max="14336" width="11.42578125" style="3" customWidth="1"/>
    <col min="14337" max="14337" width="11.5703125" style="3" customWidth="1"/>
    <col min="14338" max="14338" width="10.7109375" style="3" customWidth="1"/>
    <col min="14339" max="14339" width="2.5703125" style="3" customWidth="1"/>
    <col min="14340" max="14340" width="7.85546875" style="3" customWidth="1"/>
    <col min="14341" max="14341" width="7" style="3" customWidth="1"/>
    <col min="14342" max="14342" width="8.7109375" style="3" customWidth="1"/>
    <col min="14343" max="14343" width="10.42578125" style="3" customWidth="1"/>
    <col min="14344" max="14588" width="9.140625" style="3"/>
    <col min="14589" max="14589" width="6.140625" style="3" customWidth="1"/>
    <col min="14590" max="14590" width="1.42578125" style="3" customWidth="1"/>
    <col min="14591" max="14591" width="9.85546875" style="3" customWidth="1"/>
    <col min="14592" max="14592" width="11.42578125" style="3" customWidth="1"/>
    <col min="14593" max="14593" width="11.5703125" style="3" customWidth="1"/>
    <col min="14594" max="14594" width="10.7109375" style="3" customWidth="1"/>
    <col min="14595" max="14595" width="2.5703125" style="3" customWidth="1"/>
    <col min="14596" max="14596" width="7.85546875" style="3" customWidth="1"/>
    <col min="14597" max="14597" width="7" style="3" customWidth="1"/>
    <col min="14598" max="14598" width="8.7109375" style="3" customWidth="1"/>
    <col min="14599" max="14599" width="10.42578125" style="3" customWidth="1"/>
    <col min="14600" max="14844" width="9.140625" style="3"/>
    <col min="14845" max="14845" width="6.140625" style="3" customWidth="1"/>
    <col min="14846" max="14846" width="1.42578125" style="3" customWidth="1"/>
    <col min="14847" max="14847" width="9.85546875" style="3" customWidth="1"/>
    <col min="14848" max="14848" width="11.42578125" style="3" customWidth="1"/>
    <col min="14849" max="14849" width="11.5703125" style="3" customWidth="1"/>
    <col min="14850" max="14850" width="10.7109375" style="3" customWidth="1"/>
    <col min="14851" max="14851" width="2.5703125" style="3" customWidth="1"/>
    <col min="14852" max="14852" width="7.85546875" style="3" customWidth="1"/>
    <col min="14853" max="14853" width="7" style="3" customWidth="1"/>
    <col min="14854" max="14854" width="8.7109375" style="3" customWidth="1"/>
    <col min="14855" max="14855" width="10.42578125" style="3" customWidth="1"/>
    <col min="14856" max="15100" width="9.140625" style="3"/>
    <col min="15101" max="15101" width="6.140625" style="3" customWidth="1"/>
    <col min="15102" max="15102" width="1.42578125" style="3" customWidth="1"/>
    <col min="15103" max="15103" width="9.85546875" style="3" customWidth="1"/>
    <col min="15104" max="15104" width="11.42578125" style="3" customWidth="1"/>
    <col min="15105" max="15105" width="11.5703125" style="3" customWidth="1"/>
    <col min="15106" max="15106" width="10.7109375" style="3" customWidth="1"/>
    <col min="15107" max="15107" width="2.5703125" style="3" customWidth="1"/>
    <col min="15108" max="15108" width="7.85546875" style="3" customWidth="1"/>
    <col min="15109" max="15109" width="7" style="3" customWidth="1"/>
    <col min="15110" max="15110" width="8.7109375" style="3" customWidth="1"/>
    <col min="15111" max="15111" width="10.42578125" style="3" customWidth="1"/>
    <col min="15112" max="15356" width="9.140625" style="3"/>
    <col min="15357" max="15357" width="6.140625" style="3" customWidth="1"/>
    <col min="15358" max="15358" width="1.42578125" style="3" customWidth="1"/>
    <col min="15359" max="15359" width="9.85546875" style="3" customWidth="1"/>
    <col min="15360" max="15360" width="11.42578125" style="3" customWidth="1"/>
    <col min="15361" max="15361" width="11.5703125" style="3" customWidth="1"/>
    <col min="15362" max="15362" width="10.7109375" style="3" customWidth="1"/>
    <col min="15363" max="15363" width="2.5703125" style="3" customWidth="1"/>
    <col min="15364" max="15364" width="7.85546875" style="3" customWidth="1"/>
    <col min="15365" max="15365" width="7" style="3" customWidth="1"/>
    <col min="15366" max="15366" width="8.7109375" style="3" customWidth="1"/>
    <col min="15367" max="15367" width="10.42578125" style="3" customWidth="1"/>
    <col min="15368" max="15612" width="9.140625" style="3"/>
    <col min="15613" max="15613" width="6.140625" style="3" customWidth="1"/>
    <col min="15614" max="15614" width="1.42578125" style="3" customWidth="1"/>
    <col min="15615" max="15615" width="9.85546875" style="3" customWidth="1"/>
    <col min="15616" max="15616" width="11.42578125" style="3" customWidth="1"/>
    <col min="15617" max="15617" width="11.5703125" style="3" customWidth="1"/>
    <col min="15618" max="15618" width="10.7109375" style="3" customWidth="1"/>
    <col min="15619" max="15619" width="2.5703125" style="3" customWidth="1"/>
    <col min="15620" max="15620" width="7.85546875" style="3" customWidth="1"/>
    <col min="15621" max="15621" width="7" style="3" customWidth="1"/>
    <col min="15622" max="15622" width="8.7109375" style="3" customWidth="1"/>
    <col min="15623" max="15623" width="10.42578125" style="3" customWidth="1"/>
    <col min="15624" max="15868" width="9.140625" style="3"/>
    <col min="15869" max="15869" width="6.140625" style="3" customWidth="1"/>
    <col min="15870" max="15870" width="1.42578125" style="3" customWidth="1"/>
    <col min="15871" max="15871" width="9.85546875" style="3" customWidth="1"/>
    <col min="15872" max="15872" width="11.42578125" style="3" customWidth="1"/>
    <col min="15873" max="15873" width="11.5703125" style="3" customWidth="1"/>
    <col min="15874" max="15874" width="10.7109375" style="3" customWidth="1"/>
    <col min="15875" max="15875" width="2.5703125" style="3" customWidth="1"/>
    <col min="15876" max="15876" width="7.85546875" style="3" customWidth="1"/>
    <col min="15877" max="15877" width="7" style="3" customWidth="1"/>
    <col min="15878" max="15878" width="8.7109375" style="3" customWidth="1"/>
    <col min="15879" max="15879" width="10.42578125" style="3" customWidth="1"/>
    <col min="15880" max="16124" width="9.140625" style="3"/>
    <col min="16125" max="16125" width="6.140625" style="3" customWidth="1"/>
    <col min="16126" max="16126" width="1.42578125" style="3" customWidth="1"/>
    <col min="16127" max="16127" width="9.85546875" style="3" customWidth="1"/>
    <col min="16128" max="16128" width="11.42578125" style="3" customWidth="1"/>
    <col min="16129" max="16129" width="11.5703125" style="3" customWidth="1"/>
    <col min="16130" max="16130" width="10.7109375" style="3" customWidth="1"/>
    <col min="16131" max="16131" width="2.5703125" style="3" customWidth="1"/>
    <col min="16132" max="16132" width="7.85546875" style="3" customWidth="1"/>
    <col min="16133" max="16133" width="7" style="3" customWidth="1"/>
    <col min="16134" max="16134" width="8.7109375" style="3" customWidth="1"/>
    <col min="16135" max="16135" width="10.42578125" style="3" customWidth="1"/>
    <col min="16136" max="16384" width="9.140625" style="3"/>
  </cols>
  <sheetData>
    <row r="1" spans="1:11" x14ac:dyDescent="0.25">
      <c r="A1" s="1" t="s">
        <v>0</v>
      </c>
      <c r="B1" s="1"/>
      <c r="C1" s="1"/>
      <c r="D1" s="2"/>
      <c r="E1" s="2"/>
      <c r="F1" s="2"/>
      <c r="G1" s="31"/>
    </row>
    <row r="2" spans="1:11" x14ac:dyDescent="0.25">
      <c r="G2" s="22"/>
      <c r="I2" s="30" t="s">
        <v>19</v>
      </c>
      <c r="J2" s="33">
        <f>SUM(J3:J5)</f>
        <v>132591.05602049141</v>
      </c>
    </row>
    <row r="3" spans="1:11" x14ac:dyDescent="0.25">
      <c r="A3" s="4" t="s">
        <v>1</v>
      </c>
      <c r="G3" s="22"/>
      <c r="I3" s="30" t="s">
        <v>17</v>
      </c>
      <c r="J3" s="33">
        <f>C20</f>
        <v>2500</v>
      </c>
    </row>
    <row r="4" spans="1:11" x14ac:dyDescent="0.25">
      <c r="A4" s="5" t="s">
        <v>2</v>
      </c>
      <c r="B4" s="5"/>
      <c r="C4" s="5"/>
      <c r="D4" s="5"/>
      <c r="E4" s="6"/>
      <c r="F4" s="20">
        <v>100000</v>
      </c>
      <c r="G4" s="9"/>
      <c r="I4" s="30" t="s">
        <v>18</v>
      </c>
      <c r="J4" s="33">
        <f>SUM(D20:D260)</f>
        <v>100000.00000000001</v>
      </c>
      <c r="K4" s="29" t="str">
        <f>IF(J4=F4,"","error")</f>
        <v/>
      </c>
    </row>
    <row r="5" spans="1:11" x14ac:dyDescent="0.25">
      <c r="A5" s="8" t="s">
        <v>11</v>
      </c>
      <c r="B5" s="8"/>
      <c r="C5" s="8"/>
      <c r="D5" s="8"/>
      <c r="F5" s="19">
        <v>9.5000000000000001E-2</v>
      </c>
      <c r="G5" s="9"/>
      <c r="I5" s="30" t="s">
        <v>7</v>
      </c>
      <c r="J5" s="33">
        <f>SUM(E20:E260)</f>
        <v>30091.056020491389</v>
      </c>
    </row>
    <row r="6" spans="1:11" x14ac:dyDescent="0.25">
      <c r="A6" s="8" t="s">
        <v>10</v>
      </c>
      <c r="B6" s="8"/>
      <c r="C6" s="8"/>
      <c r="D6" s="8"/>
      <c r="F6" s="19">
        <v>2.5000000000000001E-2</v>
      </c>
      <c r="G6" s="9"/>
    </row>
    <row r="7" spans="1:11" x14ac:dyDescent="0.25">
      <c r="A7" s="8" t="s">
        <v>14</v>
      </c>
      <c r="B7" s="8"/>
      <c r="C7" s="8"/>
      <c r="D7" s="8"/>
      <c r="F7" s="18">
        <v>5</v>
      </c>
      <c r="G7" s="9"/>
    </row>
    <row r="8" spans="1:11" x14ac:dyDescent="0.25">
      <c r="A8" s="8" t="s">
        <v>20</v>
      </c>
      <c r="B8" s="8"/>
      <c r="C8" s="8"/>
      <c r="D8" s="8"/>
      <c r="F8" s="18">
        <v>12</v>
      </c>
      <c r="G8" s="9"/>
    </row>
    <row r="9" spans="1:11" x14ac:dyDescent="0.25">
      <c r="A9" s="8"/>
      <c r="B9" s="8"/>
      <c r="C9" s="8"/>
      <c r="D9" s="8"/>
      <c r="F9" s="10"/>
      <c r="G9" s="9"/>
    </row>
    <row r="10" spans="1:11" x14ac:dyDescent="0.25">
      <c r="A10" s="11" t="s">
        <v>3</v>
      </c>
      <c r="B10" s="8"/>
      <c r="C10" s="8"/>
      <c r="D10" s="8"/>
      <c r="F10" s="10"/>
      <c r="G10" s="9"/>
    </row>
    <row r="11" spans="1:11" x14ac:dyDescent="0.25">
      <c r="A11" s="24" t="s">
        <v>13</v>
      </c>
      <c r="B11" s="5"/>
      <c r="C11" s="5"/>
      <c r="D11" s="5"/>
      <c r="E11" s="6"/>
      <c r="F11" s="25">
        <f>F7*12</f>
        <v>60</v>
      </c>
      <c r="G11" s="7" t="s">
        <v>24</v>
      </c>
    </row>
    <row r="12" spans="1:11" x14ac:dyDescent="0.25">
      <c r="A12" s="21" t="s">
        <v>21</v>
      </c>
      <c r="B12" s="8"/>
      <c r="C12" s="8"/>
      <c r="D12" s="8"/>
      <c r="E12" s="22"/>
      <c r="F12" s="10">
        <f>F8+1</f>
        <v>13</v>
      </c>
      <c r="G12" s="9" t="s">
        <v>24</v>
      </c>
    </row>
    <row r="13" spans="1:11" x14ac:dyDescent="0.25">
      <c r="A13" s="21" t="s">
        <v>16</v>
      </c>
      <c r="B13" s="8"/>
      <c r="C13" s="8"/>
      <c r="D13" s="8"/>
      <c r="E13" s="22"/>
      <c r="F13" s="28">
        <v>12</v>
      </c>
      <c r="G13" s="9" t="s">
        <v>15</v>
      </c>
    </row>
    <row r="14" spans="1:11" x14ac:dyDescent="0.25">
      <c r="A14" s="22" t="s">
        <v>23</v>
      </c>
      <c r="B14" s="22"/>
      <c r="C14" s="22"/>
      <c r="D14" s="22"/>
      <c r="E14" s="22"/>
      <c r="F14" s="23">
        <f>F5/F13</f>
        <v>7.9166666666666673E-3</v>
      </c>
      <c r="G14" s="22" t="s">
        <v>4</v>
      </c>
    </row>
    <row r="15" spans="1:11" x14ac:dyDescent="0.25">
      <c r="A15" s="3" t="s">
        <v>22</v>
      </c>
      <c r="F15" s="26">
        <f>F11-F8</f>
        <v>48</v>
      </c>
      <c r="G15" s="3" t="s">
        <v>5</v>
      </c>
    </row>
    <row r="16" spans="1:11" x14ac:dyDescent="0.25">
      <c r="F16" s="12"/>
    </row>
    <row r="18" spans="1:13" x14ac:dyDescent="0.25">
      <c r="B18" s="4"/>
      <c r="C18" s="4"/>
      <c r="D18" s="4" t="s">
        <v>6</v>
      </c>
      <c r="F18" s="13"/>
    </row>
    <row r="19" spans="1:13" x14ac:dyDescent="0.25">
      <c r="A19" s="32" t="s">
        <v>25</v>
      </c>
      <c r="B19" s="13"/>
      <c r="C19" s="14" t="s">
        <v>12</v>
      </c>
      <c r="D19" s="14" t="s">
        <v>18</v>
      </c>
      <c r="E19" s="14" t="s">
        <v>7</v>
      </c>
      <c r="F19" s="14" t="s">
        <v>8</v>
      </c>
      <c r="G19" s="14" t="s">
        <v>9</v>
      </c>
    </row>
    <row r="20" spans="1:13" x14ac:dyDescent="0.25">
      <c r="A20" s="15">
        <v>0</v>
      </c>
      <c r="B20" s="15"/>
      <c r="C20" s="27">
        <f>F4*F6</f>
        <v>2500</v>
      </c>
      <c r="D20" s="16"/>
      <c r="E20" s="16"/>
      <c r="F20" s="16">
        <f>C20</f>
        <v>2500</v>
      </c>
      <c r="G20" s="17">
        <f>F4</f>
        <v>100000</v>
      </c>
    </row>
    <row r="21" spans="1:13" x14ac:dyDescent="0.25">
      <c r="A21" s="15">
        <v>1</v>
      </c>
      <c r="B21" s="15"/>
      <c r="C21" s="15"/>
      <c r="D21" s="16">
        <f t="shared" ref="D21:D84" si="0">IF(AND($A21&gt;=$F$12,$A21&lt;=$F$11),-PPMT($F$14,A21-$F$8,$F$15,$F$4),0)</f>
        <v>0</v>
      </c>
      <c r="E21" s="16">
        <f t="shared" ref="E21:E84" si="1">IF($A21&lt;=$F$11,IF($A21&gt;=$F$12,-IPMT($F$14,A21-$F$8,$F$15,$F$4),G21*$F$14),0)</f>
        <v>791.66666666666674</v>
      </c>
      <c r="F21" s="16">
        <f>E21+D21</f>
        <v>791.66666666666674</v>
      </c>
      <c r="G21" s="16">
        <f>G20-D21</f>
        <v>100000</v>
      </c>
      <c r="L21" s="16"/>
      <c r="M21" s="16"/>
    </row>
    <row r="22" spans="1:13" x14ac:dyDescent="0.25">
      <c r="A22" s="15">
        <v>2</v>
      </c>
      <c r="B22" s="15"/>
      <c r="C22" s="15"/>
      <c r="D22" s="16">
        <f t="shared" si="0"/>
        <v>0</v>
      </c>
      <c r="E22" s="16">
        <f t="shared" si="1"/>
        <v>791.66666666666674</v>
      </c>
      <c r="F22" s="16">
        <f t="shared" ref="F22:F33" si="2">E22+D22</f>
        <v>791.66666666666674</v>
      </c>
      <c r="G22" s="16">
        <f t="shared" ref="G22:G85" si="3">G21-D22</f>
        <v>100000</v>
      </c>
      <c r="L22" s="16"/>
      <c r="M22" s="16"/>
    </row>
    <row r="23" spans="1:13" x14ac:dyDescent="0.25">
      <c r="A23" s="15">
        <v>3</v>
      </c>
      <c r="B23" s="15"/>
      <c r="C23" s="15"/>
      <c r="D23" s="16">
        <f t="shared" si="0"/>
        <v>0</v>
      </c>
      <c r="E23" s="16">
        <f t="shared" si="1"/>
        <v>791.66666666666674</v>
      </c>
      <c r="F23" s="16">
        <f t="shared" si="2"/>
        <v>791.66666666666674</v>
      </c>
      <c r="G23" s="16">
        <f t="shared" si="3"/>
        <v>100000</v>
      </c>
      <c r="L23" s="16"/>
      <c r="M23" s="16"/>
    </row>
    <row r="24" spans="1:13" x14ac:dyDescent="0.25">
      <c r="A24" s="15">
        <v>4</v>
      </c>
      <c r="B24" s="15"/>
      <c r="C24" s="15"/>
      <c r="D24" s="16">
        <f t="shared" si="0"/>
        <v>0</v>
      </c>
      <c r="E24" s="16">
        <f t="shared" si="1"/>
        <v>791.66666666666674</v>
      </c>
      <c r="F24" s="16">
        <f t="shared" si="2"/>
        <v>791.66666666666674</v>
      </c>
      <c r="G24" s="16">
        <f t="shared" si="3"/>
        <v>100000</v>
      </c>
      <c r="L24" s="16"/>
      <c r="M24" s="16"/>
    </row>
    <row r="25" spans="1:13" x14ac:dyDescent="0.25">
      <c r="A25" s="15">
        <v>5</v>
      </c>
      <c r="B25" s="15"/>
      <c r="C25" s="15"/>
      <c r="D25" s="16">
        <f t="shared" si="0"/>
        <v>0</v>
      </c>
      <c r="E25" s="16">
        <f t="shared" si="1"/>
        <v>791.66666666666674</v>
      </c>
      <c r="F25" s="16">
        <f t="shared" si="2"/>
        <v>791.66666666666674</v>
      </c>
      <c r="G25" s="16">
        <f t="shared" si="3"/>
        <v>100000</v>
      </c>
      <c r="L25" s="16"/>
      <c r="M25" s="16"/>
    </row>
    <row r="26" spans="1:13" x14ac:dyDescent="0.25">
      <c r="A26" s="15">
        <v>6</v>
      </c>
      <c r="B26" s="15"/>
      <c r="C26" s="15"/>
      <c r="D26" s="16">
        <f t="shared" si="0"/>
        <v>0</v>
      </c>
      <c r="E26" s="16">
        <f t="shared" si="1"/>
        <v>791.66666666666674</v>
      </c>
      <c r="F26" s="16">
        <f t="shared" si="2"/>
        <v>791.66666666666674</v>
      </c>
      <c r="G26" s="16">
        <f t="shared" si="3"/>
        <v>100000</v>
      </c>
      <c r="L26" s="16"/>
      <c r="M26" s="16"/>
    </row>
    <row r="27" spans="1:13" x14ac:dyDescent="0.25">
      <c r="A27" s="15">
        <v>7</v>
      </c>
      <c r="B27" s="15"/>
      <c r="C27" s="15"/>
      <c r="D27" s="16">
        <f t="shared" si="0"/>
        <v>0</v>
      </c>
      <c r="E27" s="16">
        <f t="shared" si="1"/>
        <v>791.66666666666674</v>
      </c>
      <c r="F27" s="16">
        <f t="shared" si="2"/>
        <v>791.66666666666674</v>
      </c>
      <c r="G27" s="16">
        <f t="shared" si="3"/>
        <v>100000</v>
      </c>
      <c r="L27" s="16"/>
      <c r="M27" s="16"/>
    </row>
    <row r="28" spans="1:13" x14ac:dyDescent="0.25">
      <c r="A28" s="15">
        <v>8</v>
      </c>
      <c r="B28" s="15"/>
      <c r="C28" s="15"/>
      <c r="D28" s="16">
        <f t="shared" si="0"/>
        <v>0</v>
      </c>
      <c r="E28" s="16">
        <f t="shared" si="1"/>
        <v>791.66666666666674</v>
      </c>
      <c r="F28" s="16">
        <f t="shared" si="2"/>
        <v>791.66666666666674</v>
      </c>
      <c r="G28" s="16">
        <f t="shared" si="3"/>
        <v>100000</v>
      </c>
      <c r="L28" s="16"/>
      <c r="M28" s="16"/>
    </row>
    <row r="29" spans="1:13" x14ac:dyDescent="0.25">
      <c r="A29" s="15">
        <v>9</v>
      </c>
      <c r="B29" s="15"/>
      <c r="C29" s="15"/>
      <c r="D29" s="16">
        <f t="shared" si="0"/>
        <v>0</v>
      </c>
      <c r="E29" s="16">
        <f t="shared" si="1"/>
        <v>791.66666666666674</v>
      </c>
      <c r="F29" s="16">
        <f t="shared" si="2"/>
        <v>791.66666666666674</v>
      </c>
      <c r="G29" s="16">
        <f t="shared" si="3"/>
        <v>100000</v>
      </c>
      <c r="L29" s="16"/>
      <c r="M29" s="16"/>
    </row>
    <row r="30" spans="1:13" x14ac:dyDescent="0.25">
      <c r="A30" s="15">
        <v>10</v>
      </c>
      <c r="B30" s="15"/>
      <c r="C30" s="15"/>
      <c r="D30" s="16">
        <f t="shared" si="0"/>
        <v>0</v>
      </c>
      <c r="E30" s="16">
        <f t="shared" si="1"/>
        <v>791.66666666666674</v>
      </c>
      <c r="F30" s="16">
        <f t="shared" si="2"/>
        <v>791.66666666666674</v>
      </c>
      <c r="G30" s="16">
        <f t="shared" si="3"/>
        <v>100000</v>
      </c>
      <c r="L30" s="16"/>
      <c r="M30" s="16"/>
    </row>
    <row r="31" spans="1:13" x14ac:dyDescent="0.25">
      <c r="A31" s="15">
        <v>11</v>
      </c>
      <c r="B31" s="15"/>
      <c r="C31" s="15"/>
      <c r="D31" s="16">
        <f t="shared" si="0"/>
        <v>0</v>
      </c>
      <c r="E31" s="16">
        <f t="shared" si="1"/>
        <v>791.66666666666674</v>
      </c>
      <c r="F31" s="16">
        <f t="shared" si="2"/>
        <v>791.66666666666674</v>
      </c>
      <c r="G31" s="16">
        <f t="shared" si="3"/>
        <v>100000</v>
      </c>
      <c r="L31" s="16"/>
      <c r="M31" s="16"/>
    </row>
    <row r="32" spans="1:13" x14ac:dyDescent="0.25">
      <c r="A32" s="15">
        <v>12</v>
      </c>
      <c r="B32" s="15"/>
      <c r="C32" s="15"/>
      <c r="D32" s="16">
        <f t="shared" si="0"/>
        <v>0</v>
      </c>
      <c r="E32" s="16">
        <f t="shared" si="1"/>
        <v>791.66666666666674</v>
      </c>
      <c r="F32" s="16">
        <f t="shared" si="2"/>
        <v>791.66666666666674</v>
      </c>
      <c r="G32" s="16">
        <f t="shared" si="3"/>
        <v>100000</v>
      </c>
      <c r="L32" s="16"/>
      <c r="M32" s="16"/>
    </row>
    <row r="33" spans="1:13" x14ac:dyDescent="0.25">
      <c r="A33" s="15">
        <v>13</v>
      </c>
      <c r="B33" s="15"/>
      <c r="C33" s="15"/>
      <c r="D33" s="16">
        <f t="shared" si="0"/>
        <v>1720.6470004269038</v>
      </c>
      <c r="E33" s="16">
        <f t="shared" si="1"/>
        <v>791.66666666666686</v>
      </c>
      <c r="F33" s="16">
        <f t="shared" si="2"/>
        <v>2512.3136670935705</v>
      </c>
      <c r="G33" s="16">
        <f t="shared" si="3"/>
        <v>98279.352999573093</v>
      </c>
      <c r="L33" s="16"/>
      <c r="M33" s="16"/>
    </row>
    <row r="34" spans="1:13" x14ac:dyDescent="0.25">
      <c r="A34" s="15">
        <v>14</v>
      </c>
      <c r="B34" s="15"/>
      <c r="C34" s="15"/>
      <c r="D34" s="16">
        <f t="shared" si="0"/>
        <v>1734.2687891802834</v>
      </c>
      <c r="E34" s="16">
        <f t="shared" si="1"/>
        <v>778.04487791328711</v>
      </c>
      <c r="F34" s="16">
        <f t="shared" ref="F34:F70" si="4">E34+D34</f>
        <v>2512.3136670935705</v>
      </c>
      <c r="G34" s="16">
        <f t="shared" si="3"/>
        <v>96545.084210392815</v>
      </c>
      <c r="L34" s="16"/>
      <c r="M34" s="16"/>
    </row>
    <row r="35" spans="1:13" x14ac:dyDescent="0.25">
      <c r="A35" s="15">
        <v>15</v>
      </c>
      <c r="B35" s="15"/>
      <c r="C35" s="15"/>
      <c r="D35" s="16">
        <f t="shared" si="0"/>
        <v>1747.9984170946273</v>
      </c>
      <c r="E35" s="16">
        <f t="shared" si="1"/>
        <v>764.31524999894316</v>
      </c>
      <c r="F35" s="16">
        <f t="shared" si="4"/>
        <v>2512.3136670935705</v>
      </c>
      <c r="G35" s="16">
        <f t="shared" si="3"/>
        <v>94797.085793298189</v>
      </c>
      <c r="L35" s="16"/>
      <c r="M35" s="16"/>
    </row>
    <row r="36" spans="1:13" x14ac:dyDescent="0.25">
      <c r="A36" s="15">
        <v>16</v>
      </c>
      <c r="B36" s="15"/>
      <c r="C36" s="15"/>
      <c r="D36" s="16">
        <f t="shared" si="0"/>
        <v>1761.8367378966263</v>
      </c>
      <c r="E36" s="16">
        <f t="shared" si="1"/>
        <v>750.47692919694407</v>
      </c>
      <c r="F36" s="16">
        <f t="shared" si="4"/>
        <v>2512.3136670935705</v>
      </c>
      <c r="G36" s="16">
        <f t="shared" si="3"/>
        <v>93035.249055401568</v>
      </c>
      <c r="L36" s="16"/>
      <c r="M36" s="16"/>
    </row>
    <row r="37" spans="1:13" x14ac:dyDescent="0.25">
      <c r="A37" s="15">
        <v>17</v>
      </c>
      <c r="B37" s="15"/>
      <c r="C37" s="15"/>
      <c r="D37" s="16">
        <f t="shared" si="0"/>
        <v>1775.7846120716413</v>
      </c>
      <c r="E37" s="16">
        <f t="shared" si="1"/>
        <v>736.52905502192914</v>
      </c>
      <c r="F37" s="16">
        <f t="shared" si="4"/>
        <v>2512.3136670935705</v>
      </c>
      <c r="G37" s="16">
        <f t="shared" si="3"/>
        <v>91259.464443329925</v>
      </c>
      <c r="L37" s="16"/>
      <c r="M37" s="16"/>
    </row>
    <row r="38" spans="1:13" x14ac:dyDescent="0.25">
      <c r="A38" s="15">
        <v>18</v>
      </c>
      <c r="B38" s="15"/>
      <c r="C38" s="15"/>
      <c r="D38" s="16">
        <f t="shared" si="0"/>
        <v>1789.8429069172084</v>
      </c>
      <c r="E38" s="16">
        <f t="shared" si="1"/>
        <v>722.47076017636186</v>
      </c>
      <c r="F38" s="16">
        <f t="shared" si="4"/>
        <v>2512.3136670935701</v>
      </c>
      <c r="G38" s="16">
        <f t="shared" si="3"/>
        <v>89469.621536412713</v>
      </c>
      <c r="L38" s="16"/>
      <c r="M38" s="16"/>
    </row>
    <row r="39" spans="1:13" x14ac:dyDescent="0.25">
      <c r="A39" s="15">
        <v>19</v>
      </c>
      <c r="B39" s="15"/>
      <c r="C39" s="15"/>
      <c r="D39" s="16">
        <f t="shared" si="0"/>
        <v>1804.0124965969699</v>
      </c>
      <c r="E39" s="16">
        <f t="shared" si="1"/>
        <v>708.30117049660066</v>
      </c>
      <c r="F39" s="16">
        <f t="shared" si="4"/>
        <v>2512.3136670935705</v>
      </c>
      <c r="G39" s="16">
        <f t="shared" si="3"/>
        <v>87665.609039815739</v>
      </c>
      <c r="L39" s="16"/>
      <c r="M39" s="16"/>
    </row>
    <row r="40" spans="1:13" x14ac:dyDescent="0.25">
      <c r="A40" s="15">
        <v>20</v>
      </c>
      <c r="B40" s="15"/>
      <c r="C40" s="15"/>
      <c r="D40" s="16">
        <f t="shared" si="0"/>
        <v>1818.294262195029</v>
      </c>
      <c r="E40" s="16">
        <f t="shared" si="1"/>
        <v>694.01940489854132</v>
      </c>
      <c r="F40" s="16">
        <f t="shared" si="4"/>
        <v>2512.3136670935701</v>
      </c>
      <c r="G40" s="16">
        <f t="shared" si="3"/>
        <v>85847.314777620704</v>
      </c>
      <c r="L40" s="16"/>
      <c r="M40" s="16"/>
    </row>
    <row r="41" spans="1:13" x14ac:dyDescent="0.25">
      <c r="A41" s="15">
        <v>21</v>
      </c>
      <c r="B41" s="15"/>
      <c r="C41" s="15"/>
      <c r="D41" s="16">
        <f t="shared" si="0"/>
        <v>1832.6890917707399</v>
      </c>
      <c r="E41" s="16">
        <f t="shared" si="1"/>
        <v>679.62457532283076</v>
      </c>
      <c r="F41" s="16">
        <f t="shared" si="4"/>
        <v>2512.3136670935705</v>
      </c>
      <c r="G41" s="16">
        <f t="shared" si="3"/>
        <v>84014.625685849969</v>
      </c>
      <c r="L41" s="16"/>
      <c r="M41" s="16"/>
    </row>
    <row r="42" spans="1:13" x14ac:dyDescent="0.25">
      <c r="A42" s="15">
        <v>22</v>
      </c>
      <c r="B42" s="15"/>
      <c r="C42" s="15"/>
      <c r="D42" s="16">
        <f t="shared" si="0"/>
        <v>1847.1978804139251</v>
      </c>
      <c r="E42" s="16">
        <f t="shared" si="1"/>
        <v>665.11578667964579</v>
      </c>
      <c r="F42" s="16">
        <f t="shared" si="4"/>
        <v>2512.313667093571</v>
      </c>
      <c r="G42" s="16">
        <f t="shared" si="3"/>
        <v>82167.427805436047</v>
      </c>
      <c r="L42" s="16"/>
      <c r="M42" s="16"/>
    </row>
    <row r="43" spans="1:13" x14ac:dyDescent="0.25">
      <c r="A43" s="15">
        <v>23</v>
      </c>
      <c r="B43" s="15"/>
      <c r="C43" s="15"/>
      <c r="D43" s="16">
        <f t="shared" si="0"/>
        <v>1861.8215303005352</v>
      </c>
      <c r="E43" s="16">
        <f t="shared" si="1"/>
        <v>650.49213679303546</v>
      </c>
      <c r="F43" s="16">
        <f t="shared" si="4"/>
        <v>2512.3136670935705</v>
      </c>
      <c r="G43" s="16">
        <f t="shared" si="3"/>
        <v>80305.606275135506</v>
      </c>
      <c r="L43" s="16"/>
      <c r="M43" s="16"/>
    </row>
    <row r="44" spans="1:13" x14ac:dyDescent="0.25">
      <c r="A44" s="15">
        <v>24</v>
      </c>
      <c r="B44" s="15"/>
      <c r="C44" s="15"/>
      <c r="D44" s="16">
        <f t="shared" si="0"/>
        <v>1876.5609507487477</v>
      </c>
      <c r="E44" s="16">
        <f t="shared" si="1"/>
        <v>635.75271634482294</v>
      </c>
      <c r="F44" s="16">
        <f t="shared" si="4"/>
        <v>2512.3136670935705</v>
      </c>
      <c r="G44" s="16">
        <f t="shared" si="3"/>
        <v>78429.045324386752</v>
      </c>
      <c r="L44" s="16"/>
      <c r="M44" s="16"/>
    </row>
    <row r="45" spans="1:13" x14ac:dyDescent="0.25">
      <c r="A45" s="15">
        <v>25</v>
      </c>
      <c r="B45" s="15"/>
      <c r="C45" s="15"/>
      <c r="D45" s="16">
        <f t="shared" si="0"/>
        <v>1891.4170582755085</v>
      </c>
      <c r="E45" s="16">
        <f t="shared" si="1"/>
        <v>620.89660881806208</v>
      </c>
      <c r="F45" s="16">
        <f t="shared" si="4"/>
        <v>2512.3136670935705</v>
      </c>
      <c r="G45" s="16">
        <f t="shared" si="3"/>
        <v>76537.628266111249</v>
      </c>
      <c r="L45" s="16"/>
      <c r="M45" s="16"/>
    </row>
    <row r="46" spans="1:13" x14ac:dyDescent="0.25">
      <c r="A46" s="15">
        <v>26</v>
      </c>
      <c r="B46" s="15"/>
      <c r="C46" s="15"/>
      <c r="D46" s="16">
        <f t="shared" si="0"/>
        <v>1906.3907766535231</v>
      </c>
      <c r="E46" s="16">
        <f t="shared" si="1"/>
        <v>605.92289044004758</v>
      </c>
      <c r="F46" s="16">
        <f t="shared" si="4"/>
        <v>2512.3136670935705</v>
      </c>
      <c r="G46" s="16">
        <f t="shared" si="3"/>
        <v>74631.237489457722</v>
      </c>
      <c r="L46" s="16"/>
      <c r="M46" s="16"/>
    </row>
    <row r="47" spans="1:13" x14ac:dyDescent="0.25">
      <c r="A47" s="15">
        <v>27</v>
      </c>
      <c r="B47" s="15"/>
      <c r="C47" s="15"/>
      <c r="D47" s="16">
        <f t="shared" si="0"/>
        <v>1921.4830369686968</v>
      </c>
      <c r="E47" s="16">
        <f t="shared" si="1"/>
        <v>590.83063012487366</v>
      </c>
      <c r="F47" s="16">
        <f t="shared" si="4"/>
        <v>2512.3136670935705</v>
      </c>
      <c r="G47" s="16">
        <f t="shared" si="3"/>
        <v>72709.754452489025</v>
      </c>
      <c r="L47" s="16"/>
      <c r="M47" s="16"/>
    </row>
    <row r="48" spans="1:13" x14ac:dyDescent="0.25">
      <c r="A48" s="15">
        <v>28</v>
      </c>
      <c r="B48" s="15"/>
      <c r="C48" s="15"/>
      <c r="D48" s="16">
        <f t="shared" si="0"/>
        <v>1936.6947776780323</v>
      </c>
      <c r="E48" s="16">
        <f t="shared" si="1"/>
        <v>575.61888941553821</v>
      </c>
      <c r="F48" s="16">
        <f t="shared" si="4"/>
        <v>2512.3136670935705</v>
      </c>
      <c r="G48" s="16">
        <f t="shared" si="3"/>
        <v>70773.059674810997</v>
      </c>
      <c r="L48" s="16"/>
      <c r="M48" s="16"/>
    </row>
    <row r="49" spans="1:13" x14ac:dyDescent="0.25">
      <c r="A49" s="15">
        <v>29</v>
      </c>
      <c r="B49" s="15"/>
      <c r="C49" s="15"/>
      <c r="D49" s="16">
        <f t="shared" si="0"/>
        <v>1952.0269446679833</v>
      </c>
      <c r="E49" s="16">
        <f t="shared" si="1"/>
        <v>560.28672242558719</v>
      </c>
      <c r="F49" s="16">
        <f t="shared" si="4"/>
        <v>2512.3136670935705</v>
      </c>
      <c r="G49" s="16">
        <f t="shared" si="3"/>
        <v>68821.032730143008</v>
      </c>
      <c r="L49" s="16"/>
      <c r="M49" s="16"/>
    </row>
    <row r="50" spans="1:13" x14ac:dyDescent="0.25">
      <c r="A50" s="15">
        <v>30</v>
      </c>
      <c r="B50" s="15"/>
      <c r="C50" s="15"/>
      <c r="D50" s="16">
        <f t="shared" si="0"/>
        <v>1967.4804913132716</v>
      </c>
      <c r="E50" s="16">
        <f t="shared" si="1"/>
        <v>544.83317578029903</v>
      </c>
      <c r="F50" s="16">
        <f t="shared" si="4"/>
        <v>2512.3136670935705</v>
      </c>
      <c r="G50" s="16">
        <f t="shared" si="3"/>
        <v>66853.55223882974</v>
      </c>
      <c r="L50" s="16"/>
      <c r="M50" s="16"/>
    </row>
    <row r="51" spans="1:13" x14ac:dyDescent="0.25">
      <c r="A51" s="15">
        <v>31</v>
      </c>
      <c r="B51" s="15"/>
      <c r="C51" s="15"/>
      <c r="D51" s="16">
        <f t="shared" si="0"/>
        <v>1983.0563785361683</v>
      </c>
      <c r="E51" s="16">
        <f t="shared" si="1"/>
        <v>529.25728855740226</v>
      </c>
      <c r="F51" s="16">
        <f t="shared" si="4"/>
        <v>2512.3136670935705</v>
      </c>
      <c r="G51" s="16">
        <f t="shared" si="3"/>
        <v>64870.495860293573</v>
      </c>
      <c r="L51" s="16"/>
      <c r="M51" s="16"/>
    </row>
    <row r="52" spans="1:13" x14ac:dyDescent="0.25">
      <c r="A52" s="15">
        <v>32</v>
      </c>
      <c r="B52" s="15"/>
      <c r="C52" s="15"/>
      <c r="D52" s="16">
        <f t="shared" si="0"/>
        <v>1998.7555748662464</v>
      </c>
      <c r="E52" s="16">
        <f t="shared" si="1"/>
        <v>513.55809222732421</v>
      </c>
      <c r="F52" s="16">
        <f t="shared" si="4"/>
        <v>2512.3136670935705</v>
      </c>
      <c r="G52" s="16">
        <f t="shared" si="3"/>
        <v>62871.740285427324</v>
      </c>
      <c r="L52" s="16"/>
      <c r="M52" s="16"/>
    </row>
    <row r="53" spans="1:13" x14ac:dyDescent="0.25">
      <c r="A53" s="15">
        <v>33</v>
      </c>
      <c r="B53" s="15"/>
      <c r="C53" s="15"/>
      <c r="D53" s="16">
        <f t="shared" si="0"/>
        <v>2014.5790565006041</v>
      </c>
      <c r="E53" s="16">
        <f t="shared" si="1"/>
        <v>497.73461059296642</v>
      </c>
      <c r="F53" s="16">
        <f t="shared" si="4"/>
        <v>2512.3136670935705</v>
      </c>
      <c r="G53" s="16">
        <f t="shared" si="3"/>
        <v>60857.161228926721</v>
      </c>
      <c r="L53" s="16"/>
      <c r="M53" s="16"/>
    </row>
    <row r="54" spans="1:13" x14ac:dyDescent="0.25">
      <c r="A54" s="15">
        <v>34</v>
      </c>
      <c r="B54" s="15"/>
      <c r="C54" s="15"/>
      <c r="D54" s="16">
        <f t="shared" si="0"/>
        <v>2030.5278073645675</v>
      </c>
      <c r="E54" s="16">
        <f t="shared" si="1"/>
        <v>481.78585972900339</v>
      </c>
      <c r="F54" s="16">
        <f t="shared" si="4"/>
        <v>2512.313667093571</v>
      </c>
      <c r="G54" s="16">
        <f t="shared" si="3"/>
        <v>58826.633421562154</v>
      </c>
      <c r="L54" s="16"/>
      <c r="M54" s="16"/>
    </row>
    <row r="55" spans="1:13" x14ac:dyDescent="0.25">
      <c r="A55" s="15">
        <v>35</v>
      </c>
      <c r="B55" s="15"/>
      <c r="C55" s="15"/>
      <c r="D55" s="16">
        <f t="shared" si="0"/>
        <v>2046.6028191728699</v>
      </c>
      <c r="E55" s="16">
        <f t="shared" si="1"/>
        <v>465.71084792070053</v>
      </c>
      <c r="F55" s="16">
        <f t="shared" si="4"/>
        <v>2512.3136670935705</v>
      </c>
      <c r="G55" s="16">
        <f t="shared" si="3"/>
        <v>56780.030602389284</v>
      </c>
      <c r="L55" s="16"/>
      <c r="M55" s="16"/>
    </row>
    <row r="56" spans="1:13" x14ac:dyDescent="0.25">
      <c r="A56" s="15">
        <v>36</v>
      </c>
      <c r="B56" s="15"/>
      <c r="C56" s="15"/>
      <c r="D56" s="16">
        <f t="shared" si="0"/>
        <v>2062.8050914913219</v>
      </c>
      <c r="E56" s="16">
        <f t="shared" si="1"/>
        <v>449.50857560224864</v>
      </c>
      <c r="F56" s="16">
        <f t="shared" si="4"/>
        <v>2512.3136670935705</v>
      </c>
      <c r="G56" s="16">
        <f t="shared" si="3"/>
        <v>54717.225510897959</v>
      </c>
      <c r="L56" s="16"/>
      <c r="M56" s="16"/>
    </row>
    <row r="57" spans="1:13" x14ac:dyDescent="0.25">
      <c r="A57" s="15">
        <v>37</v>
      </c>
      <c r="B57" s="15"/>
      <c r="C57" s="15"/>
      <c r="D57" s="16">
        <f t="shared" si="0"/>
        <v>2079.1356317989612</v>
      </c>
      <c r="E57" s="16">
        <f t="shared" si="1"/>
        <v>433.178035294609</v>
      </c>
      <c r="F57" s="16">
        <f t="shared" si="4"/>
        <v>2512.3136670935701</v>
      </c>
      <c r="G57" s="16">
        <f t="shared" si="3"/>
        <v>52638.089879098996</v>
      </c>
      <c r="L57" s="16"/>
      <c r="M57" s="16"/>
    </row>
    <row r="58" spans="1:13" x14ac:dyDescent="0.25">
      <c r="A58" s="15">
        <v>38</v>
      </c>
      <c r="B58" s="15"/>
      <c r="C58" s="15"/>
      <c r="D58" s="16">
        <f t="shared" si="0"/>
        <v>2095.5954555507033</v>
      </c>
      <c r="E58" s="16">
        <f t="shared" si="1"/>
        <v>416.71821154286721</v>
      </c>
      <c r="F58" s="16">
        <f t="shared" si="4"/>
        <v>2512.3136670935705</v>
      </c>
      <c r="G58" s="16">
        <f t="shared" si="3"/>
        <v>50542.494423548291</v>
      </c>
      <c r="L58" s="16"/>
      <c r="M58" s="16"/>
    </row>
    <row r="59" spans="1:13" x14ac:dyDescent="0.25">
      <c r="A59" s="15">
        <v>39</v>
      </c>
      <c r="B59" s="15"/>
      <c r="C59" s="15"/>
      <c r="D59" s="16">
        <f t="shared" si="0"/>
        <v>2112.1855862404796</v>
      </c>
      <c r="E59" s="16">
        <f t="shared" si="1"/>
        <v>400.12808085309081</v>
      </c>
      <c r="F59" s="16">
        <f t="shared" si="4"/>
        <v>2512.3136670935705</v>
      </c>
      <c r="G59" s="16">
        <f t="shared" si="3"/>
        <v>48430.308837307814</v>
      </c>
      <c r="L59" s="16"/>
      <c r="M59" s="16"/>
    </row>
    <row r="60" spans="1:13" x14ac:dyDescent="0.25">
      <c r="A60" s="15">
        <v>40</v>
      </c>
      <c r="B60" s="15"/>
      <c r="C60" s="15"/>
      <c r="D60" s="16">
        <f t="shared" si="0"/>
        <v>2128.9070554648833</v>
      </c>
      <c r="E60" s="16">
        <f t="shared" si="1"/>
        <v>383.40661162868702</v>
      </c>
      <c r="F60" s="16">
        <f t="shared" si="4"/>
        <v>2512.3136670935705</v>
      </c>
      <c r="G60" s="16">
        <f t="shared" si="3"/>
        <v>46301.401781842927</v>
      </c>
      <c r="L60" s="16"/>
      <c r="M60" s="16"/>
    </row>
    <row r="61" spans="1:13" x14ac:dyDescent="0.25">
      <c r="A61" s="15">
        <v>41</v>
      </c>
      <c r="B61" s="15"/>
      <c r="C61" s="15"/>
      <c r="D61" s="16">
        <f t="shared" si="0"/>
        <v>2145.7609029873138</v>
      </c>
      <c r="E61" s="16">
        <f t="shared" si="1"/>
        <v>366.55276410625669</v>
      </c>
      <c r="F61" s="16">
        <f t="shared" si="4"/>
        <v>2512.3136670935705</v>
      </c>
      <c r="G61" s="16">
        <f t="shared" si="3"/>
        <v>44155.640878855615</v>
      </c>
      <c r="L61" s="16"/>
      <c r="M61" s="16"/>
    </row>
    <row r="62" spans="1:13" x14ac:dyDescent="0.25">
      <c r="A62" s="15">
        <v>42</v>
      </c>
      <c r="B62" s="15"/>
      <c r="C62" s="15"/>
      <c r="D62" s="16">
        <f t="shared" si="0"/>
        <v>2162.74817680263</v>
      </c>
      <c r="E62" s="16">
        <f t="shared" si="1"/>
        <v>349.56549029094043</v>
      </c>
      <c r="F62" s="16">
        <f t="shared" si="4"/>
        <v>2512.3136670935705</v>
      </c>
      <c r="G62" s="16">
        <f t="shared" si="3"/>
        <v>41992.892702052981</v>
      </c>
      <c r="L62" s="16"/>
      <c r="M62" s="16"/>
    </row>
    <row r="63" spans="1:13" x14ac:dyDescent="0.25">
      <c r="A63" s="15">
        <v>43</v>
      </c>
      <c r="B63" s="15"/>
      <c r="C63" s="15"/>
      <c r="D63" s="16">
        <f t="shared" si="0"/>
        <v>2179.8699332023175</v>
      </c>
      <c r="E63" s="16">
        <f t="shared" si="1"/>
        <v>332.44373389125298</v>
      </c>
      <c r="F63" s="16">
        <f t="shared" si="4"/>
        <v>2512.3136670935705</v>
      </c>
      <c r="G63" s="16">
        <f t="shared" si="3"/>
        <v>39813.022768850664</v>
      </c>
      <c r="L63" s="16"/>
      <c r="M63" s="16"/>
    </row>
    <row r="64" spans="1:13" x14ac:dyDescent="0.25">
      <c r="A64" s="15">
        <v>44</v>
      </c>
      <c r="B64" s="15"/>
      <c r="C64" s="15"/>
      <c r="D64" s="16">
        <f t="shared" si="0"/>
        <v>2197.1272368401692</v>
      </c>
      <c r="E64" s="16">
        <f t="shared" si="1"/>
        <v>315.18643025340128</v>
      </c>
      <c r="F64" s="16">
        <f t="shared" si="4"/>
        <v>2512.3136670935705</v>
      </c>
      <c r="G64" s="16">
        <f t="shared" si="3"/>
        <v>37615.895532010494</v>
      </c>
      <c r="L64" s="16"/>
      <c r="M64" s="16"/>
    </row>
    <row r="65" spans="1:13" x14ac:dyDescent="0.25">
      <c r="A65" s="15">
        <v>45</v>
      </c>
      <c r="B65" s="15"/>
      <c r="C65" s="15"/>
      <c r="D65" s="16">
        <f t="shared" si="0"/>
        <v>2214.521160798487</v>
      </c>
      <c r="E65" s="16">
        <f t="shared" si="1"/>
        <v>297.79250629508329</v>
      </c>
      <c r="F65" s="16">
        <f t="shared" si="4"/>
        <v>2512.3136670935701</v>
      </c>
      <c r="G65" s="16">
        <f t="shared" si="3"/>
        <v>35401.374371212005</v>
      </c>
      <c r="L65" s="16"/>
      <c r="M65" s="16"/>
    </row>
    <row r="66" spans="1:13" x14ac:dyDescent="0.25">
      <c r="A66" s="15">
        <v>46</v>
      </c>
      <c r="B66" s="15"/>
      <c r="C66" s="15"/>
      <c r="D66" s="16">
        <f t="shared" si="0"/>
        <v>2232.0527866548086</v>
      </c>
      <c r="E66" s="16">
        <f t="shared" si="1"/>
        <v>280.26088043876189</v>
      </c>
      <c r="F66" s="16">
        <f t="shared" si="4"/>
        <v>2512.3136670935705</v>
      </c>
      <c r="G66" s="16">
        <f t="shared" si="3"/>
        <v>33169.321584557198</v>
      </c>
      <c r="L66" s="16"/>
      <c r="M66" s="16"/>
    </row>
    <row r="67" spans="1:13" x14ac:dyDescent="0.25">
      <c r="A67" s="15">
        <v>47</v>
      </c>
      <c r="B67" s="15"/>
      <c r="C67" s="15"/>
      <c r="D67" s="16">
        <f t="shared" si="0"/>
        <v>2249.7232045491592</v>
      </c>
      <c r="E67" s="16">
        <f t="shared" si="1"/>
        <v>262.59046254441137</v>
      </c>
      <c r="F67" s="16">
        <f t="shared" si="4"/>
        <v>2512.3136670935705</v>
      </c>
      <c r="G67" s="16">
        <f t="shared" si="3"/>
        <v>30919.598380008039</v>
      </c>
      <c r="L67" s="16"/>
      <c r="M67" s="16"/>
    </row>
    <row r="68" spans="1:13" x14ac:dyDescent="0.25">
      <c r="A68" s="15">
        <v>48</v>
      </c>
      <c r="B68" s="15"/>
      <c r="C68" s="15"/>
      <c r="D68" s="16">
        <f t="shared" si="0"/>
        <v>2267.5335132518398</v>
      </c>
      <c r="E68" s="16">
        <f t="shared" si="1"/>
        <v>244.78015384173051</v>
      </c>
      <c r="F68" s="16">
        <f t="shared" si="4"/>
        <v>2512.3136670935705</v>
      </c>
      <c r="G68" s="16">
        <f t="shared" si="3"/>
        <v>28652.064866756198</v>
      </c>
      <c r="L68" s="16"/>
      <c r="M68" s="16"/>
    </row>
    <row r="69" spans="1:13" x14ac:dyDescent="0.25">
      <c r="A69" s="15">
        <v>49</v>
      </c>
      <c r="B69" s="15"/>
      <c r="C69" s="15"/>
      <c r="D69" s="16">
        <f t="shared" si="0"/>
        <v>2285.4848202317507</v>
      </c>
      <c r="E69" s="16">
        <f t="shared" si="1"/>
        <v>226.82884686182007</v>
      </c>
      <c r="F69" s="16">
        <f t="shared" si="4"/>
        <v>2512.313667093571</v>
      </c>
      <c r="G69" s="16">
        <f t="shared" si="3"/>
        <v>26366.580046524447</v>
      </c>
      <c r="L69" s="16"/>
      <c r="M69" s="16"/>
    </row>
    <row r="70" spans="1:13" x14ac:dyDescent="0.25">
      <c r="A70" s="15">
        <v>50</v>
      </c>
      <c r="B70" s="15"/>
      <c r="C70" s="15"/>
      <c r="D70" s="16">
        <f t="shared" si="0"/>
        <v>2303.5782417252517</v>
      </c>
      <c r="E70" s="16">
        <f t="shared" si="1"/>
        <v>208.73542536831869</v>
      </c>
      <c r="F70" s="16">
        <f t="shared" si="4"/>
        <v>2512.3136670935705</v>
      </c>
      <c r="G70" s="16">
        <f t="shared" si="3"/>
        <v>24063.001804799194</v>
      </c>
      <c r="L70" s="16"/>
      <c r="M70" s="16"/>
    </row>
    <row r="71" spans="1:13" x14ac:dyDescent="0.25">
      <c r="A71" s="15">
        <v>51</v>
      </c>
      <c r="B71" s="15"/>
      <c r="C71" s="15"/>
      <c r="D71" s="16">
        <f t="shared" si="0"/>
        <v>2321.8149028055764</v>
      </c>
      <c r="E71" s="16">
        <f t="shared" si="1"/>
        <v>190.49876428799385</v>
      </c>
      <c r="F71" s="16">
        <f t="shared" ref="F71:F134" si="5">E71+D71</f>
        <v>2512.3136670935701</v>
      </c>
      <c r="G71" s="16">
        <f t="shared" si="3"/>
        <v>21741.186901993617</v>
      </c>
      <c r="L71" s="16"/>
      <c r="M71" s="16"/>
    </row>
    <row r="72" spans="1:13" x14ac:dyDescent="0.25">
      <c r="A72" s="15">
        <v>52</v>
      </c>
      <c r="B72" s="15"/>
      <c r="C72" s="15"/>
      <c r="D72" s="16">
        <f t="shared" si="0"/>
        <v>2340.1959374527873</v>
      </c>
      <c r="E72" s="16">
        <f t="shared" si="1"/>
        <v>172.11772964078298</v>
      </c>
      <c r="F72" s="16">
        <f t="shared" si="5"/>
        <v>2512.3136670935705</v>
      </c>
      <c r="G72" s="16">
        <f t="shared" si="3"/>
        <v>19400.99096454083</v>
      </c>
      <c r="L72" s="16"/>
      <c r="M72" s="16"/>
    </row>
    <row r="73" spans="1:13" x14ac:dyDescent="0.25">
      <c r="A73" s="15">
        <v>53</v>
      </c>
      <c r="B73" s="15"/>
      <c r="C73" s="15"/>
      <c r="D73" s="16">
        <f t="shared" si="0"/>
        <v>2358.7224886242889</v>
      </c>
      <c r="E73" s="16">
        <f t="shared" si="1"/>
        <v>153.59117846928174</v>
      </c>
      <c r="F73" s="16">
        <f t="shared" si="5"/>
        <v>2512.3136670935705</v>
      </c>
      <c r="G73" s="16">
        <f t="shared" si="3"/>
        <v>17042.268475916542</v>
      </c>
      <c r="L73" s="16"/>
      <c r="M73" s="16"/>
    </row>
    <row r="74" spans="1:13" x14ac:dyDescent="0.25">
      <c r="A74" s="15">
        <v>54</v>
      </c>
      <c r="B74" s="15"/>
      <c r="C74" s="15"/>
      <c r="D74" s="16">
        <f t="shared" si="0"/>
        <v>2377.3957083258974</v>
      </c>
      <c r="E74" s="16">
        <f t="shared" si="1"/>
        <v>134.91795876767279</v>
      </c>
      <c r="F74" s="16">
        <f t="shared" si="5"/>
        <v>2512.3136670935701</v>
      </c>
      <c r="G74" s="16">
        <f t="shared" si="3"/>
        <v>14664.872767590645</v>
      </c>
      <c r="L74" s="16"/>
      <c r="M74" s="16"/>
    </row>
    <row r="75" spans="1:13" x14ac:dyDescent="0.25">
      <c r="A75" s="15">
        <v>55</v>
      </c>
      <c r="B75" s="15"/>
      <c r="C75" s="15"/>
      <c r="D75" s="16">
        <f t="shared" si="0"/>
        <v>2396.2167576834777</v>
      </c>
      <c r="E75" s="16">
        <f t="shared" si="1"/>
        <v>116.09690941009278</v>
      </c>
      <c r="F75" s="16">
        <f t="shared" si="5"/>
        <v>2512.3136670935705</v>
      </c>
      <c r="G75" s="16">
        <f t="shared" si="3"/>
        <v>12268.656009907167</v>
      </c>
      <c r="L75" s="16"/>
      <c r="M75" s="16"/>
    </row>
    <row r="76" spans="1:13" x14ac:dyDescent="0.25">
      <c r="A76" s="15">
        <v>56</v>
      </c>
      <c r="B76" s="15"/>
      <c r="C76" s="15"/>
      <c r="D76" s="16">
        <f t="shared" si="0"/>
        <v>2415.1868070151386</v>
      </c>
      <c r="E76" s="16">
        <f t="shared" si="1"/>
        <v>97.126860078431903</v>
      </c>
      <c r="F76" s="16">
        <f t="shared" si="5"/>
        <v>2512.3136670935705</v>
      </c>
      <c r="G76" s="16">
        <f t="shared" si="3"/>
        <v>9853.469202892029</v>
      </c>
      <c r="L76" s="16"/>
      <c r="M76" s="16"/>
    </row>
    <row r="77" spans="1:13" x14ac:dyDescent="0.25">
      <c r="A77" s="15">
        <v>57</v>
      </c>
      <c r="B77" s="15"/>
      <c r="C77" s="15"/>
      <c r="D77" s="16">
        <f t="shared" si="0"/>
        <v>2434.3070359040084</v>
      </c>
      <c r="E77" s="16">
        <f t="shared" si="1"/>
        <v>78.006631189562043</v>
      </c>
      <c r="F77" s="16">
        <f t="shared" si="5"/>
        <v>2512.3136670935705</v>
      </c>
      <c r="G77" s="16">
        <f t="shared" si="3"/>
        <v>7419.1621669880205</v>
      </c>
      <c r="L77" s="16"/>
      <c r="M77" s="16"/>
    </row>
    <row r="78" spans="1:13" x14ac:dyDescent="0.25">
      <c r="A78" s="15">
        <v>58</v>
      </c>
      <c r="B78" s="15"/>
      <c r="C78" s="15"/>
      <c r="D78" s="16">
        <f t="shared" si="0"/>
        <v>2453.578633271582</v>
      </c>
      <c r="E78" s="16">
        <f t="shared" si="1"/>
        <v>58.735033821988644</v>
      </c>
      <c r="F78" s="16">
        <f t="shared" si="5"/>
        <v>2512.3136670935705</v>
      </c>
      <c r="G78" s="16">
        <f t="shared" si="3"/>
        <v>4965.583533716439</v>
      </c>
      <c r="L78" s="16"/>
      <c r="M78" s="16"/>
    </row>
    <row r="79" spans="1:13" x14ac:dyDescent="0.25">
      <c r="A79" s="15">
        <v>59</v>
      </c>
      <c r="B79" s="15"/>
      <c r="C79" s="15"/>
      <c r="D79" s="16">
        <f t="shared" si="0"/>
        <v>2473.0027974516488</v>
      </c>
      <c r="E79" s="16">
        <f t="shared" si="1"/>
        <v>39.310869641921947</v>
      </c>
      <c r="F79" s="16">
        <f t="shared" si="5"/>
        <v>2512.3136670935705</v>
      </c>
      <c r="G79" s="16">
        <f t="shared" si="3"/>
        <v>2492.5807362647902</v>
      </c>
      <c r="L79" s="16"/>
      <c r="M79" s="16"/>
    </row>
    <row r="80" spans="1:13" x14ac:dyDescent="0.25">
      <c r="A80" s="15">
        <v>60</v>
      </c>
      <c r="B80" s="15"/>
      <c r="C80" s="15"/>
      <c r="D80" s="16">
        <f t="shared" si="0"/>
        <v>2492.5807362648075</v>
      </c>
      <c r="E80" s="16">
        <f t="shared" si="1"/>
        <v>19.73293082876306</v>
      </c>
      <c r="F80" s="16">
        <f t="shared" si="5"/>
        <v>2512.3136670935705</v>
      </c>
      <c r="G80" s="16">
        <f t="shared" si="3"/>
        <v>-1.7280399333685637E-11</v>
      </c>
      <c r="L80" s="16"/>
      <c r="M80" s="16"/>
    </row>
    <row r="81" spans="1:13" x14ac:dyDescent="0.25">
      <c r="A81" s="15">
        <v>61</v>
      </c>
      <c r="B81" s="15"/>
      <c r="C81" s="15"/>
      <c r="D81" s="16">
        <f t="shared" si="0"/>
        <v>0</v>
      </c>
      <c r="E81" s="16">
        <f t="shared" si="1"/>
        <v>0</v>
      </c>
      <c r="F81" s="16">
        <f t="shared" si="5"/>
        <v>0</v>
      </c>
      <c r="G81" s="16">
        <f t="shared" si="3"/>
        <v>-1.7280399333685637E-11</v>
      </c>
      <c r="L81" s="16"/>
      <c r="M81" s="16"/>
    </row>
    <row r="82" spans="1:13" x14ac:dyDescent="0.25">
      <c r="A82" s="15">
        <v>62</v>
      </c>
      <c r="B82" s="15"/>
      <c r="C82" s="15"/>
      <c r="D82" s="16">
        <f t="shared" si="0"/>
        <v>0</v>
      </c>
      <c r="E82" s="16">
        <f t="shared" si="1"/>
        <v>0</v>
      </c>
      <c r="F82" s="16">
        <f t="shared" si="5"/>
        <v>0</v>
      </c>
      <c r="G82" s="16">
        <f t="shared" si="3"/>
        <v>-1.7280399333685637E-11</v>
      </c>
      <c r="L82" s="16"/>
      <c r="M82" s="16"/>
    </row>
    <row r="83" spans="1:13" x14ac:dyDescent="0.25">
      <c r="A83" s="15">
        <v>63</v>
      </c>
      <c r="B83" s="15"/>
      <c r="C83" s="15"/>
      <c r="D83" s="16">
        <f t="shared" si="0"/>
        <v>0</v>
      </c>
      <c r="E83" s="16">
        <f t="shared" si="1"/>
        <v>0</v>
      </c>
      <c r="F83" s="16">
        <f t="shared" si="5"/>
        <v>0</v>
      </c>
      <c r="G83" s="16">
        <f t="shared" si="3"/>
        <v>-1.7280399333685637E-11</v>
      </c>
      <c r="L83" s="16"/>
      <c r="M83" s="16"/>
    </row>
    <row r="84" spans="1:13" x14ac:dyDescent="0.25">
      <c r="A84" s="15">
        <v>64</v>
      </c>
      <c r="B84" s="15"/>
      <c r="C84" s="15"/>
      <c r="D84" s="16">
        <f t="shared" si="0"/>
        <v>0</v>
      </c>
      <c r="E84" s="16">
        <f t="shared" si="1"/>
        <v>0</v>
      </c>
      <c r="F84" s="16">
        <f t="shared" si="5"/>
        <v>0</v>
      </c>
      <c r="G84" s="16">
        <f t="shared" si="3"/>
        <v>-1.7280399333685637E-11</v>
      </c>
      <c r="L84" s="16"/>
      <c r="M84" s="16"/>
    </row>
    <row r="85" spans="1:13" x14ac:dyDescent="0.25">
      <c r="A85" s="15">
        <v>65</v>
      </c>
      <c r="B85" s="15"/>
      <c r="C85" s="15"/>
      <c r="D85" s="16">
        <f t="shared" ref="D85:D148" si="6">IF(AND($A85&gt;=$F$12,$A85&lt;=$F$11),-PPMT($F$14,A85-$F$8,$F$15,$F$4),0)</f>
        <v>0</v>
      </c>
      <c r="E85" s="16">
        <f t="shared" ref="E85:E148" si="7">IF($A85&lt;=$F$11,IF($A85&gt;=$F$12,-IPMT($F$14,A85-$F$8,$F$15,$F$4),G85*$F$14),0)</f>
        <v>0</v>
      </c>
      <c r="F85" s="16">
        <f t="shared" si="5"/>
        <v>0</v>
      </c>
      <c r="G85" s="16">
        <f t="shared" si="3"/>
        <v>-1.7280399333685637E-11</v>
      </c>
      <c r="L85" s="16"/>
      <c r="M85" s="16"/>
    </row>
    <row r="86" spans="1:13" x14ac:dyDescent="0.25">
      <c r="A86" s="15">
        <v>66</v>
      </c>
      <c r="B86" s="15"/>
      <c r="C86" s="15"/>
      <c r="D86" s="16">
        <f t="shared" si="6"/>
        <v>0</v>
      </c>
      <c r="E86" s="16">
        <f t="shared" si="7"/>
        <v>0</v>
      </c>
      <c r="F86" s="16">
        <f t="shared" si="5"/>
        <v>0</v>
      </c>
      <c r="G86" s="16">
        <f t="shared" ref="G86:G149" si="8">G85-D86</f>
        <v>-1.7280399333685637E-11</v>
      </c>
      <c r="L86" s="16"/>
      <c r="M86" s="16"/>
    </row>
    <row r="87" spans="1:13" x14ac:dyDescent="0.25">
      <c r="A87" s="15">
        <v>67</v>
      </c>
      <c r="B87" s="15"/>
      <c r="C87" s="15"/>
      <c r="D87" s="16">
        <f t="shared" si="6"/>
        <v>0</v>
      </c>
      <c r="E87" s="16">
        <f t="shared" si="7"/>
        <v>0</v>
      </c>
      <c r="F87" s="16">
        <f t="shared" si="5"/>
        <v>0</v>
      </c>
      <c r="G87" s="16">
        <f t="shared" si="8"/>
        <v>-1.7280399333685637E-11</v>
      </c>
      <c r="L87" s="16"/>
      <c r="M87" s="16"/>
    </row>
    <row r="88" spans="1:13" x14ac:dyDescent="0.25">
      <c r="A88" s="15">
        <v>68</v>
      </c>
      <c r="B88" s="15"/>
      <c r="C88" s="15"/>
      <c r="D88" s="16">
        <f t="shared" si="6"/>
        <v>0</v>
      </c>
      <c r="E88" s="16">
        <f t="shared" si="7"/>
        <v>0</v>
      </c>
      <c r="F88" s="16">
        <f t="shared" si="5"/>
        <v>0</v>
      </c>
      <c r="G88" s="16">
        <f t="shared" si="8"/>
        <v>-1.7280399333685637E-11</v>
      </c>
      <c r="L88" s="16"/>
      <c r="M88" s="16"/>
    </row>
    <row r="89" spans="1:13" x14ac:dyDescent="0.25">
      <c r="A89" s="15">
        <v>69</v>
      </c>
      <c r="B89" s="15"/>
      <c r="C89" s="15"/>
      <c r="D89" s="16">
        <f t="shared" si="6"/>
        <v>0</v>
      </c>
      <c r="E89" s="16">
        <f t="shared" si="7"/>
        <v>0</v>
      </c>
      <c r="F89" s="16">
        <f t="shared" si="5"/>
        <v>0</v>
      </c>
      <c r="G89" s="16">
        <f t="shared" si="8"/>
        <v>-1.7280399333685637E-11</v>
      </c>
      <c r="L89" s="16"/>
      <c r="M89" s="16"/>
    </row>
    <row r="90" spans="1:13" x14ac:dyDescent="0.25">
      <c r="A90" s="15">
        <v>70</v>
      </c>
      <c r="B90" s="15"/>
      <c r="C90" s="15"/>
      <c r="D90" s="16">
        <f t="shared" si="6"/>
        <v>0</v>
      </c>
      <c r="E90" s="16">
        <f t="shared" si="7"/>
        <v>0</v>
      </c>
      <c r="F90" s="16">
        <f t="shared" si="5"/>
        <v>0</v>
      </c>
      <c r="G90" s="16">
        <f t="shared" si="8"/>
        <v>-1.7280399333685637E-11</v>
      </c>
      <c r="L90" s="16"/>
      <c r="M90" s="16"/>
    </row>
    <row r="91" spans="1:13" x14ac:dyDescent="0.25">
      <c r="A91" s="15">
        <v>71</v>
      </c>
      <c r="B91" s="15"/>
      <c r="C91" s="15"/>
      <c r="D91" s="16">
        <f t="shared" si="6"/>
        <v>0</v>
      </c>
      <c r="E91" s="16">
        <f t="shared" si="7"/>
        <v>0</v>
      </c>
      <c r="F91" s="16">
        <f t="shared" si="5"/>
        <v>0</v>
      </c>
      <c r="G91" s="16">
        <f t="shared" si="8"/>
        <v>-1.7280399333685637E-11</v>
      </c>
      <c r="L91" s="16"/>
      <c r="M91" s="16"/>
    </row>
    <row r="92" spans="1:13" x14ac:dyDescent="0.25">
      <c r="A92" s="15">
        <v>72</v>
      </c>
      <c r="B92" s="15"/>
      <c r="C92" s="15"/>
      <c r="D92" s="16">
        <f t="shared" si="6"/>
        <v>0</v>
      </c>
      <c r="E92" s="16">
        <f t="shared" si="7"/>
        <v>0</v>
      </c>
      <c r="F92" s="16">
        <f t="shared" si="5"/>
        <v>0</v>
      </c>
      <c r="G92" s="16">
        <f t="shared" si="8"/>
        <v>-1.7280399333685637E-11</v>
      </c>
      <c r="L92" s="16"/>
      <c r="M92" s="16"/>
    </row>
    <row r="93" spans="1:13" x14ac:dyDescent="0.25">
      <c r="A93" s="15">
        <v>73</v>
      </c>
      <c r="B93" s="15"/>
      <c r="C93" s="15"/>
      <c r="D93" s="16">
        <f t="shared" si="6"/>
        <v>0</v>
      </c>
      <c r="E93" s="16">
        <f t="shared" si="7"/>
        <v>0</v>
      </c>
      <c r="F93" s="16">
        <f t="shared" si="5"/>
        <v>0</v>
      </c>
      <c r="G93" s="16">
        <f t="shared" si="8"/>
        <v>-1.7280399333685637E-11</v>
      </c>
      <c r="L93" s="16"/>
      <c r="M93" s="16"/>
    </row>
    <row r="94" spans="1:13" x14ac:dyDescent="0.25">
      <c r="A94" s="15">
        <v>74</v>
      </c>
      <c r="B94" s="15"/>
      <c r="C94" s="15"/>
      <c r="D94" s="16">
        <f t="shared" si="6"/>
        <v>0</v>
      </c>
      <c r="E94" s="16">
        <f t="shared" si="7"/>
        <v>0</v>
      </c>
      <c r="F94" s="16">
        <f t="shared" si="5"/>
        <v>0</v>
      </c>
      <c r="G94" s="16">
        <f t="shared" si="8"/>
        <v>-1.7280399333685637E-11</v>
      </c>
      <c r="L94" s="16"/>
      <c r="M94" s="16"/>
    </row>
    <row r="95" spans="1:13" x14ac:dyDescent="0.25">
      <c r="A95" s="15">
        <v>75</v>
      </c>
      <c r="B95" s="15"/>
      <c r="C95" s="15"/>
      <c r="D95" s="16">
        <f t="shared" si="6"/>
        <v>0</v>
      </c>
      <c r="E95" s="16">
        <f t="shared" si="7"/>
        <v>0</v>
      </c>
      <c r="F95" s="16">
        <f t="shared" si="5"/>
        <v>0</v>
      </c>
      <c r="G95" s="16">
        <f t="shared" si="8"/>
        <v>-1.7280399333685637E-11</v>
      </c>
      <c r="L95" s="16"/>
      <c r="M95" s="16"/>
    </row>
    <row r="96" spans="1:13" x14ac:dyDescent="0.25">
      <c r="A96" s="15">
        <v>76</v>
      </c>
      <c r="B96" s="15"/>
      <c r="C96" s="15"/>
      <c r="D96" s="16">
        <f t="shared" si="6"/>
        <v>0</v>
      </c>
      <c r="E96" s="16">
        <f t="shared" si="7"/>
        <v>0</v>
      </c>
      <c r="F96" s="16">
        <f t="shared" si="5"/>
        <v>0</v>
      </c>
      <c r="G96" s="16">
        <f t="shared" si="8"/>
        <v>-1.7280399333685637E-11</v>
      </c>
      <c r="L96" s="16"/>
      <c r="M96" s="16"/>
    </row>
    <row r="97" spans="1:13" x14ac:dyDescent="0.25">
      <c r="A97" s="15">
        <v>77</v>
      </c>
      <c r="B97" s="15"/>
      <c r="C97" s="15"/>
      <c r="D97" s="16">
        <f t="shared" si="6"/>
        <v>0</v>
      </c>
      <c r="E97" s="16">
        <f t="shared" si="7"/>
        <v>0</v>
      </c>
      <c r="F97" s="16">
        <f t="shared" si="5"/>
        <v>0</v>
      </c>
      <c r="G97" s="16">
        <f t="shared" si="8"/>
        <v>-1.7280399333685637E-11</v>
      </c>
      <c r="L97" s="16"/>
      <c r="M97" s="16"/>
    </row>
    <row r="98" spans="1:13" x14ac:dyDescent="0.25">
      <c r="A98" s="15">
        <v>78</v>
      </c>
      <c r="B98" s="15"/>
      <c r="C98" s="15"/>
      <c r="D98" s="16">
        <f t="shared" si="6"/>
        <v>0</v>
      </c>
      <c r="E98" s="16">
        <f t="shared" si="7"/>
        <v>0</v>
      </c>
      <c r="F98" s="16">
        <f t="shared" si="5"/>
        <v>0</v>
      </c>
      <c r="G98" s="16">
        <f t="shared" si="8"/>
        <v>-1.7280399333685637E-11</v>
      </c>
      <c r="L98" s="16"/>
      <c r="M98" s="16"/>
    </row>
    <row r="99" spans="1:13" x14ac:dyDescent="0.25">
      <c r="A99" s="15">
        <v>79</v>
      </c>
      <c r="B99" s="15"/>
      <c r="C99" s="15"/>
      <c r="D99" s="16">
        <f t="shared" si="6"/>
        <v>0</v>
      </c>
      <c r="E99" s="16">
        <f t="shared" si="7"/>
        <v>0</v>
      </c>
      <c r="F99" s="16">
        <f t="shared" si="5"/>
        <v>0</v>
      </c>
      <c r="G99" s="16">
        <f t="shared" si="8"/>
        <v>-1.7280399333685637E-11</v>
      </c>
      <c r="L99" s="16"/>
      <c r="M99" s="16"/>
    </row>
    <row r="100" spans="1:13" x14ac:dyDescent="0.25">
      <c r="A100" s="15">
        <v>80</v>
      </c>
      <c r="B100" s="15"/>
      <c r="C100" s="15"/>
      <c r="D100" s="16">
        <f t="shared" si="6"/>
        <v>0</v>
      </c>
      <c r="E100" s="16">
        <f t="shared" si="7"/>
        <v>0</v>
      </c>
      <c r="F100" s="16">
        <f t="shared" si="5"/>
        <v>0</v>
      </c>
      <c r="G100" s="16">
        <f t="shared" si="8"/>
        <v>-1.7280399333685637E-11</v>
      </c>
      <c r="L100" s="16"/>
      <c r="M100" s="16"/>
    </row>
    <row r="101" spans="1:13" x14ac:dyDescent="0.25">
      <c r="A101" s="15">
        <v>81</v>
      </c>
      <c r="B101" s="15"/>
      <c r="C101" s="15"/>
      <c r="D101" s="16">
        <f t="shared" si="6"/>
        <v>0</v>
      </c>
      <c r="E101" s="16">
        <f t="shared" si="7"/>
        <v>0</v>
      </c>
      <c r="F101" s="16">
        <f t="shared" si="5"/>
        <v>0</v>
      </c>
      <c r="G101" s="16">
        <f t="shared" si="8"/>
        <v>-1.7280399333685637E-11</v>
      </c>
      <c r="L101" s="16"/>
      <c r="M101" s="16"/>
    </row>
    <row r="102" spans="1:13" x14ac:dyDescent="0.25">
      <c r="A102" s="15">
        <v>82</v>
      </c>
      <c r="B102" s="15"/>
      <c r="C102" s="15"/>
      <c r="D102" s="16">
        <f t="shared" si="6"/>
        <v>0</v>
      </c>
      <c r="E102" s="16">
        <f t="shared" si="7"/>
        <v>0</v>
      </c>
      <c r="F102" s="16">
        <f t="shared" si="5"/>
        <v>0</v>
      </c>
      <c r="G102" s="16">
        <f t="shared" si="8"/>
        <v>-1.7280399333685637E-11</v>
      </c>
      <c r="L102" s="16"/>
      <c r="M102" s="16"/>
    </row>
    <row r="103" spans="1:13" x14ac:dyDescent="0.25">
      <c r="A103" s="15">
        <v>83</v>
      </c>
      <c r="B103" s="15"/>
      <c r="C103" s="15"/>
      <c r="D103" s="16">
        <f t="shared" si="6"/>
        <v>0</v>
      </c>
      <c r="E103" s="16">
        <f t="shared" si="7"/>
        <v>0</v>
      </c>
      <c r="F103" s="16">
        <f t="shared" si="5"/>
        <v>0</v>
      </c>
      <c r="G103" s="16">
        <f t="shared" si="8"/>
        <v>-1.7280399333685637E-11</v>
      </c>
      <c r="L103" s="16"/>
      <c r="M103" s="16"/>
    </row>
    <row r="104" spans="1:13" x14ac:dyDescent="0.25">
      <c r="A104" s="15">
        <v>84</v>
      </c>
      <c r="B104" s="15"/>
      <c r="C104" s="15"/>
      <c r="D104" s="16">
        <f t="shared" si="6"/>
        <v>0</v>
      </c>
      <c r="E104" s="16">
        <f t="shared" si="7"/>
        <v>0</v>
      </c>
      <c r="F104" s="16">
        <f t="shared" si="5"/>
        <v>0</v>
      </c>
      <c r="G104" s="16">
        <f t="shared" si="8"/>
        <v>-1.7280399333685637E-11</v>
      </c>
      <c r="L104" s="16"/>
      <c r="M104" s="16"/>
    </row>
    <row r="105" spans="1:13" x14ac:dyDescent="0.25">
      <c r="A105" s="15">
        <v>85</v>
      </c>
      <c r="B105" s="15"/>
      <c r="C105" s="15"/>
      <c r="D105" s="16">
        <f t="shared" si="6"/>
        <v>0</v>
      </c>
      <c r="E105" s="16">
        <f t="shared" si="7"/>
        <v>0</v>
      </c>
      <c r="F105" s="16">
        <f t="shared" si="5"/>
        <v>0</v>
      </c>
      <c r="G105" s="16">
        <f t="shared" si="8"/>
        <v>-1.7280399333685637E-11</v>
      </c>
      <c r="L105" s="16"/>
      <c r="M105" s="16"/>
    </row>
    <row r="106" spans="1:13" x14ac:dyDescent="0.25">
      <c r="A106" s="15">
        <v>86</v>
      </c>
      <c r="B106" s="15"/>
      <c r="C106" s="15"/>
      <c r="D106" s="16">
        <f t="shared" si="6"/>
        <v>0</v>
      </c>
      <c r="E106" s="16">
        <f t="shared" si="7"/>
        <v>0</v>
      </c>
      <c r="F106" s="16">
        <f t="shared" si="5"/>
        <v>0</v>
      </c>
      <c r="G106" s="16">
        <f t="shared" si="8"/>
        <v>-1.7280399333685637E-11</v>
      </c>
      <c r="L106" s="16"/>
      <c r="M106" s="16"/>
    </row>
    <row r="107" spans="1:13" x14ac:dyDescent="0.25">
      <c r="A107" s="15">
        <v>87</v>
      </c>
      <c r="B107" s="15"/>
      <c r="C107" s="15"/>
      <c r="D107" s="16">
        <f t="shared" si="6"/>
        <v>0</v>
      </c>
      <c r="E107" s="16">
        <f t="shared" si="7"/>
        <v>0</v>
      </c>
      <c r="F107" s="16">
        <f t="shared" si="5"/>
        <v>0</v>
      </c>
      <c r="G107" s="16">
        <f t="shared" si="8"/>
        <v>-1.7280399333685637E-11</v>
      </c>
      <c r="L107" s="16"/>
      <c r="M107" s="16"/>
    </row>
    <row r="108" spans="1:13" x14ac:dyDescent="0.25">
      <c r="A108" s="15">
        <v>88</v>
      </c>
      <c r="B108" s="15"/>
      <c r="C108" s="15"/>
      <c r="D108" s="16">
        <f t="shared" si="6"/>
        <v>0</v>
      </c>
      <c r="E108" s="16">
        <f t="shared" si="7"/>
        <v>0</v>
      </c>
      <c r="F108" s="16">
        <f t="shared" si="5"/>
        <v>0</v>
      </c>
      <c r="G108" s="16">
        <f t="shared" si="8"/>
        <v>-1.7280399333685637E-11</v>
      </c>
      <c r="L108" s="16"/>
      <c r="M108" s="16"/>
    </row>
    <row r="109" spans="1:13" x14ac:dyDescent="0.25">
      <c r="A109" s="15">
        <v>89</v>
      </c>
      <c r="B109" s="15"/>
      <c r="C109" s="15"/>
      <c r="D109" s="16">
        <f t="shared" si="6"/>
        <v>0</v>
      </c>
      <c r="E109" s="16">
        <f t="shared" si="7"/>
        <v>0</v>
      </c>
      <c r="F109" s="16">
        <f t="shared" si="5"/>
        <v>0</v>
      </c>
      <c r="G109" s="16">
        <f t="shared" si="8"/>
        <v>-1.7280399333685637E-11</v>
      </c>
      <c r="L109" s="16"/>
      <c r="M109" s="16"/>
    </row>
    <row r="110" spans="1:13" x14ac:dyDescent="0.25">
      <c r="A110" s="15">
        <v>90</v>
      </c>
      <c r="B110" s="15"/>
      <c r="C110" s="15"/>
      <c r="D110" s="16">
        <f t="shared" si="6"/>
        <v>0</v>
      </c>
      <c r="E110" s="16">
        <f t="shared" si="7"/>
        <v>0</v>
      </c>
      <c r="F110" s="16">
        <f t="shared" si="5"/>
        <v>0</v>
      </c>
      <c r="G110" s="16">
        <f t="shared" si="8"/>
        <v>-1.7280399333685637E-11</v>
      </c>
      <c r="L110" s="16"/>
      <c r="M110" s="16"/>
    </row>
    <row r="111" spans="1:13" x14ac:dyDescent="0.25">
      <c r="A111" s="15">
        <v>91</v>
      </c>
      <c r="B111" s="15"/>
      <c r="C111" s="15"/>
      <c r="D111" s="16">
        <f t="shared" si="6"/>
        <v>0</v>
      </c>
      <c r="E111" s="16">
        <f t="shared" si="7"/>
        <v>0</v>
      </c>
      <c r="F111" s="16">
        <f t="shared" si="5"/>
        <v>0</v>
      </c>
      <c r="G111" s="16">
        <f t="shared" si="8"/>
        <v>-1.7280399333685637E-11</v>
      </c>
      <c r="L111" s="16"/>
      <c r="M111" s="16"/>
    </row>
    <row r="112" spans="1:13" x14ac:dyDescent="0.25">
      <c r="A112" s="15">
        <v>92</v>
      </c>
      <c r="B112" s="15"/>
      <c r="C112" s="15"/>
      <c r="D112" s="16">
        <f t="shared" si="6"/>
        <v>0</v>
      </c>
      <c r="E112" s="16">
        <f t="shared" si="7"/>
        <v>0</v>
      </c>
      <c r="F112" s="16">
        <f t="shared" si="5"/>
        <v>0</v>
      </c>
      <c r="G112" s="16">
        <f t="shared" si="8"/>
        <v>-1.7280399333685637E-11</v>
      </c>
      <c r="L112" s="16"/>
      <c r="M112" s="16"/>
    </row>
    <row r="113" spans="1:13" x14ac:dyDescent="0.25">
      <c r="A113" s="15">
        <v>93</v>
      </c>
      <c r="B113" s="15"/>
      <c r="C113" s="15"/>
      <c r="D113" s="16">
        <f t="shared" si="6"/>
        <v>0</v>
      </c>
      <c r="E113" s="16">
        <f t="shared" si="7"/>
        <v>0</v>
      </c>
      <c r="F113" s="16">
        <f t="shared" si="5"/>
        <v>0</v>
      </c>
      <c r="G113" s="16">
        <f t="shared" si="8"/>
        <v>-1.7280399333685637E-11</v>
      </c>
      <c r="L113" s="16"/>
      <c r="M113" s="16"/>
    </row>
    <row r="114" spans="1:13" x14ac:dyDescent="0.25">
      <c r="A114" s="15">
        <v>94</v>
      </c>
      <c r="B114" s="15"/>
      <c r="C114" s="15"/>
      <c r="D114" s="16">
        <f t="shared" si="6"/>
        <v>0</v>
      </c>
      <c r="E114" s="16">
        <f t="shared" si="7"/>
        <v>0</v>
      </c>
      <c r="F114" s="16">
        <f t="shared" si="5"/>
        <v>0</v>
      </c>
      <c r="G114" s="16">
        <f t="shared" si="8"/>
        <v>-1.7280399333685637E-11</v>
      </c>
      <c r="L114" s="16"/>
      <c r="M114" s="16"/>
    </row>
    <row r="115" spans="1:13" x14ac:dyDescent="0.25">
      <c r="A115" s="15">
        <v>95</v>
      </c>
      <c r="B115" s="15"/>
      <c r="C115" s="15"/>
      <c r="D115" s="16">
        <f t="shared" si="6"/>
        <v>0</v>
      </c>
      <c r="E115" s="16">
        <f t="shared" si="7"/>
        <v>0</v>
      </c>
      <c r="F115" s="16">
        <f t="shared" si="5"/>
        <v>0</v>
      </c>
      <c r="G115" s="16">
        <f t="shared" si="8"/>
        <v>-1.7280399333685637E-11</v>
      </c>
      <c r="L115" s="16"/>
      <c r="M115" s="16"/>
    </row>
    <row r="116" spans="1:13" x14ac:dyDescent="0.25">
      <c r="A116" s="15">
        <v>96</v>
      </c>
      <c r="B116" s="15"/>
      <c r="C116" s="15"/>
      <c r="D116" s="16">
        <f t="shared" si="6"/>
        <v>0</v>
      </c>
      <c r="E116" s="16">
        <f t="shared" si="7"/>
        <v>0</v>
      </c>
      <c r="F116" s="16">
        <f t="shared" si="5"/>
        <v>0</v>
      </c>
      <c r="G116" s="16">
        <f t="shared" si="8"/>
        <v>-1.7280399333685637E-11</v>
      </c>
      <c r="L116" s="16"/>
      <c r="M116" s="16"/>
    </row>
    <row r="117" spans="1:13" x14ac:dyDescent="0.25">
      <c r="A117" s="15">
        <v>97</v>
      </c>
      <c r="B117" s="15"/>
      <c r="C117" s="15"/>
      <c r="D117" s="16">
        <f t="shared" si="6"/>
        <v>0</v>
      </c>
      <c r="E117" s="16">
        <f t="shared" si="7"/>
        <v>0</v>
      </c>
      <c r="F117" s="16">
        <f t="shared" si="5"/>
        <v>0</v>
      </c>
      <c r="G117" s="16">
        <f t="shared" si="8"/>
        <v>-1.7280399333685637E-11</v>
      </c>
      <c r="L117" s="16"/>
      <c r="M117" s="16"/>
    </row>
    <row r="118" spans="1:13" x14ac:dyDescent="0.25">
      <c r="A118" s="15">
        <v>98</v>
      </c>
      <c r="B118" s="15"/>
      <c r="C118" s="15"/>
      <c r="D118" s="16">
        <f t="shared" si="6"/>
        <v>0</v>
      </c>
      <c r="E118" s="16">
        <f t="shared" si="7"/>
        <v>0</v>
      </c>
      <c r="F118" s="16">
        <f t="shared" si="5"/>
        <v>0</v>
      </c>
      <c r="G118" s="16">
        <f t="shared" si="8"/>
        <v>-1.7280399333685637E-11</v>
      </c>
      <c r="L118" s="16"/>
      <c r="M118" s="16"/>
    </row>
    <row r="119" spans="1:13" x14ac:dyDescent="0.25">
      <c r="A119" s="15">
        <v>99</v>
      </c>
      <c r="B119" s="15"/>
      <c r="C119" s="15"/>
      <c r="D119" s="16">
        <f t="shared" si="6"/>
        <v>0</v>
      </c>
      <c r="E119" s="16">
        <f t="shared" si="7"/>
        <v>0</v>
      </c>
      <c r="F119" s="16">
        <f t="shared" si="5"/>
        <v>0</v>
      </c>
      <c r="G119" s="16">
        <f t="shared" si="8"/>
        <v>-1.7280399333685637E-11</v>
      </c>
      <c r="L119" s="16"/>
      <c r="M119" s="16"/>
    </row>
    <row r="120" spans="1:13" x14ac:dyDescent="0.25">
      <c r="A120" s="15">
        <v>100</v>
      </c>
      <c r="B120" s="15"/>
      <c r="C120" s="15"/>
      <c r="D120" s="16">
        <f t="shared" si="6"/>
        <v>0</v>
      </c>
      <c r="E120" s="16">
        <f t="shared" si="7"/>
        <v>0</v>
      </c>
      <c r="F120" s="16">
        <f t="shared" si="5"/>
        <v>0</v>
      </c>
      <c r="G120" s="16">
        <f t="shared" si="8"/>
        <v>-1.7280399333685637E-11</v>
      </c>
      <c r="L120" s="16"/>
      <c r="M120" s="16"/>
    </row>
    <row r="121" spans="1:13" x14ac:dyDescent="0.25">
      <c r="A121" s="15">
        <v>101</v>
      </c>
      <c r="B121" s="15"/>
      <c r="C121" s="15"/>
      <c r="D121" s="16">
        <f t="shared" si="6"/>
        <v>0</v>
      </c>
      <c r="E121" s="16">
        <f t="shared" si="7"/>
        <v>0</v>
      </c>
      <c r="F121" s="16">
        <f t="shared" si="5"/>
        <v>0</v>
      </c>
      <c r="G121" s="16">
        <f t="shared" si="8"/>
        <v>-1.7280399333685637E-11</v>
      </c>
      <c r="L121" s="16"/>
      <c r="M121" s="16"/>
    </row>
    <row r="122" spans="1:13" x14ac:dyDescent="0.25">
      <c r="A122" s="15">
        <v>102</v>
      </c>
      <c r="B122" s="15"/>
      <c r="C122" s="15"/>
      <c r="D122" s="16">
        <f t="shared" si="6"/>
        <v>0</v>
      </c>
      <c r="E122" s="16">
        <f t="shared" si="7"/>
        <v>0</v>
      </c>
      <c r="F122" s="16">
        <f t="shared" si="5"/>
        <v>0</v>
      </c>
      <c r="G122" s="16">
        <f t="shared" si="8"/>
        <v>-1.7280399333685637E-11</v>
      </c>
      <c r="L122" s="16"/>
      <c r="M122" s="16"/>
    </row>
    <row r="123" spans="1:13" x14ac:dyDescent="0.25">
      <c r="A123" s="15">
        <v>103</v>
      </c>
      <c r="B123" s="15"/>
      <c r="C123" s="15"/>
      <c r="D123" s="16">
        <f t="shared" si="6"/>
        <v>0</v>
      </c>
      <c r="E123" s="16">
        <f t="shared" si="7"/>
        <v>0</v>
      </c>
      <c r="F123" s="16">
        <f t="shared" si="5"/>
        <v>0</v>
      </c>
      <c r="G123" s="16">
        <f t="shared" si="8"/>
        <v>-1.7280399333685637E-11</v>
      </c>
      <c r="L123" s="16"/>
      <c r="M123" s="16"/>
    </row>
    <row r="124" spans="1:13" x14ac:dyDescent="0.25">
      <c r="A124" s="15">
        <v>104</v>
      </c>
      <c r="B124" s="15"/>
      <c r="C124" s="15"/>
      <c r="D124" s="16">
        <f t="shared" si="6"/>
        <v>0</v>
      </c>
      <c r="E124" s="16">
        <f t="shared" si="7"/>
        <v>0</v>
      </c>
      <c r="F124" s="16">
        <f t="shared" si="5"/>
        <v>0</v>
      </c>
      <c r="G124" s="16">
        <f t="shared" si="8"/>
        <v>-1.7280399333685637E-11</v>
      </c>
      <c r="L124" s="16"/>
      <c r="M124" s="16"/>
    </row>
    <row r="125" spans="1:13" x14ac:dyDescent="0.25">
      <c r="A125" s="15">
        <v>105</v>
      </c>
      <c r="B125" s="15"/>
      <c r="C125" s="15"/>
      <c r="D125" s="16">
        <f t="shared" si="6"/>
        <v>0</v>
      </c>
      <c r="E125" s="16">
        <f t="shared" si="7"/>
        <v>0</v>
      </c>
      <c r="F125" s="16">
        <f t="shared" si="5"/>
        <v>0</v>
      </c>
      <c r="G125" s="16">
        <f t="shared" si="8"/>
        <v>-1.7280399333685637E-11</v>
      </c>
      <c r="L125" s="16"/>
      <c r="M125" s="16"/>
    </row>
    <row r="126" spans="1:13" x14ac:dyDescent="0.25">
      <c r="A126" s="15">
        <v>106</v>
      </c>
      <c r="B126" s="15"/>
      <c r="C126" s="15"/>
      <c r="D126" s="16">
        <f t="shared" si="6"/>
        <v>0</v>
      </c>
      <c r="E126" s="16">
        <f t="shared" si="7"/>
        <v>0</v>
      </c>
      <c r="F126" s="16">
        <f t="shared" si="5"/>
        <v>0</v>
      </c>
      <c r="G126" s="16">
        <f t="shared" si="8"/>
        <v>-1.7280399333685637E-11</v>
      </c>
      <c r="L126" s="16"/>
      <c r="M126" s="16"/>
    </row>
    <row r="127" spans="1:13" x14ac:dyDescent="0.25">
      <c r="A127" s="15">
        <v>107</v>
      </c>
      <c r="B127" s="15"/>
      <c r="C127" s="15"/>
      <c r="D127" s="16">
        <f t="shared" si="6"/>
        <v>0</v>
      </c>
      <c r="E127" s="16">
        <f t="shared" si="7"/>
        <v>0</v>
      </c>
      <c r="F127" s="16">
        <f t="shared" si="5"/>
        <v>0</v>
      </c>
      <c r="G127" s="16">
        <f t="shared" si="8"/>
        <v>-1.7280399333685637E-11</v>
      </c>
      <c r="L127" s="16"/>
      <c r="M127" s="16"/>
    </row>
    <row r="128" spans="1:13" x14ac:dyDescent="0.25">
      <c r="A128" s="15">
        <v>108</v>
      </c>
      <c r="B128" s="15"/>
      <c r="C128" s="15"/>
      <c r="D128" s="16">
        <f t="shared" si="6"/>
        <v>0</v>
      </c>
      <c r="E128" s="16">
        <f t="shared" si="7"/>
        <v>0</v>
      </c>
      <c r="F128" s="16">
        <f t="shared" si="5"/>
        <v>0</v>
      </c>
      <c r="G128" s="16">
        <f t="shared" si="8"/>
        <v>-1.7280399333685637E-11</v>
      </c>
      <c r="L128" s="16"/>
      <c r="M128" s="16"/>
    </row>
    <row r="129" spans="1:13" x14ac:dyDescent="0.25">
      <c r="A129" s="15">
        <v>109</v>
      </c>
      <c r="B129" s="15"/>
      <c r="C129" s="15"/>
      <c r="D129" s="16">
        <f t="shared" si="6"/>
        <v>0</v>
      </c>
      <c r="E129" s="16">
        <f t="shared" si="7"/>
        <v>0</v>
      </c>
      <c r="F129" s="16">
        <f t="shared" si="5"/>
        <v>0</v>
      </c>
      <c r="G129" s="16">
        <f t="shared" si="8"/>
        <v>-1.7280399333685637E-11</v>
      </c>
      <c r="L129" s="16"/>
      <c r="M129" s="16"/>
    </row>
    <row r="130" spans="1:13" x14ac:dyDescent="0.25">
      <c r="A130" s="15">
        <v>110</v>
      </c>
      <c r="B130" s="15"/>
      <c r="C130" s="15"/>
      <c r="D130" s="16">
        <f t="shared" si="6"/>
        <v>0</v>
      </c>
      <c r="E130" s="16">
        <f t="shared" si="7"/>
        <v>0</v>
      </c>
      <c r="F130" s="16">
        <f t="shared" si="5"/>
        <v>0</v>
      </c>
      <c r="G130" s="16">
        <f t="shared" si="8"/>
        <v>-1.7280399333685637E-11</v>
      </c>
      <c r="L130" s="16"/>
      <c r="M130" s="16"/>
    </row>
    <row r="131" spans="1:13" x14ac:dyDescent="0.25">
      <c r="A131" s="15">
        <v>111</v>
      </c>
      <c r="B131" s="15"/>
      <c r="C131" s="15"/>
      <c r="D131" s="16">
        <f t="shared" si="6"/>
        <v>0</v>
      </c>
      <c r="E131" s="16">
        <f t="shared" si="7"/>
        <v>0</v>
      </c>
      <c r="F131" s="16">
        <f t="shared" si="5"/>
        <v>0</v>
      </c>
      <c r="G131" s="16">
        <f t="shared" si="8"/>
        <v>-1.7280399333685637E-11</v>
      </c>
      <c r="L131" s="16"/>
      <c r="M131" s="16"/>
    </row>
    <row r="132" spans="1:13" x14ac:dyDescent="0.25">
      <c r="A132" s="15">
        <v>112</v>
      </c>
      <c r="B132" s="15"/>
      <c r="C132" s="15"/>
      <c r="D132" s="16">
        <f t="shared" si="6"/>
        <v>0</v>
      </c>
      <c r="E132" s="16">
        <f t="shared" si="7"/>
        <v>0</v>
      </c>
      <c r="F132" s="16">
        <f t="shared" si="5"/>
        <v>0</v>
      </c>
      <c r="G132" s="16">
        <f t="shared" si="8"/>
        <v>-1.7280399333685637E-11</v>
      </c>
      <c r="L132" s="16"/>
      <c r="M132" s="16"/>
    </row>
    <row r="133" spans="1:13" x14ac:dyDescent="0.25">
      <c r="A133" s="15">
        <v>113</v>
      </c>
      <c r="B133" s="15"/>
      <c r="C133" s="15"/>
      <c r="D133" s="16">
        <f t="shared" si="6"/>
        <v>0</v>
      </c>
      <c r="E133" s="16">
        <f t="shared" si="7"/>
        <v>0</v>
      </c>
      <c r="F133" s="16">
        <f t="shared" si="5"/>
        <v>0</v>
      </c>
      <c r="G133" s="16">
        <f t="shared" si="8"/>
        <v>-1.7280399333685637E-11</v>
      </c>
      <c r="L133" s="16"/>
      <c r="M133" s="16"/>
    </row>
    <row r="134" spans="1:13" x14ac:dyDescent="0.25">
      <c r="A134" s="15">
        <v>114</v>
      </c>
      <c r="B134" s="15"/>
      <c r="C134" s="15"/>
      <c r="D134" s="16">
        <f t="shared" si="6"/>
        <v>0</v>
      </c>
      <c r="E134" s="16">
        <f t="shared" si="7"/>
        <v>0</v>
      </c>
      <c r="F134" s="16">
        <f t="shared" si="5"/>
        <v>0</v>
      </c>
      <c r="G134" s="16">
        <f t="shared" si="8"/>
        <v>-1.7280399333685637E-11</v>
      </c>
      <c r="L134" s="16"/>
      <c r="M134" s="16"/>
    </row>
    <row r="135" spans="1:13" x14ac:dyDescent="0.25">
      <c r="A135" s="15">
        <v>115</v>
      </c>
      <c r="B135" s="15"/>
      <c r="C135" s="15"/>
      <c r="D135" s="16">
        <f t="shared" si="6"/>
        <v>0</v>
      </c>
      <c r="E135" s="16">
        <f t="shared" si="7"/>
        <v>0</v>
      </c>
      <c r="F135" s="16">
        <f t="shared" ref="F135:F198" si="9">E135+D135</f>
        <v>0</v>
      </c>
      <c r="G135" s="16">
        <f t="shared" si="8"/>
        <v>-1.7280399333685637E-11</v>
      </c>
      <c r="L135" s="16"/>
      <c r="M135" s="16"/>
    </row>
    <row r="136" spans="1:13" x14ac:dyDescent="0.25">
      <c r="A136" s="15">
        <v>116</v>
      </c>
      <c r="B136" s="15"/>
      <c r="C136" s="15"/>
      <c r="D136" s="16">
        <f t="shared" si="6"/>
        <v>0</v>
      </c>
      <c r="E136" s="16">
        <f t="shared" si="7"/>
        <v>0</v>
      </c>
      <c r="F136" s="16">
        <f t="shared" si="9"/>
        <v>0</v>
      </c>
      <c r="G136" s="16">
        <f t="shared" si="8"/>
        <v>-1.7280399333685637E-11</v>
      </c>
      <c r="L136" s="16"/>
      <c r="M136" s="16"/>
    </row>
    <row r="137" spans="1:13" x14ac:dyDescent="0.25">
      <c r="A137" s="15">
        <v>117</v>
      </c>
      <c r="B137" s="15"/>
      <c r="C137" s="15"/>
      <c r="D137" s="16">
        <f t="shared" si="6"/>
        <v>0</v>
      </c>
      <c r="E137" s="16">
        <f t="shared" si="7"/>
        <v>0</v>
      </c>
      <c r="F137" s="16">
        <f t="shared" si="9"/>
        <v>0</v>
      </c>
      <c r="G137" s="16">
        <f t="shared" si="8"/>
        <v>-1.7280399333685637E-11</v>
      </c>
      <c r="L137" s="16"/>
      <c r="M137" s="16"/>
    </row>
    <row r="138" spans="1:13" x14ac:dyDescent="0.25">
      <c r="A138" s="15">
        <v>118</v>
      </c>
      <c r="B138" s="15"/>
      <c r="C138" s="15"/>
      <c r="D138" s="16">
        <f t="shared" si="6"/>
        <v>0</v>
      </c>
      <c r="E138" s="16">
        <f t="shared" si="7"/>
        <v>0</v>
      </c>
      <c r="F138" s="16">
        <f t="shared" si="9"/>
        <v>0</v>
      </c>
      <c r="G138" s="16">
        <f t="shared" si="8"/>
        <v>-1.7280399333685637E-11</v>
      </c>
      <c r="L138" s="16"/>
      <c r="M138" s="16"/>
    </row>
    <row r="139" spans="1:13" x14ac:dyDescent="0.25">
      <c r="A139" s="15">
        <v>119</v>
      </c>
      <c r="B139" s="15"/>
      <c r="C139" s="15"/>
      <c r="D139" s="16">
        <f t="shared" si="6"/>
        <v>0</v>
      </c>
      <c r="E139" s="16">
        <f t="shared" si="7"/>
        <v>0</v>
      </c>
      <c r="F139" s="16">
        <f t="shared" si="9"/>
        <v>0</v>
      </c>
      <c r="G139" s="16">
        <f t="shared" si="8"/>
        <v>-1.7280399333685637E-11</v>
      </c>
      <c r="L139" s="16"/>
      <c r="M139" s="16"/>
    </row>
    <row r="140" spans="1:13" x14ac:dyDescent="0.25">
      <c r="A140" s="15">
        <v>120</v>
      </c>
      <c r="B140" s="15"/>
      <c r="C140" s="15"/>
      <c r="D140" s="16">
        <f t="shared" si="6"/>
        <v>0</v>
      </c>
      <c r="E140" s="16">
        <f t="shared" si="7"/>
        <v>0</v>
      </c>
      <c r="F140" s="16">
        <f t="shared" si="9"/>
        <v>0</v>
      </c>
      <c r="G140" s="16">
        <f t="shared" si="8"/>
        <v>-1.7280399333685637E-11</v>
      </c>
      <c r="L140" s="16"/>
      <c r="M140" s="16"/>
    </row>
    <row r="141" spans="1:13" x14ac:dyDescent="0.25">
      <c r="A141" s="15">
        <v>121</v>
      </c>
      <c r="B141" s="15"/>
      <c r="C141" s="15"/>
      <c r="D141" s="16">
        <f t="shared" si="6"/>
        <v>0</v>
      </c>
      <c r="E141" s="16">
        <f t="shared" si="7"/>
        <v>0</v>
      </c>
      <c r="F141" s="16">
        <f t="shared" si="9"/>
        <v>0</v>
      </c>
      <c r="G141" s="16">
        <f t="shared" si="8"/>
        <v>-1.7280399333685637E-11</v>
      </c>
      <c r="L141" s="16"/>
      <c r="M141" s="16"/>
    </row>
    <row r="142" spans="1:13" x14ac:dyDescent="0.25">
      <c r="A142" s="15">
        <v>122</v>
      </c>
      <c r="B142" s="15"/>
      <c r="C142" s="15"/>
      <c r="D142" s="16">
        <f t="shared" si="6"/>
        <v>0</v>
      </c>
      <c r="E142" s="16">
        <f t="shared" si="7"/>
        <v>0</v>
      </c>
      <c r="F142" s="16">
        <f t="shared" si="9"/>
        <v>0</v>
      </c>
      <c r="G142" s="16">
        <f t="shared" si="8"/>
        <v>-1.7280399333685637E-11</v>
      </c>
      <c r="L142" s="16"/>
      <c r="M142" s="16"/>
    </row>
    <row r="143" spans="1:13" x14ac:dyDescent="0.25">
      <c r="A143" s="15">
        <v>123</v>
      </c>
      <c r="B143" s="15"/>
      <c r="C143" s="15"/>
      <c r="D143" s="16">
        <f t="shared" si="6"/>
        <v>0</v>
      </c>
      <c r="E143" s="16">
        <f t="shared" si="7"/>
        <v>0</v>
      </c>
      <c r="F143" s="16">
        <f t="shared" si="9"/>
        <v>0</v>
      </c>
      <c r="G143" s="16">
        <f t="shared" si="8"/>
        <v>-1.7280399333685637E-11</v>
      </c>
      <c r="L143" s="16"/>
      <c r="M143" s="16"/>
    </row>
    <row r="144" spans="1:13" x14ac:dyDescent="0.25">
      <c r="A144" s="15">
        <v>124</v>
      </c>
      <c r="B144" s="15"/>
      <c r="C144" s="15"/>
      <c r="D144" s="16">
        <f t="shared" si="6"/>
        <v>0</v>
      </c>
      <c r="E144" s="16">
        <f t="shared" si="7"/>
        <v>0</v>
      </c>
      <c r="F144" s="16">
        <f t="shared" si="9"/>
        <v>0</v>
      </c>
      <c r="G144" s="16">
        <f t="shared" si="8"/>
        <v>-1.7280399333685637E-11</v>
      </c>
      <c r="L144" s="16"/>
      <c r="M144" s="16"/>
    </row>
    <row r="145" spans="1:13" x14ac:dyDescent="0.25">
      <c r="A145" s="15">
        <v>125</v>
      </c>
      <c r="B145" s="15"/>
      <c r="C145" s="15"/>
      <c r="D145" s="16">
        <f t="shared" si="6"/>
        <v>0</v>
      </c>
      <c r="E145" s="16">
        <f t="shared" si="7"/>
        <v>0</v>
      </c>
      <c r="F145" s="16">
        <f t="shared" si="9"/>
        <v>0</v>
      </c>
      <c r="G145" s="16">
        <f t="shared" si="8"/>
        <v>-1.7280399333685637E-11</v>
      </c>
      <c r="L145" s="16"/>
      <c r="M145" s="16"/>
    </row>
    <row r="146" spans="1:13" x14ac:dyDescent="0.25">
      <c r="A146" s="15">
        <v>126</v>
      </c>
      <c r="B146" s="15"/>
      <c r="C146" s="15"/>
      <c r="D146" s="16">
        <f t="shared" si="6"/>
        <v>0</v>
      </c>
      <c r="E146" s="16">
        <f t="shared" si="7"/>
        <v>0</v>
      </c>
      <c r="F146" s="16">
        <f t="shared" si="9"/>
        <v>0</v>
      </c>
      <c r="G146" s="16">
        <f t="shared" si="8"/>
        <v>-1.7280399333685637E-11</v>
      </c>
      <c r="L146" s="16"/>
      <c r="M146" s="16"/>
    </row>
    <row r="147" spans="1:13" x14ac:dyDescent="0.25">
      <c r="A147" s="15">
        <v>127</v>
      </c>
      <c r="B147" s="15"/>
      <c r="C147" s="15"/>
      <c r="D147" s="16">
        <f t="shared" si="6"/>
        <v>0</v>
      </c>
      <c r="E147" s="16">
        <f t="shared" si="7"/>
        <v>0</v>
      </c>
      <c r="F147" s="16">
        <f t="shared" si="9"/>
        <v>0</v>
      </c>
      <c r="G147" s="16">
        <f t="shared" si="8"/>
        <v>-1.7280399333685637E-11</v>
      </c>
      <c r="L147" s="16"/>
      <c r="M147" s="16"/>
    </row>
    <row r="148" spans="1:13" x14ac:dyDescent="0.25">
      <c r="A148" s="15">
        <v>128</v>
      </c>
      <c r="B148" s="15"/>
      <c r="C148" s="15"/>
      <c r="D148" s="16">
        <f t="shared" si="6"/>
        <v>0</v>
      </c>
      <c r="E148" s="16">
        <f t="shared" si="7"/>
        <v>0</v>
      </c>
      <c r="F148" s="16">
        <f t="shared" si="9"/>
        <v>0</v>
      </c>
      <c r="G148" s="16">
        <f t="shared" si="8"/>
        <v>-1.7280399333685637E-11</v>
      </c>
      <c r="L148" s="16"/>
      <c r="M148" s="16"/>
    </row>
    <row r="149" spans="1:13" x14ac:dyDescent="0.25">
      <c r="A149" s="15">
        <v>129</v>
      </c>
      <c r="B149" s="15"/>
      <c r="C149" s="15"/>
      <c r="D149" s="16">
        <f t="shared" ref="D149:D212" si="10">IF(AND($A149&gt;=$F$12,$A149&lt;=$F$11),-PPMT($F$14,A149-$F$8,$F$15,$F$4),0)</f>
        <v>0</v>
      </c>
      <c r="E149" s="16">
        <f t="shared" ref="E149:E212" si="11">IF($A149&lt;=$F$11,IF($A149&gt;=$F$12,-IPMT($F$14,A149-$F$8,$F$15,$F$4),G149*$F$14),0)</f>
        <v>0</v>
      </c>
      <c r="F149" s="16">
        <f t="shared" si="9"/>
        <v>0</v>
      </c>
      <c r="G149" s="16">
        <f t="shared" si="8"/>
        <v>-1.7280399333685637E-11</v>
      </c>
      <c r="L149" s="16"/>
      <c r="M149" s="16"/>
    </row>
    <row r="150" spans="1:13" x14ac:dyDescent="0.25">
      <c r="A150" s="15">
        <v>130</v>
      </c>
      <c r="B150" s="15"/>
      <c r="C150" s="15"/>
      <c r="D150" s="16">
        <f t="shared" si="10"/>
        <v>0</v>
      </c>
      <c r="E150" s="16">
        <f t="shared" si="11"/>
        <v>0</v>
      </c>
      <c r="F150" s="16">
        <f t="shared" si="9"/>
        <v>0</v>
      </c>
      <c r="G150" s="16">
        <f t="shared" ref="G150:G213" si="12">G149-D150</f>
        <v>-1.7280399333685637E-11</v>
      </c>
      <c r="L150" s="16"/>
      <c r="M150" s="16"/>
    </row>
    <row r="151" spans="1:13" x14ac:dyDescent="0.25">
      <c r="A151" s="15">
        <v>131</v>
      </c>
      <c r="B151" s="15"/>
      <c r="C151" s="15"/>
      <c r="D151" s="16">
        <f t="shared" si="10"/>
        <v>0</v>
      </c>
      <c r="E151" s="16">
        <f t="shared" si="11"/>
        <v>0</v>
      </c>
      <c r="F151" s="16">
        <f t="shared" si="9"/>
        <v>0</v>
      </c>
      <c r="G151" s="16">
        <f t="shared" si="12"/>
        <v>-1.7280399333685637E-11</v>
      </c>
      <c r="L151" s="16"/>
      <c r="M151" s="16"/>
    </row>
    <row r="152" spans="1:13" x14ac:dyDescent="0.25">
      <c r="A152" s="15">
        <v>132</v>
      </c>
      <c r="B152" s="15"/>
      <c r="C152" s="15"/>
      <c r="D152" s="16">
        <f t="shared" si="10"/>
        <v>0</v>
      </c>
      <c r="E152" s="16">
        <f t="shared" si="11"/>
        <v>0</v>
      </c>
      <c r="F152" s="16">
        <f t="shared" si="9"/>
        <v>0</v>
      </c>
      <c r="G152" s="16">
        <f t="shared" si="12"/>
        <v>-1.7280399333685637E-11</v>
      </c>
      <c r="L152" s="16"/>
      <c r="M152" s="16"/>
    </row>
    <row r="153" spans="1:13" x14ac:dyDescent="0.25">
      <c r="A153" s="15">
        <v>133</v>
      </c>
      <c r="B153" s="15"/>
      <c r="C153" s="15"/>
      <c r="D153" s="16">
        <f t="shared" si="10"/>
        <v>0</v>
      </c>
      <c r="E153" s="16">
        <f t="shared" si="11"/>
        <v>0</v>
      </c>
      <c r="F153" s="16">
        <f t="shared" si="9"/>
        <v>0</v>
      </c>
      <c r="G153" s="16">
        <f t="shared" si="12"/>
        <v>-1.7280399333685637E-11</v>
      </c>
      <c r="L153" s="16"/>
      <c r="M153" s="16"/>
    </row>
    <row r="154" spans="1:13" x14ac:dyDescent="0.25">
      <c r="A154" s="15">
        <v>134</v>
      </c>
      <c r="B154" s="15"/>
      <c r="C154" s="15"/>
      <c r="D154" s="16">
        <f t="shared" si="10"/>
        <v>0</v>
      </c>
      <c r="E154" s="16">
        <f t="shared" si="11"/>
        <v>0</v>
      </c>
      <c r="F154" s="16">
        <f t="shared" si="9"/>
        <v>0</v>
      </c>
      <c r="G154" s="16">
        <f t="shared" si="12"/>
        <v>-1.7280399333685637E-11</v>
      </c>
      <c r="L154" s="16"/>
      <c r="M154" s="16"/>
    </row>
    <row r="155" spans="1:13" x14ac:dyDescent="0.25">
      <c r="A155" s="15">
        <v>135</v>
      </c>
      <c r="B155" s="15"/>
      <c r="C155" s="15"/>
      <c r="D155" s="16">
        <f t="shared" si="10"/>
        <v>0</v>
      </c>
      <c r="E155" s="16">
        <f t="shared" si="11"/>
        <v>0</v>
      </c>
      <c r="F155" s="16">
        <f t="shared" si="9"/>
        <v>0</v>
      </c>
      <c r="G155" s="16">
        <f t="shared" si="12"/>
        <v>-1.7280399333685637E-11</v>
      </c>
      <c r="L155" s="16"/>
      <c r="M155" s="16"/>
    </row>
    <row r="156" spans="1:13" x14ac:dyDescent="0.25">
      <c r="A156" s="15">
        <v>136</v>
      </c>
      <c r="B156" s="15"/>
      <c r="C156" s="15"/>
      <c r="D156" s="16">
        <f t="shared" si="10"/>
        <v>0</v>
      </c>
      <c r="E156" s="16">
        <f t="shared" si="11"/>
        <v>0</v>
      </c>
      <c r="F156" s="16">
        <f t="shared" si="9"/>
        <v>0</v>
      </c>
      <c r="G156" s="16">
        <f t="shared" si="12"/>
        <v>-1.7280399333685637E-11</v>
      </c>
      <c r="L156" s="16"/>
      <c r="M156" s="16"/>
    </row>
    <row r="157" spans="1:13" x14ac:dyDescent="0.25">
      <c r="A157" s="15">
        <v>137</v>
      </c>
      <c r="B157" s="15"/>
      <c r="C157" s="15"/>
      <c r="D157" s="16">
        <f t="shared" si="10"/>
        <v>0</v>
      </c>
      <c r="E157" s="16">
        <f t="shared" si="11"/>
        <v>0</v>
      </c>
      <c r="F157" s="16">
        <f t="shared" si="9"/>
        <v>0</v>
      </c>
      <c r="G157" s="16">
        <f t="shared" si="12"/>
        <v>-1.7280399333685637E-11</v>
      </c>
      <c r="L157" s="16"/>
      <c r="M157" s="16"/>
    </row>
    <row r="158" spans="1:13" x14ac:dyDescent="0.25">
      <c r="A158" s="15">
        <v>138</v>
      </c>
      <c r="B158" s="15"/>
      <c r="C158" s="15"/>
      <c r="D158" s="16">
        <f t="shared" si="10"/>
        <v>0</v>
      </c>
      <c r="E158" s="16">
        <f t="shared" si="11"/>
        <v>0</v>
      </c>
      <c r="F158" s="16">
        <f t="shared" si="9"/>
        <v>0</v>
      </c>
      <c r="G158" s="16">
        <f t="shared" si="12"/>
        <v>-1.7280399333685637E-11</v>
      </c>
      <c r="L158" s="16"/>
      <c r="M158" s="16"/>
    </row>
    <row r="159" spans="1:13" x14ac:dyDescent="0.25">
      <c r="A159" s="15">
        <v>139</v>
      </c>
      <c r="B159" s="15"/>
      <c r="C159" s="15"/>
      <c r="D159" s="16">
        <f t="shared" si="10"/>
        <v>0</v>
      </c>
      <c r="E159" s="16">
        <f t="shared" si="11"/>
        <v>0</v>
      </c>
      <c r="F159" s="16">
        <f t="shared" si="9"/>
        <v>0</v>
      </c>
      <c r="G159" s="16">
        <f t="shared" si="12"/>
        <v>-1.7280399333685637E-11</v>
      </c>
      <c r="L159" s="16"/>
      <c r="M159" s="16"/>
    </row>
    <row r="160" spans="1:13" x14ac:dyDescent="0.25">
      <c r="A160" s="15">
        <v>140</v>
      </c>
      <c r="B160" s="15"/>
      <c r="C160" s="15"/>
      <c r="D160" s="16">
        <f t="shared" si="10"/>
        <v>0</v>
      </c>
      <c r="E160" s="16">
        <f t="shared" si="11"/>
        <v>0</v>
      </c>
      <c r="F160" s="16">
        <f t="shared" si="9"/>
        <v>0</v>
      </c>
      <c r="G160" s="16">
        <f t="shared" si="12"/>
        <v>-1.7280399333685637E-11</v>
      </c>
      <c r="L160" s="16"/>
      <c r="M160" s="16"/>
    </row>
    <row r="161" spans="1:13" x14ac:dyDescent="0.25">
      <c r="A161" s="15">
        <v>141</v>
      </c>
      <c r="B161" s="15"/>
      <c r="C161" s="15"/>
      <c r="D161" s="16">
        <f t="shared" si="10"/>
        <v>0</v>
      </c>
      <c r="E161" s="16">
        <f t="shared" si="11"/>
        <v>0</v>
      </c>
      <c r="F161" s="16">
        <f t="shared" si="9"/>
        <v>0</v>
      </c>
      <c r="G161" s="16">
        <f t="shared" si="12"/>
        <v>-1.7280399333685637E-11</v>
      </c>
      <c r="L161" s="16"/>
      <c r="M161" s="16"/>
    </row>
    <row r="162" spans="1:13" x14ac:dyDescent="0.25">
      <c r="A162" s="15">
        <v>142</v>
      </c>
      <c r="B162" s="15"/>
      <c r="C162" s="15"/>
      <c r="D162" s="16">
        <f t="shared" si="10"/>
        <v>0</v>
      </c>
      <c r="E162" s="16">
        <f t="shared" si="11"/>
        <v>0</v>
      </c>
      <c r="F162" s="16">
        <f t="shared" si="9"/>
        <v>0</v>
      </c>
      <c r="G162" s="16">
        <f t="shared" si="12"/>
        <v>-1.7280399333685637E-11</v>
      </c>
      <c r="L162" s="16"/>
      <c r="M162" s="16"/>
    </row>
    <row r="163" spans="1:13" x14ac:dyDescent="0.25">
      <c r="A163" s="15">
        <v>143</v>
      </c>
      <c r="B163" s="15"/>
      <c r="C163" s="15"/>
      <c r="D163" s="16">
        <f t="shared" si="10"/>
        <v>0</v>
      </c>
      <c r="E163" s="16">
        <f t="shared" si="11"/>
        <v>0</v>
      </c>
      <c r="F163" s="16">
        <f t="shared" si="9"/>
        <v>0</v>
      </c>
      <c r="G163" s="16">
        <f t="shared" si="12"/>
        <v>-1.7280399333685637E-11</v>
      </c>
      <c r="L163" s="16"/>
      <c r="M163" s="16"/>
    </row>
    <row r="164" spans="1:13" x14ac:dyDescent="0.25">
      <c r="A164" s="15">
        <v>144</v>
      </c>
      <c r="B164" s="15"/>
      <c r="C164" s="15"/>
      <c r="D164" s="16">
        <f t="shared" si="10"/>
        <v>0</v>
      </c>
      <c r="E164" s="16">
        <f t="shared" si="11"/>
        <v>0</v>
      </c>
      <c r="F164" s="16">
        <f t="shared" si="9"/>
        <v>0</v>
      </c>
      <c r="G164" s="16">
        <f t="shared" si="12"/>
        <v>-1.7280399333685637E-11</v>
      </c>
      <c r="L164" s="16"/>
      <c r="M164" s="16"/>
    </row>
    <row r="165" spans="1:13" x14ac:dyDescent="0.25">
      <c r="A165" s="15">
        <v>145</v>
      </c>
      <c r="B165" s="15"/>
      <c r="C165" s="15"/>
      <c r="D165" s="16">
        <f t="shared" si="10"/>
        <v>0</v>
      </c>
      <c r="E165" s="16">
        <f t="shared" si="11"/>
        <v>0</v>
      </c>
      <c r="F165" s="16">
        <f t="shared" si="9"/>
        <v>0</v>
      </c>
      <c r="G165" s="16">
        <f t="shared" si="12"/>
        <v>-1.7280399333685637E-11</v>
      </c>
      <c r="L165" s="16"/>
      <c r="M165" s="16"/>
    </row>
    <row r="166" spans="1:13" x14ac:dyDescent="0.25">
      <c r="A166" s="15">
        <v>146</v>
      </c>
      <c r="B166" s="15"/>
      <c r="C166" s="15"/>
      <c r="D166" s="16">
        <f t="shared" si="10"/>
        <v>0</v>
      </c>
      <c r="E166" s="16">
        <f t="shared" si="11"/>
        <v>0</v>
      </c>
      <c r="F166" s="16">
        <f t="shared" si="9"/>
        <v>0</v>
      </c>
      <c r="G166" s="16">
        <f t="shared" si="12"/>
        <v>-1.7280399333685637E-11</v>
      </c>
      <c r="L166" s="16"/>
      <c r="M166" s="16"/>
    </row>
    <row r="167" spans="1:13" x14ac:dyDescent="0.25">
      <c r="A167" s="15">
        <v>147</v>
      </c>
      <c r="B167" s="15"/>
      <c r="C167" s="15"/>
      <c r="D167" s="16">
        <f t="shared" si="10"/>
        <v>0</v>
      </c>
      <c r="E167" s="16">
        <f t="shared" si="11"/>
        <v>0</v>
      </c>
      <c r="F167" s="16">
        <f t="shared" si="9"/>
        <v>0</v>
      </c>
      <c r="G167" s="16">
        <f t="shared" si="12"/>
        <v>-1.7280399333685637E-11</v>
      </c>
      <c r="L167" s="16"/>
      <c r="M167" s="16"/>
    </row>
    <row r="168" spans="1:13" x14ac:dyDescent="0.25">
      <c r="A168" s="15">
        <v>148</v>
      </c>
      <c r="B168" s="15"/>
      <c r="C168" s="15"/>
      <c r="D168" s="16">
        <f t="shared" si="10"/>
        <v>0</v>
      </c>
      <c r="E168" s="16">
        <f t="shared" si="11"/>
        <v>0</v>
      </c>
      <c r="F168" s="16">
        <f t="shared" si="9"/>
        <v>0</v>
      </c>
      <c r="G168" s="16">
        <f t="shared" si="12"/>
        <v>-1.7280399333685637E-11</v>
      </c>
      <c r="L168" s="16"/>
      <c r="M168" s="16"/>
    </row>
    <row r="169" spans="1:13" x14ac:dyDescent="0.25">
      <c r="A169" s="15">
        <v>149</v>
      </c>
      <c r="B169" s="15"/>
      <c r="C169" s="15"/>
      <c r="D169" s="16">
        <f t="shared" si="10"/>
        <v>0</v>
      </c>
      <c r="E169" s="16">
        <f t="shared" si="11"/>
        <v>0</v>
      </c>
      <c r="F169" s="16">
        <f t="shared" si="9"/>
        <v>0</v>
      </c>
      <c r="G169" s="16">
        <f t="shared" si="12"/>
        <v>-1.7280399333685637E-11</v>
      </c>
      <c r="L169" s="16"/>
      <c r="M169" s="16"/>
    </row>
    <row r="170" spans="1:13" x14ac:dyDescent="0.25">
      <c r="A170" s="15">
        <v>150</v>
      </c>
      <c r="B170" s="15"/>
      <c r="C170" s="15"/>
      <c r="D170" s="16">
        <f t="shared" si="10"/>
        <v>0</v>
      </c>
      <c r="E170" s="16">
        <f t="shared" si="11"/>
        <v>0</v>
      </c>
      <c r="F170" s="16">
        <f t="shared" si="9"/>
        <v>0</v>
      </c>
      <c r="G170" s="16">
        <f t="shared" si="12"/>
        <v>-1.7280399333685637E-11</v>
      </c>
      <c r="L170" s="16"/>
      <c r="M170" s="16"/>
    </row>
    <row r="171" spans="1:13" x14ac:dyDescent="0.25">
      <c r="A171" s="15">
        <v>151</v>
      </c>
      <c r="B171" s="15"/>
      <c r="C171" s="15"/>
      <c r="D171" s="16">
        <f t="shared" si="10"/>
        <v>0</v>
      </c>
      <c r="E171" s="16">
        <f t="shared" si="11"/>
        <v>0</v>
      </c>
      <c r="F171" s="16">
        <f t="shared" si="9"/>
        <v>0</v>
      </c>
      <c r="G171" s="16">
        <f t="shared" si="12"/>
        <v>-1.7280399333685637E-11</v>
      </c>
      <c r="L171" s="16"/>
      <c r="M171" s="16"/>
    </row>
    <row r="172" spans="1:13" x14ac:dyDescent="0.25">
      <c r="A172" s="15">
        <v>152</v>
      </c>
      <c r="B172" s="15"/>
      <c r="C172" s="15"/>
      <c r="D172" s="16">
        <f t="shared" si="10"/>
        <v>0</v>
      </c>
      <c r="E172" s="16">
        <f t="shared" si="11"/>
        <v>0</v>
      </c>
      <c r="F172" s="16">
        <f t="shared" si="9"/>
        <v>0</v>
      </c>
      <c r="G172" s="16">
        <f t="shared" si="12"/>
        <v>-1.7280399333685637E-11</v>
      </c>
      <c r="L172" s="16"/>
      <c r="M172" s="16"/>
    </row>
    <row r="173" spans="1:13" x14ac:dyDescent="0.25">
      <c r="A173" s="15">
        <v>153</v>
      </c>
      <c r="B173" s="15"/>
      <c r="C173" s="15"/>
      <c r="D173" s="16">
        <f t="shared" si="10"/>
        <v>0</v>
      </c>
      <c r="E173" s="16">
        <f t="shared" si="11"/>
        <v>0</v>
      </c>
      <c r="F173" s="16">
        <f t="shared" si="9"/>
        <v>0</v>
      </c>
      <c r="G173" s="16">
        <f t="shared" si="12"/>
        <v>-1.7280399333685637E-11</v>
      </c>
      <c r="L173" s="16"/>
      <c r="M173" s="16"/>
    </row>
    <row r="174" spans="1:13" x14ac:dyDescent="0.25">
      <c r="A174" s="15">
        <v>154</v>
      </c>
      <c r="B174" s="15"/>
      <c r="C174" s="15"/>
      <c r="D174" s="16">
        <f t="shared" si="10"/>
        <v>0</v>
      </c>
      <c r="E174" s="16">
        <f t="shared" si="11"/>
        <v>0</v>
      </c>
      <c r="F174" s="16">
        <f t="shared" si="9"/>
        <v>0</v>
      </c>
      <c r="G174" s="16">
        <f t="shared" si="12"/>
        <v>-1.7280399333685637E-11</v>
      </c>
      <c r="L174" s="16"/>
      <c r="M174" s="16"/>
    </row>
    <row r="175" spans="1:13" x14ac:dyDescent="0.25">
      <c r="A175" s="15">
        <v>155</v>
      </c>
      <c r="B175" s="15"/>
      <c r="C175" s="15"/>
      <c r="D175" s="16">
        <f t="shared" si="10"/>
        <v>0</v>
      </c>
      <c r="E175" s="16">
        <f t="shared" si="11"/>
        <v>0</v>
      </c>
      <c r="F175" s="16">
        <f t="shared" si="9"/>
        <v>0</v>
      </c>
      <c r="G175" s="16">
        <f t="shared" si="12"/>
        <v>-1.7280399333685637E-11</v>
      </c>
      <c r="L175" s="16"/>
      <c r="M175" s="16"/>
    </row>
    <row r="176" spans="1:13" x14ac:dyDescent="0.25">
      <c r="A176" s="15">
        <v>156</v>
      </c>
      <c r="B176" s="15"/>
      <c r="C176" s="15"/>
      <c r="D176" s="16">
        <f t="shared" si="10"/>
        <v>0</v>
      </c>
      <c r="E176" s="16">
        <f t="shared" si="11"/>
        <v>0</v>
      </c>
      <c r="F176" s="16">
        <f t="shared" si="9"/>
        <v>0</v>
      </c>
      <c r="G176" s="16">
        <f t="shared" si="12"/>
        <v>-1.7280399333685637E-11</v>
      </c>
      <c r="L176" s="16"/>
      <c r="M176" s="16"/>
    </row>
    <row r="177" spans="1:13" x14ac:dyDescent="0.25">
      <c r="A177" s="15">
        <v>157</v>
      </c>
      <c r="B177" s="15"/>
      <c r="C177" s="15"/>
      <c r="D177" s="16">
        <f t="shared" si="10"/>
        <v>0</v>
      </c>
      <c r="E177" s="16">
        <f t="shared" si="11"/>
        <v>0</v>
      </c>
      <c r="F177" s="16">
        <f t="shared" si="9"/>
        <v>0</v>
      </c>
      <c r="G177" s="16">
        <f t="shared" si="12"/>
        <v>-1.7280399333685637E-11</v>
      </c>
      <c r="L177" s="16"/>
      <c r="M177" s="16"/>
    </row>
    <row r="178" spans="1:13" x14ac:dyDescent="0.25">
      <c r="A178" s="15">
        <v>158</v>
      </c>
      <c r="B178" s="15"/>
      <c r="C178" s="15"/>
      <c r="D178" s="16">
        <f t="shared" si="10"/>
        <v>0</v>
      </c>
      <c r="E178" s="16">
        <f t="shared" si="11"/>
        <v>0</v>
      </c>
      <c r="F178" s="16">
        <f t="shared" si="9"/>
        <v>0</v>
      </c>
      <c r="G178" s="16">
        <f t="shared" si="12"/>
        <v>-1.7280399333685637E-11</v>
      </c>
      <c r="L178" s="16"/>
      <c r="M178" s="16"/>
    </row>
    <row r="179" spans="1:13" x14ac:dyDescent="0.25">
      <c r="A179" s="15">
        <v>159</v>
      </c>
      <c r="B179" s="15"/>
      <c r="C179" s="15"/>
      <c r="D179" s="16">
        <f t="shared" si="10"/>
        <v>0</v>
      </c>
      <c r="E179" s="16">
        <f t="shared" si="11"/>
        <v>0</v>
      </c>
      <c r="F179" s="16">
        <f t="shared" si="9"/>
        <v>0</v>
      </c>
      <c r="G179" s="16">
        <f t="shared" si="12"/>
        <v>-1.7280399333685637E-11</v>
      </c>
      <c r="L179" s="16"/>
      <c r="M179" s="16"/>
    </row>
    <row r="180" spans="1:13" x14ac:dyDescent="0.25">
      <c r="A180" s="15">
        <v>160</v>
      </c>
      <c r="B180" s="15"/>
      <c r="C180" s="15"/>
      <c r="D180" s="16">
        <f t="shared" si="10"/>
        <v>0</v>
      </c>
      <c r="E180" s="16">
        <f t="shared" si="11"/>
        <v>0</v>
      </c>
      <c r="F180" s="16">
        <f t="shared" si="9"/>
        <v>0</v>
      </c>
      <c r="G180" s="16">
        <f t="shared" si="12"/>
        <v>-1.7280399333685637E-11</v>
      </c>
      <c r="L180" s="16"/>
      <c r="M180" s="16"/>
    </row>
    <row r="181" spans="1:13" x14ac:dyDescent="0.25">
      <c r="A181" s="15">
        <v>161</v>
      </c>
      <c r="B181" s="15"/>
      <c r="C181" s="15"/>
      <c r="D181" s="16">
        <f t="shared" si="10"/>
        <v>0</v>
      </c>
      <c r="E181" s="16">
        <f t="shared" si="11"/>
        <v>0</v>
      </c>
      <c r="F181" s="16">
        <f t="shared" si="9"/>
        <v>0</v>
      </c>
      <c r="G181" s="16">
        <f t="shared" si="12"/>
        <v>-1.7280399333685637E-11</v>
      </c>
      <c r="L181" s="16"/>
      <c r="M181" s="16"/>
    </row>
    <row r="182" spans="1:13" x14ac:dyDescent="0.25">
      <c r="A182" s="15">
        <v>162</v>
      </c>
      <c r="B182" s="15"/>
      <c r="C182" s="15"/>
      <c r="D182" s="16">
        <f t="shared" si="10"/>
        <v>0</v>
      </c>
      <c r="E182" s="16">
        <f t="shared" si="11"/>
        <v>0</v>
      </c>
      <c r="F182" s="16">
        <f t="shared" si="9"/>
        <v>0</v>
      </c>
      <c r="G182" s="16">
        <f t="shared" si="12"/>
        <v>-1.7280399333685637E-11</v>
      </c>
      <c r="L182" s="16"/>
      <c r="M182" s="16"/>
    </row>
    <row r="183" spans="1:13" x14ac:dyDescent="0.25">
      <c r="A183" s="15">
        <v>163</v>
      </c>
      <c r="B183" s="15"/>
      <c r="C183" s="15"/>
      <c r="D183" s="16">
        <f t="shared" si="10"/>
        <v>0</v>
      </c>
      <c r="E183" s="16">
        <f t="shared" si="11"/>
        <v>0</v>
      </c>
      <c r="F183" s="16">
        <f t="shared" si="9"/>
        <v>0</v>
      </c>
      <c r="G183" s="16">
        <f t="shared" si="12"/>
        <v>-1.7280399333685637E-11</v>
      </c>
      <c r="L183" s="16"/>
      <c r="M183" s="16"/>
    </row>
    <row r="184" spans="1:13" x14ac:dyDescent="0.25">
      <c r="A184" s="15">
        <v>164</v>
      </c>
      <c r="B184" s="15"/>
      <c r="C184" s="15"/>
      <c r="D184" s="16">
        <f t="shared" si="10"/>
        <v>0</v>
      </c>
      <c r="E184" s="16">
        <f t="shared" si="11"/>
        <v>0</v>
      </c>
      <c r="F184" s="16">
        <f t="shared" si="9"/>
        <v>0</v>
      </c>
      <c r="G184" s="16">
        <f t="shared" si="12"/>
        <v>-1.7280399333685637E-11</v>
      </c>
      <c r="L184" s="16"/>
      <c r="M184" s="16"/>
    </row>
    <row r="185" spans="1:13" x14ac:dyDescent="0.25">
      <c r="A185" s="15">
        <v>165</v>
      </c>
      <c r="B185" s="15"/>
      <c r="C185" s="15"/>
      <c r="D185" s="16">
        <f t="shared" si="10"/>
        <v>0</v>
      </c>
      <c r="E185" s="16">
        <f t="shared" si="11"/>
        <v>0</v>
      </c>
      <c r="F185" s="16">
        <f t="shared" si="9"/>
        <v>0</v>
      </c>
      <c r="G185" s="16">
        <f t="shared" si="12"/>
        <v>-1.7280399333685637E-11</v>
      </c>
      <c r="L185" s="16"/>
      <c r="M185" s="16"/>
    </row>
    <row r="186" spans="1:13" x14ac:dyDescent="0.25">
      <c r="A186" s="15">
        <v>166</v>
      </c>
      <c r="B186" s="15"/>
      <c r="C186" s="15"/>
      <c r="D186" s="16">
        <f t="shared" si="10"/>
        <v>0</v>
      </c>
      <c r="E186" s="16">
        <f t="shared" si="11"/>
        <v>0</v>
      </c>
      <c r="F186" s="16">
        <f t="shared" si="9"/>
        <v>0</v>
      </c>
      <c r="G186" s="16">
        <f t="shared" si="12"/>
        <v>-1.7280399333685637E-11</v>
      </c>
      <c r="L186" s="16"/>
      <c r="M186" s="16"/>
    </row>
    <row r="187" spans="1:13" x14ac:dyDescent="0.25">
      <c r="A187" s="15">
        <v>167</v>
      </c>
      <c r="B187" s="15"/>
      <c r="C187" s="15"/>
      <c r="D187" s="16">
        <f t="shared" si="10"/>
        <v>0</v>
      </c>
      <c r="E187" s="16">
        <f t="shared" si="11"/>
        <v>0</v>
      </c>
      <c r="F187" s="16">
        <f t="shared" si="9"/>
        <v>0</v>
      </c>
      <c r="G187" s="16">
        <f t="shared" si="12"/>
        <v>-1.7280399333685637E-11</v>
      </c>
      <c r="L187" s="16"/>
      <c r="M187" s="16"/>
    </row>
    <row r="188" spans="1:13" x14ac:dyDescent="0.25">
      <c r="A188" s="15">
        <v>168</v>
      </c>
      <c r="B188" s="15"/>
      <c r="C188" s="15"/>
      <c r="D188" s="16">
        <f t="shared" si="10"/>
        <v>0</v>
      </c>
      <c r="E188" s="16">
        <f t="shared" si="11"/>
        <v>0</v>
      </c>
      <c r="F188" s="16">
        <f t="shared" si="9"/>
        <v>0</v>
      </c>
      <c r="G188" s="16">
        <f t="shared" si="12"/>
        <v>-1.7280399333685637E-11</v>
      </c>
      <c r="L188" s="16"/>
      <c r="M188" s="16"/>
    </row>
    <row r="189" spans="1:13" x14ac:dyDescent="0.25">
      <c r="A189" s="15">
        <v>169</v>
      </c>
      <c r="B189" s="15"/>
      <c r="C189" s="15"/>
      <c r="D189" s="16">
        <f t="shared" si="10"/>
        <v>0</v>
      </c>
      <c r="E189" s="16">
        <f t="shared" si="11"/>
        <v>0</v>
      </c>
      <c r="F189" s="16">
        <f t="shared" si="9"/>
        <v>0</v>
      </c>
      <c r="G189" s="16">
        <f t="shared" si="12"/>
        <v>-1.7280399333685637E-11</v>
      </c>
      <c r="L189" s="16"/>
      <c r="M189" s="16"/>
    </row>
    <row r="190" spans="1:13" x14ac:dyDescent="0.25">
      <c r="A190" s="15">
        <v>170</v>
      </c>
      <c r="B190" s="15"/>
      <c r="C190" s="15"/>
      <c r="D190" s="16">
        <f t="shared" si="10"/>
        <v>0</v>
      </c>
      <c r="E190" s="16">
        <f t="shared" si="11"/>
        <v>0</v>
      </c>
      <c r="F190" s="16">
        <f t="shared" si="9"/>
        <v>0</v>
      </c>
      <c r="G190" s="16">
        <f t="shared" si="12"/>
        <v>-1.7280399333685637E-11</v>
      </c>
      <c r="L190" s="16"/>
      <c r="M190" s="16"/>
    </row>
    <row r="191" spans="1:13" x14ac:dyDescent="0.25">
      <c r="A191" s="15">
        <v>171</v>
      </c>
      <c r="B191" s="15"/>
      <c r="C191" s="15"/>
      <c r="D191" s="16">
        <f t="shared" si="10"/>
        <v>0</v>
      </c>
      <c r="E191" s="16">
        <f t="shared" si="11"/>
        <v>0</v>
      </c>
      <c r="F191" s="16">
        <f t="shared" si="9"/>
        <v>0</v>
      </c>
      <c r="G191" s="16">
        <f t="shared" si="12"/>
        <v>-1.7280399333685637E-11</v>
      </c>
      <c r="L191" s="16"/>
      <c r="M191" s="16"/>
    </row>
    <row r="192" spans="1:13" x14ac:dyDescent="0.25">
      <c r="A192" s="15">
        <v>172</v>
      </c>
      <c r="B192" s="15"/>
      <c r="C192" s="15"/>
      <c r="D192" s="16">
        <f t="shared" si="10"/>
        <v>0</v>
      </c>
      <c r="E192" s="16">
        <f t="shared" si="11"/>
        <v>0</v>
      </c>
      <c r="F192" s="16">
        <f t="shared" si="9"/>
        <v>0</v>
      </c>
      <c r="G192" s="16">
        <f t="shared" si="12"/>
        <v>-1.7280399333685637E-11</v>
      </c>
      <c r="L192" s="16"/>
      <c r="M192" s="16"/>
    </row>
    <row r="193" spans="1:13" x14ac:dyDescent="0.25">
      <c r="A193" s="15">
        <v>173</v>
      </c>
      <c r="B193" s="15"/>
      <c r="C193" s="15"/>
      <c r="D193" s="16">
        <f t="shared" si="10"/>
        <v>0</v>
      </c>
      <c r="E193" s="16">
        <f t="shared" si="11"/>
        <v>0</v>
      </c>
      <c r="F193" s="16">
        <f t="shared" si="9"/>
        <v>0</v>
      </c>
      <c r="G193" s="16">
        <f t="shared" si="12"/>
        <v>-1.7280399333685637E-11</v>
      </c>
      <c r="L193" s="16"/>
      <c r="M193" s="16"/>
    </row>
    <row r="194" spans="1:13" x14ac:dyDescent="0.25">
      <c r="A194" s="15">
        <v>174</v>
      </c>
      <c r="B194" s="15"/>
      <c r="C194" s="15"/>
      <c r="D194" s="16">
        <f t="shared" si="10"/>
        <v>0</v>
      </c>
      <c r="E194" s="16">
        <f t="shared" si="11"/>
        <v>0</v>
      </c>
      <c r="F194" s="16">
        <f t="shared" si="9"/>
        <v>0</v>
      </c>
      <c r="G194" s="16">
        <f t="shared" si="12"/>
        <v>-1.7280399333685637E-11</v>
      </c>
      <c r="L194" s="16"/>
      <c r="M194" s="16"/>
    </row>
    <row r="195" spans="1:13" x14ac:dyDescent="0.25">
      <c r="A195" s="15">
        <v>175</v>
      </c>
      <c r="B195" s="15"/>
      <c r="C195" s="15"/>
      <c r="D195" s="16">
        <f t="shared" si="10"/>
        <v>0</v>
      </c>
      <c r="E195" s="16">
        <f t="shared" si="11"/>
        <v>0</v>
      </c>
      <c r="F195" s="16">
        <f t="shared" si="9"/>
        <v>0</v>
      </c>
      <c r="G195" s="16">
        <f t="shared" si="12"/>
        <v>-1.7280399333685637E-11</v>
      </c>
      <c r="L195" s="16"/>
      <c r="M195" s="16"/>
    </row>
    <row r="196" spans="1:13" x14ac:dyDescent="0.25">
      <c r="A196" s="15">
        <v>176</v>
      </c>
      <c r="B196" s="15"/>
      <c r="C196" s="15"/>
      <c r="D196" s="16">
        <f t="shared" si="10"/>
        <v>0</v>
      </c>
      <c r="E196" s="16">
        <f t="shared" si="11"/>
        <v>0</v>
      </c>
      <c r="F196" s="16">
        <f t="shared" si="9"/>
        <v>0</v>
      </c>
      <c r="G196" s="16">
        <f t="shared" si="12"/>
        <v>-1.7280399333685637E-11</v>
      </c>
      <c r="L196" s="16"/>
      <c r="M196" s="16"/>
    </row>
    <row r="197" spans="1:13" x14ac:dyDescent="0.25">
      <c r="A197" s="15">
        <v>177</v>
      </c>
      <c r="B197" s="15"/>
      <c r="C197" s="15"/>
      <c r="D197" s="16">
        <f t="shared" si="10"/>
        <v>0</v>
      </c>
      <c r="E197" s="16">
        <f t="shared" si="11"/>
        <v>0</v>
      </c>
      <c r="F197" s="16">
        <f t="shared" si="9"/>
        <v>0</v>
      </c>
      <c r="G197" s="16">
        <f t="shared" si="12"/>
        <v>-1.7280399333685637E-11</v>
      </c>
      <c r="L197" s="16"/>
      <c r="M197" s="16"/>
    </row>
    <row r="198" spans="1:13" x14ac:dyDescent="0.25">
      <c r="A198" s="15">
        <v>178</v>
      </c>
      <c r="B198" s="15"/>
      <c r="C198" s="15"/>
      <c r="D198" s="16">
        <f t="shared" si="10"/>
        <v>0</v>
      </c>
      <c r="E198" s="16">
        <f t="shared" si="11"/>
        <v>0</v>
      </c>
      <c r="F198" s="16">
        <f t="shared" si="9"/>
        <v>0</v>
      </c>
      <c r="G198" s="16">
        <f t="shared" si="12"/>
        <v>-1.7280399333685637E-11</v>
      </c>
      <c r="L198" s="16"/>
      <c r="M198" s="16"/>
    </row>
    <row r="199" spans="1:13" x14ac:dyDescent="0.25">
      <c r="A199" s="15">
        <v>179</v>
      </c>
      <c r="B199" s="15"/>
      <c r="C199" s="15"/>
      <c r="D199" s="16">
        <f t="shared" si="10"/>
        <v>0</v>
      </c>
      <c r="E199" s="16">
        <f t="shared" si="11"/>
        <v>0</v>
      </c>
      <c r="F199" s="16">
        <f t="shared" ref="F199:F260" si="13">E199+D199</f>
        <v>0</v>
      </c>
      <c r="G199" s="16">
        <f t="shared" si="12"/>
        <v>-1.7280399333685637E-11</v>
      </c>
      <c r="L199" s="16"/>
      <c r="M199" s="16"/>
    </row>
    <row r="200" spans="1:13" x14ac:dyDescent="0.25">
      <c r="A200" s="15">
        <v>180</v>
      </c>
      <c r="B200" s="15"/>
      <c r="C200" s="15"/>
      <c r="D200" s="16">
        <f t="shared" si="10"/>
        <v>0</v>
      </c>
      <c r="E200" s="16">
        <f t="shared" si="11"/>
        <v>0</v>
      </c>
      <c r="F200" s="16">
        <f t="shared" si="13"/>
        <v>0</v>
      </c>
      <c r="G200" s="16">
        <f t="shared" si="12"/>
        <v>-1.7280399333685637E-11</v>
      </c>
      <c r="L200" s="16"/>
      <c r="M200" s="16"/>
    </row>
    <row r="201" spans="1:13" x14ac:dyDescent="0.25">
      <c r="A201" s="15">
        <v>181</v>
      </c>
      <c r="B201" s="15"/>
      <c r="C201" s="15"/>
      <c r="D201" s="16">
        <f t="shared" si="10"/>
        <v>0</v>
      </c>
      <c r="E201" s="16">
        <f t="shared" si="11"/>
        <v>0</v>
      </c>
      <c r="F201" s="16">
        <f t="shared" si="13"/>
        <v>0</v>
      </c>
      <c r="G201" s="16">
        <f t="shared" si="12"/>
        <v>-1.7280399333685637E-11</v>
      </c>
      <c r="L201" s="16"/>
      <c r="M201" s="16"/>
    </row>
    <row r="202" spans="1:13" x14ac:dyDescent="0.25">
      <c r="A202" s="15">
        <v>182</v>
      </c>
      <c r="B202" s="15"/>
      <c r="C202" s="15"/>
      <c r="D202" s="16">
        <f t="shared" si="10"/>
        <v>0</v>
      </c>
      <c r="E202" s="16">
        <f t="shared" si="11"/>
        <v>0</v>
      </c>
      <c r="F202" s="16">
        <f t="shared" si="13"/>
        <v>0</v>
      </c>
      <c r="G202" s="16">
        <f t="shared" si="12"/>
        <v>-1.7280399333685637E-11</v>
      </c>
      <c r="L202" s="16"/>
      <c r="M202" s="16"/>
    </row>
    <row r="203" spans="1:13" x14ac:dyDescent="0.25">
      <c r="A203" s="15">
        <v>183</v>
      </c>
      <c r="B203" s="15"/>
      <c r="C203" s="15"/>
      <c r="D203" s="16">
        <f t="shared" si="10"/>
        <v>0</v>
      </c>
      <c r="E203" s="16">
        <f t="shared" si="11"/>
        <v>0</v>
      </c>
      <c r="F203" s="16">
        <f t="shared" si="13"/>
        <v>0</v>
      </c>
      <c r="G203" s="16">
        <f t="shared" si="12"/>
        <v>-1.7280399333685637E-11</v>
      </c>
      <c r="L203" s="16"/>
      <c r="M203" s="16"/>
    </row>
    <row r="204" spans="1:13" x14ac:dyDescent="0.25">
      <c r="A204" s="15">
        <v>184</v>
      </c>
      <c r="B204" s="15"/>
      <c r="C204" s="15"/>
      <c r="D204" s="16">
        <f t="shared" si="10"/>
        <v>0</v>
      </c>
      <c r="E204" s="16">
        <f t="shared" si="11"/>
        <v>0</v>
      </c>
      <c r="F204" s="16">
        <f t="shared" si="13"/>
        <v>0</v>
      </c>
      <c r="G204" s="16">
        <f t="shared" si="12"/>
        <v>-1.7280399333685637E-11</v>
      </c>
      <c r="L204" s="16"/>
      <c r="M204" s="16"/>
    </row>
    <row r="205" spans="1:13" x14ac:dyDescent="0.25">
      <c r="A205" s="15">
        <v>185</v>
      </c>
      <c r="B205" s="15"/>
      <c r="C205" s="15"/>
      <c r="D205" s="16">
        <f t="shared" si="10"/>
        <v>0</v>
      </c>
      <c r="E205" s="16">
        <f t="shared" si="11"/>
        <v>0</v>
      </c>
      <c r="F205" s="16">
        <f t="shared" si="13"/>
        <v>0</v>
      </c>
      <c r="G205" s="16">
        <f t="shared" si="12"/>
        <v>-1.7280399333685637E-11</v>
      </c>
      <c r="L205" s="16"/>
      <c r="M205" s="16"/>
    </row>
    <row r="206" spans="1:13" x14ac:dyDescent="0.25">
      <c r="A206" s="15">
        <v>186</v>
      </c>
      <c r="B206" s="15"/>
      <c r="C206" s="15"/>
      <c r="D206" s="16">
        <f t="shared" si="10"/>
        <v>0</v>
      </c>
      <c r="E206" s="16">
        <f t="shared" si="11"/>
        <v>0</v>
      </c>
      <c r="F206" s="16">
        <f t="shared" si="13"/>
        <v>0</v>
      </c>
      <c r="G206" s="16">
        <f t="shared" si="12"/>
        <v>-1.7280399333685637E-11</v>
      </c>
      <c r="L206" s="16"/>
      <c r="M206" s="16"/>
    </row>
    <row r="207" spans="1:13" x14ac:dyDescent="0.25">
      <c r="A207" s="15">
        <v>187</v>
      </c>
      <c r="B207" s="15"/>
      <c r="C207" s="15"/>
      <c r="D207" s="16">
        <f t="shared" si="10"/>
        <v>0</v>
      </c>
      <c r="E207" s="16">
        <f t="shared" si="11"/>
        <v>0</v>
      </c>
      <c r="F207" s="16">
        <f t="shared" si="13"/>
        <v>0</v>
      </c>
      <c r="G207" s="16">
        <f t="shared" si="12"/>
        <v>-1.7280399333685637E-11</v>
      </c>
      <c r="L207" s="16"/>
      <c r="M207" s="16"/>
    </row>
    <row r="208" spans="1:13" x14ac:dyDescent="0.25">
      <c r="A208" s="15">
        <v>188</v>
      </c>
      <c r="B208" s="15"/>
      <c r="C208" s="15"/>
      <c r="D208" s="16">
        <f t="shared" si="10"/>
        <v>0</v>
      </c>
      <c r="E208" s="16">
        <f t="shared" si="11"/>
        <v>0</v>
      </c>
      <c r="F208" s="16">
        <f t="shared" si="13"/>
        <v>0</v>
      </c>
      <c r="G208" s="16">
        <f t="shared" si="12"/>
        <v>-1.7280399333685637E-11</v>
      </c>
      <c r="L208" s="16"/>
      <c r="M208" s="16"/>
    </row>
    <row r="209" spans="1:13" x14ac:dyDescent="0.25">
      <c r="A209" s="15">
        <v>189</v>
      </c>
      <c r="B209" s="15"/>
      <c r="C209" s="15"/>
      <c r="D209" s="16">
        <f t="shared" si="10"/>
        <v>0</v>
      </c>
      <c r="E209" s="16">
        <f t="shared" si="11"/>
        <v>0</v>
      </c>
      <c r="F209" s="16">
        <f t="shared" si="13"/>
        <v>0</v>
      </c>
      <c r="G209" s="16">
        <f t="shared" si="12"/>
        <v>-1.7280399333685637E-11</v>
      </c>
      <c r="L209" s="16"/>
      <c r="M209" s="16"/>
    </row>
    <row r="210" spans="1:13" x14ac:dyDescent="0.25">
      <c r="A210" s="15">
        <v>190</v>
      </c>
      <c r="B210" s="15"/>
      <c r="C210" s="15"/>
      <c r="D210" s="16">
        <f t="shared" si="10"/>
        <v>0</v>
      </c>
      <c r="E210" s="16">
        <f t="shared" si="11"/>
        <v>0</v>
      </c>
      <c r="F210" s="16">
        <f t="shared" si="13"/>
        <v>0</v>
      </c>
      <c r="G210" s="16">
        <f t="shared" si="12"/>
        <v>-1.7280399333685637E-11</v>
      </c>
      <c r="L210" s="16"/>
      <c r="M210" s="16"/>
    </row>
    <row r="211" spans="1:13" x14ac:dyDescent="0.25">
      <c r="A211" s="15">
        <v>191</v>
      </c>
      <c r="B211" s="15"/>
      <c r="C211" s="15"/>
      <c r="D211" s="16">
        <f t="shared" si="10"/>
        <v>0</v>
      </c>
      <c r="E211" s="16">
        <f t="shared" si="11"/>
        <v>0</v>
      </c>
      <c r="F211" s="16">
        <f t="shared" si="13"/>
        <v>0</v>
      </c>
      <c r="G211" s="16">
        <f t="shared" si="12"/>
        <v>-1.7280399333685637E-11</v>
      </c>
      <c r="L211" s="16"/>
      <c r="M211" s="16"/>
    </row>
    <row r="212" spans="1:13" x14ac:dyDescent="0.25">
      <c r="A212" s="15">
        <v>192</v>
      </c>
      <c r="B212" s="15"/>
      <c r="C212" s="15"/>
      <c r="D212" s="16">
        <f t="shared" si="10"/>
        <v>0</v>
      </c>
      <c r="E212" s="16">
        <f t="shared" si="11"/>
        <v>0</v>
      </c>
      <c r="F212" s="16">
        <f t="shared" si="13"/>
        <v>0</v>
      </c>
      <c r="G212" s="16">
        <f t="shared" si="12"/>
        <v>-1.7280399333685637E-11</v>
      </c>
      <c r="L212" s="16"/>
      <c r="M212" s="16"/>
    </row>
    <row r="213" spans="1:13" x14ac:dyDescent="0.25">
      <c r="A213" s="15">
        <v>193</v>
      </c>
      <c r="B213" s="15"/>
      <c r="C213" s="15"/>
      <c r="D213" s="16">
        <f t="shared" ref="D213:D260" si="14">IF(AND($A213&gt;=$F$12,$A213&lt;=$F$11),-PPMT($F$14,A213-$F$8,$F$15,$F$4),0)</f>
        <v>0</v>
      </c>
      <c r="E213" s="16">
        <f t="shared" ref="E213:E260" si="15">IF($A213&lt;=$F$11,IF($A213&gt;=$F$12,-IPMT($F$14,A213-$F$8,$F$15,$F$4),G213*$F$14),0)</f>
        <v>0</v>
      </c>
      <c r="F213" s="16">
        <f t="shared" si="13"/>
        <v>0</v>
      </c>
      <c r="G213" s="16">
        <f t="shared" si="12"/>
        <v>-1.7280399333685637E-11</v>
      </c>
      <c r="L213" s="16"/>
      <c r="M213" s="16"/>
    </row>
    <row r="214" spans="1:13" x14ac:dyDescent="0.25">
      <c r="A214" s="15">
        <v>194</v>
      </c>
      <c r="B214" s="15"/>
      <c r="C214" s="15"/>
      <c r="D214" s="16">
        <f t="shared" si="14"/>
        <v>0</v>
      </c>
      <c r="E214" s="16">
        <f t="shared" si="15"/>
        <v>0</v>
      </c>
      <c r="F214" s="16">
        <f t="shared" si="13"/>
        <v>0</v>
      </c>
      <c r="G214" s="16">
        <f t="shared" ref="G214:G260" si="16">G213-D214</f>
        <v>-1.7280399333685637E-11</v>
      </c>
      <c r="L214" s="16"/>
      <c r="M214" s="16"/>
    </row>
    <row r="215" spans="1:13" x14ac:dyDescent="0.25">
      <c r="A215" s="15">
        <v>195</v>
      </c>
      <c r="B215" s="15"/>
      <c r="C215" s="15"/>
      <c r="D215" s="16">
        <f t="shared" si="14"/>
        <v>0</v>
      </c>
      <c r="E215" s="16">
        <f t="shared" si="15"/>
        <v>0</v>
      </c>
      <c r="F215" s="16">
        <f t="shared" si="13"/>
        <v>0</v>
      </c>
      <c r="G215" s="16">
        <f t="shared" si="16"/>
        <v>-1.7280399333685637E-11</v>
      </c>
      <c r="L215" s="16"/>
      <c r="M215" s="16"/>
    </row>
    <row r="216" spans="1:13" x14ac:dyDescent="0.25">
      <c r="A216" s="15">
        <v>196</v>
      </c>
      <c r="B216" s="15"/>
      <c r="C216" s="15"/>
      <c r="D216" s="16">
        <f t="shared" si="14"/>
        <v>0</v>
      </c>
      <c r="E216" s="16">
        <f t="shared" si="15"/>
        <v>0</v>
      </c>
      <c r="F216" s="16">
        <f t="shared" si="13"/>
        <v>0</v>
      </c>
      <c r="G216" s="16">
        <f t="shared" si="16"/>
        <v>-1.7280399333685637E-11</v>
      </c>
      <c r="L216" s="16"/>
      <c r="M216" s="16"/>
    </row>
    <row r="217" spans="1:13" x14ac:dyDescent="0.25">
      <c r="A217" s="15">
        <v>197</v>
      </c>
      <c r="B217" s="15"/>
      <c r="C217" s="15"/>
      <c r="D217" s="16">
        <f t="shared" si="14"/>
        <v>0</v>
      </c>
      <c r="E217" s="16">
        <f t="shared" si="15"/>
        <v>0</v>
      </c>
      <c r="F217" s="16">
        <f t="shared" si="13"/>
        <v>0</v>
      </c>
      <c r="G217" s="16">
        <f t="shared" si="16"/>
        <v>-1.7280399333685637E-11</v>
      </c>
      <c r="L217" s="16"/>
      <c r="M217" s="16"/>
    </row>
    <row r="218" spans="1:13" x14ac:dyDescent="0.25">
      <c r="A218" s="15">
        <v>198</v>
      </c>
      <c r="B218" s="15"/>
      <c r="C218" s="15"/>
      <c r="D218" s="16">
        <f t="shared" si="14"/>
        <v>0</v>
      </c>
      <c r="E218" s="16">
        <f t="shared" si="15"/>
        <v>0</v>
      </c>
      <c r="F218" s="16">
        <f t="shared" si="13"/>
        <v>0</v>
      </c>
      <c r="G218" s="16">
        <f t="shared" si="16"/>
        <v>-1.7280399333685637E-11</v>
      </c>
      <c r="L218" s="16"/>
      <c r="M218" s="16"/>
    </row>
    <row r="219" spans="1:13" x14ac:dyDescent="0.25">
      <c r="A219" s="15">
        <v>199</v>
      </c>
      <c r="B219" s="15"/>
      <c r="C219" s="15"/>
      <c r="D219" s="16">
        <f t="shared" si="14"/>
        <v>0</v>
      </c>
      <c r="E219" s="16">
        <f t="shared" si="15"/>
        <v>0</v>
      </c>
      <c r="F219" s="16">
        <f t="shared" si="13"/>
        <v>0</v>
      </c>
      <c r="G219" s="16">
        <f t="shared" si="16"/>
        <v>-1.7280399333685637E-11</v>
      </c>
      <c r="L219" s="16"/>
      <c r="M219" s="16"/>
    </row>
    <row r="220" spans="1:13" x14ac:dyDescent="0.25">
      <c r="A220" s="15">
        <v>200</v>
      </c>
      <c r="B220" s="15"/>
      <c r="C220" s="15"/>
      <c r="D220" s="16">
        <f t="shared" si="14"/>
        <v>0</v>
      </c>
      <c r="E220" s="16">
        <f t="shared" si="15"/>
        <v>0</v>
      </c>
      <c r="F220" s="16">
        <f t="shared" si="13"/>
        <v>0</v>
      </c>
      <c r="G220" s="16">
        <f t="shared" si="16"/>
        <v>-1.7280399333685637E-11</v>
      </c>
      <c r="L220" s="16"/>
      <c r="M220" s="16"/>
    </row>
    <row r="221" spans="1:13" x14ac:dyDescent="0.25">
      <c r="A221" s="15">
        <v>201</v>
      </c>
      <c r="B221" s="15"/>
      <c r="C221" s="15"/>
      <c r="D221" s="16">
        <f t="shared" si="14"/>
        <v>0</v>
      </c>
      <c r="E221" s="16">
        <f t="shared" si="15"/>
        <v>0</v>
      </c>
      <c r="F221" s="16">
        <f t="shared" si="13"/>
        <v>0</v>
      </c>
      <c r="G221" s="16">
        <f t="shared" si="16"/>
        <v>-1.7280399333685637E-11</v>
      </c>
      <c r="L221" s="16"/>
      <c r="M221" s="16"/>
    </row>
    <row r="222" spans="1:13" x14ac:dyDescent="0.25">
      <c r="A222" s="15">
        <v>202</v>
      </c>
      <c r="B222" s="15"/>
      <c r="C222" s="15"/>
      <c r="D222" s="16">
        <f t="shared" si="14"/>
        <v>0</v>
      </c>
      <c r="E222" s="16">
        <f t="shared" si="15"/>
        <v>0</v>
      </c>
      <c r="F222" s="16">
        <f t="shared" si="13"/>
        <v>0</v>
      </c>
      <c r="G222" s="16">
        <f t="shared" si="16"/>
        <v>-1.7280399333685637E-11</v>
      </c>
      <c r="L222" s="16"/>
      <c r="M222" s="16"/>
    </row>
    <row r="223" spans="1:13" x14ac:dyDescent="0.25">
      <c r="A223" s="15">
        <v>203</v>
      </c>
      <c r="B223" s="15"/>
      <c r="C223" s="15"/>
      <c r="D223" s="16">
        <f t="shared" si="14"/>
        <v>0</v>
      </c>
      <c r="E223" s="16">
        <f t="shared" si="15"/>
        <v>0</v>
      </c>
      <c r="F223" s="16">
        <f t="shared" si="13"/>
        <v>0</v>
      </c>
      <c r="G223" s="16">
        <f t="shared" si="16"/>
        <v>-1.7280399333685637E-11</v>
      </c>
      <c r="L223" s="16"/>
      <c r="M223" s="16"/>
    </row>
    <row r="224" spans="1:13" x14ac:dyDescent="0.25">
      <c r="A224" s="15">
        <v>204</v>
      </c>
      <c r="B224" s="15"/>
      <c r="C224" s="15"/>
      <c r="D224" s="16">
        <f t="shared" si="14"/>
        <v>0</v>
      </c>
      <c r="E224" s="16">
        <f t="shared" si="15"/>
        <v>0</v>
      </c>
      <c r="F224" s="16">
        <f t="shared" si="13"/>
        <v>0</v>
      </c>
      <c r="G224" s="16">
        <f t="shared" si="16"/>
        <v>-1.7280399333685637E-11</v>
      </c>
      <c r="L224" s="16"/>
      <c r="M224" s="16"/>
    </row>
    <row r="225" spans="1:13" x14ac:dyDescent="0.25">
      <c r="A225" s="15">
        <v>205</v>
      </c>
      <c r="B225" s="15"/>
      <c r="C225" s="15"/>
      <c r="D225" s="16">
        <f t="shared" si="14"/>
        <v>0</v>
      </c>
      <c r="E225" s="16">
        <f t="shared" si="15"/>
        <v>0</v>
      </c>
      <c r="F225" s="16">
        <f t="shared" si="13"/>
        <v>0</v>
      </c>
      <c r="G225" s="16">
        <f t="shared" si="16"/>
        <v>-1.7280399333685637E-11</v>
      </c>
      <c r="L225" s="16"/>
      <c r="M225" s="16"/>
    </row>
    <row r="226" spans="1:13" x14ac:dyDescent="0.25">
      <c r="A226" s="15">
        <v>206</v>
      </c>
      <c r="B226" s="15"/>
      <c r="C226" s="15"/>
      <c r="D226" s="16">
        <f t="shared" si="14"/>
        <v>0</v>
      </c>
      <c r="E226" s="16">
        <f t="shared" si="15"/>
        <v>0</v>
      </c>
      <c r="F226" s="16">
        <f t="shared" si="13"/>
        <v>0</v>
      </c>
      <c r="G226" s="16">
        <f t="shared" si="16"/>
        <v>-1.7280399333685637E-11</v>
      </c>
      <c r="L226" s="16"/>
      <c r="M226" s="16"/>
    </row>
    <row r="227" spans="1:13" x14ac:dyDescent="0.25">
      <c r="A227" s="15">
        <v>207</v>
      </c>
      <c r="B227" s="15"/>
      <c r="C227" s="15"/>
      <c r="D227" s="16">
        <f t="shared" si="14"/>
        <v>0</v>
      </c>
      <c r="E227" s="16">
        <f t="shared" si="15"/>
        <v>0</v>
      </c>
      <c r="F227" s="16">
        <f t="shared" si="13"/>
        <v>0</v>
      </c>
      <c r="G227" s="16">
        <f t="shared" si="16"/>
        <v>-1.7280399333685637E-11</v>
      </c>
      <c r="L227" s="16"/>
      <c r="M227" s="16"/>
    </row>
    <row r="228" spans="1:13" x14ac:dyDescent="0.25">
      <c r="A228" s="15">
        <v>208</v>
      </c>
      <c r="B228" s="15"/>
      <c r="C228" s="15"/>
      <c r="D228" s="16">
        <f t="shared" si="14"/>
        <v>0</v>
      </c>
      <c r="E228" s="16">
        <f t="shared" si="15"/>
        <v>0</v>
      </c>
      <c r="F228" s="16">
        <f t="shared" si="13"/>
        <v>0</v>
      </c>
      <c r="G228" s="16">
        <f t="shared" si="16"/>
        <v>-1.7280399333685637E-11</v>
      </c>
      <c r="L228" s="16"/>
      <c r="M228" s="16"/>
    </row>
    <row r="229" spans="1:13" x14ac:dyDescent="0.25">
      <c r="A229" s="15">
        <v>209</v>
      </c>
      <c r="B229" s="15"/>
      <c r="C229" s="15"/>
      <c r="D229" s="16">
        <f t="shared" si="14"/>
        <v>0</v>
      </c>
      <c r="E229" s="16">
        <f t="shared" si="15"/>
        <v>0</v>
      </c>
      <c r="F229" s="16">
        <f t="shared" si="13"/>
        <v>0</v>
      </c>
      <c r="G229" s="16">
        <f t="shared" si="16"/>
        <v>-1.7280399333685637E-11</v>
      </c>
      <c r="L229" s="16"/>
      <c r="M229" s="16"/>
    </row>
    <row r="230" spans="1:13" x14ac:dyDescent="0.25">
      <c r="A230" s="15">
        <v>210</v>
      </c>
      <c r="B230" s="15"/>
      <c r="C230" s="15"/>
      <c r="D230" s="16">
        <f t="shared" si="14"/>
        <v>0</v>
      </c>
      <c r="E230" s="16">
        <f t="shared" si="15"/>
        <v>0</v>
      </c>
      <c r="F230" s="16">
        <f t="shared" si="13"/>
        <v>0</v>
      </c>
      <c r="G230" s="16">
        <f t="shared" si="16"/>
        <v>-1.7280399333685637E-11</v>
      </c>
      <c r="L230" s="16"/>
      <c r="M230" s="16"/>
    </row>
    <row r="231" spans="1:13" x14ac:dyDescent="0.25">
      <c r="A231" s="15">
        <v>211</v>
      </c>
      <c r="B231" s="15"/>
      <c r="C231" s="15"/>
      <c r="D231" s="16">
        <f t="shared" si="14"/>
        <v>0</v>
      </c>
      <c r="E231" s="16">
        <f t="shared" si="15"/>
        <v>0</v>
      </c>
      <c r="F231" s="16">
        <f t="shared" si="13"/>
        <v>0</v>
      </c>
      <c r="G231" s="16">
        <f t="shared" si="16"/>
        <v>-1.7280399333685637E-11</v>
      </c>
      <c r="L231" s="16"/>
      <c r="M231" s="16"/>
    </row>
    <row r="232" spans="1:13" x14ac:dyDescent="0.25">
      <c r="A232" s="15">
        <v>212</v>
      </c>
      <c r="B232" s="15"/>
      <c r="C232" s="15"/>
      <c r="D232" s="16">
        <f t="shared" si="14"/>
        <v>0</v>
      </c>
      <c r="E232" s="16">
        <f t="shared" si="15"/>
        <v>0</v>
      </c>
      <c r="F232" s="16">
        <f t="shared" si="13"/>
        <v>0</v>
      </c>
      <c r="G232" s="16">
        <f t="shared" si="16"/>
        <v>-1.7280399333685637E-11</v>
      </c>
      <c r="L232" s="16"/>
      <c r="M232" s="16"/>
    </row>
    <row r="233" spans="1:13" x14ac:dyDescent="0.25">
      <c r="A233" s="15">
        <v>213</v>
      </c>
      <c r="B233" s="15"/>
      <c r="C233" s="15"/>
      <c r="D233" s="16">
        <f t="shared" si="14"/>
        <v>0</v>
      </c>
      <c r="E233" s="16">
        <f t="shared" si="15"/>
        <v>0</v>
      </c>
      <c r="F233" s="16">
        <f t="shared" si="13"/>
        <v>0</v>
      </c>
      <c r="G233" s="16">
        <f t="shared" si="16"/>
        <v>-1.7280399333685637E-11</v>
      </c>
      <c r="L233" s="16"/>
      <c r="M233" s="16"/>
    </row>
    <row r="234" spans="1:13" x14ac:dyDescent="0.25">
      <c r="A234" s="15">
        <v>214</v>
      </c>
      <c r="B234" s="15"/>
      <c r="C234" s="15"/>
      <c r="D234" s="16">
        <f t="shared" si="14"/>
        <v>0</v>
      </c>
      <c r="E234" s="16">
        <f t="shared" si="15"/>
        <v>0</v>
      </c>
      <c r="F234" s="16">
        <f t="shared" si="13"/>
        <v>0</v>
      </c>
      <c r="G234" s="16">
        <f t="shared" si="16"/>
        <v>-1.7280399333685637E-11</v>
      </c>
      <c r="L234" s="16"/>
      <c r="M234" s="16"/>
    </row>
    <row r="235" spans="1:13" x14ac:dyDescent="0.25">
      <c r="A235" s="15">
        <v>215</v>
      </c>
      <c r="B235" s="15"/>
      <c r="C235" s="15"/>
      <c r="D235" s="16">
        <f t="shared" si="14"/>
        <v>0</v>
      </c>
      <c r="E235" s="16">
        <f t="shared" si="15"/>
        <v>0</v>
      </c>
      <c r="F235" s="16">
        <f t="shared" si="13"/>
        <v>0</v>
      </c>
      <c r="G235" s="16">
        <f t="shared" si="16"/>
        <v>-1.7280399333685637E-11</v>
      </c>
      <c r="L235" s="16"/>
      <c r="M235" s="16"/>
    </row>
    <row r="236" spans="1:13" x14ac:dyDescent="0.25">
      <c r="A236" s="15">
        <v>216</v>
      </c>
      <c r="B236" s="15"/>
      <c r="C236" s="15"/>
      <c r="D236" s="16">
        <f t="shared" si="14"/>
        <v>0</v>
      </c>
      <c r="E236" s="16">
        <f t="shared" si="15"/>
        <v>0</v>
      </c>
      <c r="F236" s="16">
        <f t="shared" si="13"/>
        <v>0</v>
      </c>
      <c r="G236" s="16">
        <f t="shared" si="16"/>
        <v>-1.7280399333685637E-11</v>
      </c>
      <c r="L236" s="16"/>
      <c r="M236" s="16"/>
    </row>
    <row r="237" spans="1:13" x14ac:dyDescent="0.25">
      <c r="A237" s="15">
        <v>217</v>
      </c>
      <c r="B237" s="15"/>
      <c r="C237" s="15"/>
      <c r="D237" s="16">
        <f t="shared" si="14"/>
        <v>0</v>
      </c>
      <c r="E237" s="16">
        <f t="shared" si="15"/>
        <v>0</v>
      </c>
      <c r="F237" s="16">
        <f t="shared" si="13"/>
        <v>0</v>
      </c>
      <c r="G237" s="16">
        <f t="shared" si="16"/>
        <v>-1.7280399333685637E-11</v>
      </c>
      <c r="L237" s="16"/>
      <c r="M237" s="16"/>
    </row>
    <row r="238" spans="1:13" x14ac:dyDescent="0.25">
      <c r="A238" s="15">
        <v>218</v>
      </c>
      <c r="B238" s="15"/>
      <c r="C238" s="15"/>
      <c r="D238" s="16">
        <f t="shared" si="14"/>
        <v>0</v>
      </c>
      <c r="E238" s="16">
        <f t="shared" si="15"/>
        <v>0</v>
      </c>
      <c r="F238" s="16">
        <f t="shared" si="13"/>
        <v>0</v>
      </c>
      <c r="G238" s="16">
        <f t="shared" si="16"/>
        <v>-1.7280399333685637E-11</v>
      </c>
      <c r="L238" s="16"/>
      <c r="M238" s="16"/>
    </row>
    <row r="239" spans="1:13" x14ac:dyDescent="0.25">
      <c r="A239" s="15">
        <v>219</v>
      </c>
      <c r="B239" s="15"/>
      <c r="C239" s="15"/>
      <c r="D239" s="16">
        <f t="shared" si="14"/>
        <v>0</v>
      </c>
      <c r="E239" s="16">
        <f t="shared" si="15"/>
        <v>0</v>
      </c>
      <c r="F239" s="16">
        <f t="shared" si="13"/>
        <v>0</v>
      </c>
      <c r="G239" s="16">
        <f t="shared" si="16"/>
        <v>-1.7280399333685637E-11</v>
      </c>
      <c r="L239" s="16"/>
      <c r="M239" s="16"/>
    </row>
    <row r="240" spans="1:13" x14ac:dyDescent="0.25">
      <c r="A240" s="15">
        <v>220</v>
      </c>
      <c r="B240" s="15"/>
      <c r="C240" s="15"/>
      <c r="D240" s="16">
        <f t="shared" si="14"/>
        <v>0</v>
      </c>
      <c r="E240" s="16">
        <f t="shared" si="15"/>
        <v>0</v>
      </c>
      <c r="F240" s="16">
        <f t="shared" si="13"/>
        <v>0</v>
      </c>
      <c r="G240" s="16">
        <f t="shared" si="16"/>
        <v>-1.7280399333685637E-11</v>
      </c>
      <c r="L240" s="16"/>
      <c r="M240" s="16"/>
    </row>
    <row r="241" spans="1:13" x14ac:dyDescent="0.25">
      <c r="A241" s="15">
        <v>221</v>
      </c>
      <c r="B241" s="15"/>
      <c r="C241" s="15"/>
      <c r="D241" s="16">
        <f t="shared" si="14"/>
        <v>0</v>
      </c>
      <c r="E241" s="16">
        <f t="shared" si="15"/>
        <v>0</v>
      </c>
      <c r="F241" s="16">
        <f t="shared" si="13"/>
        <v>0</v>
      </c>
      <c r="G241" s="16">
        <f t="shared" si="16"/>
        <v>-1.7280399333685637E-11</v>
      </c>
      <c r="L241" s="16"/>
      <c r="M241" s="16"/>
    </row>
    <row r="242" spans="1:13" x14ac:dyDescent="0.25">
      <c r="A242" s="15">
        <v>222</v>
      </c>
      <c r="B242" s="15"/>
      <c r="C242" s="15"/>
      <c r="D242" s="16">
        <f t="shared" si="14"/>
        <v>0</v>
      </c>
      <c r="E242" s="16">
        <f t="shared" si="15"/>
        <v>0</v>
      </c>
      <c r="F242" s="16">
        <f t="shared" si="13"/>
        <v>0</v>
      </c>
      <c r="G242" s="16">
        <f t="shared" si="16"/>
        <v>-1.7280399333685637E-11</v>
      </c>
      <c r="L242" s="16"/>
      <c r="M242" s="16"/>
    </row>
    <row r="243" spans="1:13" x14ac:dyDescent="0.25">
      <c r="A243" s="15">
        <v>223</v>
      </c>
      <c r="B243" s="15"/>
      <c r="C243" s="15"/>
      <c r="D243" s="16">
        <f t="shared" si="14"/>
        <v>0</v>
      </c>
      <c r="E243" s="16">
        <f t="shared" si="15"/>
        <v>0</v>
      </c>
      <c r="F243" s="16">
        <f t="shared" si="13"/>
        <v>0</v>
      </c>
      <c r="G243" s="16">
        <f t="shared" si="16"/>
        <v>-1.7280399333685637E-11</v>
      </c>
      <c r="L243" s="16"/>
      <c r="M243" s="16"/>
    </row>
    <row r="244" spans="1:13" x14ac:dyDescent="0.25">
      <c r="A244" s="15">
        <v>224</v>
      </c>
      <c r="B244" s="15"/>
      <c r="C244" s="15"/>
      <c r="D244" s="16">
        <f t="shared" si="14"/>
        <v>0</v>
      </c>
      <c r="E244" s="16">
        <f t="shared" si="15"/>
        <v>0</v>
      </c>
      <c r="F244" s="16">
        <f t="shared" si="13"/>
        <v>0</v>
      </c>
      <c r="G244" s="16">
        <f t="shared" si="16"/>
        <v>-1.7280399333685637E-11</v>
      </c>
      <c r="L244" s="16"/>
      <c r="M244" s="16"/>
    </row>
    <row r="245" spans="1:13" x14ac:dyDescent="0.25">
      <c r="A245" s="15">
        <v>225</v>
      </c>
      <c r="B245" s="15"/>
      <c r="C245" s="15"/>
      <c r="D245" s="16">
        <f t="shared" si="14"/>
        <v>0</v>
      </c>
      <c r="E245" s="16">
        <f t="shared" si="15"/>
        <v>0</v>
      </c>
      <c r="F245" s="16">
        <f t="shared" si="13"/>
        <v>0</v>
      </c>
      <c r="G245" s="16">
        <f t="shared" si="16"/>
        <v>-1.7280399333685637E-11</v>
      </c>
      <c r="L245" s="16"/>
      <c r="M245" s="16"/>
    </row>
    <row r="246" spans="1:13" x14ac:dyDescent="0.25">
      <c r="A246" s="15">
        <v>226</v>
      </c>
      <c r="B246" s="15"/>
      <c r="C246" s="15"/>
      <c r="D246" s="16">
        <f t="shared" si="14"/>
        <v>0</v>
      </c>
      <c r="E246" s="16">
        <f t="shared" si="15"/>
        <v>0</v>
      </c>
      <c r="F246" s="16">
        <f t="shared" si="13"/>
        <v>0</v>
      </c>
      <c r="G246" s="16">
        <f t="shared" si="16"/>
        <v>-1.7280399333685637E-11</v>
      </c>
      <c r="L246" s="16"/>
      <c r="M246" s="16"/>
    </row>
    <row r="247" spans="1:13" x14ac:dyDescent="0.25">
      <c r="A247" s="15">
        <v>227</v>
      </c>
      <c r="B247" s="15"/>
      <c r="C247" s="15"/>
      <c r="D247" s="16">
        <f t="shared" si="14"/>
        <v>0</v>
      </c>
      <c r="E247" s="16">
        <f t="shared" si="15"/>
        <v>0</v>
      </c>
      <c r="F247" s="16">
        <f t="shared" si="13"/>
        <v>0</v>
      </c>
      <c r="G247" s="16">
        <f t="shared" si="16"/>
        <v>-1.7280399333685637E-11</v>
      </c>
      <c r="L247" s="16"/>
      <c r="M247" s="16"/>
    </row>
    <row r="248" spans="1:13" x14ac:dyDescent="0.25">
      <c r="A248" s="15">
        <v>228</v>
      </c>
      <c r="B248" s="15"/>
      <c r="C248" s="15"/>
      <c r="D248" s="16">
        <f t="shared" si="14"/>
        <v>0</v>
      </c>
      <c r="E248" s="16">
        <f t="shared" si="15"/>
        <v>0</v>
      </c>
      <c r="F248" s="16">
        <f t="shared" si="13"/>
        <v>0</v>
      </c>
      <c r="G248" s="16">
        <f t="shared" si="16"/>
        <v>-1.7280399333685637E-11</v>
      </c>
      <c r="L248" s="16"/>
      <c r="M248" s="16"/>
    </row>
    <row r="249" spans="1:13" x14ac:dyDescent="0.25">
      <c r="A249" s="15">
        <v>229</v>
      </c>
      <c r="B249" s="15"/>
      <c r="C249" s="15"/>
      <c r="D249" s="16">
        <f t="shared" si="14"/>
        <v>0</v>
      </c>
      <c r="E249" s="16">
        <f t="shared" si="15"/>
        <v>0</v>
      </c>
      <c r="F249" s="16">
        <f t="shared" si="13"/>
        <v>0</v>
      </c>
      <c r="G249" s="16">
        <f t="shared" si="16"/>
        <v>-1.7280399333685637E-11</v>
      </c>
      <c r="L249" s="16"/>
      <c r="M249" s="16"/>
    </row>
    <row r="250" spans="1:13" x14ac:dyDescent="0.25">
      <c r="A250" s="15">
        <v>230</v>
      </c>
      <c r="B250" s="15"/>
      <c r="C250" s="15"/>
      <c r="D250" s="16">
        <f t="shared" si="14"/>
        <v>0</v>
      </c>
      <c r="E250" s="16">
        <f t="shared" si="15"/>
        <v>0</v>
      </c>
      <c r="F250" s="16">
        <f t="shared" si="13"/>
        <v>0</v>
      </c>
      <c r="G250" s="16">
        <f t="shared" si="16"/>
        <v>-1.7280399333685637E-11</v>
      </c>
      <c r="L250" s="16"/>
      <c r="M250" s="16"/>
    </row>
    <row r="251" spans="1:13" x14ac:dyDescent="0.25">
      <c r="A251" s="15">
        <v>231</v>
      </c>
      <c r="B251" s="15"/>
      <c r="C251" s="15"/>
      <c r="D251" s="16">
        <f t="shared" si="14"/>
        <v>0</v>
      </c>
      <c r="E251" s="16">
        <f t="shared" si="15"/>
        <v>0</v>
      </c>
      <c r="F251" s="16">
        <f t="shared" si="13"/>
        <v>0</v>
      </c>
      <c r="G251" s="16">
        <f t="shared" si="16"/>
        <v>-1.7280399333685637E-11</v>
      </c>
      <c r="L251" s="16"/>
      <c r="M251" s="16"/>
    </row>
    <row r="252" spans="1:13" x14ac:dyDescent="0.25">
      <c r="A252" s="15">
        <v>232</v>
      </c>
      <c r="B252" s="15"/>
      <c r="C252" s="15"/>
      <c r="D252" s="16">
        <f t="shared" si="14"/>
        <v>0</v>
      </c>
      <c r="E252" s="16">
        <f t="shared" si="15"/>
        <v>0</v>
      </c>
      <c r="F252" s="16">
        <f t="shared" si="13"/>
        <v>0</v>
      </c>
      <c r="G252" s="16">
        <f t="shared" si="16"/>
        <v>-1.7280399333685637E-11</v>
      </c>
      <c r="L252" s="16"/>
      <c r="M252" s="16"/>
    </row>
    <row r="253" spans="1:13" x14ac:dyDescent="0.25">
      <c r="A253" s="15">
        <v>233</v>
      </c>
      <c r="B253" s="15"/>
      <c r="C253" s="15"/>
      <c r="D253" s="16">
        <f t="shared" si="14"/>
        <v>0</v>
      </c>
      <c r="E253" s="16">
        <f t="shared" si="15"/>
        <v>0</v>
      </c>
      <c r="F253" s="16">
        <f t="shared" si="13"/>
        <v>0</v>
      </c>
      <c r="G253" s="16">
        <f t="shared" si="16"/>
        <v>-1.7280399333685637E-11</v>
      </c>
      <c r="L253" s="16"/>
      <c r="M253" s="16"/>
    </row>
    <row r="254" spans="1:13" x14ac:dyDescent="0.25">
      <c r="A254" s="15">
        <v>234</v>
      </c>
      <c r="B254" s="15"/>
      <c r="C254" s="15"/>
      <c r="D254" s="16">
        <f t="shared" si="14"/>
        <v>0</v>
      </c>
      <c r="E254" s="16">
        <f t="shared" si="15"/>
        <v>0</v>
      </c>
      <c r="F254" s="16">
        <f t="shared" si="13"/>
        <v>0</v>
      </c>
      <c r="G254" s="16">
        <f t="shared" si="16"/>
        <v>-1.7280399333685637E-11</v>
      </c>
      <c r="L254" s="16"/>
      <c r="M254" s="16"/>
    </row>
    <row r="255" spans="1:13" x14ac:dyDescent="0.25">
      <c r="A255" s="15">
        <v>235</v>
      </c>
      <c r="B255" s="15"/>
      <c r="C255" s="15"/>
      <c r="D255" s="16">
        <f t="shared" si="14"/>
        <v>0</v>
      </c>
      <c r="E255" s="16">
        <f t="shared" si="15"/>
        <v>0</v>
      </c>
      <c r="F255" s="16">
        <f t="shared" si="13"/>
        <v>0</v>
      </c>
      <c r="G255" s="16">
        <f t="shared" si="16"/>
        <v>-1.7280399333685637E-11</v>
      </c>
      <c r="L255" s="16"/>
      <c r="M255" s="16"/>
    </row>
    <row r="256" spans="1:13" x14ac:dyDescent="0.25">
      <c r="A256" s="15">
        <v>236</v>
      </c>
      <c r="B256" s="15"/>
      <c r="C256" s="15"/>
      <c r="D256" s="16">
        <f t="shared" si="14"/>
        <v>0</v>
      </c>
      <c r="E256" s="16">
        <f t="shared" si="15"/>
        <v>0</v>
      </c>
      <c r="F256" s="16">
        <f t="shared" si="13"/>
        <v>0</v>
      </c>
      <c r="G256" s="16">
        <f t="shared" si="16"/>
        <v>-1.7280399333685637E-11</v>
      </c>
      <c r="L256" s="16"/>
      <c r="M256" s="16"/>
    </row>
    <row r="257" spans="1:13" x14ac:dyDescent="0.25">
      <c r="A257" s="15">
        <v>237</v>
      </c>
      <c r="B257" s="15"/>
      <c r="C257" s="15"/>
      <c r="D257" s="16">
        <f t="shared" si="14"/>
        <v>0</v>
      </c>
      <c r="E257" s="16">
        <f t="shared" si="15"/>
        <v>0</v>
      </c>
      <c r="F257" s="16">
        <f t="shared" si="13"/>
        <v>0</v>
      </c>
      <c r="G257" s="16">
        <f t="shared" si="16"/>
        <v>-1.7280399333685637E-11</v>
      </c>
      <c r="L257" s="16"/>
      <c r="M257" s="16"/>
    </row>
    <row r="258" spans="1:13" x14ac:dyDescent="0.25">
      <c r="A258" s="15">
        <v>238</v>
      </c>
      <c r="B258" s="15"/>
      <c r="C258" s="15"/>
      <c r="D258" s="16">
        <f t="shared" si="14"/>
        <v>0</v>
      </c>
      <c r="E258" s="16">
        <f t="shared" si="15"/>
        <v>0</v>
      </c>
      <c r="F258" s="16">
        <f t="shared" si="13"/>
        <v>0</v>
      </c>
      <c r="G258" s="16">
        <f t="shared" si="16"/>
        <v>-1.7280399333685637E-11</v>
      </c>
      <c r="L258" s="16"/>
      <c r="M258" s="16"/>
    </row>
    <row r="259" spans="1:13" x14ac:dyDescent="0.25">
      <c r="A259" s="15">
        <v>239</v>
      </c>
      <c r="B259" s="15"/>
      <c r="C259" s="15"/>
      <c r="D259" s="16">
        <f t="shared" si="14"/>
        <v>0</v>
      </c>
      <c r="E259" s="16">
        <f t="shared" si="15"/>
        <v>0</v>
      </c>
      <c r="F259" s="16">
        <f t="shared" si="13"/>
        <v>0</v>
      </c>
      <c r="G259" s="16">
        <f t="shared" si="16"/>
        <v>-1.7280399333685637E-11</v>
      </c>
      <c r="L259" s="16"/>
      <c r="M259" s="16"/>
    </row>
    <row r="260" spans="1:13" x14ac:dyDescent="0.25">
      <c r="A260" s="15">
        <v>240</v>
      </c>
      <c r="B260" s="15"/>
      <c r="C260" s="15"/>
      <c r="D260" s="16">
        <f t="shared" si="14"/>
        <v>0</v>
      </c>
      <c r="E260" s="16">
        <f t="shared" si="15"/>
        <v>0</v>
      </c>
      <c r="F260" s="16">
        <f t="shared" si="13"/>
        <v>0</v>
      </c>
      <c r="G260" s="16">
        <f t="shared" si="16"/>
        <v>-1.7280399333685637E-11</v>
      </c>
      <c r="L260" s="16"/>
      <c r="M26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calculator</vt:lpstr>
    </vt:vector>
  </TitlesOfParts>
  <Company>Unltd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Bartram</dc:creator>
  <cp:lastModifiedBy>Camilla Elwood</cp:lastModifiedBy>
  <dcterms:created xsi:type="dcterms:W3CDTF">2015-06-08T07:27:11Z</dcterms:created>
  <dcterms:modified xsi:type="dcterms:W3CDTF">2019-02-08T10:52:33Z</dcterms:modified>
</cp:coreProperties>
</file>